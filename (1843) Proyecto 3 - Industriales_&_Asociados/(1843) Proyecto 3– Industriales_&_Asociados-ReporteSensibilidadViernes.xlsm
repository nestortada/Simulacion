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icolas\Documents\U. Sabana\Semestre 6\Simulación\Corte 3\Proyecto final\Final soluciones\"/>
    </mc:Choice>
  </mc:AlternateContent>
  <xr:revisionPtr revIDLastSave="0" documentId="13_ncr:1_{6F311C7B-7355-4C74-8A35-2C653BB88C40}" xr6:coauthVersionLast="47" xr6:coauthVersionMax="47" xr10:uidLastSave="{00000000-0000-0000-0000-000000000000}"/>
  <bookViews>
    <workbookView xWindow="-120" yWindow="-120" windowWidth="29040" windowHeight="1572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ContinuousTimeStatsByRep!$A$1:$L$362</definedName>
    <definedName name="ExternalData_1" localSheetId="4" hidden="1">CounterStatsByRep!$A$1:$G$2</definedName>
    <definedName name="ExternalData_1" localSheetId="2" hidden="1">DiscreteTimeStatsByRep!$A$1:$K$1060</definedName>
    <definedName name="ExternalData_1" localSheetId="6" hidden="1">FrequencyStatsByRep!$A$1:$K$2</definedName>
    <definedName name="ExternalData_1" localSheetId="5" hidden="1">OutputStatsByRep!$A$1:$H$400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K16" i="20" s="1" a="1"/>
  <c r="K16" i="20" s="1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K24" i="20" s="1" a="1"/>
  <c r="K24" i="20" s="1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 s="1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 s="1"/>
  <c r="J163" i="20" a="1"/>
  <c r="J163" i="20" s="1"/>
  <c r="J164" i="20" a="1"/>
  <c r="J164" i="20" s="1"/>
  <c r="J165" i="20" a="1"/>
  <c r="J165" i="20" s="1"/>
  <c r="J166" i="20" a="1"/>
  <c r="J166" i="20" s="1"/>
  <c r="J167" i="20" a="1"/>
  <c r="J167" i="20" s="1"/>
  <c r="J168" i="20" a="1"/>
  <c r="J168" i="20" s="1"/>
  <c r="J169" i="20" a="1"/>
  <c r="J169" i="20" s="1"/>
  <c r="J170" i="20" a="1"/>
  <c r="J170" i="20" s="1"/>
  <c r="J171" i="20" a="1"/>
  <c r="J171" i="20" s="1"/>
  <c r="J172" i="20" a="1"/>
  <c r="J172" i="20" s="1"/>
  <c r="J173" i="20" a="1"/>
  <c r="J173" i="20" s="1"/>
  <c r="J174" i="20" a="1"/>
  <c r="J174" i="20" s="1"/>
  <c r="J175" i="20" a="1"/>
  <c r="J175" i="20" s="1"/>
  <c r="J176" i="20" a="1"/>
  <c r="J176" i="20" s="1"/>
  <c r="J177" i="20" a="1"/>
  <c r="J177" i="20" s="1"/>
  <c r="J178" i="20" a="1"/>
  <c r="J178" i="20" s="1"/>
  <c r="J179" i="20" a="1"/>
  <c r="J179" i="20" s="1"/>
  <c r="J180" i="20" a="1"/>
  <c r="J180" i="20" s="1"/>
  <c r="J181" i="20" a="1"/>
  <c r="J181" i="20" s="1"/>
  <c r="J182" i="20" a="1"/>
  <c r="J182" i="20" s="1"/>
  <c r="J183" i="20" a="1"/>
  <c r="J183" i="20" s="1"/>
  <c r="J184" i="20" a="1"/>
  <c r="J184" i="20" s="1"/>
  <c r="J185" i="20" a="1"/>
  <c r="J185" i="20" s="1"/>
  <c r="J186" i="20" a="1"/>
  <c r="J186" i="20" s="1"/>
  <c r="J187" i="20" a="1"/>
  <c r="J187" i="20" s="1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 s="1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 s="1"/>
  <c r="J202" i="20" a="1"/>
  <c r="J202" i="20" s="1"/>
  <c r="J203" i="20" a="1"/>
  <c r="J203" i="20" s="1"/>
  <c r="J204" i="20" a="1"/>
  <c r="J204" i="20" s="1"/>
  <c r="J205" i="20" a="1"/>
  <c r="J205" i="20" s="1"/>
  <c r="J206" i="20" a="1"/>
  <c r="J206" i="20" s="1"/>
  <c r="J207" i="20" a="1"/>
  <c r="J207" i="20" s="1"/>
  <c r="J208" i="20" a="1"/>
  <c r="J208" i="20" s="1"/>
  <c r="J209" i="20" a="1"/>
  <c r="J209" i="20" s="1"/>
  <c r="J210" i="20" a="1"/>
  <c r="J210" i="20" s="1"/>
  <c r="J211" i="20" a="1"/>
  <c r="J211" i="20" s="1"/>
  <c r="J212" i="20" a="1"/>
  <c r="J212" i="20" s="1"/>
  <c r="J213" i="20" a="1"/>
  <c r="J213" i="20" s="1"/>
  <c r="J214" i="20" a="1"/>
  <c r="J214" i="20" s="1"/>
  <c r="J215" i="20" a="1"/>
  <c r="J215" i="20" s="1"/>
  <c r="J216" i="20" a="1"/>
  <c r="J216" i="20" s="1"/>
  <c r="J217" i="20" a="1"/>
  <c r="J217" i="20" s="1"/>
  <c r="J218" i="20" a="1"/>
  <c r="J218" i="20" s="1"/>
  <c r="J219" i="20" a="1"/>
  <c r="J219" i="20" s="1"/>
  <c r="J220" i="20" a="1"/>
  <c r="J220" i="20" s="1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 s="1"/>
  <c r="J226" i="20" a="1"/>
  <c r="J226" i="20" s="1"/>
  <c r="J227" i="20" a="1"/>
  <c r="J227" i="20" s="1"/>
  <c r="J228" i="20" a="1"/>
  <c r="J228" i="20" s="1"/>
  <c r="J229" i="20" a="1"/>
  <c r="J229" i="20" s="1"/>
  <c r="J230" i="20" a="1"/>
  <c r="J230" i="20" s="1"/>
  <c r="J231" i="20" a="1"/>
  <c r="J231" i="20" s="1"/>
  <c r="J232" i="20" a="1"/>
  <c r="J232" i="20" s="1"/>
  <c r="J233" i="20" a="1"/>
  <c r="J233" i="20" s="1"/>
  <c r="J234" i="20" a="1"/>
  <c r="J234" i="20" s="1"/>
  <c r="J235" i="20" a="1"/>
  <c r="J235" i="20" s="1"/>
  <c r="J236" i="20" a="1"/>
  <c r="J236" i="20" s="1"/>
  <c r="J237" i="20" a="1"/>
  <c r="J237" i="20" s="1"/>
  <c r="J238" i="20" a="1"/>
  <c r="J238" i="20" s="1"/>
  <c r="J239" i="20" a="1"/>
  <c r="J239" i="20" s="1"/>
  <c r="J240" i="20" a="1"/>
  <c r="J240" i="20" s="1"/>
  <c r="J241" i="20" a="1"/>
  <c r="J241" i="20" s="1"/>
  <c r="J242" i="20" a="1"/>
  <c r="J242" i="20" s="1"/>
  <c r="J243" i="20" a="1"/>
  <c r="J243" i="20" s="1"/>
  <c r="J244" i="20" a="1"/>
  <c r="J244" i="20" s="1"/>
  <c r="J245" i="20" a="1"/>
  <c r="J245" i="20" s="1"/>
  <c r="J246" i="20" a="1"/>
  <c r="J246" i="20" s="1"/>
  <c r="J247" i="20" a="1"/>
  <c r="J247" i="20" s="1"/>
  <c r="J248" i="20" a="1"/>
  <c r="J248" i="20" s="1"/>
  <c r="J249" i="20" a="1"/>
  <c r="J249" i="20" s="1"/>
  <c r="J250" i="20" a="1"/>
  <c r="J250" i="20" s="1"/>
  <c r="J251" i="20" a="1"/>
  <c r="J251" i="20" s="1"/>
  <c r="J252" i="20" a="1"/>
  <c r="J252" i="20" s="1"/>
  <c r="J253" i="20" a="1"/>
  <c r="J253" i="20" s="1"/>
  <c r="J254" i="20" a="1"/>
  <c r="J254" i="20" s="1"/>
  <c r="J255" i="20" a="1"/>
  <c r="J255" i="20" s="1"/>
  <c r="J256" i="20" a="1"/>
  <c r="J256" i="20" s="1"/>
  <c r="J257" i="20" a="1"/>
  <c r="J257" i="20" s="1"/>
  <c r="J258" i="20" a="1"/>
  <c r="J258" i="20" s="1"/>
  <c r="J259" i="20" a="1"/>
  <c r="J259" i="20" s="1"/>
  <c r="J260" i="20" a="1"/>
  <c r="J260" i="20" s="1"/>
  <c r="J261" i="20" a="1"/>
  <c r="J261" i="20" s="1"/>
  <c r="J262" i="20" a="1"/>
  <c r="J262" i="20" s="1"/>
  <c r="J263" i="20" a="1"/>
  <c r="J263" i="20" s="1"/>
  <c r="J264" i="20" a="1"/>
  <c r="J264" i="20" s="1"/>
  <c r="J265" i="20" a="1"/>
  <c r="J265" i="20" s="1"/>
  <c r="J266" i="20" a="1"/>
  <c r="J266" i="20" s="1"/>
  <c r="J267" i="20" a="1"/>
  <c r="J267" i="20" s="1"/>
  <c r="J268" i="20" a="1"/>
  <c r="J268" i="20" s="1"/>
  <c r="J269" i="20" a="1"/>
  <c r="J269" i="20" s="1"/>
  <c r="J270" i="20" a="1"/>
  <c r="J270" i="20" s="1"/>
  <c r="J271" i="20" a="1"/>
  <c r="J271" i="20" s="1"/>
  <c r="J272" i="20" a="1"/>
  <c r="J272" i="20" s="1"/>
  <c r="J273" i="20" a="1"/>
  <c r="J273" i="20" s="1"/>
  <c r="J274" i="20" a="1"/>
  <c r="J274" i="20" s="1"/>
  <c r="J275" i="20" a="1"/>
  <c r="J275" i="20" s="1"/>
  <c r="J276" i="20" a="1"/>
  <c r="J276" i="20" s="1"/>
  <c r="J277" i="20" a="1"/>
  <c r="J277" i="20" s="1"/>
  <c r="J278" i="20" a="1"/>
  <c r="J278" i="20" s="1"/>
  <c r="J279" i="20" a="1"/>
  <c r="J279" i="20" s="1"/>
  <c r="J280" i="20" a="1"/>
  <c r="J280" i="20" s="1"/>
  <c r="J281" i="20" a="1"/>
  <c r="J281" i="20" s="1"/>
  <c r="J282" i="20" a="1"/>
  <c r="J282" i="20" s="1"/>
  <c r="J283" i="20" a="1"/>
  <c r="J283" i="20" s="1"/>
  <c r="J284" i="20" a="1"/>
  <c r="J284" i="20" s="1"/>
  <c r="J285" i="20" a="1"/>
  <c r="J285" i="20" s="1"/>
  <c r="J286" i="20" a="1"/>
  <c r="J286" i="20" s="1"/>
  <c r="J287" i="20" a="1"/>
  <c r="J287" i="20" s="1"/>
  <c r="J288" i="20" a="1"/>
  <c r="J288" i="20" s="1"/>
  <c r="J289" i="20" a="1"/>
  <c r="J289" i="20" s="1"/>
  <c r="J290" i="20" a="1"/>
  <c r="J290" i="20" s="1"/>
  <c r="J291" i="20" a="1"/>
  <c r="J291" i="20" s="1"/>
  <c r="J292" i="20" a="1"/>
  <c r="J292" i="20" s="1"/>
  <c r="J293" i="20" a="1"/>
  <c r="J293" i="20" s="1"/>
  <c r="J294" i="20" a="1"/>
  <c r="J294" i="20" s="1"/>
  <c r="J295" i="20" a="1"/>
  <c r="J295" i="20" s="1"/>
  <c r="J296" i="20" a="1"/>
  <c r="J296" i="20" s="1"/>
  <c r="J297" i="20" a="1"/>
  <c r="J297" i="20" s="1"/>
  <c r="J298" i="20" a="1"/>
  <c r="J298" i="20" s="1"/>
  <c r="J299" i="20" a="1"/>
  <c r="J299" i="20" s="1"/>
  <c r="J300" i="20" a="1"/>
  <c r="J300" i="20" s="1"/>
  <c r="J301" i="20" a="1"/>
  <c r="J301" i="20" s="1"/>
  <c r="J302" i="20" a="1"/>
  <c r="J302" i="20" s="1"/>
  <c r="J303" i="20" a="1"/>
  <c r="J303" i="20" s="1"/>
  <c r="J304" i="20" a="1"/>
  <c r="J304" i="20" s="1"/>
  <c r="J305" i="20" a="1"/>
  <c r="J305" i="20" s="1"/>
  <c r="J306" i="20" a="1"/>
  <c r="J306" i="20" s="1"/>
  <c r="J307" i="20" a="1"/>
  <c r="J307" i="20" s="1"/>
  <c r="J308" i="20" a="1"/>
  <c r="J308" i="20" s="1"/>
  <c r="J309" i="20" a="1"/>
  <c r="J309" i="20" s="1"/>
  <c r="J310" i="20" a="1"/>
  <c r="J310" i="20" s="1"/>
  <c r="J311" i="20" a="1"/>
  <c r="J311" i="20" s="1"/>
  <c r="J312" i="20" a="1"/>
  <c r="J312" i="20" s="1"/>
  <c r="J313" i="20" a="1"/>
  <c r="J313" i="20" s="1"/>
  <c r="J314" i="20" a="1"/>
  <c r="J314" i="20" s="1"/>
  <c r="J315" i="20" a="1"/>
  <c r="J315" i="20" s="1"/>
  <c r="J316" i="20" a="1"/>
  <c r="J316" i="20"/>
  <c r="J317" i="20" a="1"/>
  <c r="J317" i="20" s="1"/>
  <c r="J318" i="20" a="1"/>
  <c r="J318" i="20" s="1"/>
  <c r="J319" i="20" a="1"/>
  <c r="J319" i="20" s="1"/>
  <c r="J320" i="20" a="1"/>
  <c r="J320" i="20" s="1"/>
  <c r="J321" i="20" a="1"/>
  <c r="J321" i="20" s="1"/>
  <c r="J322" i="20" a="1"/>
  <c r="J322" i="20" s="1"/>
  <c r="J323" i="20" a="1"/>
  <c r="J323" i="20" s="1"/>
  <c r="J324" i="20" a="1"/>
  <c r="J324" i="20" s="1"/>
  <c r="J325" i="20" a="1"/>
  <c r="J325" i="20" s="1"/>
  <c r="J326" i="20" a="1"/>
  <c r="J326" i="20" s="1"/>
  <c r="J327" i="20" a="1"/>
  <c r="J327" i="20" s="1"/>
  <c r="J328" i="20" a="1"/>
  <c r="J328" i="20" s="1"/>
  <c r="J329" i="20" a="1"/>
  <c r="J329" i="20" s="1"/>
  <c r="J330" i="20" a="1"/>
  <c r="J330" i="20" s="1"/>
  <c r="J331" i="20" a="1"/>
  <c r="J331" i="20" s="1"/>
  <c r="J332" i="20" a="1"/>
  <c r="J332" i="20" s="1"/>
  <c r="J333" i="20" a="1"/>
  <c r="J333" i="20" s="1"/>
  <c r="J334" i="20" a="1"/>
  <c r="J334" i="20" s="1"/>
  <c r="J335" i="20" a="1"/>
  <c r="J335" i="20" s="1"/>
  <c r="J336" i="20" a="1"/>
  <c r="J336" i="20" s="1"/>
  <c r="J337" i="20" a="1"/>
  <c r="J337" i="20" s="1"/>
  <c r="J338" i="20" a="1"/>
  <c r="J338" i="20" s="1"/>
  <c r="J339" i="20" a="1"/>
  <c r="J339" i="20" s="1"/>
  <c r="J340" i="20" a="1"/>
  <c r="J340" i="20" s="1"/>
  <c r="J341" i="20" a="1"/>
  <c r="J341" i="20" s="1"/>
  <c r="J342" i="20" a="1"/>
  <c r="J342" i="20" s="1"/>
  <c r="J343" i="20" a="1"/>
  <c r="J343" i="20"/>
  <c r="J344" i="20" a="1"/>
  <c r="J344" i="20" s="1"/>
  <c r="J345" i="20" a="1"/>
  <c r="J345" i="20" s="1"/>
  <c r="J346" i="20" a="1"/>
  <c r="J346" i="20" s="1"/>
  <c r="J347" i="20" a="1"/>
  <c r="J347" i="20"/>
  <c r="J348" i="20" a="1"/>
  <c r="J348" i="20" s="1"/>
  <c r="J349" i="20" a="1"/>
  <c r="J349" i="20" s="1"/>
  <c r="J350" i="20" a="1"/>
  <c r="J350" i="20" s="1"/>
  <c r="J351" i="20" a="1"/>
  <c r="J351" i="20"/>
  <c r="J352" i="20" a="1"/>
  <c r="J352" i="20" s="1"/>
  <c r="J353" i="20" a="1"/>
  <c r="J353" i="20" s="1"/>
  <c r="J354" i="20" a="1"/>
  <c r="J354" i="20" s="1"/>
  <c r="J355" i="20" a="1"/>
  <c r="J355" i="20"/>
  <c r="J356" i="20" a="1"/>
  <c r="J356" i="20" s="1"/>
  <c r="J357" i="20" a="1"/>
  <c r="J357" i="20" s="1"/>
  <c r="J358" i="20" a="1"/>
  <c r="J358" i="20" s="1"/>
  <c r="J359" i="20" a="1"/>
  <c r="J359" i="20"/>
  <c r="J360" i="20" a="1"/>
  <c r="J360" i="20" s="1"/>
  <c r="J361" i="20" a="1"/>
  <c r="J361" i="20" s="1"/>
  <c r="J362" i="20" a="1"/>
  <c r="J362" i="20" s="1"/>
  <c r="J363" i="20" a="1"/>
  <c r="J363" i="20"/>
  <c r="J364" i="20" a="1"/>
  <c r="J364" i="20" s="1"/>
  <c r="J365" i="20" a="1"/>
  <c r="J365" i="20" s="1"/>
  <c r="J366" i="20" a="1"/>
  <c r="J366" i="20" s="1"/>
  <c r="J367" i="20" a="1"/>
  <c r="J367" i="20"/>
  <c r="J368" i="20" a="1"/>
  <c r="J368" i="20" s="1"/>
  <c r="J369" i="20" a="1"/>
  <c r="J369" i="20" s="1"/>
  <c r="J370" i="20" a="1"/>
  <c r="J370" i="20" s="1"/>
  <c r="J371" i="20" a="1"/>
  <c r="J371" i="20"/>
  <c r="J372" i="20" a="1"/>
  <c r="J372" i="20" s="1"/>
  <c r="J373" i="20" a="1"/>
  <c r="J373" i="20" s="1"/>
  <c r="J374" i="20" a="1"/>
  <c r="J374" i="20" s="1"/>
  <c r="J375" i="20" a="1"/>
  <c r="J375" i="20"/>
  <c r="J376" i="20" a="1"/>
  <c r="J376" i="20" s="1"/>
  <c r="J377" i="20" a="1"/>
  <c r="J377" i="20" s="1"/>
  <c r="J378" i="20" a="1"/>
  <c r="J378" i="20" s="1"/>
  <c r="J379" i="20" a="1"/>
  <c r="J379" i="20"/>
  <c r="J380" i="20" a="1"/>
  <c r="J380" i="20" s="1"/>
  <c r="J381" i="20" a="1"/>
  <c r="J381" i="20" s="1"/>
  <c r="J382" i="20" a="1"/>
  <c r="J382" i="20" s="1"/>
  <c r="J383" i="20" a="1"/>
  <c r="J383" i="20"/>
  <c r="J384" i="20" a="1"/>
  <c r="J384" i="20" s="1"/>
  <c r="J385" i="20" a="1"/>
  <c r="J385" i="20"/>
  <c r="J386" i="20" a="1"/>
  <c r="J386" i="20"/>
  <c r="J387" i="20" a="1"/>
  <c r="J387" i="20"/>
  <c r="J388" i="20" a="1"/>
  <c r="J388" i="20" s="1"/>
  <c r="J389" i="20" a="1"/>
  <c r="J389" i="20" s="1"/>
  <c r="J390" i="20" a="1"/>
  <c r="J390" i="20" s="1"/>
  <c r="J391" i="20" a="1"/>
  <c r="J391" i="20" s="1"/>
  <c r="J392" i="20" a="1"/>
  <c r="J392" i="20" s="1"/>
  <c r="J393" i="20" a="1"/>
  <c r="J393" i="20" s="1"/>
  <c r="J394" i="20" a="1"/>
  <c r="J394" i="20"/>
  <c r="J395" i="20" a="1"/>
  <c r="J395" i="20"/>
  <c r="J396" i="20" a="1"/>
  <c r="J396" i="20" s="1"/>
  <c r="J397" i="20" a="1"/>
  <c r="J397" i="20"/>
  <c r="J398" i="20" a="1"/>
  <c r="J398" i="20" s="1"/>
  <c r="J399" i="20" a="1"/>
  <c r="J399" i="20" s="1"/>
  <c r="J400" i="20" a="1"/>
  <c r="J400" i="20" s="1"/>
  <c r="K15" i="20" a="1"/>
  <c r="K15" i="20" s="1"/>
  <c r="K23" i="20" a="1"/>
  <c r="K23" i="20" s="1"/>
  <c r="K26" i="20" a="1"/>
  <c r="K26" i="20" s="1"/>
  <c r="K28" i="20" a="1"/>
  <c r="K28" i="20" s="1"/>
  <c r="K30" i="20" a="1"/>
  <c r="K30" i="20" s="1"/>
  <c r="K31" i="20" a="1"/>
  <c r="K31" i="20" s="1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43" i="20" a="1"/>
  <c r="K43" i="20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/>
  <c r="K151" i="20" a="1"/>
  <c r="K151" i="20" s="1"/>
  <c r="K152" i="20" a="1"/>
  <c r="K152" i="20" s="1"/>
  <c r="K153" i="20" a="1"/>
  <c r="K153" i="20" s="1"/>
  <c r="K154" i="20" a="1"/>
  <c r="K154" i="20" s="1"/>
  <c r="K155" i="20" a="1"/>
  <c r="K155" i="20" s="1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 s="1"/>
  <c r="K162" i="20" a="1"/>
  <c r="K162" i="20" s="1"/>
  <c r="K163" i="20" a="1"/>
  <c r="K163" i="20" s="1"/>
  <c r="K164" i="20" a="1"/>
  <c r="K164" i="20" s="1"/>
  <c r="K165" i="20" a="1"/>
  <c r="K165" i="20" s="1"/>
  <c r="K166" i="20" a="1"/>
  <c r="K166" i="20" s="1"/>
  <c r="K167" i="20" a="1"/>
  <c r="K167" i="20" s="1"/>
  <c r="K168" i="20" a="1"/>
  <c r="K168" i="20" s="1"/>
  <c r="K169" i="20" a="1"/>
  <c r="K169" i="20" s="1"/>
  <c r="K170" i="20" a="1"/>
  <c r="K170" i="20" s="1"/>
  <c r="K171" i="20" a="1"/>
  <c r="K171" i="20"/>
  <c r="K172" i="20" a="1"/>
  <c r="K172" i="20" s="1"/>
  <c r="K173" i="20" a="1"/>
  <c r="K173" i="20" s="1"/>
  <c r="K174" i="20" a="1"/>
  <c r="K174" i="20" s="1"/>
  <c r="K175" i="20" a="1"/>
  <c r="K175" i="20" s="1"/>
  <c r="K176" i="20" a="1"/>
  <c r="K176" i="20" s="1"/>
  <c r="K177" i="20" a="1"/>
  <c r="K177" i="20" s="1"/>
  <c r="K178" i="20" a="1"/>
  <c r="K178" i="20" s="1"/>
  <c r="K179" i="20" a="1"/>
  <c r="K179" i="20" s="1"/>
  <c r="K180" i="20" a="1"/>
  <c r="K180" i="20" s="1"/>
  <c r="K181" i="20" a="1"/>
  <c r="K181" i="20" s="1"/>
  <c r="K182" i="20" a="1"/>
  <c r="K182" i="20" s="1"/>
  <c r="K183" i="20" a="1"/>
  <c r="K183" i="20" s="1"/>
  <c r="K184" i="20" a="1"/>
  <c r="K184" i="20" s="1"/>
  <c r="K185" i="20" a="1"/>
  <c r="K185" i="20" s="1"/>
  <c r="K186" i="20" a="1"/>
  <c r="K186" i="20" s="1"/>
  <c r="K187" i="20" a="1"/>
  <c r="K187" i="20" s="1"/>
  <c r="K188" i="20" a="1"/>
  <c r="K188" i="20" s="1"/>
  <c r="K189" i="20" a="1"/>
  <c r="K189" i="20" s="1"/>
  <c r="K190" i="20" a="1"/>
  <c r="K190" i="20" s="1"/>
  <c r="K191" i="20" a="1"/>
  <c r="K191" i="20" s="1"/>
  <c r="K192" i="20" a="1"/>
  <c r="K192" i="20" s="1"/>
  <c r="K193" i="20" a="1"/>
  <c r="K193" i="20" s="1"/>
  <c r="K194" i="20" a="1"/>
  <c r="K194" i="20" s="1"/>
  <c r="K195" i="20" a="1"/>
  <c r="K195" i="20" s="1"/>
  <c r="K196" i="20" a="1"/>
  <c r="K196" i="20" s="1"/>
  <c r="K197" i="20" a="1"/>
  <c r="K197" i="20" s="1"/>
  <c r="K198" i="20" a="1"/>
  <c r="K198" i="20" s="1"/>
  <c r="K199" i="20" a="1"/>
  <c r="K199" i="20" s="1"/>
  <c r="K200" i="20" a="1"/>
  <c r="K200" i="20" s="1"/>
  <c r="K201" i="20" a="1"/>
  <c r="K201" i="20" s="1"/>
  <c r="K202" i="20" a="1"/>
  <c r="K202" i="20" s="1"/>
  <c r="K203" i="20" a="1"/>
  <c r="K203" i="20" s="1"/>
  <c r="K204" i="20" a="1"/>
  <c r="K204" i="20" s="1"/>
  <c r="K205" i="20" a="1"/>
  <c r="K205" i="20" s="1"/>
  <c r="K206" i="20" a="1"/>
  <c r="K206" i="20" s="1"/>
  <c r="K207" i="20" a="1"/>
  <c r="K207" i="20" s="1"/>
  <c r="K208" i="20" a="1"/>
  <c r="K208" i="20" s="1"/>
  <c r="K209" i="20" a="1"/>
  <c r="K209" i="20" s="1"/>
  <c r="K210" i="20" a="1"/>
  <c r="K210" i="20" s="1"/>
  <c r="K211" i="20" a="1"/>
  <c r="K211" i="20" s="1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 s="1"/>
  <c r="K217" i="20" a="1"/>
  <c r="K217" i="20" s="1"/>
  <c r="K218" i="20" a="1"/>
  <c r="K218" i="20" s="1"/>
  <c r="K219" i="20" a="1"/>
  <c r="K219" i="20" s="1"/>
  <c r="K220" i="20" a="1"/>
  <c r="K220" i="20" s="1"/>
  <c r="K221" i="20" a="1"/>
  <c r="K221" i="20" s="1"/>
  <c r="K222" i="20" a="1"/>
  <c r="K222" i="20" s="1"/>
  <c r="K223" i="20" a="1"/>
  <c r="K223" i="20" s="1"/>
  <c r="K224" i="20" a="1"/>
  <c r="K224" i="20" s="1"/>
  <c r="K225" i="20" a="1"/>
  <c r="K225" i="20" s="1"/>
  <c r="K226" i="20" a="1"/>
  <c r="K226" i="20" s="1"/>
  <c r="K227" i="20" a="1"/>
  <c r="K227" i="20" s="1"/>
  <c r="K228" i="20" a="1"/>
  <c r="K228" i="20" s="1"/>
  <c r="K229" i="20" a="1"/>
  <c r="K229" i="20" s="1"/>
  <c r="K230" i="20" a="1"/>
  <c r="K230" i="20" s="1"/>
  <c r="K231" i="20" a="1"/>
  <c r="K231" i="20" s="1"/>
  <c r="K232" i="20" a="1"/>
  <c r="K232" i="20" s="1"/>
  <c r="K233" i="20" a="1"/>
  <c r="K233" i="20" s="1"/>
  <c r="K234" i="20" a="1"/>
  <c r="K234" i="20" s="1"/>
  <c r="K235" i="20" a="1"/>
  <c r="K235" i="20" s="1"/>
  <c r="K236" i="20" a="1"/>
  <c r="K236" i="20" s="1"/>
  <c r="K237" i="20" a="1"/>
  <c r="K237" i="20" s="1"/>
  <c r="K238" i="20" a="1"/>
  <c r="K238" i="20" s="1"/>
  <c r="K239" i="20" a="1"/>
  <c r="K239" i="20" s="1"/>
  <c r="K240" i="20" a="1"/>
  <c r="K240" i="20" s="1"/>
  <c r="K241" i="20" a="1"/>
  <c r="K241" i="20" s="1"/>
  <c r="K242" i="20" a="1"/>
  <c r="K242" i="20" s="1"/>
  <c r="K243" i="20" a="1"/>
  <c r="K243" i="20" s="1"/>
  <c r="K244" i="20" a="1"/>
  <c r="K244" i="20" s="1"/>
  <c r="K245" i="20" a="1"/>
  <c r="K245" i="20" s="1"/>
  <c r="K246" i="20" a="1"/>
  <c r="K246" i="20" s="1"/>
  <c r="K247" i="20" a="1"/>
  <c r="K247" i="20" s="1"/>
  <c r="K248" i="20" a="1"/>
  <c r="K248" i="20" s="1"/>
  <c r="K249" i="20" a="1"/>
  <c r="K249" i="20" s="1"/>
  <c r="K250" i="20" a="1"/>
  <c r="K250" i="20" s="1"/>
  <c r="K251" i="20" a="1"/>
  <c r="K251" i="20" s="1"/>
  <c r="K252" i="20" a="1"/>
  <c r="K252" i="20" s="1"/>
  <c r="K253" i="20" a="1"/>
  <c r="K253" i="20" s="1"/>
  <c r="K254" i="20" a="1"/>
  <c r="K254" i="20" s="1"/>
  <c r="K255" i="20" a="1"/>
  <c r="K255" i="20" s="1"/>
  <c r="K256" i="20" a="1"/>
  <c r="K256" i="20" s="1"/>
  <c r="K257" i="20" a="1"/>
  <c r="K257" i="20" s="1"/>
  <c r="K258" i="20" a="1"/>
  <c r="K258" i="20" s="1"/>
  <c r="K259" i="20" a="1"/>
  <c r="K259" i="20" s="1"/>
  <c r="K260" i="20" a="1"/>
  <c r="K260" i="20" s="1"/>
  <c r="K261" i="20" a="1"/>
  <c r="K261" i="20" s="1"/>
  <c r="K262" i="20" a="1"/>
  <c r="K262" i="20" s="1"/>
  <c r="K263" i="20" a="1"/>
  <c r="K263" i="20" s="1"/>
  <c r="K264" i="20" a="1"/>
  <c r="K264" i="20" s="1"/>
  <c r="K265" i="20" a="1"/>
  <c r="K265" i="20" s="1"/>
  <c r="K266" i="20" a="1"/>
  <c r="K266" i="20" s="1"/>
  <c r="K267" i="20" a="1"/>
  <c r="K267" i="20" s="1"/>
  <c r="K268" i="20" a="1"/>
  <c r="K268" i="20" s="1"/>
  <c r="K269" i="20" a="1"/>
  <c r="K269" i="20" s="1"/>
  <c r="K270" i="20" a="1"/>
  <c r="K270" i="20" s="1"/>
  <c r="K271" i="20" a="1"/>
  <c r="K271" i="20" s="1"/>
  <c r="K272" i="20" a="1"/>
  <c r="K272" i="20" s="1"/>
  <c r="K273" i="20" a="1"/>
  <c r="K273" i="20" s="1"/>
  <c r="K274" i="20" a="1"/>
  <c r="K274" i="20" s="1"/>
  <c r="K275" i="20" a="1"/>
  <c r="K275" i="20" s="1"/>
  <c r="K276" i="20" a="1"/>
  <c r="K276" i="20" s="1"/>
  <c r="K277" i="20" a="1"/>
  <c r="K277" i="20" s="1"/>
  <c r="K278" i="20" a="1"/>
  <c r="K278" i="20" s="1"/>
  <c r="K279" i="20" a="1"/>
  <c r="K279" i="20" s="1"/>
  <c r="K280" i="20" a="1"/>
  <c r="K280" i="20" s="1"/>
  <c r="K281" i="20" a="1"/>
  <c r="K281" i="20" s="1"/>
  <c r="K282" i="20" a="1"/>
  <c r="K282" i="20" s="1"/>
  <c r="K283" i="20" a="1"/>
  <c r="K283" i="20" s="1"/>
  <c r="K284" i="20" a="1"/>
  <c r="K284" i="20" s="1"/>
  <c r="K285" i="20" a="1"/>
  <c r="K285" i="20" s="1"/>
  <c r="K286" i="20" a="1"/>
  <c r="K286" i="20" s="1"/>
  <c r="K287" i="20" a="1"/>
  <c r="K287" i="20" s="1"/>
  <c r="K288" i="20" a="1"/>
  <c r="K288" i="20" s="1"/>
  <c r="K289" i="20" a="1"/>
  <c r="K289" i="20" s="1"/>
  <c r="K290" i="20" a="1"/>
  <c r="K290" i="20" s="1"/>
  <c r="K291" i="20" a="1"/>
  <c r="K291" i="20" s="1"/>
  <c r="K292" i="20" a="1"/>
  <c r="K292" i="20" s="1"/>
  <c r="K293" i="20" a="1"/>
  <c r="K293" i="20" s="1"/>
  <c r="K294" i="20" a="1"/>
  <c r="K294" i="20" s="1"/>
  <c r="K295" i="20" a="1"/>
  <c r="K295" i="20" s="1"/>
  <c r="K296" i="20" a="1"/>
  <c r="K296" i="20" s="1"/>
  <c r="K297" i="20" a="1"/>
  <c r="K297" i="20" s="1"/>
  <c r="K298" i="20" a="1"/>
  <c r="K298" i="20" s="1"/>
  <c r="K299" i="20" a="1"/>
  <c r="K299" i="20" s="1"/>
  <c r="K300" i="20" a="1"/>
  <c r="K300" i="20" s="1"/>
  <c r="K301" i="20" a="1"/>
  <c r="K301" i="20" s="1"/>
  <c r="K302" i="20" a="1"/>
  <c r="K302" i="20" s="1"/>
  <c r="K303" i="20" a="1"/>
  <c r="K303" i="20" s="1"/>
  <c r="K304" i="20" a="1"/>
  <c r="K304" i="20" s="1"/>
  <c r="K305" i="20" a="1"/>
  <c r="K305" i="20" s="1"/>
  <c r="K306" i="20" a="1"/>
  <c r="K306" i="20" s="1"/>
  <c r="K307" i="20" a="1"/>
  <c r="K307" i="20" s="1"/>
  <c r="K308" i="20" a="1"/>
  <c r="K308" i="20" s="1"/>
  <c r="K309" i="20" a="1"/>
  <c r="K309" i="20" s="1"/>
  <c r="K310" i="20" a="1"/>
  <c r="K310" i="20" s="1"/>
  <c r="K311" i="20" a="1"/>
  <c r="K311" i="20" s="1"/>
  <c r="K312" i="20" a="1"/>
  <c r="K312" i="20" s="1"/>
  <c r="K313" i="20" a="1"/>
  <c r="K313" i="20" s="1"/>
  <c r="K314" i="20" a="1"/>
  <c r="K314" i="20" s="1"/>
  <c r="K315" i="20" a="1"/>
  <c r="K315" i="20" s="1"/>
  <c r="K316" i="20" a="1"/>
  <c r="K316" i="20" s="1"/>
  <c r="K317" i="20" a="1"/>
  <c r="K317" i="20" s="1"/>
  <c r="K318" i="20" a="1"/>
  <c r="K318" i="20" s="1"/>
  <c r="K319" i="20" a="1"/>
  <c r="K319" i="20" s="1"/>
  <c r="K320" i="20" a="1"/>
  <c r="K320" i="20" s="1"/>
  <c r="K321" i="20" a="1"/>
  <c r="K321" i="20" s="1"/>
  <c r="K322" i="20" a="1"/>
  <c r="K322" i="20" s="1"/>
  <c r="K323" i="20" a="1"/>
  <c r="K323" i="20" s="1"/>
  <c r="K324" i="20" a="1"/>
  <c r="K324" i="20" s="1"/>
  <c r="K325" i="20" a="1"/>
  <c r="K325" i="20"/>
  <c r="K326" i="20" a="1"/>
  <c r="K326" i="20" s="1"/>
  <c r="K327" i="20" a="1"/>
  <c r="K327" i="20" s="1"/>
  <c r="K328" i="20" a="1"/>
  <c r="K328" i="20"/>
  <c r="K329" i="20" a="1"/>
  <c r="K329" i="20" s="1"/>
  <c r="K330" i="20" a="1"/>
  <c r="K330" i="20" s="1"/>
  <c r="K331" i="20" a="1"/>
  <c r="K331" i="20"/>
  <c r="K332" i="20" a="1"/>
  <c r="K332" i="20"/>
  <c r="K333" i="20" a="1"/>
  <c r="K333" i="20" s="1"/>
  <c r="K334" i="20" a="1"/>
  <c r="K334" i="20" s="1"/>
  <c r="K335" i="20" a="1"/>
  <c r="K335" i="20" s="1"/>
  <c r="K336" i="20" a="1"/>
  <c r="K336" i="20" s="1"/>
  <c r="K337" i="20" a="1"/>
  <c r="K337" i="20"/>
  <c r="K338" i="20" a="1"/>
  <c r="K338" i="20" s="1"/>
  <c r="K339" i="20" a="1"/>
  <c r="K339" i="20"/>
  <c r="K340" i="20" a="1"/>
  <c r="K340" i="20"/>
  <c r="K341" i="20" a="1"/>
  <c r="K341" i="20"/>
  <c r="K342" i="20" a="1"/>
  <c r="K342" i="20" s="1"/>
  <c r="K343" i="20" a="1"/>
  <c r="K343" i="20" s="1"/>
  <c r="K344" i="20" a="1"/>
  <c r="K344" i="20" s="1"/>
  <c r="K345" i="20" a="1"/>
  <c r="K345" i="20" s="1"/>
  <c r="K346" i="20" a="1"/>
  <c r="K346" i="20" s="1"/>
  <c r="K347" i="20" a="1"/>
  <c r="K347" i="20" s="1"/>
  <c r="K348" i="20" a="1"/>
  <c r="K348" i="20"/>
  <c r="K349" i="20" a="1"/>
  <c r="K349" i="20" s="1"/>
  <c r="K350" i="20" a="1"/>
  <c r="K350" i="20" s="1"/>
  <c r="K351" i="20" a="1"/>
  <c r="K351" i="20"/>
  <c r="K352" i="20" a="1"/>
  <c r="K352" i="20" s="1"/>
  <c r="K353" i="20" a="1"/>
  <c r="K353" i="20" s="1"/>
  <c r="K354" i="20" a="1"/>
  <c r="K354" i="20" s="1"/>
  <c r="K355" i="20" a="1"/>
  <c r="K355" i="20"/>
  <c r="K356" i="20" a="1"/>
  <c r="K356" i="20" s="1"/>
  <c r="K357" i="20" a="1"/>
  <c r="K357" i="20"/>
  <c r="K358" i="20" a="1"/>
  <c r="K358" i="20" s="1"/>
  <c r="K359" i="20" a="1"/>
  <c r="K359" i="20" s="1"/>
  <c r="K360" i="20" a="1"/>
  <c r="K360" i="20"/>
  <c r="K361" i="20" a="1"/>
  <c r="K361" i="20" s="1"/>
  <c r="K362" i="20" a="1"/>
  <c r="K362" i="20" s="1"/>
  <c r="K363" i="20" a="1"/>
  <c r="K363" i="20" s="1"/>
  <c r="K364" i="20" a="1"/>
  <c r="K364" i="20"/>
  <c r="K365" i="20" a="1"/>
  <c r="K365" i="20" s="1"/>
  <c r="K366" i="20" a="1"/>
  <c r="K366" i="20" s="1"/>
  <c r="K367" i="20" a="1"/>
  <c r="K367" i="20" s="1"/>
  <c r="K368" i="20" a="1"/>
  <c r="K368" i="20" s="1"/>
  <c r="K369" i="20" a="1"/>
  <c r="K369" i="20"/>
  <c r="K370" i="20" a="1"/>
  <c r="K370" i="20" s="1"/>
  <c r="K371" i="20" a="1"/>
  <c r="K371" i="20"/>
  <c r="K372" i="20" a="1"/>
  <c r="K372" i="20" s="1"/>
  <c r="K373" i="20" a="1"/>
  <c r="K373" i="20"/>
  <c r="K374" i="20" a="1"/>
  <c r="K374" i="20" s="1"/>
  <c r="K375" i="20" a="1"/>
  <c r="K375" i="20" s="1"/>
  <c r="K376" i="20" a="1"/>
  <c r="K376" i="20" s="1"/>
  <c r="K377" i="20" a="1"/>
  <c r="K377" i="20" s="1"/>
  <c r="K378" i="20" a="1"/>
  <c r="K378" i="20" s="1"/>
  <c r="K379" i="20" a="1"/>
  <c r="K379" i="20" s="1"/>
  <c r="K380" i="20" a="1"/>
  <c r="K380" i="20"/>
  <c r="K381" i="20" a="1"/>
  <c r="K381" i="20" s="1"/>
  <c r="K382" i="20" a="1"/>
  <c r="K382" i="20" s="1"/>
  <c r="K383" i="20" a="1"/>
  <c r="K383" i="20"/>
  <c r="K384" i="20" a="1"/>
  <c r="K384" i="20" s="1"/>
  <c r="K385" i="20" a="1"/>
  <c r="K385" i="20" s="1"/>
  <c r="K386" i="20" a="1"/>
  <c r="K386" i="20" s="1"/>
  <c r="K387" i="20" a="1"/>
  <c r="K387" i="20"/>
  <c r="K388" i="20" a="1"/>
  <c r="K388" i="20" s="1"/>
  <c r="K389" i="20" a="1"/>
  <c r="K389" i="20"/>
  <c r="K390" i="20" a="1"/>
  <c r="K390" i="20" s="1"/>
  <c r="K391" i="20" a="1"/>
  <c r="K391" i="20" s="1"/>
  <c r="K392" i="20" a="1"/>
  <c r="K392" i="20"/>
  <c r="K393" i="20" a="1"/>
  <c r="K393" i="20" s="1"/>
  <c r="K394" i="20" a="1"/>
  <c r="K394" i="20" s="1"/>
  <c r="K395" i="20" a="1"/>
  <c r="K395" i="20" s="1"/>
  <c r="K396" i="20" a="1"/>
  <c r="K396" i="20"/>
  <c r="K397" i="20" a="1"/>
  <c r="K397" i="20" s="1"/>
  <c r="K398" i="20" a="1"/>
  <c r="K398" i="20" s="1"/>
  <c r="K399" i="20" a="1"/>
  <c r="K399" i="20" s="1"/>
  <c r="K400" i="20" a="1"/>
  <c r="K400" i="20" s="1"/>
  <c r="L2" i="20" a="1"/>
  <c r="L2" i="20"/>
  <c r="L3" i="20" a="1"/>
  <c r="L3" i="20" s="1"/>
  <c r="L4" i="20" a="1"/>
  <c r="L4" i="20"/>
  <c r="L5" i="20" a="1"/>
  <c r="L5" i="20" s="1"/>
  <c r="L6" i="20" a="1"/>
  <c r="L6" i="20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/>
  <c r="L14" i="20" a="1"/>
  <c r="L14" i="20" s="1"/>
  <c r="L15" i="20" a="1"/>
  <c r="L15" i="20" s="1"/>
  <c r="L16" i="20" a="1"/>
  <c r="L16" i="20"/>
  <c r="L17" i="20" a="1"/>
  <c r="L17" i="20" s="1"/>
  <c r="L18" i="20" a="1"/>
  <c r="L18" i="20" s="1"/>
  <c r="L19" i="20" a="1"/>
  <c r="L19" i="20" s="1"/>
  <c r="L20" i="20" a="1"/>
  <c r="L20" i="20"/>
  <c r="L21" i="20" a="1"/>
  <c r="L21" i="20" s="1"/>
  <c r="L22" i="20" a="1"/>
  <c r="L22" i="20" s="1"/>
  <c r="L23" i="20" a="1"/>
  <c r="L23" i="20" s="1"/>
  <c r="L24" i="20" a="1"/>
  <c r="L24" i="20" s="1"/>
  <c r="L25" i="20" a="1"/>
  <c r="L25" i="20"/>
  <c r="L26" i="20" a="1"/>
  <c r="L26" i="20" s="1"/>
  <c r="L27" i="20" a="1"/>
  <c r="L27" i="20" s="1"/>
  <c r="L28" i="20" a="1"/>
  <c r="L28" i="20" s="1"/>
  <c r="L29" i="20" a="1"/>
  <c r="L29" i="20"/>
  <c r="L30" i="20" a="1"/>
  <c r="L30" i="20" s="1"/>
  <c r="L31" i="20" a="1"/>
  <c r="L31" i="20" s="1"/>
  <c r="L32" i="20" a="1"/>
  <c r="L32" i="20" s="1"/>
  <c r="L33" i="20" a="1"/>
  <c r="L33" i="20" s="1"/>
  <c r="L34" i="20" a="1"/>
  <c r="L34" i="20"/>
  <c r="L35" i="20" a="1"/>
  <c r="L35" i="20" s="1"/>
  <c r="L36" i="20" a="1"/>
  <c r="L36" i="20" s="1"/>
  <c r="L37" i="20" a="1"/>
  <c r="L37" i="20" s="1"/>
  <c r="L38" i="20" a="1"/>
  <c r="L38" i="20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/>
  <c r="L54" i="20" a="1"/>
  <c r="L54" i="20" s="1"/>
  <c r="L55" i="20" a="1"/>
  <c r="L55" i="20" s="1"/>
  <c r="L56" i="20" a="1"/>
  <c r="L56" i="20" s="1"/>
  <c r="L57" i="20" a="1"/>
  <c r="L57" i="20" s="1"/>
  <c r="L58" i="20" a="1"/>
  <c r="L58" i="20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/>
  <c r="L69" i="20" a="1"/>
  <c r="L69" i="20" s="1"/>
  <c r="L70" i="20" a="1"/>
  <c r="L70" i="20" s="1"/>
  <c r="L71" i="20" a="1"/>
  <c r="L71" i="20" s="1"/>
  <c r="L72" i="20" a="1"/>
  <c r="L72" i="20" s="1"/>
  <c r="L73" i="20" a="1"/>
  <c r="L73" i="20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/>
  <c r="L83" i="20" a="1"/>
  <c r="L83" i="20" s="1"/>
  <c r="L84" i="20" a="1"/>
  <c r="L84" i="20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/>
  <c r="L115" i="20" a="1"/>
  <c r="L115" i="20" s="1"/>
  <c r="L116" i="20" a="1"/>
  <c r="L116" i="20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/>
  <c r="L125" i="20" a="1"/>
  <c r="L125" i="20" s="1"/>
  <c r="L126" i="20" a="1"/>
  <c r="L126" i="20" s="1"/>
  <c r="L127" i="20" a="1"/>
  <c r="L127" i="20" s="1"/>
  <c r="L128" i="20" a="1"/>
  <c r="L128" i="20"/>
  <c r="L129" i="20" a="1"/>
  <c r="L129" i="20" s="1"/>
  <c r="L130" i="20" a="1"/>
  <c r="L130" i="20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/>
  <c r="L149" i="20" a="1"/>
  <c r="L149" i="20" s="1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/>
  <c r="L157" i="20" a="1"/>
  <c r="L157" i="20" s="1"/>
  <c r="L158" i="20" a="1"/>
  <c r="L158" i="20" s="1"/>
  <c r="L159" i="20" a="1"/>
  <c r="L159" i="20" s="1"/>
  <c r="L160" i="20" a="1"/>
  <c r="L160" i="20"/>
  <c r="L161" i="20" a="1"/>
  <c r="L161" i="20" s="1"/>
  <c r="L162" i="20" a="1"/>
  <c r="L162" i="20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 s="1"/>
  <c r="L170" i="20" a="1"/>
  <c r="L170" i="20" s="1"/>
  <c r="L171" i="20" a="1"/>
  <c r="L171" i="20" s="1"/>
  <c r="L172" i="20" a="1"/>
  <c r="L172" i="20"/>
  <c r="L173" i="20" a="1"/>
  <c r="L173" i="20" s="1"/>
  <c r="L174" i="20" a="1"/>
  <c r="L174" i="20" s="1"/>
  <c r="L175" i="20" a="1"/>
  <c r="L175" i="20" s="1"/>
  <c r="L176" i="20" a="1"/>
  <c r="L176" i="20" s="1"/>
  <c r="L177" i="20" a="1"/>
  <c r="L177" i="20" s="1"/>
  <c r="L178" i="20" a="1"/>
  <c r="L178" i="20" s="1"/>
  <c r="L179" i="20" a="1"/>
  <c r="L179" i="20" s="1"/>
  <c r="L180" i="20" a="1"/>
  <c r="L180" i="20"/>
  <c r="L181" i="20" a="1"/>
  <c r="L181" i="20" s="1"/>
  <c r="L182" i="20" a="1"/>
  <c r="L182" i="20" s="1"/>
  <c r="L183" i="20" a="1"/>
  <c r="L183" i="20" s="1"/>
  <c r="L184" i="20" a="1"/>
  <c r="L184" i="20" s="1"/>
  <c r="L185" i="20" a="1"/>
  <c r="L185" i="20" s="1"/>
  <c r="L186" i="20" a="1"/>
  <c r="L186" i="20" s="1"/>
  <c r="L187" i="20" a="1"/>
  <c r="L187" i="20" s="1"/>
  <c r="L188" i="20" a="1"/>
  <c r="L188" i="20"/>
  <c r="L189" i="20" a="1"/>
  <c r="L189" i="20" s="1"/>
  <c r="L190" i="20" a="1"/>
  <c r="L190" i="20" s="1"/>
  <c r="L191" i="20" a="1"/>
  <c r="L191" i="20" s="1"/>
  <c r="L192" i="20" a="1"/>
  <c r="L192" i="20"/>
  <c r="L193" i="20" a="1"/>
  <c r="L193" i="20" s="1"/>
  <c r="L194" i="20" a="1"/>
  <c r="L194" i="20"/>
  <c r="L195" i="20" a="1"/>
  <c r="L195" i="20" s="1"/>
  <c r="L196" i="20" a="1"/>
  <c r="L196" i="20" s="1"/>
  <c r="L197" i="20" a="1"/>
  <c r="L197" i="20" s="1"/>
  <c r="L198" i="20" a="1"/>
  <c r="L198" i="20" s="1"/>
  <c r="L199" i="20" a="1"/>
  <c r="L199" i="20" s="1"/>
  <c r="L200" i="20" a="1"/>
  <c r="L200" i="20" s="1"/>
  <c r="L201" i="20" a="1"/>
  <c r="L201" i="20" s="1"/>
  <c r="L202" i="20" a="1"/>
  <c r="L202" i="20" s="1"/>
  <c r="L203" i="20" a="1"/>
  <c r="L203" i="20" s="1"/>
  <c r="L204" i="20" a="1"/>
  <c r="L204" i="20" s="1"/>
  <c r="L205" i="20" a="1"/>
  <c r="L205" i="20" s="1"/>
  <c r="L206" i="20" a="1"/>
  <c r="L206" i="20" s="1"/>
  <c r="L207" i="20" a="1"/>
  <c r="L207" i="20" s="1"/>
  <c r="L208" i="20" a="1"/>
  <c r="L208" i="20" s="1"/>
  <c r="L209" i="20" a="1"/>
  <c r="L209" i="20" s="1"/>
  <c r="L210" i="20" a="1"/>
  <c r="L210" i="20" s="1"/>
  <c r="L211" i="20" a="1"/>
  <c r="L211" i="20" s="1"/>
  <c r="L212" i="20" a="1"/>
  <c r="L212" i="20"/>
  <c r="L213" i="20" a="1"/>
  <c r="L213" i="20" s="1"/>
  <c r="L214" i="20" a="1"/>
  <c r="L214" i="20" s="1"/>
  <c r="L215" i="20" a="1"/>
  <c r="L215" i="20" s="1"/>
  <c r="L216" i="20" a="1"/>
  <c r="L216" i="20" s="1"/>
  <c r="L217" i="20" a="1"/>
  <c r="L217" i="20" s="1"/>
  <c r="L218" i="20" a="1"/>
  <c r="L218" i="20" s="1"/>
  <c r="L219" i="20" a="1"/>
  <c r="L219" i="20" s="1"/>
  <c r="L220" i="20" a="1"/>
  <c r="L220" i="20"/>
  <c r="L221" i="20" a="1"/>
  <c r="L221" i="20" s="1"/>
  <c r="L222" i="20" a="1"/>
  <c r="L222" i="20" s="1"/>
  <c r="L223" i="20" a="1"/>
  <c r="L223" i="20" s="1"/>
  <c r="L224" i="20" a="1"/>
  <c r="L224" i="20"/>
  <c r="L225" i="20" a="1"/>
  <c r="L225" i="20" s="1"/>
  <c r="L226" i="20" a="1"/>
  <c r="L226" i="20"/>
  <c r="L227" i="20" a="1"/>
  <c r="L227" i="20" s="1"/>
  <c r="L228" i="20" a="1"/>
  <c r="L228" i="20" s="1"/>
  <c r="L229" i="20" a="1"/>
  <c r="L229" i="20" s="1"/>
  <c r="L230" i="20" a="1"/>
  <c r="L230" i="20" s="1"/>
  <c r="L231" i="20" a="1"/>
  <c r="L231" i="20" s="1"/>
  <c r="L232" i="20" a="1"/>
  <c r="L232" i="20" s="1"/>
  <c r="L233" i="20" a="1"/>
  <c r="L233" i="20" s="1"/>
  <c r="L234" i="20" a="1"/>
  <c r="L234" i="20" s="1"/>
  <c r="L235" i="20" a="1"/>
  <c r="L235" i="20" s="1"/>
  <c r="L236" i="20" a="1"/>
  <c r="L236" i="20" s="1"/>
  <c r="L237" i="20" a="1"/>
  <c r="L237" i="20" s="1"/>
  <c r="L238" i="20" a="1"/>
  <c r="L238" i="20" s="1"/>
  <c r="L239" i="20" a="1"/>
  <c r="L239" i="20" s="1"/>
  <c r="L240" i="20" a="1"/>
  <c r="L240" i="20" s="1"/>
  <c r="L241" i="20" a="1"/>
  <c r="L241" i="20" s="1"/>
  <c r="L242" i="20" a="1"/>
  <c r="L242" i="20" s="1"/>
  <c r="L243" i="20" a="1"/>
  <c r="L243" i="20" s="1"/>
  <c r="L244" i="20" a="1"/>
  <c r="L244" i="20"/>
  <c r="L245" i="20" a="1"/>
  <c r="L245" i="20" s="1"/>
  <c r="L246" i="20" a="1"/>
  <c r="L246" i="20" s="1"/>
  <c r="L247" i="20" a="1"/>
  <c r="L247" i="20" s="1"/>
  <c r="L248" i="20" a="1"/>
  <c r="L248" i="20" s="1"/>
  <c r="L249" i="20" a="1"/>
  <c r="L249" i="20" s="1"/>
  <c r="L250" i="20" a="1"/>
  <c r="L250" i="20" s="1"/>
  <c r="L251" i="20" a="1"/>
  <c r="L251" i="20" s="1"/>
  <c r="L252" i="20" a="1"/>
  <c r="L252" i="20"/>
  <c r="L253" i="20" a="1"/>
  <c r="L253" i="20" s="1"/>
  <c r="L254" i="20" a="1"/>
  <c r="L254" i="20" s="1"/>
  <c r="L255" i="20" a="1"/>
  <c r="L255" i="20" s="1"/>
  <c r="L256" i="20" a="1"/>
  <c r="L256" i="20"/>
  <c r="L257" i="20" a="1"/>
  <c r="L257" i="20" s="1"/>
  <c r="L258" i="20" a="1"/>
  <c r="L258" i="20"/>
  <c r="L259" i="20" a="1"/>
  <c r="L259" i="20" s="1"/>
  <c r="L260" i="20" a="1"/>
  <c r="L260" i="20" s="1"/>
  <c r="L261" i="20" a="1"/>
  <c r="L261" i="20" s="1"/>
  <c r="L262" i="20" a="1"/>
  <c r="L262" i="20" s="1"/>
  <c r="L263" i="20" a="1"/>
  <c r="L263" i="20" s="1"/>
  <c r="L264" i="20" a="1"/>
  <c r="L264" i="20" s="1"/>
  <c r="L265" i="20" a="1"/>
  <c r="L265" i="20" s="1"/>
  <c r="L266" i="20" a="1"/>
  <c r="L266" i="20" s="1"/>
  <c r="L267" i="20" a="1"/>
  <c r="L267" i="20" s="1"/>
  <c r="L268" i="20" a="1"/>
  <c r="L268" i="20" s="1"/>
  <c r="L269" i="20" a="1"/>
  <c r="L269" i="20" s="1"/>
  <c r="L270" i="20" a="1"/>
  <c r="L270" i="20" s="1"/>
  <c r="L271" i="20" a="1"/>
  <c r="L271" i="20" s="1"/>
  <c r="L272" i="20" a="1"/>
  <c r="L272" i="20" s="1"/>
  <c r="L273" i="20" a="1"/>
  <c r="L273" i="20" s="1"/>
  <c r="L274" i="20" a="1"/>
  <c r="L274" i="20" s="1"/>
  <c r="L275" i="20" a="1"/>
  <c r="L275" i="20" s="1"/>
  <c r="L276" i="20" a="1"/>
  <c r="L276" i="20"/>
  <c r="L277" i="20" a="1"/>
  <c r="L277" i="20" s="1"/>
  <c r="L278" i="20" a="1"/>
  <c r="L278" i="20" s="1"/>
  <c r="L279" i="20" a="1"/>
  <c r="L279" i="20" s="1"/>
  <c r="L280" i="20" a="1"/>
  <c r="L280" i="20" s="1"/>
  <c r="L281" i="20" a="1"/>
  <c r="L281" i="20" s="1"/>
  <c r="L282" i="20" a="1"/>
  <c r="L282" i="20" s="1"/>
  <c r="L283" i="20" a="1"/>
  <c r="L283" i="20" s="1"/>
  <c r="L284" i="20" a="1"/>
  <c r="L284" i="20"/>
  <c r="L285" i="20" a="1"/>
  <c r="L285" i="20" s="1"/>
  <c r="L286" i="20" a="1"/>
  <c r="L286" i="20" s="1"/>
  <c r="L287" i="20" a="1"/>
  <c r="L287" i="20" s="1"/>
  <c r="L288" i="20" a="1"/>
  <c r="L288" i="20"/>
  <c r="L289" i="20" a="1"/>
  <c r="L289" i="20" s="1"/>
  <c r="L290" i="20" a="1"/>
  <c r="L290" i="20"/>
  <c r="L291" i="20" a="1"/>
  <c r="L291" i="20" s="1"/>
  <c r="L292" i="20" a="1"/>
  <c r="L292" i="20" s="1"/>
  <c r="L293" i="20" a="1"/>
  <c r="L293" i="20" s="1"/>
  <c r="L294" i="20" a="1"/>
  <c r="L294" i="20" s="1"/>
  <c r="L295" i="20" a="1"/>
  <c r="L295" i="20" s="1"/>
  <c r="L296" i="20" a="1"/>
  <c r="L296" i="20" s="1"/>
  <c r="L297" i="20" a="1"/>
  <c r="L297" i="20" s="1"/>
  <c r="L298" i="20" a="1"/>
  <c r="L298" i="20" s="1"/>
  <c r="L299" i="20" a="1"/>
  <c r="L299" i="20" s="1"/>
  <c r="L300" i="20" a="1"/>
  <c r="L300" i="20" s="1"/>
  <c r="L301" i="20" a="1"/>
  <c r="L301" i="20" s="1"/>
  <c r="L302" i="20" a="1"/>
  <c r="L302" i="20" s="1"/>
  <c r="L303" i="20" a="1"/>
  <c r="L303" i="20" s="1"/>
  <c r="L304" i="20" a="1"/>
  <c r="L304" i="20" s="1"/>
  <c r="L305" i="20" a="1"/>
  <c r="L305" i="20" s="1"/>
  <c r="L306" i="20" a="1"/>
  <c r="L306" i="20" s="1"/>
  <c r="L307" i="20" a="1"/>
  <c r="L307" i="20" s="1"/>
  <c r="L308" i="20" a="1"/>
  <c r="L308" i="20"/>
  <c r="L309" i="20" a="1"/>
  <c r="L309" i="20" s="1"/>
  <c r="L310" i="20" a="1"/>
  <c r="L310" i="20" s="1"/>
  <c r="L311" i="20" a="1"/>
  <c r="L311" i="20" s="1"/>
  <c r="L312" i="20" a="1"/>
  <c r="L312" i="20" s="1"/>
  <c r="L313" i="20" a="1"/>
  <c r="L313" i="20" s="1"/>
  <c r="L314" i="20" a="1"/>
  <c r="L314" i="20" s="1"/>
  <c r="L315" i="20" a="1"/>
  <c r="L315" i="20" s="1"/>
  <c r="L316" i="20" a="1"/>
  <c r="L316" i="20" s="1"/>
  <c r="L317" i="20" a="1"/>
  <c r="L317" i="20" s="1"/>
  <c r="L318" i="20" a="1"/>
  <c r="L318" i="20" s="1"/>
  <c r="L319" i="20" a="1"/>
  <c r="L319" i="20" s="1"/>
  <c r="L320" i="20" a="1"/>
  <c r="L320" i="20"/>
  <c r="L321" i="20" a="1"/>
  <c r="L321" i="20" s="1"/>
  <c r="L322" i="20" a="1"/>
  <c r="L322" i="20" s="1"/>
  <c r="L323" i="20" a="1"/>
  <c r="L323" i="20" s="1"/>
  <c r="L324" i="20" a="1"/>
  <c r="L324" i="20" s="1"/>
  <c r="L325" i="20" a="1"/>
  <c r="L325" i="20" s="1"/>
  <c r="L326" i="20" a="1"/>
  <c r="L326" i="20" s="1"/>
  <c r="L327" i="20" a="1"/>
  <c r="L327" i="20" s="1"/>
  <c r="L328" i="20" a="1"/>
  <c r="L328" i="20" s="1"/>
  <c r="L329" i="20" a="1"/>
  <c r="L329" i="20" s="1"/>
  <c r="L330" i="20" a="1"/>
  <c r="L330" i="20" s="1"/>
  <c r="L331" i="20" a="1"/>
  <c r="L331" i="20" s="1"/>
  <c r="L332" i="20" a="1"/>
  <c r="L332" i="20" s="1"/>
  <c r="L333" i="20" a="1"/>
  <c r="L333" i="20" s="1"/>
  <c r="L334" i="20" a="1"/>
  <c r="L334" i="20" s="1"/>
  <c r="L335" i="20" a="1"/>
  <c r="L335" i="20" s="1"/>
  <c r="L336" i="20" a="1"/>
  <c r="L336" i="20" s="1"/>
  <c r="L337" i="20" a="1"/>
  <c r="L337" i="20" s="1"/>
  <c r="L338" i="20" a="1"/>
  <c r="L338" i="20" s="1"/>
  <c r="L339" i="20" a="1"/>
  <c r="L339" i="20" s="1"/>
  <c r="L340" i="20" a="1"/>
  <c r="L340" i="20"/>
  <c r="L341" i="20" a="1"/>
  <c r="L341" i="20" s="1"/>
  <c r="L342" i="20" a="1"/>
  <c r="L342" i="20" s="1"/>
  <c r="L343" i="20" a="1"/>
  <c r="L343" i="20" s="1"/>
  <c r="L344" i="20" a="1"/>
  <c r="L344" i="20" s="1"/>
  <c r="L345" i="20" a="1"/>
  <c r="L345" i="20" s="1"/>
  <c r="L346" i="20" a="1"/>
  <c r="L346" i="20" s="1"/>
  <c r="L347" i="20" a="1"/>
  <c r="L347" i="20" s="1"/>
  <c r="L348" i="20" a="1"/>
  <c r="L348" i="20"/>
  <c r="L349" i="20" a="1"/>
  <c r="L349" i="20" s="1"/>
  <c r="L350" i="20" a="1"/>
  <c r="L350" i="20" s="1"/>
  <c r="L351" i="20" a="1"/>
  <c r="L351" i="20" s="1"/>
  <c r="N351" i="20" s="1"/>
  <c r="L352" i="20" a="1"/>
  <c r="L352" i="20" s="1"/>
  <c r="L353" i="20" a="1"/>
  <c r="L353" i="20" s="1"/>
  <c r="L354" i="20" a="1"/>
  <c r="L354" i="20" s="1"/>
  <c r="N354" i="20" s="1"/>
  <c r="L355" i="20" a="1"/>
  <c r="L355" i="20" s="1"/>
  <c r="L356" i="20" a="1"/>
  <c r="L356" i="20" s="1"/>
  <c r="N356" i="20" s="1"/>
  <c r="L357" i="20" a="1"/>
  <c r="L357" i="20" s="1"/>
  <c r="L358" i="20" a="1"/>
  <c r="L358" i="20" s="1"/>
  <c r="L359" i="20" a="1"/>
  <c r="L359" i="20" s="1"/>
  <c r="L360" i="20" a="1"/>
  <c r="L360" i="20" s="1"/>
  <c r="L361" i="20" a="1"/>
  <c r="L361" i="20" s="1"/>
  <c r="L362" i="20" a="1"/>
  <c r="L362" i="20" s="1"/>
  <c r="L363" i="20" a="1"/>
  <c r="L363" i="20" s="1"/>
  <c r="L364" i="20" a="1"/>
  <c r="L364" i="20" s="1"/>
  <c r="L365" i="20" a="1"/>
  <c r="L365" i="20" s="1"/>
  <c r="L366" i="20" a="1"/>
  <c r="L366" i="20" s="1"/>
  <c r="L367" i="20" a="1"/>
  <c r="L367" i="20" s="1"/>
  <c r="L368" i="20" a="1"/>
  <c r="L368" i="20" s="1"/>
  <c r="L369" i="20" a="1"/>
  <c r="L369" i="20" s="1"/>
  <c r="L370" i="20" a="1"/>
  <c r="L370" i="20" s="1"/>
  <c r="L371" i="20" a="1"/>
  <c r="L371" i="20" s="1"/>
  <c r="L372" i="20" a="1"/>
  <c r="L372" i="20"/>
  <c r="L373" i="20" a="1"/>
  <c r="L373" i="20" s="1"/>
  <c r="L374" i="20" a="1"/>
  <c r="L374" i="20" s="1"/>
  <c r="L375" i="20" a="1"/>
  <c r="L375" i="20" s="1"/>
  <c r="L376" i="20" a="1"/>
  <c r="L376" i="20" s="1"/>
  <c r="L377" i="20" a="1"/>
  <c r="L377" i="20" s="1"/>
  <c r="L378" i="20" a="1"/>
  <c r="L378" i="20" s="1"/>
  <c r="L379" i="20" a="1"/>
  <c r="L379" i="20" s="1"/>
  <c r="L380" i="20" a="1"/>
  <c r="L380" i="20"/>
  <c r="L381" i="20" a="1"/>
  <c r="L381" i="20" s="1"/>
  <c r="L382" i="20" a="1"/>
  <c r="L382" i="20" s="1"/>
  <c r="L383" i="20" a="1"/>
  <c r="L383" i="20" s="1"/>
  <c r="L384" i="20" a="1"/>
  <c r="L384" i="20" s="1"/>
  <c r="L385" i="20" a="1"/>
  <c r="L385" i="20" s="1"/>
  <c r="L386" i="20" a="1"/>
  <c r="L386" i="20" s="1"/>
  <c r="L387" i="20" a="1"/>
  <c r="L387" i="20" s="1"/>
  <c r="L388" i="20" a="1"/>
  <c r="L388" i="20" s="1"/>
  <c r="L389" i="20" a="1"/>
  <c r="L389" i="20" s="1"/>
  <c r="L390" i="20" a="1"/>
  <c r="L390" i="20" s="1"/>
  <c r="L391" i="20" a="1"/>
  <c r="L391" i="20" s="1"/>
  <c r="L392" i="20" a="1"/>
  <c r="L392" i="20" s="1"/>
  <c r="L393" i="20" a="1"/>
  <c r="L393" i="20" s="1"/>
  <c r="L394" i="20" a="1"/>
  <c r="L394" i="20" s="1"/>
  <c r="L395" i="20" a="1"/>
  <c r="L395" i="20" s="1"/>
  <c r="N395" i="20" s="1"/>
  <c r="L396" i="20" a="1"/>
  <c r="L396" i="20" s="1"/>
  <c r="L397" i="20" a="1"/>
  <c r="L397" i="20" s="1"/>
  <c r="L398" i="20" a="1"/>
  <c r="L398" i="20" s="1"/>
  <c r="L399" i="20" a="1"/>
  <c r="L399" i="20" s="1"/>
  <c r="N399" i="20" s="1"/>
  <c r="L400" i="20" a="1"/>
  <c r="L400" i="20"/>
  <c r="M2" i="20" a="1"/>
  <c r="M2" i="20" s="1"/>
  <c r="N2" i="20" s="1"/>
  <c r="M3" i="20" a="1"/>
  <c r="M3" i="20" s="1"/>
  <c r="N3" i="20" s="1"/>
  <c r="M4" i="20" a="1"/>
  <c r="M4" i="20" s="1"/>
  <c r="N4" i="20" s="1"/>
  <c r="M5" i="20" a="1"/>
  <c r="M5" i="20"/>
  <c r="N5" i="20" s="1"/>
  <c r="M6" i="20" a="1"/>
  <c r="M6" i="20" s="1"/>
  <c r="M7" i="20" a="1"/>
  <c r="M7" i="20" s="1"/>
  <c r="N7" i="20" s="1"/>
  <c r="M8" i="20" a="1"/>
  <c r="M8" i="20" s="1"/>
  <c r="N8" i="20" s="1"/>
  <c r="M9" i="20" a="1"/>
  <c r="M9" i="20" s="1"/>
  <c r="N9" i="20" s="1"/>
  <c r="M10" i="20" a="1"/>
  <c r="M10" i="20" s="1"/>
  <c r="N10" i="20" s="1"/>
  <c r="M11" i="20" a="1"/>
  <c r="M11" i="20" s="1"/>
  <c r="M12" i="20" a="1"/>
  <c r="M12" i="20" s="1"/>
  <c r="N12" i="20" s="1"/>
  <c r="M13" i="20" a="1"/>
  <c r="M13" i="20"/>
  <c r="N13" i="20" s="1"/>
  <c r="M14" i="20" a="1"/>
  <c r="M14" i="20" s="1"/>
  <c r="N14" i="20" s="1"/>
  <c r="M15" i="20" a="1"/>
  <c r="M15" i="20" s="1"/>
  <c r="N15" i="20" s="1"/>
  <c r="M16" i="20" a="1"/>
  <c r="M16" i="20" s="1"/>
  <c r="N16" i="20" s="1"/>
  <c r="M17" i="20" a="1"/>
  <c r="M17" i="20"/>
  <c r="M18" i="20" a="1"/>
  <c r="M18" i="20" s="1"/>
  <c r="M19" i="20" a="1"/>
  <c r="M19" i="20" s="1"/>
  <c r="N19" i="20" s="1"/>
  <c r="M20" i="20" a="1"/>
  <c r="M20" i="20" s="1"/>
  <c r="M21" i="20" a="1"/>
  <c r="M21" i="20" s="1"/>
  <c r="N21" i="20" s="1"/>
  <c r="M22" i="20" a="1"/>
  <c r="M22" i="20" s="1"/>
  <c r="N22" i="20" s="1"/>
  <c r="M23" i="20" a="1"/>
  <c r="M23" i="20" s="1"/>
  <c r="M24" i="20" a="1"/>
  <c r="M24" i="20" s="1"/>
  <c r="N24" i="20" s="1"/>
  <c r="M25" i="20" a="1"/>
  <c r="M25" i="20" s="1"/>
  <c r="M26" i="20" a="1"/>
  <c r="M26" i="20" s="1"/>
  <c r="M27" i="20" a="1"/>
  <c r="M27" i="20" s="1"/>
  <c r="N27" i="20" s="1"/>
  <c r="M28" i="20" a="1"/>
  <c r="M28" i="20" s="1"/>
  <c r="M29" i="20" a="1"/>
  <c r="M29" i="20"/>
  <c r="N29" i="20" s="1"/>
  <c r="M30" i="20" a="1"/>
  <c r="M30" i="20" s="1"/>
  <c r="M31" i="20" a="1"/>
  <c r="M31" i="20" s="1"/>
  <c r="M32" i="20" a="1"/>
  <c r="M32" i="20" s="1"/>
  <c r="N32" i="20" s="1"/>
  <c r="M33" i="20" a="1"/>
  <c r="M33" i="20"/>
  <c r="N33" i="20" s="1"/>
  <c r="M34" i="20" a="1"/>
  <c r="M34" i="20" s="1"/>
  <c r="N34" i="20" s="1"/>
  <c r="M35" i="20" a="1"/>
  <c r="M35" i="20" s="1"/>
  <c r="M36" i="20" a="1"/>
  <c r="M36" i="20" s="1"/>
  <c r="N36" i="20" s="1"/>
  <c r="M37" i="20" a="1"/>
  <c r="M37" i="20"/>
  <c r="N37" i="20" s="1"/>
  <c r="M38" i="20" a="1"/>
  <c r="M38" i="20" s="1"/>
  <c r="M39" i="20" a="1"/>
  <c r="M39" i="20" s="1"/>
  <c r="N39" i="20" s="1"/>
  <c r="M40" i="20" a="1"/>
  <c r="M40" i="20" s="1"/>
  <c r="N40" i="20" s="1"/>
  <c r="M41" i="20" a="1"/>
  <c r="M41" i="20" s="1"/>
  <c r="M42" i="20" a="1"/>
  <c r="M42" i="20" s="1"/>
  <c r="N42" i="20" s="1"/>
  <c r="M43" i="20" a="1"/>
  <c r="M43" i="20" s="1"/>
  <c r="N43" i="20" s="1"/>
  <c r="M44" i="20" a="1"/>
  <c r="M44" i="20" s="1"/>
  <c r="M45" i="20" a="1"/>
  <c r="M45" i="20" s="1"/>
  <c r="N45" i="20" s="1"/>
  <c r="M46" i="20" a="1"/>
  <c r="M46" i="20" s="1"/>
  <c r="M47" i="20" a="1"/>
  <c r="M47" i="20" s="1"/>
  <c r="M48" i="20" a="1"/>
  <c r="M48" i="20" s="1"/>
  <c r="N48" i="20" s="1"/>
  <c r="M49" i="20" a="1"/>
  <c r="M49" i="20"/>
  <c r="N49" i="20" s="1"/>
  <c r="M50" i="20" a="1"/>
  <c r="M50" i="20" s="1"/>
  <c r="M51" i="20" a="1"/>
  <c r="M51" i="20" s="1"/>
  <c r="N51" i="20" s="1"/>
  <c r="M52" i="20" a="1"/>
  <c r="M52" i="20" s="1"/>
  <c r="M53" i="20" a="1"/>
  <c r="M53" i="20"/>
  <c r="N53" i="20" s="1"/>
  <c r="M54" i="20" a="1"/>
  <c r="M54" i="20" s="1"/>
  <c r="M55" i="20" a="1"/>
  <c r="M55" i="20" s="1"/>
  <c r="M56" i="20" a="1"/>
  <c r="M56" i="20" s="1"/>
  <c r="N56" i="20" s="1"/>
  <c r="M57" i="20" a="1"/>
  <c r="M57" i="20" s="1"/>
  <c r="M58" i="20" a="1"/>
  <c r="M58" i="20" s="1"/>
  <c r="M59" i="20" a="1"/>
  <c r="M59" i="20" s="1"/>
  <c r="M60" i="20" a="1"/>
  <c r="M60" i="20" s="1"/>
  <c r="N60" i="20" s="1"/>
  <c r="M61" i="20" a="1"/>
  <c r="M61" i="20" s="1"/>
  <c r="N61" i="20" s="1"/>
  <c r="M62" i="20" a="1"/>
  <c r="M62" i="20" s="1"/>
  <c r="N62" i="20" s="1"/>
  <c r="M63" i="20" a="1"/>
  <c r="M63" i="20" s="1"/>
  <c r="M64" i="20" a="1"/>
  <c r="M64" i="20" s="1"/>
  <c r="M65" i="20" a="1"/>
  <c r="M65" i="20" s="1"/>
  <c r="N65" i="20" s="1"/>
  <c r="M66" i="20" a="1"/>
  <c r="M66" i="20" s="1"/>
  <c r="M67" i="20" a="1"/>
  <c r="M67" i="20" s="1"/>
  <c r="N67" i="20" s="1"/>
  <c r="M68" i="20" a="1"/>
  <c r="M68" i="20" s="1"/>
  <c r="M69" i="20" a="1"/>
  <c r="M69" i="20" s="1"/>
  <c r="M70" i="20" a="1"/>
  <c r="M70" i="20" s="1"/>
  <c r="N70" i="20" s="1"/>
  <c r="M71" i="20" a="1"/>
  <c r="M71" i="20" s="1"/>
  <c r="N71" i="20" s="1"/>
  <c r="M72" i="20" a="1"/>
  <c r="M72" i="20" s="1"/>
  <c r="N72" i="20" s="1"/>
  <c r="M73" i="20" a="1"/>
  <c r="M73" i="20"/>
  <c r="N73" i="20" s="1"/>
  <c r="M74" i="20" a="1"/>
  <c r="M74" i="20" s="1"/>
  <c r="M75" i="20" a="1"/>
  <c r="M75" i="20" s="1"/>
  <c r="M76" i="20" a="1"/>
  <c r="M76" i="20" s="1"/>
  <c r="M77" i="20" a="1"/>
  <c r="M77" i="20"/>
  <c r="N77" i="20" s="1"/>
  <c r="M78" i="20" a="1"/>
  <c r="M78" i="20" s="1"/>
  <c r="N78" i="20" s="1"/>
  <c r="M79" i="20" a="1"/>
  <c r="M79" i="20"/>
  <c r="N79" i="20" s="1"/>
  <c r="M80" i="20" a="1"/>
  <c r="M80" i="20" s="1"/>
  <c r="N80" i="20" s="1"/>
  <c r="M81" i="20" a="1"/>
  <c r="M81" i="20" s="1"/>
  <c r="N81" i="20" s="1"/>
  <c r="M82" i="20" a="1"/>
  <c r="M82" i="20" s="1"/>
  <c r="M83" i="20" a="1"/>
  <c r="M83" i="20" s="1"/>
  <c r="M84" i="20" a="1"/>
  <c r="M84" i="20" s="1"/>
  <c r="N84" i="20" s="1"/>
  <c r="M85" i="20" a="1"/>
  <c r="M85" i="20" s="1"/>
  <c r="N85" i="20" s="1"/>
  <c r="M86" i="20" a="1"/>
  <c r="M86" i="20" s="1"/>
  <c r="M87" i="20" a="1"/>
  <c r="M87" i="20" s="1"/>
  <c r="N87" i="20" s="1"/>
  <c r="M88" i="20" a="1"/>
  <c r="M88" i="20" s="1"/>
  <c r="M89" i="20" a="1"/>
  <c r="M89" i="20" s="1"/>
  <c r="M90" i="20" a="1"/>
  <c r="M90" i="20" s="1"/>
  <c r="N90" i="20" s="1"/>
  <c r="M91" i="20" a="1"/>
  <c r="M91" i="20" s="1"/>
  <c r="M92" i="20" a="1"/>
  <c r="M92" i="20" s="1"/>
  <c r="M93" i="20" a="1"/>
  <c r="M93" i="20"/>
  <c r="N93" i="20" s="1"/>
  <c r="M94" i="20" a="1"/>
  <c r="M94" i="20" s="1"/>
  <c r="N94" i="20" s="1"/>
  <c r="M95" i="20" a="1"/>
  <c r="M95" i="20" s="1"/>
  <c r="M96" i="20" a="1"/>
  <c r="M96" i="20" s="1"/>
  <c r="M97" i="20" a="1"/>
  <c r="M97" i="20" s="1"/>
  <c r="N97" i="20" s="1"/>
  <c r="M98" i="20" a="1"/>
  <c r="M98" i="20" s="1"/>
  <c r="N98" i="20" s="1"/>
  <c r="M99" i="20" a="1"/>
  <c r="M99" i="20" s="1"/>
  <c r="M100" i="20" a="1"/>
  <c r="M100" i="20" s="1"/>
  <c r="N100" i="20" s="1"/>
  <c r="M101" i="20" a="1"/>
  <c r="M101" i="20" s="1"/>
  <c r="N101" i="20" s="1"/>
  <c r="M102" i="20" a="1"/>
  <c r="M102" i="20" s="1"/>
  <c r="M103" i="20" a="1"/>
  <c r="M103" i="20" s="1"/>
  <c r="M104" i="20" a="1"/>
  <c r="M104" i="20" s="1"/>
  <c r="M105" i="20" a="1"/>
  <c r="M105" i="20" s="1"/>
  <c r="N105" i="20" s="1"/>
  <c r="M106" i="20" a="1"/>
  <c r="M106" i="20" s="1"/>
  <c r="M107" i="20" a="1"/>
  <c r="M107" i="20" s="1"/>
  <c r="N107" i="20" s="1"/>
  <c r="M108" i="20" a="1"/>
  <c r="M108" i="20" s="1"/>
  <c r="N108" i="20" s="1"/>
  <c r="M109" i="20" a="1"/>
  <c r="M109" i="20" s="1"/>
  <c r="M110" i="20" a="1"/>
  <c r="M110" i="20" s="1"/>
  <c r="M111" i="20" a="1"/>
  <c r="M111" i="20" s="1"/>
  <c r="N111" i="20" s="1"/>
  <c r="M112" i="20" a="1"/>
  <c r="M112" i="20" s="1"/>
  <c r="N112" i="20" s="1"/>
  <c r="M113" i="20" a="1"/>
  <c r="M113" i="20" s="1"/>
  <c r="N113" i="20" s="1"/>
  <c r="M114" i="20" a="1"/>
  <c r="M114" i="20" s="1"/>
  <c r="N114" i="20" s="1"/>
  <c r="M115" i="20" a="1"/>
  <c r="M115" i="20" s="1"/>
  <c r="N115" i="20" s="1"/>
  <c r="M116" i="20" a="1"/>
  <c r="M116" i="20" s="1"/>
  <c r="M117" i="20" a="1"/>
  <c r="M117" i="20"/>
  <c r="N117" i="20" s="1"/>
  <c r="M118" i="20" a="1"/>
  <c r="M118" i="20" s="1"/>
  <c r="M119" i="20" a="1"/>
  <c r="M119" i="20" s="1"/>
  <c r="M120" i="20" a="1"/>
  <c r="M120" i="20" s="1"/>
  <c r="N120" i="20" s="1"/>
  <c r="M121" i="20" a="1"/>
  <c r="M121" i="20" s="1"/>
  <c r="M122" i="20" a="1"/>
  <c r="M122" i="20" s="1"/>
  <c r="N122" i="20" s="1"/>
  <c r="M123" i="20" a="1"/>
  <c r="M123" i="20" s="1"/>
  <c r="M124" i="20" a="1"/>
  <c r="M124" i="20" s="1"/>
  <c r="M125" i="20" a="1"/>
  <c r="M125" i="20" s="1"/>
  <c r="N125" i="20" s="1"/>
  <c r="M126" i="20" a="1"/>
  <c r="M126" i="20" s="1"/>
  <c r="N126" i="20" s="1"/>
  <c r="M127" i="20" a="1"/>
  <c r="M127" i="20" s="1"/>
  <c r="N127" i="20" s="1"/>
  <c r="M128" i="20" a="1"/>
  <c r="M128" i="20" s="1"/>
  <c r="N128" i="20" s="1"/>
  <c r="M129" i="20" a="1"/>
  <c r="M129" i="20" s="1"/>
  <c r="M130" i="20" a="1"/>
  <c r="M130" i="20" s="1"/>
  <c r="M131" i="20" a="1"/>
  <c r="M131" i="20"/>
  <c r="M132" i="20" a="1"/>
  <c r="M132" i="20" s="1"/>
  <c r="M133" i="20" a="1"/>
  <c r="M133" i="20" s="1"/>
  <c r="N133" i="20" s="1"/>
  <c r="M134" i="20" a="1"/>
  <c r="M134" i="20" s="1"/>
  <c r="M135" i="20" a="1"/>
  <c r="M135" i="20" s="1"/>
  <c r="M136" i="20" a="1"/>
  <c r="M136" i="20" s="1"/>
  <c r="N136" i="20" s="1"/>
  <c r="M137" i="20" a="1"/>
  <c r="M137" i="20"/>
  <c r="N137" i="20" s="1"/>
  <c r="M138" i="20" a="1"/>
  <c r="M138" i="20" s="1"/>
  <c r="M139" i="20" a="1"/>
  <c r="M139" i="20" s="1"/>
  <c r="N139" i="20" s="1"/>
  <c r="M140" i="20" a="1"/>
  <c r="M140" i="20" s="1"/>
  <c r="M141" i="20" a="1"/>
  <c r="M141" i="20" s="1"/>
  <c r="M142" i="20" a="1"/>
  <c r="M142" i="20" s="1"/>
  <c r="N142" i="20" s="1"/>
  <c r="M143" i="20" a="1"/>
  <c r="M143" i="20" s="1"/>
  <c r="N143" i="20" s="1"/>
  <c r="M144" i="20" a="1"/>
  <c r="M144" i="20" s="1"/>
  <c r="N144" i="20" s="1"/>
  <c r="M145" i="20" a="1"/>
  <c r="M145" i="20"/>
  <c r="M146" i="20" a="1"/>
  <c r="M146" i="20" s="1"/>
  <c r="N146" i="20" s="1"/>
  <c r="M147" i="20" a="1"/>
  <c r="M147" i="20" s="1"/>
  <c r="M148" i="20" a="1"/>
  <c r="M148" i="20" s="1"/>
  <c r="N148" i="20" s="1"/>
  <c r="M149" i="20" a="1"/>
  <c r="M149" i="20" s="1"/>
  <c r="N149" i="20" s="1"/>
  <c r="M150" i="20" a="1"/>
  <c r="M150" i="20" s="1"/>
  <c r="N150" i="20" s="1"/>
  <c r="M151" i="20" a="1"/>
  <c r="M151" i="20" s="1"/>
  <c r="M152" i="20" a="1"/>
  <c r="M152" i="20" s="1"/>
  <c r="N152" i="20" s="1"/>
  <c r="M153" i="20" a="1"/>
  <c r="M153" i="20" s="1"/>
  <c r="M154" i="20" a="1"/>
  <c r="M154" i="20" s="1"/>
  <c r="M155" i="20" a="1"/>
  <c r="M155" i="20" s="1"/>
  <c r="N155" i="20" s="1"/>
  <c r="M156" i="20" a="1"/>
  <c r="M156" i="20" s="1"/>
  <c r="M157" i="20" a="1"/>
  <c r="M157" i="20"/>
  <c r="M158" i="20" a="1"/>
  <c r="M158" i="20" s="1"/>
  <c r="M159" i="20" a="1"/>
  <c r="M159" i="20" s="1"/>
  <c r="M160" i="20" a="1"/>
  <c r="M160" i="20" s="1"/>
  <c r="N160" i="20" s="1"/>
  <c r="M161" i="20" a="1"/>
  <c r="M161" i="20"/>
  <c r="N161" i="20" s="1"/>
  <c r="M162" i="20" a="1"/>
  <c r="M162" i="20" s="1"/>
  <c r="M163" i="20" a="1"/>
  <c r="M163" i="20" s="1"/>
  <c r="N163" i="20" s="1"/>
  <c r="M164" i="20" a="1"/>
  <c r="M164" i="20" s="1"/>
  <c r="M165" i="20" a="1"/>
  <c r="M165" i="20"/>
  <c r="N165" i="20" s="1"/>
  <c r="M166" i="20" a="1"/>
  <c r="M166" i="20" s="1"/>
  <c r="N166" i="20" s="1"/>
  <c r="M167" i="20" a="1"/>
  <c r="M167" i="20" s="1"/>
  <c r="M168" i="20" a="1"/>
  <c r="M168" i="20" s="1"/>
  <c r="N168" i="20" s="1"/>
  <c r="M169" i="20" a="1"/>
  <c r="M169" i="20" s="1"/>
  <c r="M170" i="20" a="1"/>
  <c r="M170" i="20" s="1"/>
  <c r="M171" i="20" a="1"/>
  <c r="M171" i="20" s="1"/>
  <c r="N171" i="20" s="1"/>
  <c r="M172" i="20" a="1"/>
  <c r="M172" i="20" s="1"/>
  <c r="M173" i="20" a="1"/>
  <c r="M173" i="20" s="1"/>
  <c r="N173" i="20" s="1"/>
  <c r="M174" i="20" a="1"/>
  <c r="M174" i="20" s="1"/>
  <c r="M175" i="20" a="1"/>
  <c r="M175" i="20" s="1"/>
  <c r="N175" i="20" s="1"/>
  <c r="M176" i="20" a="1"/>
  <c r="M176" i="20" s="1"/>
  <c r="N176" i="20" s="1"/>
  <c r="M177" i="20" a="1"/>
  <c r="M177" i="20"/>
  <c r="M178" i="20" a="1"/>
  <c r="M178" i="20" s="1"/>
  <c r="M179" i="20" a="1"/>
  <c r="M179" i="20" s="1"/>
  <c r="M180" i="20" a="1"/>
  <c r="M180" i="20" s="1"/>
  <c r="N180" i="20" s="1"/>
  <c r="M181" i="20" a="1"/>
  <c r="M181" i="20"/>
  <c r="N181" i="20" s="1"/>
  <c r="M182" i="20" a="1"/>
  <c r="M182" i="20" s="1"/>
  <c r="M183" i="20" a="1"/>
  <c r="M183" i="20" s="1"/>
  <c r="M184" i="20" a="1"/>
  <c r="M184" i="20" s="1"/>
  <c r="N184" i="20" s="1"/>
  <c r="M185" i="20" a="1"/>
  <c r="M185" i="20" s="1"/>
  <c r="M186" i="20" a="1"/>
  <c r="M186" i="20" s="1"/>
  <c r="N186" i="20" s="1"/>
  <c r="M187" i="20" a="1"/>
  <c r="M187" i="20" s="1"/>
  <c r="M188" i="20" a="1"/>
  <c r="M188" i="20" s="1"/>
  <c r="M189" i="20" a="1"/>
  <c r="M189" i="20" s="1"/>
  <c r="N189" i="20" s="1"/>
  <c r="M190" i="20" a="1"/>
  <c r="M190" i="20" s="1"/>
  <c r="N190" i="20" s="1"/>
  <c r="M191" i="20" a="1"/>
  <c r="M191" i="20" s="1"/>
  <c r="M192" i="20" a="1"/>
  <c r="M192" i="20" s="1"/>
  <c r="N192" i="20" s="1"/>
  <c r="M193" i="20" a="1"/>
  <c r="M193" i="20" s="1"/>
  <c r="N193" i="20" s="1"/>
  <c r="M194" i="20" a="1"/>
  <c r="M194" i="20" s="1"/>
  <c r="M195" i="20" a="1"/>
  <c r="M195" i="20" s="1"/>
  <c r="N195" i="20" s="1"/>
  <c r="M196" i="20" a="1"/>
  <c r="M196" i="20" s="1"/>
  <c r="M197" i="20" a="1"/>
  <c r="M197" i="20" s="1"/>
  <c r="N197" i="20" s="1"/>
  <c r="M198" i="20" a="1"/>
  <c r="M198" i="20" s="1"/>
  <c r="M199" i="20" a="1"/>
  <c r="M199" i="20" s="1"/>
  <c r="N199" i="20" s="1"/>
  <c r="M200" i="20" a="1"/>
  <c r="M200" i="20" s="1"/>
  <c r="M201" i="20" a="1"/>
  <c r="M201" i="20" s="1"/>
  <c r="N201" i="20" s="1"/>
  <c r="M202" i="20" a="1"/>
  <c r="M202" i="20" s="1"/>
  <c r="M203" i="20" a="1"/>
  <c r="M203" i="20" s="1"/>
  <c r="N203" i="20" s="1"/>
  <c r="M204" i="20" a="1"/>
  <c r="M204" i="20" s="1"/>
  <c r="M205" i="20" a="1"/>
  <c r="M205" i="20" s="1"/>
  <c r="N205" i="20" s="1"/>
  <c r="M206" i="20" a="1"/>
  <c r="M206" i="20" s="1"/>
  <c r="N206" i="20" s="1"/>
  <c r="M207" i="20" a="1"/>
  <c r="M207" i="20" s="1"/>
  <c r="N207" i="20" s="1"/>
  <c r="M208" i="20" a="1"/>
  <c r="M208" i="20"/>
  <c r="N208" i="20" s="1"/>
  <c r="M209" i="20" a="1"/>
  <c r="M209" i="20"/>
  <c r="M210" i="20" a="1"/>
  <c r="M210" i="20" s="1"/>
  <c r="M211" i="20" a="1"/>
  <c r="M211" i="20"/>
  <c r="M212" i="20" a="1"/>
  <c r="M212" i="20" s="1"/>
  <c r="M213" i="20" a="1"/>
  <c r="M213" i="20" s="1"/>
  <c r="M214" i="20" a="1"/>
  <c r="M214" i="20" s="1"/>
  <c r="M215" i="20" a="1"/>
  <c r="M215" i="20" s="1"/>
  <c r="M216" i="20" a="1"/>
  <c r="M216" i="20" s="1"/>
  <c r="N216" i="20" s="1"/>
  <c r="M217" i="20" a="1"/>
  <c r="M217" i="20" s="1"/>
  <c r="N217" i="20" s="1"/>
  <c r="M218" i="20" a="1"/>
  <c r="M218" i="20" s="1"/>
  <c r="N218" i="20" s="1"/>
  <c r="M219" i="20" a="1"/>
  <c r="M219" i="20" s="1"/>
  <c r="N219" i="20" s="1"/>
  <c r="M220" i="20" a="1"/>
  <c r="M220" i="20"/>
  <c r="N220" i="20" s="1"/>
  <c r="M221" i="20" a="1"/>
  <c r="M221" i="20"/>
  <c r="M222" i="20" a="1"/>
  <c r="M222" i="20" s="1"/>
  <c r="M223" i="20" a="1"/>
  <c r="M223" i="20" s="1"/>
  <c r="M224" i="20" a="1"/>
  <c r="M224" i="20" s="1"/>
  <c r="N224" i="20" s="1"/>
  <c r="M225" i="20" a="1"/>
  <c r="M225" i="20" s="1"/>
  <c r="M226" i="20" a="1"/>
  <c r="M226" i="20" s="1"/>
  <c r="M227" i="20" a="1"/>
  <c r="M227" i="20" s="1"/>
  <c r="N227" i="20" s="1"/>
  <c r="M228" i="20" a="1"/>
  <c r="M228" i="20" s="1"/>
  <c r="N228" i="20" s="1"/>
  <c r="M229" i="20" a="1"/>
  <c r="M229" i="20"/>
  <c r="N229" i="20" s="1"/>
  <c r="M230" i="20" a="1"/>
  <c r="M230" i="20" s="1"/>
  <c r="M231" i="20" a="1"/>
  <c r="M231" i="20" s="1"/>
  <c r="N231" i="20" s="1"/>
  <c r="M232" i="20" a="1"/>
  <c r="M232" i="20" s="1"/>
  <c r="N232" i="20" s="1"/>
  <c r="M233" i="20" a="1"/>
  <c r="M233" i="20" s="1"/>
  <c r="M234" i="20" a="1"/>
  <c r="M234" i="20" s="1"/>
  <c r="M235" i="20" a="1"/>
  <c r="M235" i="20"/>
  <c r="M236" i="20" a="1"/>
  <c r="M236" i="20" s="1"/>
  <c r="N236" i="20" s="1"/>
  <c r="M237" i="20" a="1"/>
  <c r="M237" i="20" s="1"/>
  <c r="N237" i="20" s="1"/>
  <c r="M238" i="20" a="1"/>
  <c r="M238" i="20" s="1"/>
  <c r="N238" i="20" s="1"/>
  <c r="M239" i="20" a="1"/>
  <c r="M239" i="20" s="1"/>
  <c r="M240" i="20" a="1"/>
  <c r="M240" i="20"/>
  <c r="N240" i="20" s="1"/>
  <c r="M241" i="20" a="1"/>
  <c r="M241" i="20" s="1"/>
  <c r="M242" i="20" a="1"/>
  <c r="M242" i="20" s="1"/>
  <c r="N242" i="20" s="1"/>
  <c r="M243" i="20" a="1"/>
  <c r="M243" i="20" s="1"/>
  <c r="N243" i="20" s="1"/>
  <c r="M244" i="20" a="1"/>
  <c r="M244" i="20" s="1"/>
  <c r="N244" i="20" s="1"/>
  <c r="M245" i="20" a="1"/>
  <c r="M245" i="20"/>
  <c r="M246" i="20" a="1"/>
  <c r="M246" i="20" s="1"/>
  <c r="M247" i="20" a="1"/>
  <c r="M247" i="20" s="1"/>
  <c r="N247" i="20" s="1"/>
  <c r="M248" i="20" a="1"/>
  <c r="M248" i="20" s="1"/>
  <c r="N248" i="20" s="1"/>
  <c r="M249" i="20" a="1"/>
  <c r="M249" i="20"/>
  <c r="N249" i="20" s="1"/>
  <c r="M250" i="20" a="1"/>
  <c r="M250" i="20" s="1"/>
  <c r="M251" i="20" a="1"/>
  <c r="M251" i="20"/>
  <c r="N251" i="20" s="1"/>
  <c r="M252" i="20" a="1"/>
  <c r="M252" i="20"/>
  <c r="M253" i="20" a="1"/>
  <c r="M253" i="20" s="1"/>
  <c r="N253" i="20" s="1"/>
  <c r="M254" i="20" a="1"/>
  <c r="M254" i="20" s="1"/>
  <c r="N254" i="20" s="1"/>
  <c r="M255" i="20" a="1"/>
  <c r="M255" i="20" s="1"/>
  <c r="M256" i="20" a="1"/>
  <c r="M256" i="20" s="1"/>
  <c r="N256" i="20" s="1"/>
  <c r="M257" i="20" a="1"/>
  <c r="M257" i="20" s="1"/>
  <c r="M258" i="20" a="1"/>
  <c r="M258" i="20" s="1"/>
  <c r="M259" i="20" a="1"/>
  <c r="M259" i="20" s="1"/>
  <c r="N259" i="20" s="1"/>
  <c r="M260" i="20" a="1"/>
  <c r="M260" i="20"/>
  <c r="M261" i="20" a="1"/>
  <c r="M261" i="20" s="1"/>
  <c r="M262" i="20" a="1"/>
  <c r="M262" i="20" s="1"/>
  <c r="M263" i="20" a="1"/>
  <c r="M263" i="20" s="1"/>
  <c r="N263" i="20" s="1"/>
  <c r="M264" i="20" a="1"/>
  <c r="M264" i="20" s="1"/>
  <c r="N264" i="20" s="1"/>
  <c r="M265" i="20" a="1"/>
  <c r="M265" i="20" s="1"/>
  <c r="N265" i="20" s="1"/>
  <c r="M266" i="20" a="1"/>
  <c r="M266" i="20" s="1"/>
  <c r="M267" i="20" a="1"/>
  <c r="M267" i="20"/>
  <c r="M268" i="20" a="1"/>
  <c r="M268" i="20"/>
  <c r="N268" i="20" s="1"/>
  <c r="M269" i="20" a="1"/>
  <c r="M269" i="20"/>
  <c r="N269" i="20" s="1"/>
  <c r="M270" i="20" a="1"/>
  <c r="M270" i="20" s="1"/>
  <c r="M271" i="20" a="1"/>
  <c r="M271" i="20" s="1"/>
  <c r="M272" i="20" a="1"/>
  <c r="M272" i="20" s="1"/>
  <c r="N272" i="20" s="1"/>
  <c r="M273" i="20" a="1"/>
  <c r="M273" i="20" s="1"/>
  <c r="M274" i="20" a="1"/>
  <c r="M274" i="20" s="1"/>
  <c r="M275" i="20" a="1"/>
  <c r="M275" i="20" s="1"/>
  <c r="N275" i="20" s="1"/>
  <c r="M276" i="20" a="1"/>
  <c r="M276" i="20"/>
  <c r="M277" i="20" a="1"/>
  <c r="M277" i="20" s="1"/>
  <c r="N277" i="20" s="1"/>
  <c r="M278" i="20" a="1"/>
  <c r="M278" i="20" s="1"/>
  <c r="M279" i="20" a="1"/>
  <c r="M279" i="20" s="1"/>
  <c r="N279" i="20" s="1"/>
  <c r="M280" i="20" a="1"/>
  <c r="M280" i="20" s="1"/>
  <c r="N280" i="20" s="1"/>
  <c r="M281" i="20" a="1"/>
  <c r="M281" i="20" s="1"/>
  <c r="N281" i="20" s="1"/>
  <c r="M282" i="20" a="1"/>
  <c r="M282" i="20" s="1"/>
  <c r="N282" i="20" s="1"/>
  <c r="M283" i="20" a="1"/>
  <c r="M283" i="20" s="1"/>
  <c r="N283" i="20" s="1"/>
  <c r="M284" i="20" a="1"/>
  <c r="M284" i="20"/>
  <c r="N284" i="20" s="1"/>
  <c r="M285" i="20" a="1"/>
  <c r="M285" i="20"/>
  <c r="N285" i="20" s="1"/>
  <c r="M286" i="20" a="1"/>
  <c r="M286" i="20" s="1"/>
  <c r="N286" i="20" s="1"/>
  <c r="M287" i="20" a="1"/>
  <c r="M287" i="20" s="1"/>
  <c r="M288" i="20" a="1"/>
  <c r="M288" i="20" s="1"/>
  <c r="N288" i="20" s="1"/>
  <c r="M289" i="20" a="1"/>
  <c r="M289" i="20" s="1"/>
  <c r="M290" i="20" a="1"/>
  <c r="M290" i="20" s="1"/>
  <c r="M291" i="20" a="1"/>
  <c r="M291" i="20" s="1"/>
  <c r="N291" i="20" s="1"/>
  <c r="M292" i="20" a="1"/>
  <c r="M292" i="20"/>
  <c r="M293" i="20" a="1"/>
  <c r="M293" i="20"/>
  <c r="N293" i="20" s="1"/>
  <c r="M294" i="20" a="1"/>
  <c r="M294" i="20" s="1"/>
  <c r="M295" i="20" a="1"/>
  <c r="M295" i="20" s="1"/>
  <c r="N295" i="20" s="1"/>
  <c r="M296" i="20" a="1"/>
  <c r="M296" i="20" s="1"/>
  <c r="N296" i="20" s="1"/>
  <c r="M297" i="20" a="1"/>
  <c r="M297" i="20" s="1"/>
  <c r="M298" i="20" a="1"/>
  <c r="M298" i="20" s="1"/>
  <c r="M299" i="20" a="1"/>
  <c r="M299" i="20"/>
  <c r="M300" i="20" a="1"/>
  <c r="M300" i="20" s="1"/>
  <c r="N300" i="20" s="1"/>
  <c r="M301" i="20" a="1"/>
  <c r="M301" i="20"/>
  <c r="M302" i="20" a="1"/>
  <c r="M302" i="20" s="1"/>
  <c r="M303" i="20" a="1"/>
  <c r="M303" i="20" s="1"/>
  <c r="M304" i="20" a="1"/>
  <c r="M304" i="20" s="1"/>
  <c r="N304" i="20" s="1"/>
  <c r="M305" i="20" a="1"/>
  <c r="M305" i="20" s="1"/>
  <c r="M306" i="20" a="1"/>
  <c r="M306" i="20" s="1"/>
  <c r="N306" i="20" s="1"/>
  <c r="M307" i="20" a="1"/>
  <c r="M307" i="20" s="1"/>
  <c r="N307" i="20" s="1"/>
  <c r="M308" i="20" a="1"/>
  <c r="M308" i="20" s="1"/>
  <c r="N308" i="20" s="1"/>
  <c r="M309" i="20" a="1"/>
  <c r="M309" i="20" s="1"/>
  <c r="N309" i="20" s="1"/>
  <c r="M310" i="20" a="1"/>
  <c r="M310" i="20" s="1"/>
  <c r="N310" i="20" s="1"/>
  <c r="M311" i="20" a="1"/>
  <c r="M311" i="20" s="1"/>
  <c r="M312" i="20" a="1"/>
  <c r="M312" i="20" s="1"/>
  <c r="N312" i="20" s="1"/>
  <c r="M313" i="20" a="1"/>
  <c r="M313" i="20" s="1"/>
  <c r="N313" i="20" s="1"/>
  <c r="M314" i="20" a="1"/>
  <c r="M314" i="20" s="1"/>
  <c r="M315" i="20" a="1"/>
  <c r="M315" i="20"/>
  <c r="M316" i="20" a="1"/>
  <c r="M316" i="20" s="1"/>
  <c r="N316" i="20" s="1"/>
  <c r="M317" i="20" a="1"/>
  <c r="M317" i="20"/>
  <c r="M318" i="20" a="1"/>
  <c r="M318" i="20" s="1"/>
  <c r="M319" i="20" a="1"/>
  <c r="M319" i="20" s="1"/>
  <c r="M320" i="20" a="1"/>
  <c r="M320" i="20" s="1"/>
  <c r="N320" i="20" s="1"/>
  <c r="M321" i="20" a="1"/>
  <c r="M321" i="20" s="1"/>
  <c r="M322" i="20" a="1"/>
  <c r="M322" i="20" s="1"/>
  <c r="N322" i="20" s="1"/>
  <c r="M323" i="20" a="1"/>
  <c r="M323" i="20"/>
  <c r="M324" i="20" a="1"/>
  <c r="M324" i="20" s="1"/>
  <c r="N324" i="20" s="1"/>
  <c r="M325" i="20" a="1"/>
  <c r="M325" i="20" s="1"/>
  <c r="M326" i="20" a="1"/>
  <c r="M326" i="20" s="1"/>
  <c r="M327" i="20" a="1"/>
  <c r="M327" i="20"/>
  <c r="N327" i="20" s="1"/>
  <c r="M328" i="20" a="1"/>
  <c r="M328" i="20" s="1"/>
  <c r="N328" i="20" s="1"/>
  <c r="M329" i="20" a="1"/>
  <c r="M329" i="20" s="1"/>
  <c r="N329" i="20" s="1"/>
  <c r="M330" i="20" a="1"/>
  <c r="M330" i="20" s="1"/>
  <c r="M331" i="20" a="1"/>
  <c r="M331" i="20" s="1"/>
  <c r="M332" i="20" a="1"/>
  <c r="M332" i="20" s="1"/>
  <c r="M333" i="20" a="1"/>
  <c r="M333" i="20" s="1"/>
  <c r="N333" i="20" s="1"/>
  <c r="M334" i="20" a="1"/>
  <c r="M334" i="20" s="1"/>
  <c r="N334" i="20" s="1"/>
  <c r="M335" i="20" a="1"/>
  <c r="M335" i="20" s="1"/>
  <c r="M336" i="20" a="1"/>
  <c r="M336" i="20"/>
  <c r="N336" i="20" s="1"/>
  <c r="M337" i="20" a="1"/>
  <c r="M337" i="20" s="1"/>
  <c r="M338" i="20" a="1"/>
  <c r="M338" i="20" s="1"/>
  <c r="M339" i="20" a="1"/>
  <c r="M339" i="20" s="1"/>
  <c r="N339" i="20" s="1"/>
  <c r="M340" i="20" a="1"/>
  <c r="M340" i="20" s="1"/>
  <c r="N340" i="20" s="1"/>
  <c r="M341" i="20" a="1"/>
  <c r="M341" i="20"/>
  <c r="N341" i="20" s="1"/>
  <c r="M342" i="20" a="1"/>
  <c r="M342" i="20" s="1"/>
  <c r="M343" i="20" a="1"/>
  <c r="M343" i="20" s="1"/>
  <c r="M344" i="20" a="1"/>
  <c r="M344" i="20" s="1"/>
  <c r="N344" i="20" s="1"/>
  <c r="M345" i="20" a="1"/>
  <c r="M345" i="20" s="1"/>
  <c r="N345" i="20" s="1"/>
  <c r="M346" i="20" a="1"/>
  <c r="M346" i="20" s="1"/>
  <c r="N346" i="20" s="1"/>
  <c r="M347" i="20" a="1"/>
  <c r="M347" i="20" s="1"/>
  <c r="N347" i="20" s="1"/>
  <c r="M348" i="20" a="1"/>
  <c r="M348" i="20" s="1"/>
  <c r="N348" i="20" s="1"/>
  <c r="M349" i="20" a="1"/>
  <c r="M349" i="20" s="1"/>
  <c r="N349" i="20" s="1"/>
  <c r="M350" i="20" a="1"/>
  <c r="M350" i="20" s="1"/>
  <c r="M351" i="20" a="1"/>
  <c r="M351" i="20" s="1"/>
  <c r="M352" i="20" a="1"/>
  <c r="M352" i="20" s="1"/>
  <c r="N352" i="20" s="1"/>
  <c r="M353" i="20" a="1"/>
  <c r="M353" i="20" s="1"/>
  <c r="M354" i="20" a="1"/>
  <c r="M354" i="20" s="1"/>
  <c r="M355" i="20" a="1"/>
  <c r="M355" i="20"/>
  <c r="M356" i="20" a="1"/>
  <c r="M356" i="20"/>
  <c r="M357" i="20" a="1"/>
  <c r="M357" i="20"/>
  <c r="N357" i="20" s="1"/>
  <c r="M358" i="20" a="1"/>
  <c r="M358" i="20" s="1"/>
  <c r="N358" i="20" s="1"/>
  <c r="M359" i="20" a="1"/>
  <c r="M359" i="20" s="1"/>
  <c r="N359" i="20" s="1"/>
  <c r="M360" i="20" a="1"/>
  <c r="M360" i="20" s="1"/>
  <c r="M361" i="20" a="1"/>
  <c r="M361" i="20" s="1"/>
  <c r="M362" i="20" a="1"/>
  <c r="M362" i="20" s="1"/>
  <c r="M363" i="20" a="1"/>
  <c r="M363" i="20" s="1"/>
  <c r="N363" i="20" s="1"/>
  <c r="M364" i="20" a="1"/>
  <c r="M364" i="20" s="1"/>
  <c r="N364" i="20" s="1"/>
  <c r="M365" i="20" a="1"/>
  <c r="M365" i="20"/>
  <c r="M366" i="20" a="1"/>
  <c r="M366" i="20" s="1"/>
  <c r="M367" i="20" a="1"/>
  <c r="M367" i="20" s="1"/>
  <c r="M368" i="20" a="1"/>
  <c r="M368" i="20"/>
  <c r="M369" i="20" a="1"/>
  <c r="M369" i="20" s="1"/>
  <c r="M370" i="20" a="1"/>
  <c r="M370" i="20" s="1"/>
  <c r="N370" i="20" s="1"/>
  <c r="M371" i="20" a="1"/>
  <c r="M371" i="20"/>
  <c r="M372" i="20" a="1"/>
  <c r="M372" i="20"/>
  <c r="M373" i="20" a="1"/>
  <c r="M373" i="20"/>
  <c r="M374" i="20" a="1"/>
  <c r="M374" i="20" s="1"/>
  <c r="M375" i="20" a="1"/>
  <c r="M375" i="20" s="1"/>
  <c r="N375" i="20" s="1"/>
  <c r="M376" i="20" a="1"/>
  <c r="M376" i="20" s="1"/>
  <c r="N376" i="20" s="1"/>
  <c r="M377" i="20" a="1"/>
  <c r="M377" i="20" s="1"/>
  <c r="M378" i="20" a="1"/>
  <c r="M378" i="20" s="1"/>
  <c r="N378" i="20" s="1"/>
  <c r="M379" i="20" a="1"/>
  <c r="M379" i="20" s="1"/>
  <c r="N379" i="20" s="1"/>
  <c r="M380" i="20" a="1"/>
  <c r="M380" i="20" s="1"/>
  <c r="N380" i="20" s="1"/>
  <c r="M381" i="20" a="1"/>
  <c r="M381" i="20" s="1"/>
  <c r="N381" i="20" s="1"/>
  <c r="M382" i="20" a="1"/>
  <c r="M382" i="20" s="1"/>
  <c r="M383" i="20" a="1"/>
  <c r="M383" i="20" s="1"/>
  <c r="N383" i="20" s="1"/>
  <c r="M384" i="20" a="1"/>
  <c r="M384" i="20" s="1"/>
  <c r="N384" i="20" s="1"/>
  <c r="M385" i="20" a="1"/>
  <c r="M385" i="20" s="1"/>
  <c r="M386" i="20" a="1"/>
  <c r="M386" i="20" s="1"/>
  <c r="M387" i="20" a="1"/>
  <c r="M387" i="20" s="1"/>
  <c r="N387" i="20" s="1"/>
  <c r="M388" i="20" a="1"/>
  <c r="M388" i="20" s="1"/>
  <c r="N388" i="20" s="1"/>
  <c r="M389" i="20" a="1"/>
  <c r="M389" i="20"/>
  <c r="N389" i="20" s="1"/>
  <c r="M390" i="20" a="1"/>
  <c r="M390" i="20" s="1"/>
  <c r="M391" i="20" a="1"/>
  <c r="M391" i="20" s="1"/>
  <c r="N391" i="20" s="1"/>
  <c r="M392" i="20" a="1"/>
  <c r="M392" i="20" s="1"/>
  <c r="N392" i="20" s="1"/>
  <c r="M393" i="20" a="1"/>
  <c r="M393" i="20" s="1"/>
  <c r="M394" i="20" a="1"/>
  <c r="M394" i="20" s="1"/>
  <c r="M395" i="20" a="1"/>
  <c r="M395" i="20" s="1"/>
  <c r="M396" i="20" a="1"/>
  <c r="M396" i="20"/>
  <c r="N396" i="20" s="1"/>
  <c r="M397" i="20" a="1"/>
  <c r="M397" i="20" s="1"/>
  <c r="N397" i="20" s="1"/>
  <c r="M398" i="20" a="1"/>
  <c r="M398" i="20" s="1"/>
  <c r="N398" i="20" s="1"/>
  <c r="M399" i="20" a="1"/>
  <c r="M399" i="20" s="1"/>
  <c r="M400" i="20" a="1"/>
  <c r="M400" i="20" s="1"/>
  <c r="N400" i="20" s="1"/>
  <c r="N6" i="20"/>
  <c r="N11" i="20"/>
  <c r="N17" i="20"/>
  <c r="N18" i="20"/>
  <c r="N20" i="20"/>
  <c r="N23" i="20"/>
  <c r="N25" i="20"/>
  <c r="N26" i="20"/>
  <c r="N28" i="20"/>
  <c r="N31" i="20"/>
  <c r="N35" i="20"/>
  <c r="N38" i="20"/>
  <c r="N41" i="20"/>
  <c r="N44" i="20"/>
  <c r="N46" i="20"/>
  <c r="N47" i="20"/>
  <c r="N50" i="20"/>
  <c r="N52" i="20"/>
  <c r="N54" i="20"/>
  <c r="N55" i="20"/>
  <c r="N57" i="20"/>
  <c r="N58" i="20"/>
  <c r="N59" i="20"/>
  <c r="N63" i="20"/>
  <c r="N66" i="20"/>
  <c r="N68" i="20"/>
  <c r="N69" i="20"/>
  <c r="N74" i="20"/>
  <c r="N75" i="20"/>
  <c r="N76" i="20"/>
  <c r="N82" i="20"/>
  <c r="N83" i="20"/>
  <c r="N86" i="20"/>
  <c r="N88" i="20"/>
  <c r="N89" i="20"/>
  <c r="N91" i="20"/>
  <c r="N92" i="20"/>
  <c r="N95" i="20"/>
  <c r="N99" i="20"/>
  <c r="N102" i="20"/>
  <c r="N103" i="20"/>
  <c r="N104" i="20"/>
  <c r="N106" i="20"/>
  <c r="N109" i="20"/>
  <c r="N110" i="20"/>
  <c r="N116" i="20"/>
  <c r="N118" i="20"/>
  <c r="N119" i="20"/>
  <c r="N121" i="20"/>
  <c r="N123" i="20"/>
  <c r="N124" i="20"/>
  <c r="N129" i="20"/>
  <c r="N130" i="20"/>
  <c r="N131" i="20"/>
  <c r="N132" i="20"/>
  <c r="N134" i="20"/>
  <c r="N135" i="20"/>
  <c r="N138" i="20"/>
  <c r="N140" i="20"/>
  <c r="N141" i="20"/>
  <c r="N145" i="20"/>
  <c r="N147" i="20"/>
  <c r="N151" i="20"/>
  <c r="N153" i="20"/>
  <c r="N154" i="20"/>
  <c r="N156" i="20"/>
  <c r="N157" i="20"/>
  <c r="N158" i="20"/>
  <c r="N159" i="20"/>
  <c r="N162" i="20"/>
  <c r="N164" i="20"/>
  <c r="N167" i="20"/>
  <c r="N169" i="20"/>
  <c r="N170" i="20"/>
  <c r="N172" i="20"/>
  <c r="N174" i="20"/>
  <c r="N177" i="20"/>
  <c r="N178" i="20"/>
  <c r="N179" i="20"/>
  <c r="N182" i="20"/>
  <c r="N183" i="20"/>
  <c r="N185" i="20"/>
  <c r="N187" i="20"/>
  <c r="N188" i="20"/>
  <c r="N191" i="20"/>
  <c r="N194" i="20"/>
  <c r="N196" i="20"/>
  <c r="N198" i="20"/>
  <c r="N200" i="20"/>
  <c r="N202" i="20"/>
  <c r="N204" i="20"/>
  <c r="N209" i="20"/>
  <c r="N210" i="20"/>
  <c r="N211" i="20"/>
  <c r="N212" i="20"/>
  <c r="N213" i="20"/>
  <c r="N214" i="20"/>
  <c r="N215" i="20"/>
  <c r="N221" i="20"/>
  <c r="N223" i="20"/>
  <c r="N225" i="20"/>
  <c r="N226" i="20"/>
  <c r="N230" i="20"/>
  <c r="N233" i="20"/>
  <c r="N234" i="20"/>
  <c r="N235" i="20"/>
  <c r="N239" i="20"/>
  <c r="N241" i="20"/>
  <c r="N245" i="20"/>
  <c r="N246" i="20"/>
  <c r="N250" i="20"/>
  <c r="N252" i="20"/>
  <c r="N255" i="20"/>
  <c r="N257" i="20"/>
  <c r="N258" i="20"/>
  <c r="N260" i="20"/>
  <c r="N261" i="20"/>
  <c r="N262" i="20"/>
  <c r="N266" i="20"/>
  <c r="N267" i="20"/>
  <c r="N270" i="20"/>
  <c r="N271" i="20"/>
  <c r="N273" i="20"/>
  <c r="N274" i="20"/>
  <c r="N276" i="20"/>
  <c r="N278" i="20"/>
  <c r="N287" i="20"/>
  <c r="N289" i="20"/>
  <c r="N290" i="20"/>
  <c r="N292" i="20"/>
  <c r="N294" i="20"/>
  <c r="N297" i="20"/>
  <c r="N298" i="20"/>
  <c r="N299" i="20"/>
  <c r="N301" i="20"/>
  <c r="N302" i="20"/>
  <c r="N303" i="20"/>
  <c r="N305" i="20"/>
  <c r="N311" i="20"/>
  <c r="N314" i="20"/>
  <c r="N315" i="20"/>
  <c r="N317" i="20"/>
  <c r="N318" i="20"/>
  <c r="N319" i="20"/>
  <c r="N321" i="20"/>
  <c r="N323" i="20"/>
  <c r="N325" i="20"/>
  <c r="N326" i="20"/>
  <c r="N330" i="20"/>
  <c r="N331" i="20"/>
  <c r="N335" i="20"/>
  <c r="N337" i="20"/>
  <c r="N338" i="20"/>
  <c r="N342" i="20"/>
  <c r="N343" i="20"/>
  <c r="N350" i="20"/>
  <c r="N353" i="20"/>
  <c r="N355" i="20"/>
  <c r="N361" i="20"/>
  <c r="N362" i="20"/>
  <c r="N365" i="20"/>
  <c r="N366" i="20"/>
  <c r="N367" i="20"/>
  <c r="N369" i="20"/>
  <c r="N371" i="20"/>
  <c r="N372" i="20"/>
  <c r="N373" i="20"/>
  <c r="N374" i="20"/>
  <c r="N377" i="20"/>
  <c r="N382" i="20"/>
  <c r="N385" i="20"/>
  <c r="N386" i="20"/>
  <c r="N390" i="20"/>
  <c r="N393" i="20"/>
  <c r="N394" i="20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/>
  <c r="O8" i="20" a="1"/>
  <c r="O8" i="20" s="1"/>
  <c r="O9" i="20" a="1"/>
  <c r="O9" i="20" s="1"/>
  <c r="O10" i="20" a="1"/>
  <c r="O10" i="20" s="1"/>
  <c r="O11" i="20" a="1"/>
  <c r="O11" i="20"/>
  <c r="O12" i="20" a="1"/>
  <c r="O12" i="20" s="1"/>
  <c r="O13" i="20" a="1"/>
  <c r="O13" i="20" s="1"/>
  <c r="O14" i="20" a="1"/>
  <c r="O14" i="20" s="1"/>
  <c r="O15" i="20" a="1"/>
  <c r="O15" i="20" s="1"/>
  <c r="O16" i="20" a="1"/>
  <c r="O16" i="20"/>
  <c r="O17" i="20" a="1"/>
  <c r="O17" i="20" s="1"/>
  <c r="O18" i="20" a="1"/>
  <c r="O18" i="20" s="1"/>
  <c r="O19" i="20" a="1"/>
  <c r="O19" i="20" s="1"/>
  <c r="O20" i="20" a="1"/>
  <c r="O20" i="20"/>
  <c r="O21" i="20" a="1"/>
  <c r="O21" i="20" s="1"/>
  <c r="O22" i="20" a="1"/>
  <c r="O22" i="20" s="1"/>
  <c r="O23" i="20" a="1"/>
  <c r="O23" i="20" s="1"/>
  <c r="O24" i="20" a="1"/>
  <c r="O24" i="20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/>
  <c r="O33" i="20" a="1"/>
  <c r="O33" i="20" s="1"/>
  <c r="O34" i="20" a="1"/>
  <c r="O34" i="20"/>
  <c r="O35" i="20" a="1"/>
  <c r="O35" i="20" s="1"/>
  <c r="O36" i="20" a="1"/>
  <c r="O36" i="20" s="1"/>
  <c r="O37" i="20" a="1"/>
  <c r="O37" i="20" s="1"/>
  <c r="O38" i="20" a="1"/>
  <c r="O38" i="20"/>
  <c r="O39" i="20" a="1"/>
  <c r="O39" i="20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/>
  <c r="O56" i="20" a="1"/>
  <c r="O56" i="20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67" i="20" a="1"/>
  <c r="O67" i="20" s="1"/>
  <c r="O68" i="20" a="1"/>
  <c r="O68" i="20" s="1"/>
  <c r="O69" i="20" a="1"/>
  <c r="O69" i="20" s="1"/>
  <c r="O70" i="20" a="1"/>
  <c r="O70" i="20"/>
  <c r="O71" i="20" a="1"/>
  <c r="O71" i="20" s="1"/>
  <c r="O72" i="20" a="1"/>
  <c r="O72" i="20" s="1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/>
  <c r="O111" i="20" a="1"/>
  <c r="O111" i="20"/>
  <c r="O112" i="20" a="1"/>
  <c r="O112" i="20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/>
  <c r="O127" i="20" a="1"/>
  <c r="O127" i="20" s="1"/>
  <c r="O128" i="20" a="1"/>
  <c r="O128" i="20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O152" i="20" a="1"/>
  <c r="O152" i="20" s="1"/>
  <c r="O153" i="20" a="1"/>
  <c r="O153" i="20" s="1"/>
  <c r="O154" i="20" a="1"/>
  <c r="O154" i="20" s="1"/>
  <c r="O155" i="20" a="1"/>
  <c r="O155" i="20" s="1"/>
  <c r="O156" i="20" a="1"/>
  <c r="O156" i="20" s="1"/>
  <c r="O157" i="20" a="1"/>
  <c r="O157" i="20" s="1"/>
  <c r="O158" i="20" a="1"/>
  <c r="O158" i="20" s="1"/>
  <c r="O159" i="20" a="1"/>
  <c r="O159" i="20" s="1"/>
  <c r="O160" i="20" a="1"/>
  <c r="O160" i="20" s="1"/>
  <c r="O161" i="20" a="1"/>
  <c r="O161" i="20" s="1"/>
  <c r="O162" i="20" a="1"/>
  <c r="O162" i="20" s="1"/>
  <c r="O163" i="20" a="1"/>
  <c r="O163" i="20" s="1"/>
  <c r="O164" i="20" a="1"/>
  <c r="O164" i="20" s="1"/>
  <c r="O165" i="20" a="1"/>
  <c r="O165" i="20" s="1"/>
  <c r="O166" i="20" a="1"/>
  <c r="O166" i="20"/>
  <c r="O167" i="20" a="1"/>
  <c r="O167" i="20"/>
  <c r="O168" i="20" a="1"/>
  <c r="O168" i="20" s="1"/>
  <c r="O169" i="20" a="1"/>
  <c r="O169" i="20" s="1"/>
  <c r="O170" i="20" a="1"/>
  <c r="O170" i="20" s="1"/>
  <c r="O171" i="20" a="1"/>
  <c r="O171" i="20" s="1"/>
  <c r="O172" i="20" a="1"/>
  <c r="O172" i="20" s="1"/>
  <c r="O173" i="20" a="1"/>
  <c r="O173" i="20" s="1"/>
  <c r="O174" i="20" a="1"/>
  <c r="O174" i="20"/>
  <c r="O175" i="20" a="1"/>
  <c r="O175" i="20"/>
  <c r="O176" i="20" a="1"/>
  <c r="O176" i="20" s="1"/>
  <c r="O177" i="20" a="1"/>
  <c r="O177" i="20" s="1"/>
  <c r="O178" i="20" a="1"/>
  <c r="O178" i="20" s="1"/>
  <c r="O179" i="20" a="1"/>
  <c r="O179" i="20" s="1"/>
  <c r="O180" i="20" a="1"/>
  <c r="O180" i="20" s="1"/>
  <c r="O181" i="20" a="1"/>
  <c r="O181" i="20" s="1"/>
  <c r="O182" i="20" a="1"/>
  <c r="O182" i="20" s="1"/>
  <c r="O183" i="20" a="1"/>
  <c r="O183" i="20" s="1"/>
  <c r="O184" i="20" a="1"/>
  <c r="O184" i="20"/>
  <c r="O185" i="20" a="1"/>
  <c r="O185" i="20" s="1"/>
  <c r="O186" i="20" a="1"/>
  <c r="O186" i="20" s="1"/>
  <c r="O187" i="20" a="1"/>
  <c r="O187" i="20" s="1"/>
  <c r="O188" i="20" a="1"/>
  <c r="O188" i="20" s="1"/>
  <c r="O189" i="20" a="1"/>
  <c r="O189" i="20" s="1"/>
  <c r="O190" i="20" a="1"/>
  <c r="O190" i="20" s="1"/>
  <c r="O191" i="20" a="1"/>
  <c r="O191" i="20" s="1"/>
  <c r="O192" i="20" a="1"/>
  <c r="O192" i="20"/>
  <c r="O193" i="20" a="1"/>
  <c r="O193" i="20" s="1"/>
  <c r="O194" i="20" a="1"/>
  <c r="O194" i="20" s="1"/>
  <c r="O195" i="20" a="1"/>
  <c r="O195" i="20" s="1"/>
  <c r="O196" i="20" a="1"/>
  <c r="O196" i="20" s="1"/>
  <c r="O197" i="20" a="1"/>
  <c r="O197" i="20" s="1"/>
  <c r="O198" i="20" a="1"/>
  <c r="O198" i="20" s="1"/>
  <c r="O199" i="20" a="1"/>
  <c r="O199" i="20" s="1"/>
  <c r="O200" i="20" a="1"/>
  <c r="O200" i="20" s="1"/>
  <c r="O201" i="20" a="1"/>
  <c r="O201" i="20" s="1"/>
  <c r="O202" i="20" a="1"/>
  <c r="O202" i="20" s="1"/>
  <c r="O203" i="20" a="1"/>
  <c r="O203" i="20" s="1"/>
  <c r="O204" i="20" a="1"/>
  <c r="O204" i="20" s="1"/>
  <c r="O205" i="20" a="1"/>
  <c r="O205" i="20" s="1"/>
  <c r="O206" i="20" a="1"/>
  <c r="O206" i="20" s="1"/>
  <c r="O207" i="20" a="1"/>
  <c r="O207" i="20" s="1"/>
  <c r="O208" i="20" a="1"/>
  <c r="O208" i="20" s="1"/>
  <c r="O209" i="20" a="1"/>
  <c r="O209" i="20" s="1"/>
  <c r="O210" i="20" a="1"/>
  <c r="O210" i="20" s="1"/>
  <c r="O211" i="20" a="1"/>
  <c r="O211" i="20" s="1"/>
  <c r="O212" i="20" a="1"/>
  <c r="O212" i="20" s="1"/>
  <c r="O213" i="20" a="1"/>
  <c r="O213" i="20" s="1"/>
  <c r="O214" i="20" a="1"/>
  <c r="O214" i="20" s="1"/>
  <c r="O215" i="20" a="1"/>
  <c r="O215" i="20" s="1"/>
  <c r="O216" i="20" a="1"/>
  <c r="O216" i="20" s="1"/>
  <c r="O217" i="20" a="1"/>
  <c r="O217" i="20" s="1"/>
  <c r="O218" i="20" a="1"/>
  <c r="O218" i="20" s="1"/>
  <c r="O219" i="20" a="1"/>
  <c r="O219" i="20" s="1"/>
  <c r="O220" i="20" a="1"/>
  <c r="O220" i="20" s="1"/>
  <c r="O221" i="20" a="1"/>
  <c r="O221" i="20" s="1"/>
  <c r="O222" i="20" a="1"/>
  <c r="O222" i="20"/>
  <c r="O223" i="20" a="1"/>
  <c r="O223" i="20" s="1"/>
  <c r="O224" i="20" a="1"/>
  <c r="O224" i="20" s="1"/>
  <c r="O225" i="20" a="1"/>
  <c r="O225" i="20" s="1"/>
  <c r="O226" i="20" a="1"/>
  <c r="O226" i="20" s="1"/>
  <c r="O227" i="20" a="1"/>
  <c r="O227" i="20" s="1"/>
  <c r="O228" i="20" a="1"/>
  <c r="O228" i="20" s="1"/>
  <c r="O229" i="20" a="1"/>
  <c r="O229" i="20" s="1"/>
  <c r="O230" i="20" a="1"/>
  <c r="O230" i="20"/>
  <c r="O231" i="20" a="1"/>
  <c r="O231" i="20"/>
  <c r="O232" i="20" a="1"/>
  <c r="O232" i="20" s="1"/>
  <c r="O233" i="20" a="1"/>
  <c r="O233" i="20" s="1"/>
  <c r="O234" i="20" a="1"/>
  <c r="O234" i="20" s="1"/>
  <c r="O235" i="20" a="1"/>
  <c r="O235" i="20" s="1"/>
  <c r="O236" i="20" a="1"/>
  <c r="O236" i="20" s="1"/>
  <c r="O237" i="20" a="1"/>
  <c r="O237" i="20" s="1"/>
  <c r="O238" i="20" a="1"/>
  <c r="O238" i="20"/>
  <c r="O239" i="20" a="1"/>
  <c r="O239" i="20" s="1"/>
  <c r="O240" i="20" a="1"/>
  <c r="O240" i="20"/>
  <c r="O241" i="20" a="1"/>
  <c r="O241" i="20" s="1"/>
  <c r="O242" i="20" a="1"/>
  <c r="O242" i="20" s="1"/>
  <c r="O243" i="20" a="1"/>
  <c r="O243" i="20" s="1"/>
  <c r="O244" i="20" a="1"/>
  <c r="O244" i="20" s="1"/>
  <c r="O245" i="20" a="1"/>
  <c r="O245" i="20" s="1"/>
  <c r="O246" i="20" a="1"/>
  <c r="O246" i="20" s="1"/>
  <c r="O247" i="20" a="1"/>
  <c r="O247" i="20"/>
  <c r="O248" i="20" a="1"/>
  <c r="O248" i="20"/>
  <c r="O249" i="20" a="1"/>
  <c r="O249" i="20" s="1"/>
  <c r="O250" i="20" a="1"/>
  <c r="O250" i="20" s="1"/>
  <c r="O251" i="20" a="1"/>
  <c r="O251" i="20" s="1"/>
  <c r="O252" i="20" a="1"/>
  <c r="O252" i="20" s="1"/>
  <c r="O253" i="20" a="1"/>
  <c r="O253" i="20" s="1"/>
  <c r="O254" i="20" a="1"/>
  <c r="O254" i="20" s="1"/>
  <c r="O255" i="20" a="1"/>
  <c r="O255" i="20" s="1"/>
  <c r="O256" i="20" a="1"/>
  <c r="O256" i="20"/>
  <c r="O257" i="20" a="1"/>
  <c r="O257" i="20" s="1"/>
  <c r="O258" i="20" a="1"/>
  <c r="O258" i="20" s="1"/>
  <c r="O259" i="20" a="1"/>
  <c r="O259" i="20" s="1"/>
  <c r="O260" i="20" a="1"/>
  <c r="O260" i="20" s="1"/>
  <c r="O261" i="20" a="1"/>
  <c r="O261" i="20" s="1"/>
  <c r="O262" i="20" a="1"/>
  <c r="O262" i="20" s="1"/>
  <c r="O263" i="20" a="1"/>
  <c r="O263" i="20"/>
  <c r="O264" i="20" a="1"/>
  <c r="O264" i="20" s="1"/>
  <c r="O265" i="20" a="1"/>
  <c r="O265" i="20" s="1"/>
  <c r="O266" i="20" a="1"/>
  <c r="O266" i="20" s="1"/>
  <c r="O267" i="20" a="1"/>
  <c r="O267" i="20" s="1"/>
  <c r="O268" i="20" a="1"/>
  <c r="O268" i="20" s="1"/>
  <c r="O269" i="20" a="1"/>
  <c r="O269" i="20" s="1"/>
  <c r="O270" i="20" a="1"/>
  <c r="O270" i="20"/>
  <c r="O271" i="20" a="1"/>
  <c r="O271" i="20" s="1"/>
  <c r="O272" i="20" a="1"/>
  <c r="O272" i="20" s="1"/>
  <c r="O273" i="20" a="1"/>
  <c r="O273" i="20" s="1"/>
  <c r="O274" i="20" a="1"/>
  <c r="O274" i="20" s="1"/>
  <c r="O275" i="20" a="1"/>
  <c r="O275" i="20" s="1"/>
  <c r="O276" i="20" a="1"/>
  <c r="O276" i="20" s="1"/>
  <c r="O277" i="20" a="1"/>
  <c r="O277" i="20" s="1"/>
  <c r="O278" i="20" a="1"/>
  <c r="O278" i="20" s="1"/>
  <c r="O279" i="20" a="1"/>
  <c r="O279" i="20" s="1"/>
  <c r="O280" i="20" a="1"/>
  <c r="O280" i="20" s="1"/>
  <c r="O281" i="20" a="1"/>
  <c r="O281" i="20" s="1"/>
  <c r="O282" i="20" a="1"/>
  <c r="O282" i="20" s="1"/>
  <c r="O283" i="20" a="1"/>
  <c r="O283" i="20" s="1"/>
  <c r="O284" i="20" a="1"/>
  <c r="O284" i="20" s="1"/>
  <c r="O285" i="20" a="1"/>
  <c r="O285" i="20" s="1"/>
  <c r="O286" i="20" a="1"/>
  <c r="O286" i="20"/>
  <c r="O287" i="20" a="1"/>
  <c r="O287" i="20" s="1"/>
  <c r="O288" i="20" a="1"/>
  <c r="O288" i="20" s="1"/>
  <c r="O289" i="20" a="1"/>
  <c r="O289" i="20" s="1"/>
  <c r="O290" i="20" a="1"/>
  <c r="O290" i="20" s="1"/>
  <c r="O291" i="20" a="1"/>
  <c r="O291" i="20" s="1"/>
  <c r="O292" i="20" a="1"/>
  <c r="O292" i="20" s="1"/>
  <c r="O293" i="20" a="1"/>
  <c r="O293" i="20" s="1"/>
  <c r="O294" i="20" a="1"/>
  <c r="O294" i="20"/>
  <c r="O295" i="20" a="1"/>
  <c r="O295" i="20" s="1"/>
  <c r="O296" i="20" a="1"/>
  <c r="O296" i="20" s="1"/>
  <c r="O297" i="20" a="1"/>
  <c r="O297" i="20" s="1"/>
  <c r="O298" i="20" a="1"/>
  <c r="O298" i="20" s="1"/>
  <c r="O299" i="20" a="1"/>
  <c r="O299" i="20" s="1"/>
  <c r="O300" i="20" a="1"/>
  <c r="O300" i="20" s="1"/>
  <c r="O301" i="20" a="1"/>
  <c r="O301" i="20" s="1"/>
  <c r="O302" i="20" a="1"/>
  <c r="O302" i="20" s="1"/>
  <c r="O303" i="20" a="1"/>
  <c r="O303" i="20"/>
  <c r="O304" i="20" a="1"/>
  <c r="O304" i="20"/>
  <c r="O305" i="20" a="1"/>
  <c r="O305" i="20" s="1"/>
  <c r="O306" i="20" a="1"/>
  <c r="O306" i="20" s="1"/>
  <c r="O307" i="20" a="1"/>
  <c r="O307" i="20" s="1"/>
  <c r="O308" i="20" a="1"/>
  <c r="O308" i="20" s="1"/>
  <c r="O309" i="20" a="1"/>
  <c r="O309" i="20" s="1"/>
  <c r="O310" i="20" a="1"/>
  <c r="O310" i="20" s="1"/>
  <c r="O311" i="20" a="1"/>
  <c r="O311" i="20"/>
  <c r="O312" i="20" a="1"/>
  <c r="O312" i="20"/>
  <c r="O313" i="20" a="1"/>
  <c r="O313" i="20" s="1"/>
  <c r="O314" i="20" a="1"/>
  <c r="O314" i="20" s="1"/>
  <c r="O315" i="20" a="1"/>
  <c r="O315" i="20" s="1"/>
  <c r="O316" i="20" a="1"/>
  <c r="O316" i="20" s="1"/>
  <c r="O317" i="20" a="1"/>
  <c r="O317" i="20" s="1"/>
  <c r="O318" i="20" a="1"/>
  <c r="O318" i="20" s="1"/>
  <c r="O319" i="20" a="1"/>
  <c r="O319" i="20" s="1"/>
  <c r="O320" i="20" a="1"/>
  <c r="O320" i="20" s="1"/>
  <c r="O321" i="20" a="1"/>
  <c r="O321" i="20" s="1"/>
  <c r="O322" i="20" a="1"/>
  <c r="O322" i="20" s="1"/>
  <c r="O323" i="20" a="1"/>
  <c r="O323" i="20" s="1"/>
  <c r="O324" i="20" a="1"/>
  <c r="O324" i="20" s="1"/>
  <c r="O325" i="20" a="1"/>
  <c r="O325" i="20" s="1"/>
  <c r="O326" i="20" a="1"/>
  <c r="O326" i="20"/>
  <c r="O327" i="20" a="1"/>
  <c r="O327" i="20" s="1"/>
  <c r="O328" i="20" a="1"/>
  <c r="O328" i="20" s="1"/>
  <c r="O329" i="20" a="1"/>
  <c r="O329" i="20" s="1"/>
  <c r="O330" i="20" a="1"/>
  <c r="O330" i="20" s="1"/>
  <c r="O331" i="20" a="1"/>
  <c r="O331" i="20" s="1"/>
  <c r="O332" i="20" a="1"/>
  <c r="O332" i="20" s="1"/>
  <c r="O333" i="20" a="1"/>
  <c r="O333" i="20" s="1"/>
  <c r="O334" i="20" a="1"/>
  <c r="O334" i="20" s="1"/>
  <c r="O335" i="20" a="1"/>
  <c r="O335" i="20" s="1"/>
  <c r="O336" i="20" a="1"/>
  <c r="O336" i="20" s="1"/>
  <c r="O337" i="20" a="1"/>
  <c r="O337" i="20" s="1"/>
  <c r="O338" i="20" a="1"/>
  <c r="O338" i="20" s="1"/>
  <c r="O339" i="20" a="1"/>
  <c r="O339" i="20" s="1"/>
  <c r="O340" i="20" a="1"/>
  <c r="O340" i="20" s="1"/>
  <c r="O341" i="20" a="1"/>
  <c r="O341" i="20" s="1"/>
  <c r="O342" i="20" a="1"/>
  <c r="O342" i="20" s="1"/>
  <c r="O343" i="20" a="1"/>
  <c r="O343" i="20" s="1"/>
  <c r="O344" i="20" a="1"/>
  <c r="O344" i="20" s="1"/>
  <c r="O345" i="20" a="1"/>
  <c r="O345" i="20" s="1"/>
  <c r="O346" i="20" a="1"/>
  <c r="O346" i="20" s="1"/>
  <c r="O347" i="20" a="1"/>
  <c r="O347" i="20" s="1"/>
  <c r="O348" i="20" a="1"/>
  <c r="O348" i="20" s="1"/>
  <c r="O349" i="20" a="1"/>
  <c r="O349" i="20" s="1"/>
  <c r="O350" i="20" a="1"/>
  <c r="O350" i="20"/>
  <c r="O351" i="20" a="1"/>
  <c r="O351" i="20" s="1"/>
  <c r="O352" i="20" a="1"/>
  <c r="O352" i="20" s="1"/>
  <c r="O353" i="20" a="1"/>
  <c r="O353" i="20" s="1"/>
  <c r="O354" i="20" a="1"/>
  <c r="O354" i="20" s="1"/>
  <c r="O355" i="20" a="1"/>
  <c r="O355" i="20" s="1"/>
  <c r="O356" i="20" a="1"/>
  <c r="O356" i="20" s="1"/>
  <c r="O357" i="20" a="1"/>
  <c r="O357" i="20" s="1"/>
  <c r="O358" i="20" a="1"/>
  <c r="O358" i="20" s="1"/>
  <c r="O359" i="20" a="1"/>
  <c r="O359" i="20"/>
  <c r="O360" i="20" a="1"/>
  <c r="O360" i="20" s="1"/>
  <c r="O361" i="20" a="1"/>
  <c r="O361" i="20" s="1"/>
  <c r="O362" i="20" a="1"/>
  <c r="O362" i="20" s="1"/>
  <c r="O363" i="20" a="1"/>
  <c r="O363" i="20" s="1"/>
  <c r="O364" i="20" a="1"/>
  <c r="O364" i="20" s="1"/>
  <c r="O365" i="20" a="1"/>
  <c r="O365" i="20" s="1"/>
  <c r="O366" i="20" a="1"/>
  <c r="O366" i="20"/>
  <c r="O367" i="20" a="1"/>
  <c r="O367" i="20"/>
  <c r="O368" i="20" a="1"/>
  <c r="O368" i="20"/>
  <c r="O369" i="20" a="1"/>
  <c r="O369" i="20" s="1"/>
  <c r="O370" i="20" a="1"/>
  <c r="O370" i="20" s="1"/>
  <c r="O371" i="20" a="1"/>
  <c r="O371" i="20" s="1"/>
  <c r="O372" i="20" a="1"/>
  <c r="O372" i="20" s="1"/>
  <c r="O373" i="20" a="1"/>
  <c r="O373" i="20" s="1"/>
  <c r="O374" i="20" a="1"/>
  <c r="O374" i="20" s="1"/>
  <c r="O375" i="20" a="1"/>
  <c r="O375" i="20"/>
  <c r="O376" i="20" a="1"/>
  <c r="O376" i="20" s="1"/>
  <c r="O377" i="20" a="1"/>
  <c r="O377" i="20" s="1"/>
  <c r="O378" i="20" a="1"/>
  <c r="O378" i="20" s="1"/>
  <c r="O379" i="20" a="1"/>
  <c r="O379" i="20" s="1"/>
  <c r="O380" i="20" a="1"/>
  <c r="O380" i="20" s="1"/>
  <c r="O381" i="20" a="1"/>
  <c r="O381" i="20" s="1"/>
  <c r="O382" i="20" a="1"/>
  <c r="O382" i="20"/>
  <c r="O383" i="20" a="1"/>
  <c r="O383" i="20" s="1"/>
  <c r="O384" i="20" a="1"/>
  <c r="O384" i="20"/>
  <c r="O385" i="20" a="1"/>
  <c r="O385" i="20" s="1"/>
  <c r="O386" i="20" a="1"/>
  <c r="O386" i="20" s="1"/>
  <c r="O387" i="20" a="1"/>
  <c r="O387" i="20" s="1"/>
  <c r="O388" i="20" a="1"/>
  <c r="O388" i="20" s="1"/>
  <c r="O389" i="20" a="1"/>
  <c r="O389" i="20" s="1"/>
  <c r="O390" i="20" a="1"/>
  <c r="O390" i="20" s="1"/>
  <c r="O391" i="20" a="1"/>
  <c r="O391" i="20" s="1"/>
  <c r="O392" i="20" a="1"/>
  <c r="O392" i="20" s="1"/>
  <c r="O393" i="20" a="1"/>
  <c r="O393" i="20" s="1"/>
  <c r="O394" i="20" a="1"/>
  <c r="O394" i="20" s="1"/>
  <c r="O395" i="20" a="1"/>
  <c r="O395" i="20" s="1"/>
  <c r="O396" i="20" a="1"/>
  <c r="O396" i="20" s="1"/>
  <c r="O397" i="20" a="1"/>
  <c r="O397" i="20" s="1"/>
  <c r="O398" i="20" a="1"/>
  <c r="O398" i="20" s="1"/>
  <c r="O399" i="20" a="1"/>
  <c r="O399" i="20" s="1"/>
  <c r="O400" i="20" a="1"/>
  <c r="O400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/>
  <c r="P42" i="20" a="1"/>
  <c r="P42" i="20" s="1"/>
  <c r="P43" i="20" a="1"/>
  <c r="P43" i="20" s="1"/>
  <c r="P44" i="20" a="1"/>
  <c r="P44" i="20" s="1"/>
  <c r="P45" i="20" a="1"/>
  <c r="P45" i="20" s="1"/>
  <c r="P46" i="20" a="1"/>
  <c r="P46" i="20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 s="1"/>
  <c r="P167" i="20" a="1"/>
  <c r="P167" i="20" s="1"/>
  <c r="P168" i="20" a="1"/>
  <c r="P168" i="20" s="1"/>
  <c r="P169" i="20" a="1"/>
  <c r="P169" i="20" s="1"/>
  <c r="P170" i="20" a="1"/>
  <c r="P170" i="20" s="1"/>
  <c r="P171" i="20" a="1"/>
  <c r="P171" i="20" s="1"/>
  <c r="P172" i="20" a="1"/>
  <c r="P172" i="20" s="1"/>
  <c r="P173" i="20" a="1"/>
  <c r="P173" i="20" s="1"/>
  <c r="P174" i="20" a="1"/>
  <c r="P174" i="20" s="1"/>
  <c r="P175" i="20" a="1"/>
  <c r="P175" i="20" s="1"/>
  <c r="P176" i="20" a="1"/>
  <c r="P176" i="20" s="1"/>
  <c r="P177" i="20" a="1"/>
  <c r="P177" i="20" s="1"/>
  <c r="P178" i="20" a="1"/>
  <c r="P178" i="20" s="1"/>
  <c r="P179" i="20" a="1"/>
  <c r="P179" i="20" s="1"/>
  <c r="P180" i="20" a="1"/>
  <c r="P180" i="20"/>
  <c r="P181" i="20" a="1"/>
  <c r="P181" i="20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 s="1"/>
  <c r="P187" i="20" a="1"/>
  <c r="P187" i="20" s="1"/>
  <c r="P188" i="20" a="1"/>
  <c r="P188" i="20"/>
  <c r="P189" i="20" a="1"/>
  <c r="P189" i="20" s="1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 s="1"/>
  <c r="P195" i="20" a="1"/>
  <c r="P195" i="20" s="1"/>
  <c r="P196" i="20" a="1"/>
  <c r="P196" i="20" s="1"/>
  <c r="P197" i="20" a="1"/>
  <c r="P197" i="20" s="1"/>
  <c r="P198" i="20" a="1"/>
  <c r="P198" i="20" s="1"/>
  <c r="P199" i="20" a="1"/>
  <c r="P199" i="20" s="1"/>
  <c r="P200" i="20" a="1"/>
  <c r="P200" i="20" s="1"/>
  <c r="P201" i="20" a="1"/>
  <c r="P201" i="20" s="1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 s="1"/>
  <c r="P208" i="20" a="1"/>
  <c r="P208" i="20" s="1"/>
  <c r="P209" i="20" a="1"/>
  <c r="P209" i="20" s="1"/>
  <c r="P210" i="20" a="1"/>
  <c r="P210" i="20" s="1"/>
  <c r="P211" i="20" a="1"/>
  <c r="P211" i="20" s="1"/>
  <c r="P212" i="20" a="1"/>
  <c r="P212" i="20" s="1"/>
  <c r="P213" i="20" a="1"/>
  <c r="P213" i="20" s="1"/>
  <c r="P214" i="20" a="1"/>
  <c r="P214" i="20" s="1"/>
  <c r="P215" i="20" a="1"/>
  <c r="P215" i="20" s="1"/>
  <c r="P216" i="20" a="1"/>
  <c r="P216" i="20" s="1"/>
  <c r="P217" i="20" a="1"/>
  <c r="P217" i="20" s="1"/>
  <c r="P218" i="20" a="1"/>
  <c r="P218" i="20" s="1"/>
  <c r="P219" i="20" a="1"/>
  <c r="P219" i="20" s="1"/>
  <c r="P220" i="20" a="1"/>
  <c r="P220" i="20" s="1"/>
  <c r="P221" i="20" a="1"/>
  <c r="P221" i="20" s="1"/>
  <c r="P222" i="20" a="1"/>
  <c r="P222" i="20" s="1"/>
  <c r="P223" i="20" a="1"/>
  <c r="P223" i="20" s="1"/>
  <c r="P224" i="20" a="1"/>
  <c r="P224" i="20" s="1"/>
  <c r="P225" i="20" a="1"/>
  <c r="P225" i="20" s="1"/>
  <c r="P226" i="20" a="1"/>
  <c r="P226" i="20" s="1"/>
  <c r="P227" i="20" a="1"/>
  <c r="P227" i="20" s="1"/>
  <c r="P228" i="20" a="1"/>
  <c r="P228" i="20" s="1"/>
  <c r="P229" i="20" a="1"/>
  <c r="P229" i="20" s="1"/>
  <c r="P230" i="20" a="1"/>
  <c r="P230" i="20" s="1"/>
  <c r="P231" i="20" a="1"/>
  <c r="P231" i="20" s="1"/>
  <c r="P232" i="20" a="1"/>
  <c r="P232" i="20" s="1"/>
  <c r="P233" i="20" a="1"/>
  <c r="P233" i="20" s="1"/>
  <c r="P234" i="20" a="1"/>
  <c r="P234" i="20" s="1"/>
  <c r="P235" i="20" a="1"/>
  <c r="P235" i="20" s="1"/>
  <c r="P236" i="20" a="1"/>
  <c r="P236" i="20" s="1"/>
  <c r="P237" i="20" a="1"/>
  <c r="P237" i="20" s="1"/>
  <c r="P238" i="20" a="1"/>
  <c r="P238" i="20" s="1"/>
  <c r="P239" i="20" a="1"/>
  <c r="P239" i="20" s="1"/>
  <c r="P240" i="20" a="1"/>
  <c r="P240" i="20" s="1"/>
  <c r="P241" i="20" a="1"/>
  <c r="P241" i="20" s="1"/>
  <c r="P242" i="20" a="1"/>
  <c r="P242" i="20" s="1"/>
  <c r="P243" i="20" a="1"/>
  <c r="P243" i="20" s="1"/>
  <c r="P244" i="20" a="1"/>
  <c r="P244" i="20" s="1"/>
  <c r="P245" i="20" a="1"/>
  <c r="P245" i="20" s="1"/>
  <c r="P246" i="20" a="1"/>
  <c r="P246" i="20" s="1"/>
  <c r="P247" i="20" a="1"/>
  <c r="P247" i="20" s="1"/>
  <c r="P248" i="20" a="1"/>
  <c r="P248" i="20" s="1"/>
  <c r="P249" i="20" a="1"/>
  <c r="P249" i="20" s="1"/>
  <c r="P250" i="20" a="1"/>
  <c r="P250" i="20" s="1"/>
  <c r="P251" i="20" a="1"/>
  <c r="P251" i="20" s="1"/>
  <c r="P252" i="20" a="1"/>
  <c r="P252" i="20" s="1"/>
  <c r="P253" i="20" a="1"/>
  <c r="P253" i="20" s="1"/>
  <c r="P254" i="20" a="1"/>
  <c r="P254" i="20" s="1"/>
  <c r="P255" i="20" a="1"/>
  <c r="P255" i="20" s="1"/>
  <c r="P256" i="20" a="1"/>
  <c r="P256" i="20" s="1"/>
  <c r="P257" i="20" a="1"/>
  <c r="P257" i="20" s="1"/>
  <c r="P258" i="20" a="1"/>
  <c r="P258" i="20" s="1"/>
  <c r="P259" i="20" a="1"/>
  <c r="P259" i="20" s="1"/>
  <c r="P260" i="20" a="1"/>
  <c r="P260" i="20" s="1"/>
  <c r="P261" i="20" a="1"/>
  <c r="P261" i="20" s="1"/>
  <c r="P262" i="20" a="1"/>
  <c r="P262" i="20" s="1"/>
  <c r="P263" i="20" a="1"/>
  <c r="P263" i="20" s="1"/>
  <c r="P264" i="20" a="1"/>
  <c r="P264" i="20" s="1"/>
  <c r="P265" i="20" a="1"/>
  <c r="P265" i="20" s="1"/>
  <c r="P266" i="20" a="1"/>
  <c r="P266" i="20" s="1"/>
  <c r="P267" i="20" a="1"/>
  <c r="P267" i="20" s="1"/>
  <c r="P268" i="20" a="1"/>
  <c r="P268" i="20" s="1"/>
  <c r="P269" i="20" a="1"/>
  <c r="P269" i="20" s="1"/>
  <c r="P270" i="20" a="1"/>
  <c r="P270" i="20" s="1"/>
  <c r="P271" i="20" a="1"/>
  <c r="P271" i="20" s="1"/>
  <c r="P272" i="20" a="1"/>
  <c r="P272" i="20" s="1"/>
  <c r="P273" i="20" a="1"/>
  <c r="P273" i="20" s="1"/>
  <c r="P274" i="20" a="1"/>
  <c r="P274" i="20" s="1"/>
  <c r="P275" i="20" a="1"/>
  <c r="P275" i="20" s="1"/>
  <c r="P276" i="20" a="1"/>
  <c r="P276" i="20" s="1"/>
  <c r="P277" i="20" a="1"/>
  <c r="P277" i="20" s="1"/>
  <c r="P278" i="20" a="1"/>
  <c r="P278" i="20" s="1"/>
  <c r="P279" i="20" a="1"/>
  <c r="P279" i="20" s="1"/>
  <c r="P280" i="20" a="1"/>
  <c r="P280" i="20" s="1"/>
  <c r="P281" i="20" a="1"/>
  <c r="P281" i="20" s="1"/>
  <c r="P282" i="20" a="1"/>
  <c r="P282" i="20" s="1"/>
  <c r="P283" i="20" a="1"/>
  <c r="P283" i="20" s="1"/>
  <c r="P284" i="20" a="1"/>
  <c r="P284" i="20" s="1"/>
  <c r="P285" i="20" a="1"/>
  <c r="P285" i="20" s="1"/>
  <c r="P286" i="20" a="1"/>
  <c r="P286" i="20" s="1"/>
  <c r="P287" i="20" a="1"/>
  <c r="P287" i="20" s="1"/>
  <c r="P288" i="20" a="1"/>
  <c r="P288" i="20" s="1"/>
  <c r="P289" i="20" a="1"/>
  <c r="P289" i="20" s="1"/>
  <c r="P290" i="20" a="1"/>
  <c r="P290" i="20" s="1"/>
  <c r="P291" i="20" a="1"/>
  <c r="P291" i="20" s="1"/>
  <c r="P292" i="20" a="1"/>
  <c r="P292" i="20" s="1"/>
  <c r="P293" i="20" a="1"/>
  <c r="P293" i="20" s="1"/>
  <c r="P294" i="20" a="1"/>
  <c r="P294" i="20" s="1"/>
  <c r="P295" i="20" a="1"/>
  <c r="P295" i="20" s="1"/>
  <c r="P296" i="20" a="1"/>
  <c r="P296" i="20" s="1"/>
  <c r="P297" i="20" a="1"/>
  <c r="P297" i="20" s="1"/>
  <c r="P298" i="20" a="1"/>
  <c r="P298" i="20" s="1"/>
  <c r="P299" i="20" a="1"/>
  <c r="P299" i="20" s="1"/>
  <c r="P300" i="20" a="1"/>
  <c r="P300" i="20" s="1"/>
  <c r="P301" i="20" a="1"/>
  <c r="P301" i="20" s="1"/>
  <c r="P302" i="20" a="1"/>
  <c r="P302" i="20" s="1"/>
  <c r="P303" i="20" a="1"/>
  <c r="P303" i="20" s="1"/>
  <c r="P304" i="20" a="1"/>
  <c r="P304" i="20" s="1"/>
  <c r="P305" i="20" a="1"/>
  <c r="P305" i="20" s="1"/>
  <c r="P306" i="20" a="1"/>
  <c r="P306" i="20" s="1"/>
  <c r="P307" i="20" a="1"/>
  <c r="P307" i="20" s="1"/>
  <c r="P308" i="20" a="1"/>
  <c r="P308" i="20" s="1"/>
  <c r="P309" i="20" a="1"/>
  <c r="P309" i="20" s="1"/>
  <c r="P310" i="20" a="1"/>
  <c r="P310" i="20" s="1"/>
  <c r="P311" i="20" a="1"/>
  <c r="P311" i="20" s="1"/>
  <c r="P312" i="20" a="1"/>
  <c r="P312" i="20" s="1"/>
  <c r="P313" i="20" a="1"/>
  <c r="P313" i="20" s="1"/>
  <c r="P314" i="20" a="1"/>
  <c r="P314" i="20" s="1"/>
  <c r="P315" i="20" a="1"/>
  <c r="P315" i="20" s="1"/>
  <c r="P316" i="20" a="1"/>
  <c r="P316" i="20" s="1"/>
  <c r="P317" i="20" a="1"/>
  <c r="P317" i="20" s="1"/>
  <c r="P318" i="20" a="1"/>
  <c r="P318" i="20" s="1"/>
  <c r="P319" i="20" a="1"/>
  <c r="P319" i="20" s="1"/>
  <c r="P320" i="20" a="1"/>
  <c r="P320" i="20" s="1"/>
  <c r="P321" i="20" a="1"/>
  <c r="P321" i="20" s="1"/>
  <c r="P322" i="20" a="1"/>
  <c r="P322" i="20" s="1"/>
  <c r="P323" i="20" a="1"/>
  <c r="P323" i="20" s="1"/>
  <c r="P324" i="20" a="1"/>
  <c r="P324" i="20" s="1"/>
  <c r="P325" i="20" a="1"/>
  <c r="P325" i="20" s="1"/>
  <c r="P326" i="20" a="1"/>
  <c r="P326" i="20" s="1"/>
  <c r="P327" i="20" a="1"/>
  <c r="P327" i="20" s="1"/>
  <c r="P328" i="20" a="1"/>
  <c r="P328" i="20" s="1"/>
  <c r="P329" i="20" a="1"/>
  <c r="P329" i="20" s="1"/>
  <c r="P330" i="20" a="1"/>
  <c r="P330" i="20" s="1"/>
  <c r="P331" i="20" a="1"/>
  <c r="P331" i="20" s="1"/>
  <c r="P332" i="20" a="1"/>
  <c r="P332" i="20" s="1"/>
  <c r="P333" i="20" a="1"/>
  <c r="P333" i="20" s="1"/>
  <c r="P334" i="20" a="1"/>
  <c r="P334" i="20" s="1"/>
  <c r="P335" i="20" a="1"/>
  <c r="P335" i="20" s="1"/>
  <c r="P336" i="20" a="1"/>
  <c r="P336" i="20" s="1"/>
  <c r="P337" i="20" a="1"/>
  <c r="P337" i="20" s="1"/>
  <c r="P338" i="20" a="1"/>
  <c r="P338" i="20" s="1"/>
  <c r="P339" i="20" a="1"/>
  <c r="P339" i="20" s="1"/>
  <c r="P340" i="20" a="1"/>
  <c r="P340" i="20" s="1"/>
  <c r="P341" i="20" a="1"/>
  <c r="P341" i="20" s="1"/>
  <c r="P342" i="20" a="1"/>
  <c r="P342" i="20" s="1"/>
  <c r="P343" i="20" a="1"/>
  <c r="P343" i="20" s="1"/>
  <c r="P344" i="20" a="1"/>
  <c r="P344" i="20" s="1"/>
  <c r="P345" i="20" a="1"/>
  <c r="P345" i="20" s="1"/>
  <c r="P346" i="20" a="1"/>
  <c r="P346" i="20" s="1"/>
  <c r="P347" i="20" a="1"/>
  <c r="P347" i="20" s="1"/>
  <c r="P348" i="20" a="1"/>
  <c r="P348" i="20" s="1"/>
  <c r="P349" i="20" a="1"/>
  <c r="P349" i="20" s="1"/>
  <c r="P350" i="20" a="1"/>
  <c r="P350" i="20" s="1"/>
  <c r="P351" i="20" a="1"/>
  <c r="P351" i="20" s="1"/>
  <c r="P352" i="20" a="1"/>
  <c r="P352" i="20" s="1"/>
  <c r="P353" i="20" a="1"/>
  <c r="P353" i="20" s="1"/>
  <c r="P354" i="20" a="1"/>
  <c r="P354" i="20" s="1"/>
  <c r="P355" i="20" a="1"/>
  <c r="P355" i="20" s="1"/>
  <c r="P356" i="20" a="1"/>
  <c r="P356" i="20" s="1"/>
  <c r="P357" i="20" a="1"/>
  <c r="P357" i="20" s="1"/>
  <c r="P358" i="20" a="1"/>
  <c r="P358" i="20" s="1"/>
  <c r="P359" i="20" a="1"/>
  <c r="P359" i="20" s="1"/>
  <c r="P360" i="20" a="1"/>
  <c r="P360" i="20" s="1"/>
  <c r="P361" i="20" a="1"/>
  <c r="P361" i="20" s="1"/>
  <c r="P362" i="20" a="1"/>
  <c r="P362" i="20" s="1"/>
  <c r="P363" i="20" a="1"/>
  <c r="P363" i="20" s="1"/>
  <c r="P364" i="20" a="1"/>
  <c r="P364" i="20" s="1"/>
  <c r="P365" i="20" a="1"/>
  <c r="P365" i="20" s="1"/>
  <c r="P366" i="20" a="1"/>
  <c r="P366" i="20" s="1"/>
  <c r="P367" i="20" a="1"/>
  <c r="P367" i="20" s="1"/>
  <c r="P368" i="20" a="1"/>
  <c r="P368" i="20" s="1"/>
  <c r="P369" i="20" a="1"/>
  <c r="P369" i="20" s="1"/>
  <c r="P370" i="20" a="1"/>
  <c r="P370" i="20" s="1"/>
  <c r="P371" i="20" a="1"/>
  <c r="P371" i="20" s="1"/>
  <c r="P372" i="20" a="1"/>
  <c r="P372" i="20" s="1"/>
  <c r="P373" i="20" a="1"/>
  <c r="P373" i="20" s="1"/>
  <c r="P374" i="20" a="1"/>
  <c r="P374" i="20" s="1"/>
  <c r="P375" i="20" a="1"/>
  <c r="P375" i="20" s="1"/>
  <c r="P376" i="20" a="1"/>
  <c r="P376" i="20" s="1"/>
  <c r="P377" i="20" a="1"/>
  <c r="P377" i="20" s="1"/>
  <c r="P378" i="20" a="1"/>
  <c r="P378" i="20" s="1"/>
  <c r="P379" i="20" a="1"/>
  <c r="P379" i="20" s="1"/>
  <c r="P380" i="20" a="1"/>
  <c r="P380" i="20" s="1"/>
  <c r="P381" i="20" a="1"/>
  <c r="P381" i="20" s="1"/>
  <c r="P382" i="20" a="1"/>
  <c r="P382" i="20" s="1"/>
  <c r="P383" i="20" a="1"/>
  <c r="P383" i="20" s="1"/>
  <c r="P384" i="20" a="1"/>
  <c r="P384" i="20" s="1"/>
  <c r="P385" i="20" a="1"/>
  <c r="P385" i="20" s="1"/>
  <c r="P386" i="20" a="1"/>
  <c r="P386" i="20" s="1"/>
  <c r="P387" i="20" a="1"/>
  <c r="P387" i="20" s="1"/>
  <c r="P388" i="20" a="1"/>
  <c r="P388" i="20" s="1"/>
  <c r="P389" i="20" a="1"/>
  <c r="P389" i="20" s="1"/>
  <c r="P390" i="20" a="1"/>
  <c r="P390" i="20" s="1"/>
  <c r="P391" i="20" a="1"/>
  <c r="P391" i="20" s="1"/>
  <c r="P392" i="20" a="1"/>
  <c r="P392" i="20" s="1"/>
  <c r="P393" i="20" a="1"/>
  <c r="P393" i="20" s="1"/>
  <c r="P394" i="20" a="1"/>
  <c r="P394" i="20" s="1"/>
  <c r="P395" i="20" a="1"/>
  <c r="P395" i="20" s="1"/>
  <c r="P396" i="20" a="1"/>
  <c r="P396" i="20" s="1"/>
  <c r="P397" i="20" a="1"/>
  <c r="P397" i="20" s="1"/>
  <c r="P398" i="20" a="1"/>
  <c r="P398" i="20" s="1"/>
  <c r="P399" i="20" a="1"/>
  <c r="P399" i="20" s="1"/>
  <c r="P400" i="20" a="1"/>
  <c r="P400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O44" i="18" s="1" a="1"/>
  <c r="O44" i="18" s="1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O57" i="18" s="1" a="1"/>
  <c r="O57" i="18" s="1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O66" i="18" s="1" a="1"/>
  <c r="O66" i="18" s="1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O79" i="18" s="1" a="1"/>
  <c r="O79" i="18" s="1"/>
  <c r="M354" i="18"/>
  <c r="M355" i="18"/>
  <c r="M356" i="18"/>
  <c r="M357" i="18"/>
  <c r="M358" i="18"/>
  <c r="M359" i="18"/>
  <c r="M360" i="18"/>
  <c r="M361" i="18"/>
  <c r="M362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/>
  <c r="N20" i="18" a="1"/>
  <c r="N20" i="18" s="1"/>
  <c r="N21" i="18" a="1"/>
  <c r="N21" i="18" s="1"/>
  <c r="N22" i="18" a="1"/>
  <c r="N22" i="18" s="1"/>
  <c r="N23" i="18" a="1"/>
  <c r="N23" i="18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/>
  <c r="N52" i="18" a="1"/>
  <c r="N52" i="18" s="1"/>
  <c r="N53" i="18" a="1"/>
  <c r="N53" i="18" s="1"/>
  <c r="N54" i="18" a="1"/>
  <c r="N54" i="18" s="1"/>
  <c r="N55" i="18" a="1"/>
  <c r="N55" i="18"/>
  <c r="N56" i="18" a="1"/>
  <c r="N56" i="18" s="1"/>
  <c r="N57" i="18" a="1"/>
  <c r="N57" i="18" s="1"/>
  <c r="N58" i="18" a="1"/>
  <c r="N58" i="18" s="1"/>
  <c r="N59" i="18" a="1"/>
  <c r="N59" i="18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/>
  <c r="N88" i="18" a="1"/>
  <c r="N88" i="18" s="1"/>
  <c r="N89" i="18" a="1"/>
  <c r="N89" i="18" s="1"/>
  <c r="N90" i="18" a="1"/>
  <c r="N90" i="18" s="1"/>
  <c r="N91" i="18" a="1"/>
  <c r="N91" i="18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/>
  <c r="N171" i="18" a="1"/>
  <c r="N171" i="18" s="1"/>
  <c r="N172" i="18" a="1"/>
  <c r="N172" i="18" s="1"/>
  <c r="N173" i="18" a="1"/>
  <c r="N173" i="18" s="1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/>
  <c r="N203" i="18" a="1"/>
  <c r="N203" i="18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/>
  <c r="N210" i="18" a="1"/>
  <c r="N210" i="18" s="1"/>
  <c r="N211" i="18" a="1"/>
  <c r="N211" i="18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 s="1"/>
  <c r="N220" i="18" a="1"/>
  <c r="N220" i="18" s="1"/>
  <c r="N221" i="18" a="1"/>
  <c r="N221" i="18" s="1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/>
  <c r="N227" i="18" a="1"/>
  <c r="N227" i="18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/>
  <c r="N235" i="18" a="1"/>
  <c r="N235" i="18" s="1"/>
  <c r="N236" i="18" a="1"/>
  <c r="N236" i="18" s="1"/>
  <c r="N237" i="18" a="1"/>
  <c r="N237" i="18" s="1"/>
  <c r="N238" i="18" a="1"/>
  <c r="N238" i="18"/>
  <c r="N239" i="18" a="1"/>
  <c r="N239" i="18" s="1"/>
  <c r="N240" i="18" a="1"/>
  <c r="N240" i="18" s="1"/>
  <c r="N241" i="18" a="1"/>
  <c r="N241" i="18" s="1"/>
  <c r="N242" i="18" a="1"/>
  <c r="N242" i="18" s="1"/>
  <c r="N243" i="18" a="1"/>
  <c r="N243" i="18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/>
  <c r="N251" i="18" a="1"/>
  <c r="N251" i="18" s="1"/>
  <c r="N252" i="18" a="1"/>
  <c r="N252" i="18" s="1"/>
  <c r="N253" i="18" a="1"/>
  <c r="N253" i="18"/>
  <c r="N254" i="18" a="1"/>
  <c r="N254" i="18" s="1"/>
  <c r="N255" i="18" a="1"/>
  <c r="N255" i="18" s="1"/>
  <c r="N256" i="18" a="1"/>
  <c r="N256" i="18" s="1"/>
  <c r="N257" i="18" a="1"/>
  <c r="N257" i="18"/>
  <c r="N258" i="18" a="1"/>
  <c r="N258" i="18" s="1"/>
  <c r="N259" i="18" a="1"/>
  <c r="N259" i="18" s="1"/>
  <c r="N260" i="18" a="1"/>
  <c r="N260" i="18" s="1"/>
  <c r="N261" i="18" a="1"/>
  <c r="N261" i="18"/>
  <c r="N262" i="18" a="1"/>
  <c r="N262" i="18"/>
  <c r="N263" i="18" a="1"/>
  <c r="N263" i="18" s="1"/>
  <c r="N264" i="18" a="1"/>
  <c r="N264" i="18" s="1"/>
  <c r="N265" i="18" a="1"/>
  <c r="N265" i="18" s="1"/>
  <c r="N266" i="18" a="1"/>
  <c r="N266" i="18"/>
  <c r="N267" i="18" a="1"/>
  <c r="N267" i="18"/>
  <c r="N268" i="18" a="1"/>
  <c r="N268" i="18" s="1"/>
  <c r="N269" i="18" a="1"/>
  <c r="N269" i="18" s="1"/>
  <c r="N270" i="18" a="1"/>
  <c r="N270" i="18" s="1"/>
  <c r="N271" i="18" a="1"/>
  <c r="N271" i="18" s="1"/>
  <c r="N272" i="18" a="1"/>
  <c r="N272" i="18" s="1"/>
  <c r="N273" i="18" a="1"/>
  <c r="N273" i="18"/>
  <c r="N274" i="18" a="1"/>
  <c r="N274" i="18" s="1"/>
  <c r="N275" i="18" a="1"/>
  <c r="N275" i="18"/>
  <c r="N276" i="18" a="1"/>
  <c r="N276" i="18" s="1"/>
  <c r="N277" i="18" a="1"/>
  <c r="N277" i="18" s="1"/>
  <c r="N278" i="18" a="1"/>
  <c r="N278" i="18" s="1"/>
  <c r="N279" i="18" a="1"/>
  <c r="N279" i="18"/>
  <c r="N280" i="18" a="1"/>
  <c r="N280" i="18" s="1"/>
  <c r="N281" i="18" a="1"/>
  <c r="N281" i="18"/>
  <c r="N282" i="18" a="1"/>
  <c r="N282" i="18"/>
  <c r="N283" i="18" a="1"/>
  <c r="N283" i="18" s="1"/>
  <c r="N284" i="18" a="1"/>
  <c r="N284" i="18" s="1"/>
  <c r="N285" i="18" a="1"/>
  <c r="N285" i="18" s="1"/>
  <c r="N286" i="18" a="1"/>
  <c r="N286" i="18" s="1"/>
  <c r="N287" i="18" a="1"/>
  <c r="N287" i="18" s="1"/>
  <c r="N288" i="18" a="1"/>
  <c r="N288" i="18" s="1"/>
  <c r="N289" i="18" a="1"/>
  <c r="N289" i="18"/>
  <c r="N290" i="18" a="1"/>
  <c r="N290" i="18"/>
  <c r="N291" i="18" a="1"/>
  <c r="N291" i="18"/>
  <c r="N292" i="18" a="1"/>
  <c r="N292" i="18" s="1"/>
  <c r="N293" i="18" a="1"/>
  <c r="N293" i="18" s="1"/>
  <c r="N294" i="18" a="1"/>
  <c r="N294" i="18" s="1"/>
  <c r="N295" i="18" a="1"/>
  <c r="N295" i="18" s="1"/>
  <c r="N296" i="18" a="1"/>
  <c r="N296" i="18" s="1"/>
  <c r="N297" i="18" a="1"/>
  <c r="N297" i="18" s="1"/>
  <c r="N298" i="18" a="1"/>
  <c r="N298" i="18" s="1"/>
  <c r="N299" i="18" a="1"/>
  <c r="N299" i="18" s="1"/>
  <c r="N300" i="18" a="1"/>
  <c r="N300" i="18" s="1"/>
  <c r="N301" i="18" a="1"/>
  <c r="N301" i="18" s="1"/>
  <c r="N302" i="18" a="1"/>
  <c r="N302" i="18"/>
  <c r="N303" i="18" a="1"/>
  <c r="N303" i="18" s="1"/>
  <c r="N304" i="18" a="1"/>
  <c r="N304" i="18" s="1"/>
  <c r="N305" i="18" a="1"/>
  <c r="N305" i="18" s="1"/>
  <c r="N306" i="18" a="1"/>
  <c r="N306" i="18" s="1"/>
  <c r="N307" i="18" a="1"/>
  <c r="N307" i="18"/>
  <c r="N308" i="18" a="1"/>
  <c r="N308" i="18" s="1"/>
  <c r="N309" i="18" a="1"/>
  <c r="N309" i="18" s="1"/>
  <c r="N310" i="18" a="1"/>
  <c r="N310" i="18" s="1"/>
  <c r="N311" i="18" a="1"/>
  <c r="N311" i="18" s="1"/>
  <c r="N312" i="18" a="1"/>
  <c r="N312" i="18" s="1"/>
  <c r="N313" i="18" a="1"/>
  <c r="N313" i="18"/>
  <c r="N314" i="18" a="1"/>
  <c r="N314" i="18"/>
  <c r="N315" i="18" a="1"/>
  <c r="N315" i="18" s="1"/>
  <c r="N316" i="18" a="1"/>
  <c r="N316" i="18" s="1"/>
  <c r="N317" i="18" a="1"/>
  <c r="N317" i="18"/>
  <c r="N318" i="18" a="1"/>
  <c r="N318" i="18" s="1"/>
  <c r="N319" i="18" a="1"/>
  <c r="N319" i="18" s="1"/>
  <c r="N320" i="18" a="1"/>
  <c r="N320" i="18" s="1"/>
  <c r="N321" i="18" a="1"/>
  <c r="N321" i="18" s="1"/>
  <c r="N322" i="18" a="1"/>
  <c r="N322" i="18" s="1"/>
  <c r="N323" i="18" a="1"/>
  <c r="N323" i="18"/>
  <c r="N324" i="18" a="1"/>
  <c r="N324" i="18" s="1"/>
  <c r="N325" i="18" a="1"/>
  <c r="N325" i="18"/>
  <c r="N326" i="18" a="1"/>
  <c r="N326" i="18" s="1"/>
  <c r="N327" i="18" a="1"/>
  <c r="N327" i="18" s="1"/>
  <c r="N328" i="18" a="1"/>
  <c r="N328" i="18" s="1"/>
  <c r="N329" i="18" a="1"/>
  <c r="N329" i="18" s="1"/>
  <c r="N330" i="18" a="1"/>
  <c r="N330" i="18"/>
  <c r="N331" i="18" a="1"/>
  <c r="N331" i="18" s="1"/>
  <c r="N332" i="18" a="1"/>
  <c r="N332" i="18" s="1"/>
  <c r="N333" i="18" a="1"/>
  <c r="N333" i="18"/>
  <c r="N334" i="18" a="1"/>
  <c r="N334" i="18"/>
  <c r="N335" i="18" a="1"/>
  <c r="N335" i="18"/>
  <c r="N336" i="18" a="1"/>
  <c r="N336" i="18" s="1"/>
  <c r="N337" i="18" a="1"/>
  <c r="N337" i="18" s="1"/>
  <c r="N338" i="18" a="1"/>
  <c r="N338" i="18" s="1"/>
  <c r="N339" i="18" a="1"/>
  <c r="N339" i="18"/>
  <c r="N340" i="18" a="1"/>
  <c r="N340" i="18" s="1"/>
  <c r="N341" i="18" a="1"/>
  <c r="N341" i="18" s="1"/>
  <c r="N342" i="18" a="1"/>
  <c r="N342" i="18" s="1"/>
  <c r="N343" i="18" a="1"/>
  <c r="N343" i="18" s="1"/>
  <c r="N344" i="18" a="1"/>
  <c r="N344" i="18" s="1"/>
  <c r="N345" i="18" a="1"/>
  <c r="N345" i="18" s="1"/>
  <c r="N346" i="18" a="1"/>
  <c r="N346" i="18" s="1"/>
  <c r="N347" i="18" a="1"/>
  <c r="N347" i="18"/>
  <c r="N348" i="18" a="1"/>
  <c r="N348" i="18" s="1"/>
  <c r="N349" i="18" a="1"/>
  <c r="N349" i="18" s="1"/>
  <c r="N350" i="18" a="1"/>
  <c r="N350" i="18"/>
  <c r="N351" i="18" a="1"/>
  <c r="N351" i="18"/>
  <c r="N352" i="18" a="1"/>
  <c r="N352" i="18"/>
  <c r="N353" i="18" a="1"/>
  <c r="N353" i="18" s="1"/>
  <c r="N354" i="18" a="1"/>
  <c r="N354" i="18" s="1"/>
  <c r="N355" i="18" a="1"/>
  <c r="N355" i="18" s="1"/>
  <c r="N356" i="18" a="1"/>
  <c r="N356" i="18"/>
  <c r="N357" i="18" a="1"/>
  <c r="N357" i="18" s="1"/>
  <c r="N358" i="18" a="1"/>
  <c r="N358" i="18"/>
  <c r="N359" i="18" a="1"/>
  <c r="N359" i="18"/>
  <c r="N360" i="18" a="1"/>
  <c r="N360" i="18" s="1"/>
  <c r="N361" i="18" a="1"/>
  <c r="N361" i="18" s="1"/>
  <c r="N362" i="18" a="1"/>
  <c r="N362" i="18"/>
  <c r="O11" i="18" a="1"/>
  <c r="O11" i="18" s="1"/>
  <c r="O43" i="18" a="1"/>
  <c r="O43" i="18" s="1"/>
  <c r="O56" i="18" a="1"/>
  <c r="O56" i="18" s="1"/>
  <c r="O64" i="18" a="1"/>
  <c r="O64" i="18" s="1"/>
  <c r="O72" i="18" a="1"/>
  <c r="O72" i="18" s="1"/>
  <c r="O76" i="18" a="1"/>
  <c r="O76" i="18" s="1"/>
  <c r="O78" i="18" a="1"/>
  <c r="O78" i="18" s="1"/>
  <c r="O83" i="18" a="1"/>
  <c r="O83" i="18"/>
  <c r="O84" i="18" a="1"/>
  <c r="O84" i="18" s="1"/>
  <c r="O88" i="18" a="1"/>
  <c r="O88" i="18" s="1"/>
  <c r="O89" i="18" a="1"/>
  <c r="O89" i="18" s="1"/>
  <c r="O90" i="18" a="1"/>
  <c r="O90" i="18" s="1"/>
  <c r="O91" i="18" a="1"/>
  <c r="O91" i="18" s="1"/>
  <c r="O94" i="18" a="1"/>
  <c r="O94" i="18" s="1"/>
  <c r="O95" i="18" a="1"/>
  <c r="O95" i="18" s="1"/>
  <c r="O96" i="18" a="1"/>
  <c r="O96" i="18" s="1"/>
  <c r="O97" i="18" a="1"/>
  <c r="O97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 s="1"/>
  <c r="O105" i="18" a="1"/>
  <c r="O105" i="18"/>
  <c r="O106" i="18" a="1"/>
  <c r="O106" i="18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5" i="18" a="1"/>
  <c r="O115" i="18" s="1"/>
  <c r="O116" i="18" a="1"/>
  <c r="O116" i="18" s="1"/>
  <c r="O117" i="18" a="1"/>
  <c r="O117" i="18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 s="1"/>
  <c r="O123" i="18" a="1"/>
  <c r="O123" i="18" s="1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/>
  <c r="O147" i="18" a="1"/>
  <c r="O147" i="18"/>
  <c r="O148" i="18" a="1"/>
  <c r="O148" i="18" s="1"/>
  <c r="O149" i="18" a="1"/>
  <c r="O149" i="18" s="1"/>
  <c r="O150" i="18" a="1"/>
  <c r="O150" i="18" s="1"/>
  <c r="O151" i="18" a="1"/>
  <c r="O151" i="18" s="1"/>
  <c r="O152" i="18" a="1"/>
  <c r="O152" i="18" s="1"/>
  <c r="O153" i="18" a="1"/>
  <c r="O153" i="18" s="1"/>
  <c r="O154" i="18" a="1"/>
  <c r="O154" i="18" s="1"/>
  <c r="O155" i="18" a="1"/>
  <c r="O155" i="18"/>
  <c r="O156" i="18" a="1"/>
  <c r="O156" i="18" s="1"/>
  <c r="O157" i="18" a="1"/>
  <c r="O157" i="18" s="1"/>
  <c r="O158" i="18" a="1"/>
  <c r="O158" i="18"/>
  <c r="O159" i="18" a="1"/>
  <c r="O159" i="18" s="1"/>
  <c r="O160" i="18" a="1"/>
  <c r="O160" i="18" s="1"/>
  <c r="O161" i="18" a="1"/>
  <c r="O161" i="18"/>
  <c r="O162" i="18" a="1"/>
  <c r="O162" i="18" s="1"/>
  <c r="O163" i="18" a="1"/>
  <c r="O163" i="18" s="1"/>
  <c r="O164" i="18" a="1"/>
  <c r="O164" i="18" s="1"/>
  <c r="O165" i="18" a="1"/>
  <c r="O165" i="18" s="1"/>
  <c r="O166" i="18" a="1"/>
  <c r="O166" i="18" s="1"/>
  <c r="O167" i="18" a="1"/>
  <c r="O167" i="18" s="1"/>
  <c r="O168" i="18" a="1"/>
  <c r="O168" i="18" s="1"/>
  <c r="O169" i="18" a="1"/>
  <c r="O169" i="18"/>
  <c r="O170" i="18" a="1"/>
  <c r="O170" i="18"/>
  <c r="O171" i="18" a="1"/>
  <c r="O171" i="18" s="1"/>
  <c r="O172" i="18" a="1"/>
  <c r="O172" i="18" s="1"/>
  <c r="O173" i="18" a="1"/>
  <c r="O173" i="18" s="1"/>
  <c r="O174" i="18" a="1"/>
  <c r="O174" i="18" s="1"/>
  <c r="O175" i="18" a="1"/>
  <c r="O175" i="18"/>
  <c r="O176" i="18" a="1"/>
  <c r="O176" i="18" s="1"/>
  <c r="O177" i="18" a="1"/>
  <c r="O177" i="18" s="1"/>
  <c r="O178" i="18" a="1"/>
  <c r="O178" i="18"/>
  <c r="O179" i="18" a="1"/>
  <c r="O179" i="18"/>
  <c r="O180" i="18" a="1"/>
  <c r="O180" i="18" s="1"/>
  <c r="O181" i="18" a="1"/>
  <c r="O181" i="18" s="1"/>
  <c r="O182" i="18" a="1"/>
  <c r="O182" i="18" s="1"/>
  <c r="O183" i="18" a="1"/>
  <c r="O183" i="18" s="1"/>
  <c r="O184" i="18" a="1"/>
  <c r="O184" i="18" s="1"/>
  <c r="O185" i="18" a="1"/>
  <c r="O185" i="18" s="1"/>
  <c r="O186" i="18" a="1"/>
  <c r="O186" i="18" s="1"/>
  <c r="O187" i="18" a="1"/>
  <c r="O187" i="18"/>
  <c r="O188" i="18" a="1"/>
  <c r="O188" i="18" s="1"/>
  <c r="O189" i="18" a="1"/>
  <c r="O189" i="18" s="1"/>
  <c r="O190" i="18" a="1"/>
  <c r="O190" i="18" s="1"/>
  <c r="O191" i="18" a="1"/>
  <c r="O191" i="18" s="1"/>
  <c r="O192" i="18" a="1"/>
  <c r="O192" i="18" s="1"/>
  <c r="O193" i="18" a="1"/>
  <c r="O193" i="18" s="1"/>
  <c r="O194" i="18" a="1"/>
  <c r="O194" i="18" s="1"/>
  <c r="O195" i="18" a="1"/>
  <c r="O195" i="18"/>
  <c r="O196" i="18" a="1"/>
  <c r="O196" i="18" s="1"/>
  <c r="O197" i="18" a="1"/>
  <c r="O197" i="18" s="1"/>
  <c r="O198" i="18" a="1"/>
  <c r="O198" i="18"/>
  <c r="O199" i="18" a="1"/>
  <c r="O199" i="18" s="1"/>
  <c r="O200" i="18" a="1"/>
  <c r="O200" i="18" s="1"/>
  <c r="O201" i="18" a="1"/>
  <c r="O201" i="18" s="1"/>
  <c r="O202" i="18" a="1"/>
  <c r="O202" i="18"/>
  <c r="O203" i="18" a="1"/>
  <c r="O203" i="18"/>
  <c r="O204" i="18" a="1"/>
  <c r="O204" i="18" s="1"/>
  <c r="O205" i="18" a="1"/>
  <c r="O205" i="18" s="1"/>
  <c r="O206" i="18" a="1"/>
  <c r="O206" i="18" s="1"/>
  <c r="O207" i="18" a="1"/>
  <c r="O207" i="18" s="1"/>
  <c r="O208" i="18" a="1"/>
  <c r="O208" i="18" s="1"/>
  <c r="O209" i="18" a="1"/>
  <c r="O209" i="18" s="1"/>
  <c r="O210" i="18" a="1"/>
  <c r="O210" i="18" s="1"/>
  <c r="O211" i="18" a="1"/>
  <c r="O211" i="18" s="1"/>
  <c r="O212" i="18" a="1"/>
  <c r="O212" i="18" s="1"/>
  <c r="O213" i="18" a="1"/>
  <c r="O213" i="18" s="1"/>
  <c r="O214" i="18" a="1"/>
  <c r="O214" i="18" s="1"/>
  <c r="O215" i="18" a="1"/>
  <c r="O215" i="18" s="1"/>
  <c r="O216" i="18" a="1"/>
  <c r="O216" i="18" s="1"/>
  <c r="O217" i="18" a="1"/>
  <c r="O217" i="18"/>
  <c r="O218" i="18" a="1"/>
  <c r="O218" i="18" s="1"/>
  <c r="O219" i="18" a="1"/>
  <c r="O219" i="18"/>
  <c r="O220" i="18" a="1"/>
  <c r="O220" i="18" s="1"/>
  <c r="O221" i="18" a="1"/>
  <c r="O221" i="18"/>
  <c r="O222" i="18" a="1"/>
  <c r="O222" i="18" s="1"/>
  <c r="O223" i="18" a="1"/>
  <c r="O223" i="18" s="1"/>
  <c r="O224" i="18" a="1"/>
  <c r="O224" i="18" s="1"/>
  <c r="O225" i="18" a="1"/>
  <c r="O225" i="18" s="1"/>
  <c r="O226" i="18" a="1"/>
  <c r="O226" i="18" s="1"/>
  <c r="O227" i="18" a="1"/>
  <c r="O227" i="18" s="1"/>
  <c r="O228" i="18" a="1"/>
  <c r="O228" i="18"/>
  <c r="O229" i="18" a="1"/>
  <c r="O229" i="18" s="1"/>
  <c r="O230" i="18" a="1"/>
  <c r="O230" i="18" s="1"/>
  <c r="O231" i="18" a="1"/>
  <c r="O231" i="18" s="1"/>
  <c r="O232" i="18" a="1"/>
  <c r="O232" i="18" s="1"/>
  <c r="O233" i="18" a="1"/>
  <c r="O233" i="18" s="1"/>
  <c r="O234" i="18" a="1"/>
  <c r="O234" i="18" s="1"/>
  <c r="O235" i="18" a="1"/>
  <c r="O235" i="18" s="1"/>
  <c r="O236" i="18" a="1"/>
  <c r="O236" i="18" s="1"/>
  <c r="O237" i="18" a="1"/>
  <c r="O237" i="18" s="1"/>
  <c r="O238" i="18" a="1"/>
  <c r="O238" i="18" s="1"/>
  <c r="O239" i="18" a="1"/>
  <c r="O239" i="18" s="1"/>
  <c r="O240" i="18" a="1"/>
  <c r="O240" i="18"/>
  <c r="O241" i="18" a="1"/>
  <c r="O241" i="18" s="1"/>
  <c r="O242" i="18" a="1"/>
  <c r="O242" i="18" s="1"/>
  <c r="O243" i="18" a="1"/>
  <c r="O243" i="18" s="1"/>
  <c r="O244" i="18" a="1"/>
  <c r="O244" i="18"/>
  <c r="O245" i="18" a="1"/>
  <c r="O245" i="18" s="1"/>
  <c r="O246" i="18" a="1"/>
  <c r="O246" i="18" s="1"/>
  <c r="O247" i="18" a="1"/>
  <c r="O247" i="18" s="1"/>
  <c r="O248" i="18" a="1"/>
  <c r="O248" i="18" s="1"/>
  <c r="O249" i="18" a="1"/>
  <c r="O249" i="18" s="1"/>
  <c r="O250" i="18" a="1"/>
  <c r="O250" i="18" s="1"/>
  <c r="O251" i="18" a="1"/>
  <c r="O251" i="18"/>
  <c r="O252" i="18" a="1"/>
  <c r="O252" i="18" s="1"/>
  <c r="O253" i="18" a="1"/>
  <c r="O253" i="18" s="1"/>
  <c r="O254" i="18" a="1"/>
  <c r="O254" i="18" s="1"/>
  <c r="O255" i="18" a="1"/>
  <c r="O255" i="18" s="1"/>
  <c r="O256" i="18" a="1"/>
  <c r="O256" i="18" s="1"/>
  <c r="O257" i="18" a="1"/>
  <c r="O257" i="18" s="1"/>
  <c r="O258" i="18" a="1"/>
  <c r="O258" i="18" s="1"/>
  <c r="O259" i="18" a="1"/>
  <c r="O259" i="18" s="1"/>
  <c r="O260" i="18" a="1"/>
  <c r="O260" i="18"/>
  <c r="O261" i="18" a="1"/>
  <c r="O261" i="18" s="1"/>
  <c r="O262" i="18" a="1"/>
  <c r="O262" i="18" s="1"/>
  <c r="O263" i="18" a="1"/>
  <c r="O263" i="18"/>
  <c r="O264" i="18" a="1"/>
  <c r="O264" i="18" s="1"/>
  <c r="O265" i="18" a="1"/>
  <c r="O265" i="18" s="1"/>
  <c r="O266" i="18" a="1"/>
  <c r="O266" i="18" s="1"/>
  <c r="O267" i="18" a="1"/>
  <c r="O267" i="18" s="1"/>
  <c r="O268" i="18" a="1"/>
  <c r="O268" i="18" s="1"/>
  <c r="O269" i="18" a="1"/>
  <c r="O269" i="18" s="1"/>
  <c r="O270" i="18" a="1"/>
  <c r="O270" i="18" s="1"/>
  <c r="O271" i="18" a="1"/>
  <c r="O271" i="18" s="1"/>
  <c r="O272" i="18" a="1"/>
  <c r="O272" i="18" s="1"/>
  <c r="O273" i="18" a="1"/>
  <c r="O273" i="18"/>
  <c r="O274" i="18" a="1"/>
  <c r="O274" i="18" s="1"/>
  <c r="O275" i="18" a="1"/>
  <c r="O275" i="18" s="1"/>
  <c r="O276" i="18" a="1"/>
  <c r="O276" i="18" s="1"/>
  <c r="O277" i="18" a="1"/>
  <c r="O277" i="18" s="1"/>
  <c r="O278" i="18" a="1"/>
  <c r="O278" i="18" s="1"/>
  <c r="O279" i="18" a="1"/>
  <c r="O279" i="18" s="1"/>
  <c r="O280" i="18" a="1"/>
  <c r="O280" i="18" s="1"/>
  <c r="O281" i="18" a="1"/>
  <c r="O281" i="18" s="1"/>
  <c r="O282" i="18" a="1"/>
  <c r="O282" i="18" s="1"/>
  <c r="O283" i="18" a="1"/>
  <c r="O283" i="18"/>
  <c r="O284" i="18" a="1"/>
  <c r="O284" i="18" s="1"/>
  <c r="O285" i="18" a="1"/>
  <c r="O285" i="18"/>
  <c r="O286" i="18" a="1"/>
  <c r="O286" i="18" s="1"/>
  <c r="O287" i="18" a="1"/>
  <c r="O287" i="18"/>
  <c r="O288" i="18" a="1"/>
  <c r="O288" i="18" s="1"/>
  <c r="O289" i="18" a="1"/>
  <c r="O289" i="18" s="1"/>
  <c r="O290" i="18" a="1"/>
  <c r="O290" i="18" s="1"/>
  <c r="O291" i="18" a="1"/>
  <c r="O291" i="18" s="1"/>
  <c r="O292" i="18" a="1"/>
  <c r="O292" i="18"/>
  <c r="O293" i="18" a="1"/>
  <c r="O293" i="18" s="1"/>
  <c r="O294" i="18" a="1"/>
  <c r="O294" i="18" s="1"/>
  <c r="O295" i="18" a="1"/>
  <c r="O295" i="18"/>
  <c r="O296" i="18" a="1"/>
  <c r="O296" i="18" s="1"/>
  <c r="O297" i="18" a="1"/>
  <c r="O297" i="18" s="1"/>
  <c r="O298" i="18" a="1"/>
  <c r="O298" i="18" s="1"/>
  <c r="O299" i="18" a="1"/>
  <c r="O299" i="18" s="1"/>
  <c r="O300" i="18" a="1"/>
  <c r="O300" i="18" s="1"/>
  <c r="O301" i="18" a="1"/>
  <c r="O301" i="18" s="1"/>
  <c r="O302" i="18" a="1"/>
  <c r="O302" i="18" s="1"/>
  <c r="O303" i="18" a="1"/>
  <c r="O303" i="18" s="1"/>
  <c r="O304" i="18" a="1"/>
  <c r="O304" i="18" s="1"/>
  <c r="O305" i="18" a="1"/>
  <c r="O305" i="18" s="1"/>
  <c r="O306" i="18" a="1"/>
  <c r="O306" i="18" s="1"/>
  <c r="O307" i="18" a="1"/>
  <c r="O307" i="18" s="1"/>
  <c r="O308" i="18" a="1"/>
  <c r="O308" i="18"/>
  <c r="O309" i="18" a="1"/>
  <c r="O309" i="18" s="1"/>
  <c r="O310" i="18" a="1"/>
  <c r="O310" i="18" s="1"/>
  <c r="O311" i="18" a="1"/>
  <c r="O311" i="18" s="1"/>
  <c r="O312" i="18" a="1"/>
  <c r="O312" i="18" s="1"/>
  <c r="O313" i="18" a="1"/>
  <c r="O313" i="18" s="1"/>
  <c r="O314" i="18" a="1"/>
  <c r="O314" i="18" s="1"/>
  <c r="O315" i="18" a="1"/>
  <c r="O315" i="18"/>
  <c r="O316" i="18" a="1"/>
  <c r="O316" i="18" s="1"/>
  <c r="O317" i="18" a="1"/>
  <c r="O317" i="18" s="1"/>
  <c r="O318" i="18" a="1"/>
  <c r="O318" i="18" s="1"/>
  <c r="O319" i="18" a="1"/>
  <c r="O319" i="18" s="1"/>
  <c r="O320" i="18" a="1"/>
  <c r="O320" i="18" s="1"/>
  <c r="O321" i="18" a="1"/>
  <c r="O321" i="18" s="1"/>
  <c r="O322" i="18" a="1"/>
  <c r="O322" i="18" s="1"/>
  <c r="O323" i="18" a="1"/>
  <c r="O323" i="18" s="1"/>
  <c r="O324" i="18" a="1"/>
  <c r="O324" i="18"/>
  <c r="O325" i="18" a="1"/>
  <c r="O325" i="18" s="1"/>
  <c r="O326" i="18" a="1"/>
  <c r="O326" i="18" s="1"/>
  <c r="O327" i="18" a="1"/>
  <c r="O327" i="18"/>
  <c r="O328" i="18" a="1"/>
  <c r="O328" i="18" s="1"/>
  <c r="O329" i="18" a="1"/>
  <c r="O329" i="18" s="1"/>
  <c r="O330" i="18" a="1"/>
  <c r="O330" i="18" s="1"/>
  <c r="O331" i="18" a="1"/>
  <c r="O331" i="18" s="1"/>
  <c r="O332" i="18" a="1"/>
  <c r="O332" i="18" s="1"/>
  <c r="O333" i="18" a="1"/>
  <c r="O333" i="18" s="1"/>
  <c r="O334" i="18" a="1"/>
  <c r="O334" i="18" s="1"/>
  <c r="O335" i="18" a="1"/>
  <c r="O335" i="18" s="1"/>
  <c r="O336" i="18" a="1"/>
  <c r="O336" i="18" s="1"/>
  <c r="O337" i="18" a="1"/>
  <c r="O337" i="18"/>
  <c r="O338" i="18" a="1"/>
  <c r="O338" i="18" s="1"/>
  <c r="O339" i="18" a="1"/>
  <c r="O339" i="18" s="1"/>
  <c r="O340" i="18" a="1"/>
  <c r="O340" i="18" s="1"/>
  <c r="O341" i="18" a="1"/>
  <c r="O341" i="18" s="1"/>
  <c r="O342" i="18" a="1"/>
  <c r="O342" i="18" s="1"/>
  <c r="O343" i="18" a="1"/>
  <c r="O343" i="18" s="1"/>
  <c r="O344" i="18" a="1"/>
  <c r="O344" i="18" s="1"/>
  <c r="O345" i="18" a="1"/>
  <c r="O345" i="18" s="1"/>
  <c r="O346" i="18" a="1"/>
  <c r="O346" i="18" s="1"/>
  <c r="O347" i="18" a="1"/>
  <c r="O347" i="18"/>
  <c r="O348" i="18" a="1"/>
  <c r="O348" i="18" s="1"/>
  <c r="O349" i="18" a="1"/>
  <c r="O349" i="18"/>
  <c r="O350" i="18" a="1"/>
  <c r="O350" i="18" s="1"/>
  <c r="O351" i="18" a="1"/>
  <c r="O351" i="18"/>
  <c r="O352" i="18" a="1"/>
  <c r="O352" i="18" s="1"/>
  <c r="O353" i="18" a="1"/>
  <c r="O353" i="18" s="1"/>
  <c r="O354" i="18" a="1"/>
  <c r="O354" i="18" s="1"/>
  <c r="O355" i="18" a="1"/>
  <c r="O355" i="18" s="1"/>
  <c r="O356" i="18" a="1"/>
  <c r="O356" i="18"/>
  <c r="O357" i="18" a="1"/>
  <c r="O357" i="18" s="1"/>
  <c r="O358" i="18" a="1"/>
  <c r="O358" i="18" s="1"/>
  <c r="O359" i="18" a="1"/>
  <c r="O359" i="18"/>
  <c r="O360" i="18" a="1"/>
  <c r="O360" i="18"/>
  <c r="O361" i="18" a="1"/>
  <c r="O361" i="18" s="1"/>
  <c r="O362" i="18" a="1"/>
  <c r="O362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R16" i="18" s="1"/>
  <c r="P17" i="18" a="1"/>
  <c r="P17" i="18" s="1"/>
  <c r="P18" i="18" a="1"/>
  <c r="P18" i="18"/>
  <c r="P19" i="18" a="1"/>
  <c r="P19" i="18" s="1"/>
  <c r="P20" i="18" a="1"/>
  <c r="P20" i="18" s="1"/>
  <c r="P21" i="18" a="1"/>
  <c r="P21" i="18" s="1"/>
  <c r="P22" i="18" a="1"/>
  <c r="P22" i="18"/>
  <c r="P23" i="18" a="1"/>
  <c r="P23" i="18" s="1"/>
  <c r="P24" i="18" a="1"/>
  <c r="P24" i="18" s="1"/>
  <c r="P25" i="18" a="1"/>
  <c r="P25" i="18" s="1"/>
  <c r="P26" i="18" a="1"/>
  <c r="P26" i="18" s="1"/>
  <c r="P27" i="18" a="1"/>
  <c r="P27" i="18"/>
  <c r="P28" i="18" a="1"/>
  <c r="P28" i="18" s="1"/>
  <c r="P29" i="18" a="1"/>
  <c r="P29" i="18" s="1"/>
  <c r="P30" i="18" a="1"/>
  <c r="P30" i="18"/>
  <c r="P31" i="18" a="1"/>
  <c r="P31" i="18" s="1"/>
  <c r="P32" i="18" a="1"/>
  <c r="P32" i="18" s="1"/>
  <c r="P33" i="18" a="1"/>
  <c r="P33" i="18" s="1"/>
  <c r="P34" i="18" a="1"/>
  <c r="P34" i="18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R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/>
  <c r="P51" i="18" a="1"/>
  <c r="P51" i="18" s="1"/>
  <c r="P52" i="18" a="1"/>
  <c r="P52" i="18" s="1"/>
  <c r="P53" i="18" a="1"/>
  <c r="P53" i="18" s="1"/>
  <c r="P54" i="18" a="1"/>
  <c r="P54" i="18"/>
  <c r="P55" i="18" a="1"/>
  <c r="P55" i="18" s="1"/>
  <c r="P56" i="18" a="1"/>
  <c r="P56" i="18" s="1"/>
  <c r="P57" i="18" a="1"/>
  <c r="P57" i="18" s="1"/>
  <c r="P58" i="18" a="1"/>
  <c r="P58" i="18" s="1"/>
  <c r="P59" i="18" a="1"/>
  <c r="P59" i="18"/>
  <c r="P60" i="18" a="1"/>
  <c r="P60" i="18" s="1"/>
  <c r="P61" i="18" a="1"/>
  <c r="P61" i="18" s="1"/>
  <c r="P62" i="18" a="1"/>
  <c r="P62" i="18"/>
  <c r="P63" i="18" a="1"/>
  <c r="P63" i="18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/>
  <c r="P126" i="18" a="1"/>
  <c r="P126" i="18" s="1"/>
  <c r="P127" i="18" a="1"/>
  <c r="P127" i="18" s="1"/>
  <c r="R127" i="18" s="1"/>
  <c r="P128" i="18" a="1"/>
  <c r="P128" i="18" s="1"/>
  <c r="P129" i="18" a="1"/>
  <c r="P129" i="18" s="1"/>
  <c r="P130" i="18" a="1"/>
  <c r="P130" i="18" s="1"/>
  <c r="P131" i="18" a="1"/>
  <c r="P131" i="18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/>
  <c r="P148" i="18" a="1"/>
  <c r="P148" i="18" s="1"/>
  <c r="P149" i="18" a="1"/>
  <c r="P149" i="18" s="1"/>
  <c r="P150" i="18" a="1"/>
  <c r="P150" i="18" s="1"/>
  <c r="P151" i="18" a="1"/>
  <c r="P151" i="18" s="1"/>
  <c r="P152" i="18" a="1"/>
  <c r="P152" i="18" s="1"/>
  <c r="P153" i="18" a="1"/>
  <c r="P153" i="18" s="1"/>
  <c r="P154" i="18" a="1"/>
  <c r="P154" i="18" s="1"/>
  <c r="P155" i="18" a="1"/>
  <c r="P155" i="18" s="1"/>
  <c r="P156" i="18" a="1"/>
  <c r="P156" i="18" s="1"/>
  <c r="P157" i="18" a="1"/>
  <c r="P157" i="18"/>
  <c r="P158" i="18" a="1"/>
  <c r="P158" i="18" s="1"/>
  <c r="P159" i="18" a="1"/>
  <c r="P159" i="18" s="1"/>
  <c r="P160" i="18" a="1"/>
  <c r="P160" i="18" s="1"/>
  <c r="P161" i="18" a="1"/>
  <c r="P161" i="18" s="1"/>
  <c r="P162" i="18" a="1"/>
  <c r="P162" i="18" s="1"/>
  <c r="P163" i="18" a="1"/>
  <c r="P163" i="18"/>
  <c r="P164" i="18" a="1"/>
  <c r="P164" i="18" s="1"/>
  <c r="P165" i="18" a="1"/>
  <c r="P165" i="18" s="1"/>
  <c r="P166" i="18" a="1"/>
  <c r="P166" i="18" s="1"/>
  <c r="P167" i="18" a="1"/>
  <c r="P167" i="18" s="1"/>
  <c r="P168" i="18" a="1"/>
  <c r="P168" i="18" s="1"/>
  <c r="P169" i="18" a="1"/>
  <c r="P169" i="18" s="1"/>
  <c r="P170" i="18" a="1"/>
  <c r="P170" i="18" s="1"/>
  <c r="P171" i="18" a="1"/>
  <c r="P171" i="18" s="1"/>
  <c r="P172" i="18" a="1"/>
  <c r="P172" i="18" s="1"/>
  <c r="P173" i="18" a="1"/>
  <c r="P173" i="18"/>
  <c r="P174" i="18" a="1"/>
  <c r="P174" i="18" s="1"/>
  <c r="P175" i="18" a="1"/>
  <c r="P175" i="18" s="1"/>
  <c r="P176" i="18" a="1"/>
  <c r="P176" i="18" s="1"/>
  <c r="P177" i="18" a="1"/>
  <c r="P177" i="18" s="1"/>
  <c r="P178" i="18" a="1"/>
  <c r="P178" i="18" s="1"/>
  <c r="P179" i="18" a="1"/>
  <c r="P179" i="18"/>
  <c r="P180" i="18" a="1"/>
  <c r="P180" i="18" s="1"/>
  <c r="P181" i="18" a="1"/>
  <c r="P181" i="18" s="1"/>
  <c r="P182" i="18" a="1"/>
  <c r="P182" i="18" s="1"/>
  <c r="P183" i="18" a="1"/>
  <c r="P183" i="18" s="1"/>
  <c r="P184" i="18" a="1"/>
  <c r="P184" i="18" s="1"/>
  <c r="P185" i="18" a="1"/>
  <c r="P185" i="18" s="1"/>
  <c r="P186" i="18" a="1"/>
  <c r="P186" i="18" s="1"/>
  <c r="P187" i="18" a="1"/>
  <c r="P187" i="18" s="1"/>
  <c r="P188" i="18" a="1"/>
  <c r="P188" i="18" s="1"/>
  <c r="P189" i="18" a="1"/>
  <c r="P189" i="18" s="1"/>
  <c r="P190" i="18" a="1"/>
  <c r="P190" i="18" s="1"/>
  <c r="P191" i="18" a="1"/>
  <c r="P191" i="18" s="1"/>
  <c r="P192" i="18" a="1"/>
  <c r="P192" i="18" s="1"/>
  <c r="P193" i="18" a="1"/>
  <c r="P193" i="18" s="1"/>
  <c r="P194" i="18" a="1"/>
  <c r="P194" i="18" s="1"/>
  <c r="P195" i="18" a="1"/>
  <c r="P195" i="18"/>
  <c r="P196" i="18" a="1"/>
  <c r="P196" i="18" s="1"/>
  <c r="P197" i="18" a="1"/>
  <c r="P197" i="18" s="1"/>
  <c r="P198" i="18" a="1"/>
  <c r="P198" i="18" s="1"/>
  <c r="P199" i="18" a="1"/>
  <c r="P199" i="18" s="1"/>
  <c r="P200" i="18" a="1"/>
  <c r="P200" i="18" s="1"/>
  <c r="P201" i="18" a="1"/>
  <c r="P201" i="18" s="1"/>
  <c r="P202" i="18" a="1"/>
  <c r="P202" i="18" s="1"/>
  <c r="P203" i="18" a="1"/>
  <c r="P203" i="18"/>
  <c r="P204" i="18" a="1"/>
  <c r="P204" i="18" s="1"/>
  <c r="P205" i="18" a="1"/>
  <c r="P205" i="18" s="1"/>
  <c r="P206" i="18" a="1"/>
  <c r="P206" i="18" s="1"/>
  <c r="P207" i="18" a="1"/>
  <c r="P207" i="18" s="1"/>
  <c r="P208" i="18" a="1"/>
  <c r="P208" i="18" s="1"/>
  <c r="P209" i="18" a="1"/>
  <c r="P209" i="18" s="1"/>
  <c r="P210" i="18" a="1"/>
  <c r="P210" i="18" s="1"/>
  <c r="P211" i="18" a="1"/>
  <c r="P211" i="18"/>
  <c r="P212" i="18" a="1"/>
  <c r="P212" i="18" s="1"/>
  <c r="P213" i="18" a="1"/>
  <c r="P213" i="18" s="1"/>
  <c r="P214" i="18" a="1"/>
  <c r="P214" i="18" s="1"/>
  <c r="P215" i="18" a="1"/>
  <c r="P215" i="18" s="1"/>
  <c r="P216" i="18" a="1"/>
  <c r="P216" i="18" s="1"/>
  <c r="P217" i="18" a="1"/>
  <c r="P217" i="18" s="1"/>
  <c r="P218" i="18" a="1"/>
  <c r="P218" i="18" s="1"/>
  <c r="P219" i="18" a="1"/>
  <c r="P219" i="18" s="1"/>
  <c r="P220" i="18" a="1"/>
  <c r="P220" i="18" s="1"/>
  <c r="P221" i="18" a="1"/>
  <c r="P221" i="18" s="1"/>
  <c r="P222" i="18" a="1"/>
  <c r="P222" i="18" s="1"/>
  <c r="P223" i="18" a="1"/>
  <c r="P223" i="18" s="1"/>
  <c r="P224" i="18" a="1"/>
  <c r="P224" i="18" s="1"/>
  <c r="P225" i="18" a="1"/>
  <c r="P225" i="18" s="1"/>
  <c r="P226" i="18" a="1"/>
  <c r="P226" i="18" s="1"/>
  <c r="P227" i="18" a="1"/>
  <c r="P227" i="18"/>
  <c r="P228" i="18" a="1"/>
  <c r="P228" i="18" s="1"/>
  <c r="P229" i="18" a="1"/>
  <c r="P229" i="18" s="1"/>
  <c r="P230" i="18" a="1"/>
  <c r="P230" i="18" s="1"/>
  <c r="P231" i="18" a="1"/>
  <c r="P231" i="18" s="1"/>
  <c r="P232" i="18" a="1"/>
  <c r="P232" i="18" s="1"/>
  <c r="P233" i="18" a="1"/>
  <c r="P233" i="18" s="1"/>
  <c r="P234" i="18" a="1"/>
  <c r="P234" i="18" s="1"/>
  <c r="P235" i="18" a="1"/>
  <c r="P235" i="18"/>
  <c r="P236" i="18" a="1"/>
  <c r="P236" i="18" s="1"/>
  <c r="P237" i="18" a="1"/>
  <c r="P237" i="18" s="1"/>
  <c r="P238" i="18" a="1"/>
  <c r="P238" i="18" s="1"/>
  <c r="P239" i="18" a="1"/>
  <c r="P239" i="18" s="1"/>
  <c r="P240" i="18" a="1"/>
  <c r="P240" i="18" s="1"/>
  <c r="P241" i="18" a="1"/>
  <c r="P241" i="18" s="1"/>
  <c r="P242" i="18" a="1"/>
  <c r="P242" i="18" s="1"/>
  <c r="P243" i="18" a="1"/>
  <c r="P243" i="18"/>
  <c r="P244" i="18" a="1"/>
  <c r="P244" i="18" s="1"/>
  <c r="P245" i="18" a="1"/>
  <c r="P245" i="18" s="1"/>
  <c r="P246" i="18" a="1"/>
  <c r="P246" i="18" s="1"/>
  <c r="P247" i="18" a="1"/>
  <c r="P247" i="18" s="1"/>
  <c r="P248" i="18" a="1"/>
  <c r="P248" i="18" s="1"/>
  <c r="P249" i="18" a="1"/>
  <c r="P249" i="18" s="1"/>
  <c r="P250" i="18" a="1"/>
  <c r="P250" i="18" s="1"/>
  <c r="P251" i="18" a="1"/>
  <c r="P251" i="18" s="1"/>
  <c r="P252" i="18" a="1"/>
  <c r="P252" i="18" s="1"/>
  <c r="P253" i="18" a="1"/>
  <c r="P253" i="18" s="1"/>
  <c r="P254" i="18" a="1"/>
  <c r="P254" i="18" s="1"/>
  <c r="P255" i="18" a="1"/>
  <c r="P255" i="18" s="1"/>
  <c r="P256" i="18" a="1"/>
  <c r="P256" i="18" s="1"/>
  <c r="P257" i="18" a="1"/>
  <c r="P257" i="18" s="1"/>
  <c r="P258" i="18" a="1"/>
  <c r="P258" i="18" s="1"/>
  <c r="P259" i="18" a="1"/>
  <c r="P259" i="18"/>
  <c r="P260" i="18" a="1"/>
  <c r="P260" i="18" s="1"/>
  <c r="P261" i="18" a="1"/>
  <c r="P261" i="18" s="1"/>
  <c r="P262" i="18" a="1"/>
  <c r="P262" i="18" s="1"/>
  <c r="P263" i="18" a="1"/>
  <c r="P263" i="18" s="1"/>
  <c r="P264" i="18" a="1"/>
  <c r="P264" i="18" s="1"/>
  <c r="P265" i="18" a="1"/>
  <c r="P265" i="18" s="1"/>
  <c r="P266" i="18" a="1"/>
  <c r="P266" i="18" s="1"/>
  <c r="P267" i="18" a="1"/>
  <c r="P267" i="18"/>
  <c r="P268" i="18" a="1"/>
  <c r="P268" i="18" s="1"/>
  <c r="P269" i="18" a="1"/>
  <c r="P269" i="18" s="1"/>
  <c r="P270" i="18" a="1"/>
  <c r="P270" i="18" s="1"/>
  <c r="P271" i="18" a="1"/>
  <c r="P271" i="18" s="1"/>
  <c r="P272" i="18" a="1"/>
  <c r="P272" i="18" s="1"/>
  <c r="P273" i="18" a="1"/>
  <c r="P273" i="18" s="1"/>
  <c r="P274" i="18" a="1"/>
  <c r="P274" i="18" s="1"/>
  <c r="P275" i="18" a="1"/>
  <c r="P275" i="18"/>
  <c r="P276" i="18" a="1"/>
  <c r="P276" i="18" s="1"/>
  <c r="P277" i="18" a="1"/>
  <c r="P277" i="18" s="1"/>
  <c r="P278" i="18" a="1"/>
  <c r="P278" i="18" s="1"/>
  <c r="P279" i="18" a="1"/>
  <c r="P279" i="18"/>
  <c r="P280" i="18" a="1"/>
  <c r="P280" i="18" s="1"/>
  <c r="P281" i="18" a="1"/>
  <c r="P281" i="18" s="1"/>
  <c r="R281" i="18" s="1"/>
  <c r="P282" i="18" a="1"/>
  <c r="P282" i="18" s="1"/>
  <c r="P283" i="18" a="1"/>
  <c r="P283" i="18" s="1"/>
  <c r="P284" i="18" a="1"/>
  <c r="P284" i="18" s="1"/>
  <c r="P285" i="18" a="1"/>
  <c r="P285" i="18" s="1"/>
  <c r="P286" i="18" a="1"/>
  <c r="P286" i="18" s="1"/>
  <c r="P287" i="18" a="1"/>
  <c r="P287" i="18" s="1"/>
  <c r="P288" i="18" a="1"/>
  <c r="P288" i="18" s="1"/>
  <c r="P289" i="18" a="1"/>
  <c r="P289" i="18" s="1"/>
  <c r="P290" i="18" a="1"/>
  <c r="P290" i="18" s="1"/>
  <c r="P291" i="18" a="1"/>
  <c r="P291" i="18"/>
  <c r="P292" i="18" a="1"/>
  <c r="P292" i="18"/>
  <c r="P293" i="18" a="1"/>
  <c r="P293" i="18" s="1"/>
  <c r="P294" i="18" a="1"/>
  <c r="P294" i="18" s="1"/>
  <c r="P295" i="18" a="1"/>
  <c r="P295" i="18" s="1"/>
  <c r="P296" i="18" a="1"/>
  <c r="P296" i="18" s="1"/>
  <c r="P297" i="18" a="1"/>
  <c r="P297" i="18" s="1"/>
  <c r="P298" i="18" a="1"/>
  <c r="P298" i="18" s="1"/>
  <c r="P299" i="18" a="1"/>
  <c r="P299" i="18" s="1"/>
  <c r="P300" i="18" a="1"/>
  <c r="P300" i="18" s="1"/>
  <c r="P301" i="18" a="1"/>
  <c r="P301" i="18" s="1"/>
  <c r="P302" i="18" a="1"/>
  <c r="P302" i="18" s="1"/>
  <c r="P303" i="18" a="1"/>
  <c r="P303" i="18" s="1"/>
  <c r="P304" i="18" a="1"/>
  <c r="P304" i="18" s="1"/>
  <c r="P305" i="18" a="1"/>
  <c r="P305" i="18" s="1"/>
  <c r="P306" i="18" a="1"/>
  <c r="P306" i="18" s="1"/>
  <c r="P307" i="18" a="1"/>
  <c r="P307" i="18" s="1"/>
  <c r="P308" i="18" a="1"/>
  <c r="P308" i="18" s="1"/>
  <c r="P309" i="18" a="1"/>
  <c r="P309" i="18"/>
  <c r="P310" i="18" a="1"/>
  <c r="P310" i="18" s="1"/>
  <c r="P311" i="18" a="1"/>
  <c r="P311" i="18" s="1"/>
  <c r="P312" i="18" a="1"/>
  <c r="P312" i="18" s="1"/>
  <c r="P313" i="18" a="1"/>
  <c r="P313" i="18" s="1"/>
  <c r="P314" i="18" a="1"/>
  <c r="P314" i="18" s="1"/>
  <c r="P315" i="18" a="1"/>
  <c r="P315" i="18" s="1"/>
  <c r="P316" i="18" a="1"/>
  <c r="P316" i="18" s="1"/>
  <c r="P317" i="18" a="1"/>
  <c r="P317" i="18" s="1"/>
  <c r="P318" i="18" a="1"/>
  <c r="P318" i="18" s="1"/>
  <c r="P319" i="18" a="1"/>
  <c r="P319" i="18" s="1"/>
  <c r="P320" i="18" a="1"/>
  <c r="P320" i="18" s="1"/>
  <c r="P321" i="18" a="1"/>
  <c r="P321" i="18" s="1"/>
  <c r="P322" i="18" a="1"/>
  <c r="P322" i="18" s="1"/>
  <c r="P323" i="18" a="1"/>
  <c r="P323" i="18"/>
  <c r="P324" i="18" a="1"/>
  <c r="P324" i="18"/>
  <c r="P325" i="18" a="1"/>
  <c r="P325" i="18" s="1"/>
  <c r="P326" i="18" a="1"/>
  <c r="P326" i="18" s="1"/>
  <c r="P327" i="18" a="1"/>
  <c r="P327" i="18"/>
  <c r="R327" i="18" s="1"/>
  <c r="P328" i="18" a="1"/>
  <c r="P328" i="18" s="1"/>
  <c r="P329" i="18" a="1"/>
  <c r="P329" i="18" s="1"/>
  <c r="P330" i="18" a="1"/>
  <c r="P330" i="18" s="1"/>
  <c r="P331" i="18" a="1"/>
  <c r="P331" i="18" s="1"/>
  <c r="P332" i="18" a="1"/>
  <c r="P332" i="18" s="1"/>
  <c r="P333" i="18" a="1"/>
  <c r="P333" i="18" s="1"/>
  <c r="P334" i="18" a="1"/>
  <c r="P334" i="18" s="1"/>
  <c r="P335" i="18" a="1"/>
  <c r="P335" i="18"/>
  <c r="P336" i="18" a="1"/>
  <c r="P336" i="18" s="1"/>
  <c r="P337" i="18" a="1"/>
  <c r="P337" i="18" s="1"/>
  <c r="P338" i="18" a="1"/>
  <c r="P338" i="18" s="1"/>
  <c r="P339" i="18" a="1"/>
  <c r="P339" i="18" s="1"/>
  <c r="P340" i="18" a="1"/>
  <c r="P340" i="18" s="1"/>
  <c r="P341" i="18" a="1"/>
  <c r="P341" i="18" s="1"/>
  <c r="P342" i="18" a="1"/>
  <c r="P342" i="18" s="1"/>
  <c r="P343" i="18" a="1"/>
  <c r="P343" i="18" s="1"/>
  <c r="P344" i="18" a="1"/>
  <c r="P344" i="18" s="1"/>
  <c r="P345" i="18" a="1"/>
  <c r="P345" i="18" s="1"/>
  <c r="P346" i="18" a="1"/>
  <c r="P346" i="18" s="1"/>
  <c r="P347" i="18" a="1"/>
  <c r="P347" i="18"/>
  <c r="P348" i="18" a="1"/>
  <c r="P348" i="18" s="1"/>
  <c r="P349" i="18" a="1"/>
  <c r="P349" i="18" s="1"/>
  <c r="P350" i="18" a="1"/>
  <c r="P350" i="18" s="1"/>
  <c r="P351" i="18" a="1"/>
  <c r="P351" i="18" s="1"/>
  <c r="P352" i="18" a="1"/>
  <c r="P352" i="18" s="1"/>
  <c r="P353" i="18" a="1"/>
  <c r="P353" i="18" s="1"/>
  <c r="P354" i="18" a="1"/>
  <c r="P354" i="18" s="1"/>
  <c r="P355" i="18" a="1"/>
  <c r="P355" i="18"/>
  <c r="P356" i="18" a="1"/>
  <c r="P356" i="18" s="1"/>
  <c r="P357" i="18" a="1"/>
  <c r="P357" i="18" s="1"/>
  <c r="P358" i="18" a="1"/>
  <c r="P358" i="18" s="1"/>
  <c r="P359" i="18" a="1"/>
  <c r="P359" i="18" s="1"/>
  <c r="P360" i="18" a="1"/>
  <c r="P360" i="18" s="1"/>
  <c r="P361" i="18" a="1"/>
  <c r="P361" i="18" s="1"/>
  <c r="P362" i="18" a="1"/>
  <c r="P362" i="18" s="1"/>
  <c r="Q2" i="18" a="1"/>
  <c r="Q2" i="18" s="1"/>
  <c r="R2" i="18" s="1"/>
  <c r="Q3" i="18" a="1"/>
  <c r="Q3" i="18" s="1"/>
  <c r="R3" i="18" s="1"/>
  <c r="Q4" i="18" a="1"/>
  <c r="Q4" i="18" s="1"/>
  <c r="Q5" i="18" a="1"/>
  <c r="Q5" i="18" s="1"/>
  <c r="Q6" i="18" a="1"/>
  <c r="Q6" i="18"/>
  <c r="R6" i="18" s="1"/>
  <c r="Q7" i="18" a="1"/>
  <c r="Q7" i="18" s="1"/>
  <c r="Q8" i="18" a="1"/>
  <c r="Q8" i="18" s="1"/>
  <c r="Q9" i="18" a="1"/>
  <c r="Q9" i="18" s="1"/>
  <c r="Q10" i="18" a="1"/>
  <c r="Q10" i="18" s="1"/>
  <c r="R10" i="18" s="1"/>
  <c r="Q11" i="18" a="1"/>
  <c r="Q11" i="18" s="1"/>
  <c r="R11" i="18" s="1"/>
  <c r="Q12" i="18" a="1"/>
  <c r="Q12" i="18" s="1"/>
  <c r="Q13" i="18" a="1"/>
  <c r="Q13" i="18" s="1"/>
  <c r="R13" i="18" s="1"/>
  <c r="Q14" i="18" a="1"/>
  <c r="Q14" i="18" s="1"/>
  <c r="R14" i="18" s="1"/>
  <c r="Q15" i="18" a="1"/>
  <c r="Q15" i="18" s="1"/>
  <c r="Q16" i="18" a="1"/>
  <c r="Q16" i="18" s="1"/>
  <c r="Q17" i="18" a="1"/>
  <c r="Q17" i="18" s="1"/>
  <c r="R17" i="18" s="1"/>
  <c r="Q18" i="18" a="1"/>
  <c r="Q18" i="18"/>
  <c r="R18" i="18" s="1"/>
  <c r="Q19" i="18" a="1"/>
  <c r="Q19" i="18" s="1"/>
  <c r="R19" i="18" s="1"/>
  <c r="Q20" i="18" a="1"/>
  <c r="Q20" i="18" s="1"/>
  <c r="R20" i="18" s="1"/>
  <c r="Q21" i="18" a="1"/>
  <c r="Q21" i="18" s="1"/>
  <c r="Q22" i="18" a="1"/>
  <c r="Q22" i="18" s="1"/>
  <c r="R22" i="18" s="1"/>
  <c r="Q23" i="18" a="1"/>
  <c r="Q23" i="18" s="1"/>
  <c r="R23" i="18" s="1"/>
  <c r="Q24" i="18" a="1"/>
  <c r="Q24" i="18" s="1"/>
  <c r="R24" i="18" s="1"/>
  <c r="Q25" i="18" a="1"/>
  <c r="Q25" i="18" s="1"/>
  <c r="Q26" i="18" a="1"/>
  <c r="Q26" i="18"/>
  <c r="Q27" i="18" a="1"/>
  <c r="Q27" i="18" s="1"/>
  <c r="Q28" i="18" a="1"/>
  <c r="Q28" i="18" s="1"/>
  <c r="R28" i="18" s="1"/>
  <c r="Q29" i="18" a="1"/>
  <c r="Q29" i="18" s="1"/>
  <c r="R29" i="18" s="1"/>
  <c r="Q30" i="18" a="1"/>
  <c r="Q30" i="18" s="1"/>
  <c r="R30" i="18" s="1"/>
  <c r="Q31" i="18" a="1"/>
  <c r="Q31" i="18" s="1"/>
  <c r="Q32" i="18" a="1"/>
  <c r="Q32" i="18" s="1"/>
  <c r="Q33" i="18" a="1"/>
  <c r="Q33" i="18" s="1"/>
  <c r="Q34" i="18" a="1"/>
  <c r="Q34" i="18" s="1"/>
  <c r="R34" i="18" s="1"/>
  <c r="Q35" i="18" a="1"/>
  <c r="Q35" i="18" s="1"/>
  <c r="R35" i="18" s="1"/>
  <c r="Q36" i="18" a="1"/>
  <c r="Q36" i="18" s="1"/>
  <c r="Q37" i="18" a="1"/>
  <c r="Q37" i="18" s="1"/>
  <c r="R37" i="18" s="1"/>
  <c r="Q38" i="18" a="1"/>
  <c r="Q38" i="18"/>
  <c r="Q39" i="18" a="1"/>
  <c r="Q39" i="18" s="1"/>
  <c r="Q40" i="18" a="1"/>
  <c r="Q40" i="18" s="1"/>
  <c r="R40" i="18" s="1"/>
  <c r="Q41" i="18" a="1"/>
  <c r="Q41" i="18" s="1"/>
  <c r="R41" i="18" s="1"/>
  <c r="Q42" i="18" a="1"/>
  <c r="Q42" i="18" s="1"/>
  <c r="R42" i="18" s="1"/>
  <c r="Q43" i="18" a="1"/>
  <c r="Q43" i="18" s="1"/>
  <c r="R43" i="18" s="1"/>
  <c r="Q44" i="18" a="1"/>
  <c r="Q44" i="18" s="1"/>
  <c r="Q45" i="18" a="1"/>
  <c r="Q45" i="18" s="1"/>
  <c r="R45" i="18" s="1"/>
  <c r="Q46" i="18" a="1"/>
  <c r="Q46" i="18" s="1"/>
  <c r="R46" i="18" s="1"/>
  <c r="Q47" i="18" a="1"/>
  <c r="Q47" i="18" s="1"/>
  <c r="R47" i="18" s="1"/>
  <c r="Q48" i="18" a="1"/>
  <c r="Q48" i="18" s="1"/>
  <c r="Q49" i="18" a="1"/>
  <c r="Q49" i="18" s="1"/>
  <c r="R49" i="18" s="1"/>
  <c r="Q50" i="18" a="1"/>
  <c r="Q50" i="18"/>
  <c r="R50" i="18" s="1"/>
  <c r="Q51" i="18" a="1"/>
  <c r="Q51" i="18" s="1"/>
  <c r="R51" i="18" s="1"/>
  <c r="Q52" i="18" a="1"/>
  <c r="Q52" i="18" s="1"/>
  <c r="R52" i="18" s="1"/>
  <c r="Q53" i="18" a="1"/>
  <c r="Q53" i="18" s="1"/>
  <c r="R53" i="18" s="1"/>
  <c r="Q54" i="18" a="1"/>
  <c r="Q54" i="18" s="1"/>
  <c r="Q55" i="18" a="1"/>
  <c r="Q55" i="18" s="1"/>
  <c r="Q56" i="18" a="1"/>
  <c r="Q56" i="18" s="1"/>
  <c r="R56" i="18" s="1"/>
  <c r="Q57" i="18" a="1"/>
  <c r="Q57" i="18" s="1"/>
  <c r="R57" i="18" s="1"/>
  <c r="Q58" i="18" a="1"/>
  <c r="Q58" i="18"/>
  <c r="R58" i="18" s="1"/>
  <c r="Q59" i="18" a="1"/>
  <c r="Q59" i="18" s="1"/>
  <c r="R59" i="18" s="1"/>
  <c r="Q60" i="18" a="1"/>
  <c r="Q60" i="18" s="1"/>
  <c r="R60" i="18" s="1"/>
  <c r="Q61" i="18" a="1"/>
  <c r="Q61" i="18" s="1"/>
  <c r="R61" i="18" s="1"/>
  <c r="Q62" i="18" a="1"/>
  <c r="Q62" i="18" s="1"/>
  <c r="R62" i="18" s="1"/>
  <c r="Q63" i="18" a="1"/>
  <c r="Q63" i="18" s="1"/>
  <c r="R63" i="18" s="1"/>
  <c r="Q64" i="18" a="1"/>
  <c r="Q64" i="18" s="1"/>
  <c r="Q65" i="18" a="1"/>
  <c r="Q65" i="18" s="1"/>
  <c r="R65" i="18" s="1"/>
  <c r="Q66" i="18" a="1"/>
  <c r="Q66" i="18" s="1"/>
  <c r="R66" i="18" s="1"/>
  <c r="U66" i="18" s="1"/>
  <c r="Q67" i="18" a="1"/>
  <c r="Q67" i="18" s="1"/>
  <c r="R67" i="18" s="1"/>
  <c r="Q68" i="18" a="1"/>
  <c r="Q68" i="18" s="1"/>
  <c r="Q69" i="18" a="1"/>
  <c r="Q69" i="18" s="1"/>
  <c r="R69" i="18" s="1"/>
  <c r="Q70" i="18" a="1"/>
  <c r="Q70" i="18"/>
  <c r="R70" i="18" s="1"/>
  <c r="Q71" i="18" a="1"/>
  <c r="Q71" i="18" s="1"/>
  <c r="R71" i="18" s="1"/>
  <c r="Q72" i="18" a="1"/>
  <c r="Q72" i="18" s="1"/>
  <c r="R72" i="18" s="1"/>
  <c r="Q73" i="18" a="1"/>
  <c r="Q73" i="18" s="1"/>
  <c r="Q74" i="18" a="1"/>
  <c r="Q74" i="18" s="1"/>
  <c r="R74" i="18" s="1"/>
  <c r="Q75" i="18" a="1"/>
  <c r="Q75" i="18" s="1"/>
  <c r="Q76" i="18" a="1"/>
  <c r="Q76" i="18" s="1"/>
  <c r="R76" i="18" s="1"/>
  <c r="Q77" i="18" a="1"/>
  <c r="Q77" i="18" s="1"/>
  <c r="R77" i="18" s="1"/>
  <c r="Q78" i="18" a="1"/>
  <c r="Q78" i="18" s="1"/>
  <c r="R78" i="18" s="1"/>
  <c r="Q79" i="18" a="1"/>
  <c r="Q79" i="18" s="1"/>
  <c r="Q80" i="18" a="1"/>
  <c r="Q80" i="18" s="1"/>
  <c r="Q81" i="18" a="1"/>
  <c r="Q81" i="18" s="1"/>
  <c r="R81" i="18" s="1"/>
  <c r="Q82" i="18" a="1"/>
  <c r="Q82" i="18"/>
  <c r="R82" i="18" s="1"/>
  <c r="Q83" i="18" a="1"/>
  <c r="Q83" i="18" s="1"/>
  <c r="Q84" i="18" a="1"/>
  <c r="Q84" i="18" s="1"/>
  <c r="R84" i="18" s="1"/>
  <c r="Q85" i="18" a="1"/>
  <c r="Q85" i="18" s="1"/>
  <c r="Q86" i="18" a="1"/>
  <c r="Q86" i="18" s="1"/>
  <c r="R86" i="18" s="1"/>
  <c r="Q87" i="18" a="1"/>
  <c r="Q87" i="18" s="1"/>
  <c r="R87" i="18" s="1"/>
  <c r="U87" i="18" s="1"/>
  <c r="Q88" i="18" a="1"/>
  <c r="Q88" i="18" s="1"/>
  <c r="R88" i="18" s="1"/>
  <c r="Q89" i="18" a="1"/>
  <c r="Q89" i="18" s="1"/>
  <c r="R89" i="18" s="1"/>
  <c r="Q90" i="18" a="1"/>
  <c r="Q90" i="18"/>
  <c r="Q91" i="18" a="1"/>
  <c r="Q91" i="18" s="1"/>
  <c r="R91" i="18" s="1"/>
  <c r="Q92" i="18" a="1"/>
  <c r="Q92" i="18" s="1"/>
  <c r="R92" i="18" s="1"/>
  <c r="Q93" i="18" a="1"/>
  <c r="Q93" i="18" s="1"/>
  <c r="Q94" i="18" a="1"/>
  <c r="Q94" i="18" s="1"/>
  <c r="R94" i="18" s="1"/>
  <c r="Q95" i="18" a="1"/>
  <c r="Q95" i="18" s="1"/>
  <c r="R95" i="18" s="1"/>
  <c r="Q96" i="18" a="1"/>
  <c r="Q96" i="18" s="1"/>
  <c r="Q97" i="18" a="1"/>
  <c r="Q97" i="18" s="1"/>
  <c r="R97" i="18" s="1"/>
  <c r="Q98" i="18" a="1"/>
  <c r="Q98" i="18"/>
  <c r="R98" i="18" s="1"/>
  <c r="Q99" i="18" a="1"/>
  <c r="Q99" i="18" s="1"/>
  <c r="R99" i="18" s="1"/>
  <c r="Q100" i="18" a="1"/>
  <c r="Q100" i="18" s="1"/>
  <c r="R100" i="18" s="1"/>
  <c r="Q101" i="18" a="1"/>
  <c r="Q101" i="18" s="1"/>
  <c r="R101" i="18" s="1"/>
  <c r="Q102" i="18" a="1"/>
  <c r="Q102" i="18"/>
  <c r="R102" i="18" s="1"/>
  <c r="Q103" i="18" a="1"/>
  <c r="Q103" i="18" s="1"/>
  <c r="Q104" i="18" a="1"/>
  <c r="Q104" i="18" s="1"/>
  <c r="R104" i="18" s="1"/>
  <c r="Q105" i="18" a="1"/>
  <c r="Q105" i="18" s="1"/>
  <c r="R105" i="18" s="1"/>
  <c r="Q106" i="18" a="1"/>
  <c r="Q106" i="18" s="1"/>
  <c r="Q107" i="18" a="1"/>
  <c r="Q107" i="18" s="1"/>
  <c r="R107" i="18" s="1"/>
  <c r="Q108" i="18" a="1"/>
  <c r="Q108" i="18" s="1"/>
  <c r="R108" i="18" s="1"/>
  <c r="Q109" i="18" a="1"/>
  <c r="Q109" i="18" s="1"/>
  <c r="Q110" i="18" a="1"/>
  <c r="Q110" i="18" s="1"/>
  <c r="R110" i="18" s="1"/>
  <c r="Q111" i="18" a="1"/>
  <c r="Q111" i="18" s="1"/>
  <c r="R111" i="18" s="1"/>
  <c r="Q112" i="18" a="1"/>
  <c r="Q112" i="18"/>
  <c r="R112" i="18" s="1"/>
  <c r="Q113" i="18" a="1"/>
  <c r="Q113" i="18" s="1"/>
  <c r="R113" i="18" s="1"/>
  <c r="Q114" i="18" a="1"/>
  <c r="Q114" i="18" s="1"/>
  <c r="Q115" i="18" a="1"/>
  <c r="Q115" i="18" s="1"/>
  <c r="R115" i="18" s="1"/>
  <c r="Q116" i="18" a="1"/>
  <c r="Q116" i="18"/>
  <c r="R116" i="18" s="1"/>
  <c r="Q117" i="18" a="1"/>
  <c r="Q117" i="18" s="1"/>
  <c r="Q118" i="18" a="1"/>
  <c r="Q118" i="18" s="1"/>
  <c r="R118" i="18" s="1"/>
  <c r="Q119" i="18" a="1"/>
  <c r="Q119" i="18" s="1"/>
  <c r="Q120" i="18" a="1"/>
  <c r="Q120" i="18" s="1"/>
  <c r="R120" i="18" s="1"/>
  <c r="Q121" i="18" a="1"/>
  <c r="Q121" i="18" s="1"/>
  <c r="R121" i="18" s="1"/>
  <c r="Q122" i="18" a="1"/>
  <c r="Q122" i="18" s="1"/>
  <c r="R122" i="18" s="1"/>
  <c r="Q123" i="18" a="1"/>
  <c r="Q123" i="18" s="1"/>
  <c r="R123" i="18" s="1"/>
  <c r="Q124" i="18" a="1"/>
  <c r="Q124" i="18" s="1"/>
  <c r="R124" i="18" s="1"/>
  <c r="Q125" i="18" a="1"/>
  <c r="Q125" i="18" s="1"/>
  <c r="Q126" i="18" a="1"/>
  <c r="Q126" i="18"/>
  <c r="R126" i="18" s="1"/>
  <c r="Q127" i="18" a="1"/>
  <c r="Q127" i="18" s="1"/>
  <c r="Q128" i="18" a="1"/>
  <c r="Q128" i="18" s="1"/>
  <c r="R128" i="18" s="1"/>
  <c r="Q129" i="18" a="1"/>
  <c r="Q129" i="18" s="1"/>
  <c r="Q130" i="18" a="1"/>
  <c r="Q130" i="18" s="1"/>
  <c r="R130" i="18" s="1"/>
  <c r="U130" i="18" s="1"/>
  <c r="Q131" i="18" a="1"/>
  <c r="Q131" i="18" s="1"/>
  <c r="R131" i="18" s="1"/>
  <c r="Q132" i="18" a="1"/>
  <c r="Q132" i="18" s="1"/>
  <c r="R132" i="18" s="1"/>
  <c r="Q133" i="18" a="1"/>
  <c r="Q133" i="18" s="1"/>
  <c r="R133" i="18" s="1"/>
  <c r="Q134" i="18" a="1"/>
  <c r="Q134" i="18"/>
  <c r="R134" i="18" s="1"/>
  <c r="Q135" i="18" a="1"/>
  <c r="Q135" i="18" s="1"/>
  <c r="Q136" i="18" a="1"/>
  <c r="Q136" i="18" s="1"/>
  <c r="R136" i="18" s="1"/>
  <c r="Q137" i="18" a="1"/>
  <c r="Q137" i="18" s="1"/>
  <c r="Q138" i="18" a="1"/>
  <c r="Q138" i="18" s="1"/>
  <c r="R138" i="18" s="1"/>
  <c r="Q139" i="18" a="1"/>
  <c r="Q139" i="18" s="1"/>
  <c r="R139" i="18" s="1"/>
  <c r="Q140" i="18" a="1"/>
  <c r="Q140" i="18" s="1"/>
  <c r="Q141" i="18" a="1"/>
  <c r="Q141" i="18" s="1"/>
  <c r="R141" i="18" s="1"/>
  <c r="Q142" i="18" a="1"/>
  <c r="Q142" i="18" s="1"/>
  <c r="R142" i="18" s="1"/>
  <c r="Q143" i="18" a="1"/>
  <c r="Q143" i="18" s="1"/>
  <c r="R143" i="18" s="1"/>
  <c r="Q144" i="18" a="1"/>
  <c r="Q144" i="18" s="1"/>
  <c r="R144" i="18" s="1"/>
  <c r="U144" i="18" s="1"/>
  <c r="Q145" i="18" a="1"/>
  <c r="Q145" i="18" s="1"/>
  <c r="Q146" i="18" a="1"/>
  <c r="Q146" i="18" s="1"/>
  <c r="R146" i="18" s="1"/>
  <c r="Q147" i="18" a="1"/>
  <c r="Q147" i="18" s="1"/>
  <c r="R147" i="18" s="1"/>
  <c r="Q148" i="18" a="1"/>
  <c r="Q148" i="18"/>
  <c r="Q149" i="18" a="1"/>
  <c r="Q149" i="18" s="1"/>
  <c r="R149" i="18" s="1"/>
  <c r="Q150" i="18" a="1"/>
  <c r="Q150" i="18" s="1"/>
  <c r="R150" i="18" s="1"/>
  <c r="Q151" i="18" a="1"/>
  <c r="Q151" i="18" s="1"/>
  <c r="Q152" i="18" a="1"/>
  <c r="Q152" i="18" s="1"/>
  <c r="Q153" i="18" a="1"/>
  <c r="Q153" i="18" s="1"/>
  <c r="Q154" i="18" a="1"/>
  <c r="Q154" i="18" s="1"/>
  <c r="Q155" i="18" a="1"/>
  <c r="Q155" i="18" s="1"/>
  <c r="R155" i="18" s="1"/>
  <c r="Q156" i="18" a="1"/>
  <c r="Q156" i="18" s="1"/>
  <c r="Q157" i="18" a="1"/>
  <c r="Q157" i="18" s="1"/>
  <c r="R157" i="18" s="1"/>
  <c r="Q158" i="18" a="1"/>
  <c r="Q158" i="18"/>
  <c r="Q159" i="18" a="1"/>
  <c r="Q159" i="18" s="1"/>
  <c r="Q160" i="18" a="1"/>
  <c r="Q160" i="18" s="1"/>
  <c r="R160" i="18" s="1"/>
  <c r="Q161" i="18" a="1"/>
  <c r="Q161" i="18" s="1"/>
  <c r="R161" i="18" s="1"/>
  <c r="Q162" i="18" a="1"/>
  <c r="Q162" i="18" s="1"/>
  <c r="R162" i="18" s="1"/>
  <c r="U162" i="18" s="1"/>
  <c r="Q163" i="18" a="1"/>
  <c r="Q163" i="18" s="1"/>
  <c r="R163" i="18" s="1"/>
  <c r="Q164" i="18" a="1"/>
  <c r="Q164" i="18" s="1"/>
  <c r="R164" i="18" s="1"/>
  <c r="Q165" i="18" a="1"/>
  <c r="Q165" i="18" s="1"/>
  <c r="R165" i="18" s="1"/>
  <c r="Q166" i="18" a="1"/>
  <c r="Q166" i="18"/>
  <c r="R166" i="18" s="1"/>
  <c r="Q167" i="18" a="1"/>
  <c r="Q167" i="18" s="1"/>
  <c r="Q168" i="18" a="1"/>
  <c r="Q168" i="18" s="1"/>
  <c r="R168" i="18" s="1"/>
  <c r="Q169" i="18" a="1"/>
  <c r="Q169" i="18" s="1"/>
  <c r="R169" i="18" s="1"/>
  <c r="Q170" i="18" a="1"/>
  <c r="Q170" i="18" s="1"/>
  <c r="R170" i="18" s="1"/>
  <c r="Q171" i="18" a="1"/>
  <c r="Q171" i="18" s="1"/>
  <c r="R171" i="18" s="1"/>
  <c r="Q172" i="18" a="1"/>
  <c r="Q172" i="18" s="1"/>
  <c r="R172" i="18" s="1"/>
  <c r="Q173" i="18" a="1"/>
  <c r="Q173" i="18" s="1"/>
  <c r="Q174" i="18" a="1"/>
  <c r="Q174" i="18" s="1"/>
  <c r="R174" i="18" s="1"/>
  <c r="Q175" i="18" a="1"/>
  <c r="Q175" i="18" s="1"/>
  <c r="R175" i="18" s="1"/>
  <c r="Q176" i="18" a="1"/>
  <c r="Q176" i="18" s="1"/>
  <c r="R176" i="18" s="1"/>
  <c r="U176" i="18" s="1"/>
  <c r="Q177" i="18" a="1"/>
  <c r="Q177" i="18" s="1"/>
  <c r="R177" i="18" s="1"/>
  <c r="Q178" i="18" a="1"/>
  <c r="Q178" i="18" s="1"/>
  <c r="R178" i="18" s="1"/>
  <c r="U178" i="18" s="1"/>
  <c r="Q179" i="18" a="1"/>
  <c r="Q179" i="18" s="1"/>
  <c r="R179" i="18" s="1"/>
  <c r="Q180" i="18" a="1"/>
  <c r="Q180" i="18"/>
  <c r="Q181" i="18" a="1"/>
  <c r="Q181" i="18" s="1"/>
  <c r="Q182" i="18" a="1"/>
  <c r="Q182" i="18" s="1"/>
  <c r="R182" i="18" s="1"/>
  <c r="Q183" i="18" a="1"/>
  <c r="Q183" i="18" s="1"/>
  <c r="Q184" i="18" a="1"/>
  <c r="Q184" i="18" s="1"/>
  <c r="R184" i="18" s="1"/>
  <c r="Q185" i="18" a="1"/>
  <c r="Q185" i="18" s="1"/>
  <c r="R185" i="18" s="1"/>
  <c r="Q186" i="18" a="1"/>
  <c r="Q186" i="18" s="1"/>
  <c r="R186" i="18" s="1"/>
  <c r="Q187" i="18" a="1"/>
  <c r="Q187" i="18" s="1"/>
  <c r="Q188" i="18" a="1"/>
  <c r="Q188" i="18" s="1"/>
  <c r="Q189" i="18" a="1"/>
  <c r="Q189" i="18" s="1"/>
  <c r="R189" i="18" s="1"/>
  <c r="Q190" i="18" a="1"/>
  <c r="Q190" i="18"/>
  <c r="R190" i="18" s="1"/>
  <c r="Q191" i="18" a="1"/>
  <c r="Q191" i="18" s="1"/>
  <c r="R191" i="18" s="1"/>
  <c r="Q192" i="18" a="1"/>
  <c r="Q192" i="18" s="1"/>
  <c r="R192" i="18" s="1"/>
  <c r="Q193" i="18" a="1"/>
  <c r="Q193" i="18" s="1"/>
  <c r="R193" i="18" s="1"/>
  <c r="Q194" i="18" a="1"/>
  <c r="Q194" i="18" s="1"/>
  <c r="R194" i="18" s="1"/>
  <c r="U194" i="18" s="1"/>
  <c r="Q195" i="18" a="1"/>
  <c r="Q195" i="18" s="1"/>
  <c r="R195" i="18" s="1"/>
  <c r="Q196" i="18" a="1"/>
  <c r="Q196" i="18" s="1"/>
  <c r="R196" i="18" s="1"/>
  <c r="Q197" i="18" a="1"/>
  <c r="Q197" i="18" s="1"/>
  <c r="R197" i="18" s="1"/>
  <c r="Q198" i="18" a="1"/>
  <c r="Q198" i="18"/>
  <c r="R198" i="18" s="1"/>
  <c r="U198" i="18" s="1"/>
  <c r="Q199" i="18" a="1"/>
  <c r="Q199" i="18" s="1"/>
  <c r="Q200" i="18" a="1"/>
  <c r="Q200" i="18" s="1"/>
  <c r="R200" i="18" s="1"/>
  <c r="U200" i="18" s="1"/>
  <c r="Q201" i="18" a="1"/>
  <c r="Q201" i="18" s="1"/>
  <c r="R201" i="18" s="1"/>
  <c r="Q202" i="18" a="1"/>
  <c r="Q202" i="18" s="1"/>
  <c r="R202" i="18" s="1"/>
  <c r="Q203" i="18" a="1"/>
  <c r="Q203" i="18" s="1"/>
  <c r="R203" i="18" s="1"/>
  <c r="Q204" i="18" a="1"/>
  <c r="Q204" i="18" s="1"/>
  <c r="R204" i="18" s="1"/>
  <c r="Q205" i="18" a="1"/>
  <c r="Q205" i="18" s="1"/>
  <c r="R205" i="18" s="1"/>
  <c r="Q206" i="18" a="1"/>
  <c r="Q206" i="18" s="1"/>
  <c r="R206" i="18" s="1"/>
  <c r="Q207" i="18" a="1"/>
  <c r="Q207" i="18" s="1"/>
  <c r="R207" i="18" s="1"/>
  <c r="Q208" i="18" a="1"/>
  <c r="Q208" i="18" s="1"/>
  <c r="R208" i="18" s="1"/>
  <c r="U208" i="18" s="1"/>
  <c r="Q209" i="18" a="1"/>
  <c r="Q209" i="18" s="1"/>
  <c r="Q210" i="18" a="1"/>
  <c r="Q210" i="18" s="1"/>
  <c r="Q211" i="18" a="1"/>
  <c r="Q211" i="18" s="1"/>
  <c r="R211" i="18" s="1"/>
  <c r="Q212" i="18" a="1"/>
  <c r="Q212" i="18"/>
  <c r="R212" i="18" s="1"/>
  <c r="Q213" i="18" a="1"/>
  <c r="Q213" i="18" s="1"/>
  <c r="Q214" i="18" a="1"/>
  <c r="Q214" i="18" s="1"/>
  <c r="R214" i="18" s="1"/>
  <c r="Q215" i="18" a="1"/>
  <c r="Q215" i="18" s="1"/>
  <c r="Q216" i="18" a="1"/>
  <c r="Q216" i="18" s="1"/>
  <c r="R216" i="18" s="1"/>
  <c r="Q217" i="18" a="1"/>
  <c r="Q217" i="18" s="1"/>
  <c r="Q218" i="18" a="1"/>
  <c r="Q218" i="18" s="1"/>
  <c r="Q219" i="18" a="1"/>
  <c r="Q219" i="18" s="1"/>
  <c r="R219" i="18" s="1"/>
  <c r="Q220" i="18" a="1"/>
  <c r="Q220" i="18" s="1"/>
  <c r="Q221" i="18" a="1"/>
  <c r="Q221" i="18" s="1"/>
  <c r="R221" i="18" s="1"/>
  <c r="Q222" i="18" a="1"/>
  <c r="Q222" i="18"/>
  <c r="R222" i="18" s="1"/>
  <c r="Q223" i="18" a="1"/>
  <c r="Q223" i="18" s="1"/>
  <c r="R223" i="18" s="1"/>
  <c r="Q224" i="18" a="1"/>
  <c r="Q224" i="18" s="1"/>
  <c r="R224" i="18" s="1"/>
  <c r="Q225" i="18" a="1"/>
  <c r="Q225" i="18" s="1"/>
  <c r="Q226" i="18" a="1"/>
  <c r="Q226" i="18"/>
  <c r="R226" i="18" s="1"/>
  <c r="Q227" i="18" a="1"/>
  <c r="Q227" i="18" s="1"/>
  <c r="R227" i="18" s="1"/>
  <c r="Q228" i="18" a="1"/>
  <c r="Q228" i="18" s="1"/>
  <c r="R228" i="18" s="1"/>
  <c r="Q229" i="18" a="1"/>
  <c r="Q229" i="18" s="1"/>
  <c r="Q230" i="18" a="1"/>
  <c r="Q230" i="18"/>
  <c r="Q231" i="18" a="1"/>
  <c r="Q231" i="18" s="1"/>
  <c r="Q232" i="18" a="1"/>
  <c r="Q232" i="18" s="1"/>
  <c r="R232" i="18" s="1"/>
  <c r="Q233" i="18" a="1"/>
  <c r="Q233" i="18" s="1"/>
  <c r="R233" i="18" s="1"/>
  <c r="Q234" i="18" a="1"/>
  <c r="Q234" i="18" s="1"/>
  <c r="Q235" i="18" a="1"/>
  <c r="Q235" i="18" s="1"/>
  <c r="R235" i="18" s="1"/>
  <c r="Q236" i="18" a="1"/>
  <c r="Q236" i="18" s="1"/>
  <c r="Q237" i="18" a="1"/>
  <c r="Q237" i="18" s="1"/>
  <c r="Q238" i="18" a="1"/>
  <c r="Q238" i="18" s="1"/>
  <c r="R238" i="18" s="1"/>
  <c r="Q239" i="18" a="1"/>
  <c r="Q239" i="18" s="1"/>
  <c r="R239" i="18" s="1"/>
  <c r="Q240" i="18" a="1"/>
  <c r="Q240" i="18"/>
  <c r="R240" i="18" s="1"/>
  <c r="Q241" i="18" a="1"/>
  <c r="Q241" i="18" s="1"/>
  <c r="Q242" i="18" a="1"/>
  <c r="Q242" i="18" s="1"/>
  <c r="R242" i="18" s="1"/>
  <c r="Q243" i="18" a="1"/>
  <c r="Q243" i="18" s="1"/>
  <c r="R243" i="18" s="1"/>
  <c r="Q244" i="18" a="1"/>
  <c r="Q244" i="18"/>
  <c r="R244" i="18" s="1"/>
  <c r="Q245" i="18" a="1"/>
  <c r="Q245" i="18" s="1"/>
  <c r="Q246" i="18" a="1"/>
  <c r="Q246" i="18" s="1"/>
  <c r="R246" i="18" s="1"/>
  <c r="Q247" i="18" a="1"/>
  <c r="Q247" i="18" s="1"/>
  <c r="Q248" i="18" a="1"/>
  <c r="Q248" i="18" s="1"/>
  <c r="R248" i="18" s="1"/>
  <c r="Q249" i="18" a="1"/>
  <c r="Q249" i="18" s="1"/>
  <c r="Q250" i="18" a="1"/>
  <c r="Q250" i="18" s="1"/>
  <c r="R250" i="18" s="1"/>
  <c r="Q251" i="18" a="1"/>
  <c r="Q251" i="18" s="1"/>
  <c r="R251" i="18" s="1"/>
  <c r="Q252" i="18" a="1"/>
  <c r="Q252" i="18" s="1"/>
  <c r="Q253" i="18" a="1"/>
  <c r="Q253" i="18" s="1"/>
  <c r="Q254" i="18" a="1"/>
  <c r="Q254" i="18"/>
  <c r="R254" i="18" s="1"/>
  <c r="Q255" i="18" a="1"/>
  <c r="Q255" i="18" s="1"/>
  <c r="Q256" i="18" a="1"/>
  <c r="Q256" i="18" s="1"/>
  <c r="R256" i="18" s="1"/>
  <c r="Q257" i="18" a="1"/>
  <c r="Q257" i="18" s="1"/>
  <c r="R257" i="18" s="1"/>
  <c r="Q258" i="18" a="1"/>
  <c r="Q258" i="18"/>
  <c r="R258" i="18" s="1"/>
  <c r="Q259" i="18" a="1"/>
  <c r="Q259" i="18" s="1"/>
  <c r="R259" i="18" s="1"/>
  <c r="Q260" i="18" a="1"/>
  <c r="Q260" i="18" s="1"/>
  <c r="R260" i="18" s="1"/>
  <c r="Q261" i="18" a="1"/>
  <c r="Q261" i="18" s="1"/>
  <c r="R261" i="18" s="1"/>
  <c r="Q262" i="18" a="1"/>
  <c r="Q262" i="18"/>
  <c r="R262" i="18" s="1"/>
  <c r="Q263" i="18" a="1"/>
  <c r="Q263" i="18" s="1"/>
  <c r="Q264" i="18" a="1"/>
  <c r="Q264" i="18" s="1"/>
  <c r="R264" i="18" s="1"/>
  <c r="Q265" i="18" a="1"/>
  <c r="Q265" i="18" s="1"/>
  <c r="R265" i="18" s="1"/>
  <c r="Q266" i="18" a="1"/>
  <c r="Q266" i="18" s="1"/>
  <c r="R266" i="18" s="1"/>
  <c r="Q267" i="18" a="1"/>
  <c r="Q267" i="18" s="1"/>
  <c r="R267" i="18" s="1"/>
  <c r="Q268" i="18" a="1"/>
  <c r="Q268" i="18" s="1"/>
  <c r="R268" i="18" s="1"/>
  <c r="Q269" i="18" a="1"/>
  <c r="Q269" i="18" s="1"/>
  <c r="R269" i="18" s="1"/>
  <c r="Q270" i="18" a="1"/>
  <c r="Q270" i="18" s="1"/>
  <c r="R270" i="18" s="1"/>
  <c r="U270" i="18" s="1"/>
  <c r="Q271" i="18" a="1"/>
  <c r="Q271" i="18" s="1"/>
  <c r="Q272" i="18" a="1"/>
  <c r="Q272" i="18" s="1"/>
  <c r="R272" i="18" s="1"/>
  <c r="Q273" i="18" a="1"/>
  <c r="Q273" i="18" s="1"/>
  <c r="Q274" i="18" a="1"/>
  <c r="Q274" i="18"/>
  <c r="R274" i="18" s="1"/>
  <c r="Q275" i="18" a="1"/>
  <c r="Q275" i="18" s="1"/>
  <c r="Q276" i="18" a="1"/>
  <c r="Q276" i="18" s="1"/>
  <c r="R276" i="18" s="1"/>
  <c r="Q277" i="18" a="1"/>
  <c r="Q277" i="18"/>
  <c r="Q278" i="18" a="1"/>
  <c r="Q278" i="18" s="1"/>
  <c r="R278" i="18" s="1"/>
  <c r="Q279" i="18" a="1"/>
  <c r="Q279" i="18" s="1"/>
  <c r="R279" i="18" s="1"/>
  <c r="Q280" i="18" a="1"/>
  <c r="Q280" i="18"/>
  <c r="R280" i="18" s="1"/>
  <c r="Q281" i="18" a="1"/>
  <c r="Q281" i="18" s="1"/>
  <c r="Q282" i="18" a="1"/>
  <c r="Q282" i="18" s="1"/>
  <c r="R282" i="18" s="1"/>
  <c r="Q283" i="18" a="1"/>
  <c r="Q283" i="18" s="1"/>
  <c r="R283" i="18" s="1"/>
  <c r="Q284" i="18" a="1"/>
  <c r="Q284" i="18" s="1"/>
  <c r="Q285" i="18" a="1"/>
  <c r="Q285" i="18" s="1"/>
  <c r="R285" i="18" s="1"/>
  <c r="Q286" i="18" a="1"/>
  <c r="Q286" i="18" s="1"/>
  <c r="Q287" i="18" a="1"/>
  <c r="Q287" i="18" s="1"/>
  <c r="Q288" i="18" a="1"/>
  <c r="Q288" i="18" s="1"/>
  <c r="R288" i="18" s="1"/>
  <c r="Q289" i="18" a="1"/>
  <c r="Q289" i="18" s="1"/>
  <c r="R289" i="18" s="1"/>
  <c r="Q290" i="18" a="1"/>
  <c r="Q290" i="18" s="1"/>
  <c r="R290" i="18" s="1"/>
  <c r="Q291" i="18" a="1"/>
  <c r="Q291" i="18" s="1"/>
  <c r="R291" i="18" s="1"/>
  <c r="Q292" i="18" a="1"/>
  <c r="Q292" i="18" s="1"/>
  <c r="Q293" i="18" a="1"/>
  <c r="Q293" i="18" s="1"/>
  <c r="R293" i="18" s="1"/>
  <c r="Q294" i="18" a="1"/>
  <c r="Q294" i="18" s="1"/>
  <c r="R294" i="18" s="1"/>
  <c r="U294" i="18" s="1"/>
  <c r="Q295" i="18" a="1"/>
  <c r="Q295" i="18" s="1"/>
  <c r="R295" i="18" s="1"/>
  <c r="Q296" i="18" a="1"/>
  <c r="Q296" i="18" s="1"/>
  <c r="R296" i="18" s="1"/>
  <c r="U296" i="18" s="1"/>
  <c r="Q297" i="18" a="1"/>
  <c r="Q297" i="18" s="1"/>
  <c r="Q298" i="18" a="1"/>
  <c r="Q298" i="18" s="1"/>
  <c r="R298" i="18" s="1"/>
  <c r="Q299" i="18" a="1"/>
  <c r="Q299" i="18" s="1"/>
  <c r="R299" i="18" s="1"/>
  <c r="Q300" i="18" a="1"/>
  <c r="Q300" i="18"/>
  <c r="Q301" i="18" a="1"/>
  <c r="Q301" i="18" s="1"/>
  <c r="R301" i="18" s="1"/>
  <c r="Q302" i="18" a="1"/>
  <c r="Q302" i="18" s="1"/>
  <c r="R302" i="18" s="1"/>
  <c r="Q303" i="18" a="1"/>
  <c r="Q303" i="18" s="1"/>
  <c r="R303" i="18" s="1"/>
  <c r="Q304" i="18" a="1"/>
  <c r="Q304" i="18" s="1"/>
  <c r="Q305" i="18" a="1"/>
  <c r="Q305" i="18" s="1"/>
  <c r="Q306" i="18" a="1"/>
  <c r="Q306" i="18" s="1"/>
  <c r="R306" i="18" s="1"/>
  <c r="Q307" i="18" a="1"/>
  <c r="Q307" i="18" s="1"/>
  <c r="R307" i="18" s="1"/>
  <c r="Q308" i="18" a="1"/>
  <c r="Q308" i="18"/>
  <c r="R308" i="18" s="1"/>
  <c r="U308" i="18" s="1"/>
  <c r="Q309" i="18" a="1"/>
  <c r="Q309" i="18" s="1"/>
  <c r="R309" i="18" s="1"/>
  <c r="Q310" i="18" a="1"/>
  <c r="Q310" i="18" s="1"/>
  <c r="R310" i="18" s="1"/>
  <c r="Q311" i="18" a="1"/>
  <c r="Q311" i="18" s="1"/>
  <c r="Q312" i="18" a="1"/>
  <c r="Q312" i="18" s="1"/>
  <c r="R312" i="18" s="1"/>
  <c r="Q313" i="18" a="1"/>
  <c r="Q313" i="18" s="1"/>
  <c r="R313" i="18" s="1"/>
  <c r="Q314" i="18" a="1"/>
  <c r="Q314" i="18" s="1"/>
  <c r="R314" i="18" s="1"/>
  <c r="U314" i="18" s="1"/>
  <c r="Q315" i="18" a="1"/>
  <c r="Q315" i="18" s="1"/>
  <c r="Q316" i="18" a="1"/>
  <c r="Q316" i="18" s="1"/>
  <c r="R316" i="18" s="1"/>
  <c r="U316" i="18" s="1"/>
  <c r="Q317" i="18" a="1"/>
  <c r="Q317" i="18" s="1"/>
  <c r="R317" i="18" s="1"/>
  <c r="Q318" i="18" a="1"/>
  <c r="Q318" i="18" s="1"/>
  <c r="Q319" i="18" a="1"/>
  <c r="Q319" i="18" s="1"/>
  <c r="R319" i="18" s="1"/>
  <c r="Q320" i="18" a="1"/>
  <c r="Q320" i="18"/>
  <c r="R320" i="18" s="1"/>
  <c r="Q321" i="18" a="1"/>
  <c r="Q321" i="18"/>
  <c r="R321" i="18" s="1"/>
  <c r="Q322" i="18" a="1"/>
  <c r="Q322" i="18" s="1"/>
  <c r="Q323" i="18" a="1"/>
  <c r="Q323" i="18" s="1"/>
  <c r="R323" i="18" s="1"/>
  <c r="Q324" i="18" a="1"/>
  <c r="Q324" i="18"/>
  <c r="Q325" i="18" a="1"/>
  <c r="Q325" i="18"/>
  <c r="R325" i="18" s="1"/>
  <c r="Q326" i="18" a="1"/>
  <c r="Q326" i="18"/>
  <c r="Q327" i="18" a="1"/>
  <c r="Q327" i="18" s="1"/>
  <c r="Q328" i="18" a="1"/>
  <c r="Q328" i="18" s="1"/>
  <c r="R328" i="18" s="1"/>
  <c r="Q329" i="18" a="1"/>
  <c r="Q329" i="18" s="1"/>
  <c r="R329" i="18" s="1"/>
  <c r="Q330" i="18" a="1"/>
  <c r="Q330" i="18" s="1"/>
  <c r="R330" i="18" s="1"/>
  <c r="Q331" i="18" a="1"/>
  <c r="Q331" i="18" s="1"/>
  <c r="Q332" i="18" a="1"/>
  <c r="Q332" i="18" s="1"/>
  <c r="R332" i="18" s="1"/>
  <c r="Q333" i="18" a="1"/>
  <c r="Q333" i="18" s="1"/>
  <c r="R333" i="18" s="1"/>
  <c r="Q334" i="18" a="1"/>
  <c r="Q334" i="18" s="1"/>
  <c r="R334" i="18" s="1"/>
  <c r="U334" i="18" s="1"/>
  <c r="Q335" i="18" a="1"/>
  <c r="Q335" i="18" s="1"/>
  <c r="R335" i="18" s="1"/>
  <c r="Q336" i="18" a="1"/>
  <c r="Q336" i="18" s="1"/>
  <c r="Q337" i="18" a="1"/>
  <c r="Q337" i="18" s="1"/>
  <c r="Q338" i="18" a="1"/>
  <c r="Q338" i="18" s="1"/>
  <c r="R338" i="18" s="1"/>
  <c r="Q339" i="18" a="1"/>
  <c r="Q339" i="18" s="1"/>
  <c r="Q340" i="18" a="1"/>
  <c r="Q340" i="18" s="1"/>
  <c r="R340" i="18" s="1"/>
  <c r="Q341" i="18" a="1"/>
  <c r="Q341" i="18"/>
  <c r="R341" i="18" s="1"/>
  <c r="U341" i="18" s="1"/>
  <c r="Q342" i="18" a="1"/>
  <c r="Q342" i="18" s="1"/>
  <c r="R342" i="18" s="1"/>
  <c r="Q343" i="18" a="1"/>
  <c r="Q343" i="18" s="1"/>
  <c r="Q344" i="18" a="1"/>
  <c r="Q344" i="18" s="1"/>
  <c r="Q345" i="18" a="1"/>
  <c r="Q345" i="18" s="1"/>
  <c r="Q346" i="18" a="1"/>
  <c r="Q346" i="18" s="1"/>
  <c r="R346" i="18" s="1"/>
  <c r="U346" i="18" s="1"/>
  <c r="Q347" i="18" a="1"/>
  <c r="Q347" i="18" s="1"/>
  <c r="R347" i="18" s="1"/>
  <c r="Q348" i="18" a="1"/>
  <c r="Q348" i="18"/>
  <c r="R348" i="18" s="1"/>
  <c r="Q349" i="18" a="1"/>
  <c r="Q349" i="18"/>
  <c r="Q350" i="18" a="1"/>
  <c r="Q350" i="18"/>
  <c r="Q351" i="18" a="1"/>
  <c r="Q351" i="18" s="1"/>
  <c r="Q352" i="18" a="1"/>
  <c r="Q352" i="18" s="1"/>
  <c r="R352" i="18" s="1"/>
  <c r="Q353" i="18" a="1"/>
  <c r="Q353" i="18" s="1"/>
  <c r="R353" i="18" s="1"/>
  <c r="Q354" i="18" a="1"/>
  <c r="Q354" i="18" s="1"/>
  <c r="R354" i="18" s="1"/>
  <c r="Q355" i="18" a="1"/>
  <c r="Q355" i="18" s="1"/>
  <c r="Q356" i="18" a="1"/>
  <c r="Q356" i="18" s="1"/>
  <c r="R356" i="18" s="1"/>
  <c r="Q357" i="18" a="1"/>
  <c r="Q357" i="18" s="1"/>
  <c r="Q358" i="18" a="1"/>
  <c r="Q358" i="18" s="1"/>
  <c r="R358" i="18" s="1"/>
  <c r="Q359" i="18" a="1"/>
  <c r="Q359" i="18" s="1"/>
  <c r="Q360" i="18" a="1"/>
  <c r="Q360" i="18" s="1"/>
  <c r="Q361" i="18" a="1"/>
  <c r="Q361" i="18" s="1"/>
  <c r="R361" i="18" s="1"/>
  <c r="Q362" i="18" a="1"/>
  <c r="Q362" i="18" s="1"/>
  <c r="R362" i="18" s="1"/>
  <c r="R5" i="18"/>
  <c r="R7" i="18"/>
  <c r="R9" i="18"/>
  <c r="R12" i="18"/>
  <c r="R15" i="18"/>
  <c r="R21" i="18"/>
  <c r="R25" i="18"/>
  <c r="R26" i="18"/>
  <c r="R32" i="18"/>
  <c r="R33" i="18"/>
  <c r="R38" i="18"/>
  <c r="R44" i="18"/>
  <c r="R48" i="18"/>
  <c r="R54" i="18"/>
  <c r="R55" i="18"/>
  <c r="R64" i="18"/>
  <c r="R73" i="18"/>
  <c r="R79" i="18"/>
  <c r="R80" i="18"/>
  <c r="R85" i="18"/>
  <c r="R90" i="18"/>
  <c r="R93" i="18"/>
  <c r="R96" i="18"/>
  <c r="R103" i="18"/>
  <c r="R106" i="18"/>
  <c r="R114" i="18"/>
  <c r="R117" i="18"/>
  <c r="R119" i="18"/>
  <c r="R125" i="18"/>
  <c r="R129" i="18"/>
  <c r="R137" i="18"/>
  <c r="R140" i="18"/>
  <c r="R145" i="18"/>
  <c r="R148" i="18"/>
  <c r="R151" i="18"/>
  <c r="R152" i="18"/>
  <c r="R153" i="18"/>
  <c r="R156" i="18"/>
  <c r="R158" i="18"/>
  <c r="R173" i="18"/>
  <c r="R180" i="18"/>
  <c r="R181" i="18"/>
  <c r="R183" i="18"/>
  <c r="R188" i="18"/>
  <c r="R209" i="18"/>
  <c r="R210" i="18"/>
  <c r="R213" i="18"/>
  <c r="R215" i="18"/>
  <c r="R220" i="18"/>
  <c r="R225" i="18"/>
  <c r="R229" i="18"/>
  <c r="R230" i="18"/>
  <c r="R231" i="18"/>
  <c r="R234" i="18"/>
  <c r="R236" i="18"/>
  <c r="R237" i="18"/>
  <c r="R245" i="18"/>
  <c r="R247" i="18"/>
  <c r="R249" i="18"/>
  <c r="R252" i="18"/>
  <c r="R253" i="18"/>
  <c r="R255" i="18"/>
  <c r="R263" i="18"/>
  <c r="R271" i="18"/>
  <c r="R273" i="18"/>
  <c r="R277" i="18"/>
  <c r="R284" i="18"/>
  <c r="R286" i="18"/>
  <c r="R300" i="18"/>
  <c r="R318" i="18"/>
  <c r="R322" i="18"/>
  <c r="R326" i="18"/>
  <c r="R336" i="18"/>
  <c r="R344" i="18"/>
  <c r="R345" i="18"/>
  <c r="R349" i="18"/>
  <c r="R357" i="18"/>
  <c r="S2" i="18" a="1"/>
  <c r="S2" i="18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/>
  <c r="S10" i="18" a="1"/>
  <c r="S10" i="18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/>
  <c r="S18" i="18" a="1"/>
  <c r="S18" i="18"/>
  <c r="S19" i="18" a="1"/>
  <c r="S19" i="18"/>
  <c r="S20" i="18" a="1"/>
  <c r="S20" i="18" s="1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/>
  <c r="S42" i="18" a="1"/>
  <c r="S42" i="18" s="1"/>
  <c r="S43" i="18" a="1"/>
  <c r="S43" i="18"/>
  <c r="S44" i="18" a="1"/>
  <c r="S44" i="18" s="1"/>
  <c r="S45" i="18" a="1"/>
  <c r="S45" i="18" s="1"/>
  <c r="S46" i="18" a="1"/>
  <c r="S46" i="18" s="1"/>
  <c r="S47" i="18" a="1"/>
  <c r="S47" i="18" s="1"/>
  <c r="S48" i="18" a="1"/>
  <c r="S48" i="18" s="1"/>
  <c r="S49" i="18" a="1"/>
  <c r="S49" i="18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/>
  <c r="S58" i="18" a="1"/>
  <c r="S58" i="18"/>
  <c r="S59" i="18" a="1"/>
  <c r="S59" i="18" s="1"/>
  <c r="S60" i="18" a="1"/>
  <c r="S60" i="18" s="1"/>
  <c r="S61" i="18" a="1"/>
  <c r="S61" i="18" s="1"/>
  <c r="S62" i="18" a="1"/>
  <c r="S62" i="18" s="1"/>
  <c r="S63" i="18" a="1"/>
  <c r="S63" i="18" s="1"/>
  <c r="S64" i="18" a="1"/>
  <c r="S64" i="18" s="1"/>
  <c r="S65" i="18" a="1"/>
  <c r="S65" i="18"/>
  <c r="S66" i="18" a="1"/>
  <c r="S66" i="18"/>
  <c r="S67" i="18" a="1"/>
  <c r="S67" i="18" s="1"/>
  <c r="S68" i="18" a="1"/>
  <c r="S68" i="18" s="1"/>
  <c r="S69" i="18" a="1"/>
  <c r="S69" i="18" s="1"/>
  <c r="S70" i="18" a="1"/>
  <c r="S70" i="18" s="1"/>
  <c r="S71" i="18" a="1"/>
  <c r="S71" i="18" s="1"/>
  <c r="S72" i="18" a="1"/>
  <c r="S72" i="18" s="1"/>
  <c r="S73" i="18" a="1"/>
  <c r="S73" i="18"/>
  <c r="S74" i="18" a="1"/>
  <c r="S74" i="18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/>
  <c r="S82" i="18" a="1"/>
  <c r="S82" i="18"/>
  <c r="S83" i="18" a="1"/>
  <c r="S83" i="18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/>
  <c r="S91" i="18" a="1"/>
  <c r="S91" i="18" s="1"/>
  <c r="S92" i="18" a="1"/>
  <c r="S92" i="18" s="1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/>
  <c r="S99" i="18" a="1"/>
  <c r="S99" i="18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/>
  <c r="S106" i="18" a="1"/>
  <c r="S106" i="18" s="1"/>
  <c r="S107" i="18" a="1"/>
  <c r="S107" i="18" s="1"/>
  <c r="S108" i="18" a="1"/>
  <c r="S108" i="18" s="1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/>
  <c r="S122" i="18" a="1"/>
  <c r="S122" i="18"/>
  <c r="S123" i="18" a="1"/>
  <c r="S123" i="18" s="1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/>
  <c r="S130" i="18" a="1"/>
  <c r="S130" i="18"/>
  <c r="S131" i="18" a="1"/>
  <c r="S131" i="18" s="1"/>
  <c r="S132" i="18" a="1"/>
  <c r="S132" i="18" s="1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/>
  <c r="S138" i="18" a="1"/>
  <c r="S138" i="18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/>
  <c r="S146" i="18" a="1"/>
  <c r="S146" i="18"/>
  <c r="S147" i="18" a="1"/>
  <c r="S147" i="18"/>
  <c r="S148" i="18" a="1"/>
  <c r="S148" i="18" s="1"/>
  <c r="S149" i="18" a="1"/>
  <c r="S149" i="18" s="1"/>
  <c r="S150" i="18" a="1"/>
  <c r="S150" i="18" s="1"/>
  <c r="S151" i="18" a="1"/>
  <c r="S151" i="18" s="1"/>
  <c r="S152" i="18" a="1"/>
  <c r="S152" i="18" s="1"/>
  <c r="S153" i="18" a="1"/>
  <c r="S153" i="18" s="1"/>
  <c r="S154" i="18" a="1"/>
  <c r="S154" i="18"/>
  <c r="S155" i="18" a="1"/>
  <c r="S155" i="18"/>
  <c r="S156" i="18" a="1"/>
  <c r="S156" i="18" s="1"/>
  <c r="S157" i="18" a="1"/>
  <c r="S157" i="18" s="1"/>
  <c r="S158" i="18" a="1"/>
  <c r="S158" i="18" s="1"/>
  <c r="S159" i="18" a="1"/>
  <c r="S159" i="18" s="1"/>
  <c r="S160" i="18" a="1"/>
  <c r="S160" i="18" s="1"/>
  <c r="S161" i="18" a="1"/>
  <c r="S161" i="18" s="1"/>
  <c r="S162" i="18" a="1"/>
  <c r="S162" i="18"/>
  <c r="S163" i="18" a="1"/>
  <c r="S163" i="18"/>
  <c r="S164" i="18" a="1"/>
  <c r="S164" i="18" s="1"/>
  <c r="S165" i="18" a="1"/>
  <c r="S165" i="18" s="1"/>
  <c r="S166" i="18" a="1"/>
  <c r="S166" i="18" s="1"/>
  <c r="S167" i="18" a="1"/>
  <c r="S167" i="18" s="1"/>
  <c r="S168" i="18" a="1"/>
  <c r="S168" i="18" s="1"/>
  <c r="S169" i="18" a="1"/>
  <c r="S169" i="18"/>
  <c r="S170" i="18" a="1"/>
  <c r="S170" i="18" s="1"/>
  <c r="S171" i="18" a="1"/>
  <c r="S171" i="18" s="1"/>
  <c r="S172" i="18" a="1"/>
  <c r="S172" i="18" s="1"/>
  <c r="S173" i="18" a="1"/>
  <c r="S173" i="18" s="1"/>
  <c r="S174" i="18" a="1"/>
  <c r="S174" i="18" s="1"/>
  <c r="S175" i="18" a="1"/>
  <c r="S175" i="18" s="1"/>
  <c r="S176" i="18" a="1"/>
  <c r="S176" i="18" s="1"/>
  <c r="S177" i="18" a="1"/>
  <c r="S177" i="18"/>
  <c r="S178" i="18" a="1"/>
  <c r="S178" i="18" s="1"/>
  <c r="S179" i="18" a="1"/>
  <c r="S179" i="18" s="1"/>
  <c r="S180" i="18" a="1"/>
  <c r="S180" i="18" s="1"/>
  <c r="S181" i="18" a="1"/>
  <c r="S181" i="18" s="1"/>
  <c r="S182" i="18" a="1"/>
  <c r="S182" i="18" s="1"/>
  <c r="S183" i="18" a="1"/>
  <c r="S183" i="18" s="1"/>
  <c r="S184" i="18" a="1"/>
  <c r="S184" i="18" s="1"/>
  <c r="S185" i="18" a="1"/>
  <c r="S185" i="18"/>
  <c r="S186" i="18" a="1"/>
  <c r="S186" i="18"/>
  <c r="S187" i="18" a="1"/>
  <c r="S187" i="18" s="1"/>
  <c r="S188" i="18" a="1"/>
  <c r="S188" i="18" s="1"/>
  <c r="S189" i="18" a="1"/>
  <c r="S189" i="18" s="1"/>
  <c r="S190" i="18" a="1"/>
  <c r="S190" i="18" s="1"/>
  <c r="S191" i="18" a="1"/>
  <c r="S191" i="18" s="1"/>
  <c r="S192" i="18" a="1"/>
  <c r="S192" i="18" s="1"/>
  <c r="S193" i="18" a="1"/>
  <c r="S193" i="18"/>
  <c r="S194" i="18" a="1"/>
  <c r="S194" i="18"/>
  <c r="S195" i="18" a="1"/>
  <c r="S195" i="18" s="1"/>
  <c r="S196" i="18" a="1"/>
  <c r="S196" i="18" s="1"/>
  <c r="S197" i="18" a="1"/>
  <c r="S197" i="18" s="1"/>
  <c r="S198" i="18" a="1"/>
  <c r="S198" i="18" s="1"/>
  <c r="S199" i="18" a="1"/>
  <c r="S199" i="18" s="1"/>
  <c r="S200" i="18" a="1"/>
  <c r="S200" i="18" s="1"/>
  <c r="S201" i="18" a="1"/>
  <c r="S201" i="18"/>
  <c r="S202" i="18" a="1"/>
  <c r="S202" i="18"/>
  <c r="S203" i="18" a="1"/>
  <c r="S203" i="18" s="1"/>
  <c r="S204" i="18" a="1"/>
  <c r="S204" i="18" s="1"/>
  <c r="S205" i="18" a="1"/>
  <c r="S205" i="18" s="1"/>
  <c r="S206" i="18" a="1"/>
  <c r="S206" i="18" s="1"/>
  <c r="S207" i="18" a="1"/>
  <c r="S207" i="18" s="1"/>
  <c r="S208" i="18" a="1"/>
  <c r="S208" i="18" s="1"/>
  <c r="S209" i="18" a="1"/>
  <c r="S209" i="18"/>
  <c r="S210" i="18" a="1"/>
  <c r="S210" i="18"/>
  <c r="S211" i="18" a="1"/>
  <c r="S211" i="18"/>
  <c r="S212" i="18" a="1"/>
  <c r="S212" i="18" s="1"/>
  <c r="S213" i="18" a="1"/>
  <c r="S213" i="18" s="1"/>
  <c r="S214" i="18" a="1"/>
  <c r="S214" i="18" s="1"/>
  <c r="S215" i="18" a="1"/>
  <c r="S215" i="18" s="1"/>
  <c r="S216" i="18" a="1"/>
  <c r="S216" i="18" s="1"/>
  <c r="S217" i="18" a="1"/>
  <c r="S217" i="18" s="1"/>
  <c r="S218" i="18" a="1"/>
  <c r="S218" i="18"/>
  <c r="S219" i="18" a="1"/>
  <c r="S219" i="18"/>
  <c r="S220" i="18" a="1"/>
  <c r="S220" i="18" s="1"/>
  <c r="S221" i="18" a="1"/>
  <c r="S221" i="18" s="1"/>
  <c r="S222" i="18" a="1"/>
  <c r="S222" i="18" s="1"/>
  <c r="S223" i="18" a="1"/>
  <c r="S223" i="18" s="1"/>
  <c r="S224" i="18" a="1"/>
  <c r="S224" i="18" s="1"/>
  <c r="S225" i="18" a="1"/>
  <c r="S225" i="18" s="1"/>
  <c r="S226" i="18" a="1"/>
  <c r="S226" i="18"/>
  <c r="S227" i="18" a="1"/>
  <c r="S227" i="18"/>
  <c r="S228" i="18" a="1"/>
  <c r="S228" i="18" s="1"/>
  <c r="S229" i="18" a="1"/>
  <c r="S229" i="18" s="1"/>
  <c r="S230" i="18" a="1"/>
  <c r="S230" i="18" s="1"/>
  <c r="S231" i="18" a="1"/>
  <c r="S231" i="18" s="1"/>
  <c r="S232" i="18" a="1"/>
  <c r="S232" i="18" s="1"/>
  <c r="S233" i="18" a="1"/>
  <c r="S233" i="18"/>
  <c r="S234" i="18" a="1"/>
  <c r="S234" i="18" s="1"/>
  <c r="S235" i="18" a="1"/>
  <c r="S235" i="18"/>
  <c r="S236" i="18" a="1"/>
  <c r="S236" i="18" s="1"/>
  <c r="S237" i="18" a="1"/>
  <c r="S237" i="18" s="1"/>
  <c r="S238" i="18" a="1"/>
  <c r="S238" i="18" s="1"/>
  <c r="S239" i="18" a="1"/>
  <c r="S239" i="18" s="1"/>
  <c r="S240" i="18" a="1"/>
  <c r="S240" i="18" s="1"/>
  <c r="S241" i="18" a="1"/>
  <c r="S241" i="18"/>
  <c r="S242" i="18" a="1"/>
  <c r="S242" i="18" s="1"/>
  <c r="S243" i="18" a="1"/>
  <c r="S243" i="18" s="1"/>
  <c r="S244" i="18" a="1"/>
  <c r="S244" i="18" s="1"/>
  <c r="S245" i="18" a="1"/>
  <c r="S245" i="18" s="1"/>
  <c r="S246" i="18" a="1"/>
  <c r="S246" i="18" s="1"/>
  <c r="S247" i="18" a="1"/>
  <c r="S247" i="18" s="1"/>
  <c r="S248" i="18" a="1"/>
  <c r="S248" i="18" s="1"/>
  <c r="S249" i="18" a="1"/>
  <c r="S249" i="18"/>
  <c r="S250" i="18" a="1"/>
  <c r="S250" i="18"/>
  <c r="S251" i="18" a="1"/>
  <c r="S251" i="18" s="1"/>
  <c r="S252" i="18" a="1"/>
  <c r="S252" i="18" s="1"/>
  <c r="S253" i="18" a="1"/>
  <c r="S253" i="18" s="1"/>
  <c r="S254" i="18" a="1"/>
  <c r="S254" i="18" s="1"/>
  <c r="S255" i="18" a="1"/>
  <c r="S255" i="18" s="1"/>
  <c r="S256" i="18" a="1"/>
  <c r="S256" i="18" s="1"/>
  <c r="S257" i="18" a="1"/>
  <c r="S257" i="18"/>
  <c r="S258" i="18" a="1"/>
  <c r="S258" i="18"/>
  <c r="S259" i="18" a="1"/>
  <c r="S259" i="18" s="1"/>
  <c r="S260" i="18" a="1"/>
  <c r="S260" i="18" s="1"/>
  <c r="S261" i="18" a="1"/>
  <c r="S261" i="18" s="1"/>
  <c r="S262" i="18" a="1"/>
  <c r="S262" i="18" s="1"/>
  <c r="S263" i="18" a="1"/>
  <c r="S263" i="18" s="1"/>
  <c r="S264" i="18" a="1"/>
  <c r="S264" i="18" s="1"/>
  <c r="S265" i="18" a="1"/>
  <c r="S265" i="18"/>
  <c r="S266" i="18" a="1"/>
  <c r="S266" i="18"/>
  <c r="S267" i="18" a="1"/>
  <c r="S267" i="18" s="1"/>
  <c r="S268" i="18" a="1"/>
  <c r="S268" i="18" s="1"/>
  <c r="S269" i="18" a="1"/>
  <c r="S269" i="18" s="1"/>
  <c r="S270" i="18" a="1"/>
  <c r="S270" i="18" s="1"/>
  <c r="S271" i="18" a="1"/>
  <c r="S271" i="18" s="1"/>
  <c r="S272" i="18" a="1"/>
  <c r="S272" i="18" s="1"/>
  <c r="S273" i="18" a="1"/>
  <c r="S273" i="18"/>
  <c r="S274" i="18" a="1"/>
  <c r="S274" i="18"/>
  <c r="S275" i="18" a="1"/>
  <c r="S275" i="18"/>
  <c r="S276" i="18" a="1"/>
  <c r="S276" i="18" s="1"/>
  <c r="S277" i="18" a="1"/>
  <c r="S277" i="18" s="1"/>
  <c r="S278" i="18" a="1"/>
  <c r="S278" i="18" s="1"/>
  <c r="S279" i="18" a="1"/>
  <c r="S279" i="18" s="1"/>
  <c r="S280" i="18" a="1"/>
  <c r="S280" i="18" s="1"/>
  <c r="S281" i="18" a="1"/>
  <c r="S281" i="18"/>
  <c r="S282" i="18" a="1"/>
  <c r="S282" i="18" s="1"/>
  <c r="S283" i="18" a="1"/>
  <c r="S283" i="18" s="1"/>
  <c r="S284" i="18" a="1"/>
  <c r="S284" i="18" s="1"/>
  <c r="S285" i="18" a="1"/>
  <c r="S285" i="18" s="1"/>
  <c r="S286" i="18" a="1"/>
  <c r="S286" i="18" s="1"/>
  <c r="S287" i="18" a="1"/>
  <c r="S287" i="18" s="1"/>
  <c r="S288" i="18" a="1"/>
  <c r="S288" i="18" s="1"/>
  <c r="S289" i="18" a="1"/>
  <c r="S289" i="18"/>
  <c r="S290" i="18" a="1"/>
  <c r="S290" i="18" s="1"/>
  <c r="S291" i="18" a="1"/>
  <c r="S291" i="18" s="1"/>
  <c r="S292" i="18" a="1"/>
  <c r="S292" i="18" s="1"/>
  <c r="S293" i="18" a="1"/>
  <c r="S293" i="18" s="1"/>
  <c r="S294" i="18" a="1"/>
  <c r="S294" i="18" s="1"/>
  <c r="S295" i="18" a="1"/>
  <c r="S295" i="18" s="1"/>
  <c r="S296" i="18" a="1"/>
  <c r="S296" i="18" s="1"/>
  <c r="S297" i="18" a="1"/>
  <c r="S297" i="18" s="1"/>
  <c r="S298" i="18" a="1"/>
  <c r="S298" i="18"/>
  <c r="S299" i="18" a="1"/>
  <c r="S299" i="18"/>
  <c r="S300" i="18" a="1"/>
  <c r="S300" i="18" s="1"/>
  <c r="S301" i="18" a="1"/>
  <c r="S301" i="18" s="1"/>
  <c r="S302" i="18" a="1"/>
  <c r="S302" i="18" s="1"/>
  <c r="S303" i="18" a="1"/>
  <c r="S303" i="18" s="1"/>
  <c r="S304" i="18" a="1"/>
  <c r="S304" i="18" s="1"/>
  <c r="S305" i="18" a="1"/>
  <c r="S305" i="18"/>
  <c r="S306" i="18" a="1"/>
  <c r="S306" i="18" s="1"/>
  <c r="S307" i="18" a="1"/>
  <c r="S307" i="18" s="1"/>
  <c r="S308" i="18" a="1"/>
  <c r="S308" i="18" s="1"/>
  <c r="S309" i="18" a="1"/>
  <c r="S309" i="18" s="1"/>
  <c r="S310" i="18" a="1"/>
  <c r="S310" i="18" s="1"/>
  <c r="S311" i="18" a="1"/>
  <c r="S311" i="18" s="1"/>
  <c r="S312" i="18" a="1"/>
  <c r="S312" i="18" s="1"/>
  <c r="S313" i="18" a="1"/>
  <c r="S313" i="18"/>
  <c r="S314" i="18" a="1"/>
  <c r="S314" i="18"/>
  <c r="S315" i="18" a="1"/>
  <c r="S315" i="18" s="1"/>
  <c r="S316" i="18" a="1"/>
  <c r="S316" i="18" s="1"/>
  <c r="S317" i="18" a="1"/>
  <c r="S317" i="18" s="1"/>
  <c r="S318" i="18" a="1"/>
  <c r="S318" i="18" s="1"/>
  <c r="S319" i="18" a="1"/>
  <c r="S319" i="18" s="1"/>
  <c r="S320" i="18" a="1"/>
  <c r="S320" i="18" s="1"/>
  <c r="S321" i="18" a="1"/>
  <c r="S321" i="18" s="1"/>
  <c r="S322" i="18" a="1"/>
  <c r="S322" i="18" s="1"/>
  <c r="S323" i="18" a="1"/>
  <c r="S323" i="18"/>
  <c r="S324" i="18" a="1"/>
  <c r="S324" i="18" s="1"/>
  <c r="S325" i="18" a="1"/>
  <c r="S325" i="18" s="1"/>
  <c r="S326" i="18" a="1"/>
  <c r="S326" i="18" s="1"/>
  <c r="S327" i="18" a="1"/>
  <c r="S327" i="18" s="1"/>
  <c r="S328" i="18" a="1"/>
  <c r="S328" i="18" s="1"/>
  <c r="S329" i="18" a="1"/>
  <c r="S329" i="18"/>
  <c r="S330" i="18" a="1"/>
  <c r="S330" i="18" s="1"/>
  <c r="S331" i="18" a="1"/>
  <c r="S331" i="18" s="1"/>
  <c r="S332" i="18" a="1"/>
  <c r="S332" i="18" s="1"/>
  <c r="S333" i="18" a="1"/>
  <c r="S333" i="18" s="1"/>
  <c r="S334" i="18" a="1"/>
  <c r="S334" i="18" s="1"/>
  <c r="S335" i="18" a="1"/>
  <c r="S335" i="18" s="1"/>
  <c r="S336" i="18" a="1"/>
  <c r="S336" i="18" s="1"/>
  <c r="S337" i="18" a="1"/>
  <c r="S337" i="18"/>
  <c r="S338" i="18" a="1"/>
  <c r="S338" i="18"/>
  <c r="S339" i="18" a="1"/>
  <c r="S339" i="18" s="1"/>
  <c r="S340" i="18" a="1"/>
  <c r="S340" i="18" s="1"/>
  <c r="S341" i="18" a="1"/>
  <c r="S341" i="18" s="1"/>
  <c r="S342" i="18" a="1"/>
  <c r="S342" i="18" s="1"/>
  <c r="S343" i="18" a="1"/>
  <c r="S343" i="18"/>
  <c r="S344" i="18" a="1"/>
  <c r="S344" i="18" s="1"/>
  <c r="S345" i="18" a="1"/>
  <c r="S345" i="18"/>
  <c r="S346" i="18" a="1"/>
  <c r="S346" i="18"/>
  <c r="S347" i="18" a="1"/>
  <c r="S347" i="18" s="1"/>
  <c r="S348" i="18" a="1"/>
  <c r="S348" i="18" s="1"/>
  <c r="S349" i="18" a="1"/>
  <c r="S349" i="18" s="1"/>
  <c r="S350" i="18" a="1"/>
  <c r="S350" i="18" s="1"/>
  <c r="S351" i="18" a="1"/>
  <c r="S351" i="18" s="1"/>
  <c r="S352" i="18" a="1"/>
  <c r="S352" i="18" s="1"/>
  <c r="S353" i="18" a="1"/>
  <c r="S353" i="18"/>
  <c r="S354" i="18" a="1"/>
  <c r="S354" i="18"/>
  <c r="S355" i="18" a="1"/>
  <c r="S355" i="18"/>
  <c r="S356" i="18" a="1"/>
  <c r="S356" i="18" s="1"/>
  <c r="S357" i="18" a="1"/>
  <c r="S357" i="18" s="1"/>
  <c r="S358" i="18" a="1"/>
  <c r="S358" i="18" s="1"/>
  <c r="S359" i="18" a="1"/>
  <c r="S359" i="18" s="1"/>
  <c r="S360" i="18" a="1"/>
  <c r="S360" i="18" s="1"/>
  <c r="S361" i="18" a="1"/>
  <c r="S361" i="18"/>
  <c r="S362" i="18" a="1"/>
  <c r="S362" i="18" s="1"/>
  <c r="T2" i="18" a="1"/>
  <c r="T2" i="18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/>
  <c r="T17" i="18" a="1"/>
  <c r="T17" i="18"/>
  <c r="T18" i="18" a="1"/>
  <c r="T18" i="18"/>
  <c r="T19" i="18" a="1"/>
  <c r="T19" i="18" s="1"/>
  <c r="T20" i="18" a="1"/>
  <c r="T20" i="18" s="1"/>
  <c r="T21" i="18" a="1"/>
  <c r="T21" i="18"/>
  <c r="T22" i="18" a="1"/>
  <c r="T22" i="18" s="1"/>
  <c r="T23" i="18" a="1"/>
  <c r="T23" i="18" s="1"/>
  <c r="T24" i="18" a="1"/>
  <c r="T24" i="18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/>
  <c r="T31" i="18" a="1"/>
  <c r="T31" i="18" s="1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/>
  <c r="T41" i="18" a="1"/>
  <c r="T41" i="18" s="1"/>
  <c r="T42" i="18" a="1"/>
  <c r="T42" i="18" s="1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/>
  <c r="T49" i="18" a="1"/>
  <c r="T49" i="18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/>
  <c r="T57" i="18" a="1"/>
  <c r="T57" i="18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/>
  <c r="T65" i="18" a="1"/>
  <c r="T65" i="18"/>
  <c r="T66" i="18" a="1"/>
  <c r="T66" i="18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/>
  <c r="T74" i="18" a="1"/>
  <c r="T74" i="18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/>
  <c r="T82" i="18" a="1"/>
  <c r="T82" i="18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/>
  <c r="T97" i="18" a="1"/>
  <c r="T97" i="18" s="1"/>
  <c r="T98" i="18" a="1"/>
  <c r="T98" i="18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/>
  <c r="T113" i="18" a="1"/>
  <c r="T113" i="18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/>
  <c r="T121" i="18" a="1"/>
  <c r="T121" i="18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/>
  <c r="T129" i="18" a="1"/>
  <c r="T129" i="18"/>
  <c r="T130" i="18" a="1"/>
  <c r="T130" i="18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/>
  <c r="T138" i="18" a="1"/>
  <c r="T138" i="18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/>
  <c r="T146" i="18" a="1"/>
  <c r="T146" i="18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T152" i="18" a="1"/>
  <c r="T152" i="18" s="1"/>
  <c r="T153" i="18" a="1"/>
  <c r="T153" i="18" s="1"/>
  <c r="T154" i="18" a="1"/>
  <c r="T154" i="18"/>
  <c r="T155" i="18" a="1"/>
  <c r="T155" i="18" s="1"/>
  <c r="T156" i="18" a="1"/>
  <c r="T156" i="18" s="1"/>
  <c r="T157" i="18" a="1"/>
  <c r="T157" i="18" s="1"/>
  <c r="T158" i="18" a="1"/>
  <c r="T158" i="18" s="1"/>
  <c r="T159" i="18" a="1"/>
  <c r="T159" i="18" s="1"/>
  <c r="T160" i="18" a="1"/>
  <c r="T160" i="18"/>
  <c r="T161" i="18" a="1"/>
  <c r="T161" i="18" s="1"/>
  <c r="T162" i="18" a="1"/>
  <c r="T162" i="18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 s="1"/>
  <c r="T168" i="18" a="1"/>
  <c r="T168" i="18"/>
  <c r="T169" i="18" a="1"/>
  <c r="T169" i="18" s="1"/>
  <c r="T170" i="18" a="1"/>
  <c r="T170" i="18" s="1"/>
  <c r="T171" i="18" a="1"/>
  <c r="T171" i="18" s="1"/>
  <c r="T172" i="18" a="1"/>
  <c r="T172" i="18" s="1"/>
  <c r="T173" i="18" a="1"/>
  <c r="T173" i="18" s="1"/>
  <c r="T174" i="18" a="1"/>
  <c r="T174" i="18" s="1"/>
  <c r="T175" i="18" a="1"/>
  <c r="T175" i="18" s="1"/>
  <c r="T176" i="18" a="1"/>
  <c r="T176" i="18"/>
  <c r="T177" i="18" a="1"/>
  <c r="T177" i="18"/>
  <c r="T178" i="18" a="1"/>
  <c r="T178" i="18" s="1"/>
  <c r="T179" i="18" a="1"/>
  <c r="T179" i="18" s="1"/>
  <c r="T180" i="18" a="1"/>
  <c r="T180" i="18" s="1"/>
  <c r="T181" i="18" a="1"/>
  <c r="T181" i="18" s="1"/>
  <c r="T182" i="18" a="1"/>
  <c r="T182" i="18" s="1"/>
  <c r="T183" i="18" a="1"/>
  <c r="T183" i="18" s="1"/>
  <c r="T184" i="18" a="1"/>
  <c r="T184" i="18"/>
  <c r="T185" i="18" a="1"/>
  <c r="T185" i="18"/>
  <c r="T186" i="18" a="1"/>
  <c r="T186" i="18" s="1"/>
  <c r="T187" i="18" a="1"/>
  <c r="T187" i="18" s="1"/>
  <c r="T188" i="18" a="1"/>
  <c r="T188" i="18" s="1"/>
  <c r="T189" i="18" a="1"/>
  <c r="T189" i="18" s="1"/>
  <c r="T190" i="18" a="1"/>
  <c r="T190" i="18" s="1"/>
  <c r="T191" i="18" a="1"/>
  <c r="T191" i="18" s="1"/>
  <c r="T192" i="18" a="1"/>
  <c r="T192" i="18"/>
  <c r="T193" i="18" a="1"/>
  <c r="T193" i="18"/>
  <c r="T194" i="18" a="1"/>
  <c r="T194" i="18"/>
  <c r="T195" i="18" a="1"/>
  <c r="T195" i="18" s="1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 s="1"/>
  <c r="T201" i="18" a="1"/>
  <c r="T201" i="18"/>
  <c r="T202" i="18" a="1"/>
  <c r="T202" i="18"/>
  <c r="T203" i="18" a="1"/>
  <c r="T203" i="18" s="1"/>
  <c r="T204" i="18" a="1"/>
  <c r="T204" i="18" s="1"/>
  <c r="T205" i="18" a="1"/>
  <c r="T205" i="18" s="1"/>
  <c r="T206" i="18" a="1"/>
  <c r="T206" i="18" s="1"/>
  <c r="T207" i="18" a="1"/>
  <c r="T207" i="18" s="1"/>
  <c r="T208" i="18" a="1"/>
  <c r="T208" i="18" s="1"/>
  <c r="T209" i="18" a="1"/>
  <c r="T209" i="18"/>
  <c r="T210" i="18" a="1"/>
  <c r="T210" i="18"/>
  <c r="T211" i="18" a="1"/>
  <c r="T211" i="18" s="1"/>
  <c r="T212" i="18" a="1"/>
  <c r="T212" i="18" s="1"/>
  <c r="T213" i="18" a="1"/>
  <c r="T213" i="18" s="1"/>
  <c r="T214" i="18" a="1"/>
  <c r="T214" i="18" s="1"/>
  <c r="T215" i="18" a="1"/>
  <c r="T215" i="18" s="1"/>
  <c r="T216" i="18" a="1"/>
  <c r="T216" i="18" s="1"/>
  <c r="T217" i="18" a="1"/>
  <c r="T217" i="18" s="1"/>
  <c r="T218" i="18" a="1"/>
  <c r="T218" i="18"/>
  <c r="T219" i="18" a="1"/>
  <c r="T219" i="18" s="1"/>
  <c r="T220" i="18" a="1"/>
  <c r="T220" i="18" s="1"/>
  <c r="T221" i="18" a="1"/>
  <c r="T221" i="18" s="1"/>
  <c r="T222" i="18" a="1"/>
  <c r="T222" i="18" s="1"/>
  <c r="T223" i="18" a="1"/>
  <c r="T223" i="18" s="1"/>
  <c r="T224" i="18" a="1"/>
  <c r="T224" i="18"/>
  <c r="T225" i="18" a="1"/>
  <c r="T225" i="18" s="1"/>
  <c r="T226" i="18" a="1"/>
  <c r="T226" i="18"/>
  <c r="T227" i="18" a="1"/>
  <c r="T227" i="18" s="1"/>
  <c r="T228" i="18" a="1"/>
  <c r="T228" i="18" s="1"/>
  <c r="T229" i="18" a="1"/>
  <c r="T229" i="18" s="1"/>
  <c r="T230" i="18" a="1"/>
  <c r="T230" i="18" s="1"/>
  <c r="T231" i="18" a="1"/>
  <c r="T231" i="18" s="1"/>
  <c r="T232" i="18" a="1"/>
  <c r="T232" i="18"/>
  <c r="T233" i="18" a="1"/>
  <c r="T233" i="18" s="1"/>
  <c r="T234" i="18" a="1"/>
  <c r="T234" i="18" s="1"/>
  <c r="T235" i="18" a="1"/>
  <c r="T235" i="18" s="1"/>
  <c r="T236" i="18" a="1"/>
  <c r="T236" i="18" s="1"/>
  <c r="T237" i="18" a="1"/>
  <c r="T237" i="18" s="1"/>
  <c r="T238" i="18" a="1"/>
  <c r="T238" i="18" s="1"/>
  <c r="T239" i="18" a="1"/>
  <c r="T239" i="18" s="1"/>
  <c r="T240" i="18" a="1"/>
  <c r="T240" i="18"/>
  <c r="T241" i="18" a="1"/>
  <c r="T241" i="18"/>
  <c r="T242" i="18" a="1"/>
  <c r="T242" i="18" s="1"/>
  <c r="T243" i="18" a="1"/>
  <c r="T243" i="18" s="1"/>
  <c r="T244" i="18" a="1"/>
  <c r="T244" i="18" s="1"/>
  <c r="T245" i="18" a="1"/>
  <c r="T245" i="18" s="1"/>
  <c r="T246" i="18" a="1"/>
  <c r="T246" i="18" s="1"/>
  <c r="T247" i="18" a="1"/>
  <c r="T247" i="18" s="1"/>
  <c r="T248" i="18" a="1"/>
  <c r="T248" i="18"/>
  <c r="T249" i="18" a="1"/>
  <c r="T249" i="18"/>
  <c r="T250" i="18" a="1"/>
  <c r="T250" i="18" s="1"/>
  <c r="T251" i="18" a="1"/>
  <c r="T251" i="18" s="1"/>
  <c r="T252" i="18" a="1"/>
  <c r="T252" i="18" s="1"/>
  <c r="T253" i="18" a="1"/>
  <c r="T253" i="18" s="1"/>
  <c r="T254" i="18" a="1"/>
  <c r="T254" i="18" s="1"/>
  <c r="T255" i="18" a="1"/>
  <c r="T255" i="18" s="1"/>
  <c r="T256" i="18" a="1"/>
  <c r="T256" i="18"/>
  <c r="T257" i="18" a="1"/>
  <c r="T257" i="18"/>
  <c r="T258" i="18" a="1"/>
  <c r="T258" i="18"/>
  <c r="T259" i="18" a="1"/>
  <c r="T259" i="18" s="1"/>
  <c r="T260" i="18" a="1"/>
  <c r="T260" i="18" s="1"/>
  <c r="T261" i="18" a="1"/>
  <c r="T261" i="18" s="1"/>
  <c r="T262" i="18" a="1"/>
  <c r="T262" i="18" s="1"/>
  <c r="T263" i="18" a="1"/>
  <c r="T263" i="18" s="1"/>
  <c r="T264" i="18" a="1"/>
  <c r="T264" i="18" s="1"/>
  <c r="T265" i="18" a="1"/>
  <c r="T265" i="18"/>
  <c r="T266" i="18" a="1"/>
  <c r="T266" i="18"/>
  <c r="T267" i="18" a="1"/>
  <c r="T267" i="18" s="1"/>
  <c r="T268" i="18" a="1"/>
  <c r="T268" i="18" s="1"/>
  <c r="T269" i="18" a="1"/>
  <c r="T269" i="18" s="1"/>
  <c r="T270" i="18" a="1"/>
  <c r="T270" i="18" s="1"/>
  <c r="T271" i="18" a="1"/>
  <c r="T271" i="18" s="1"/>
  <c r="T272" i="18" a="1"/>
  <c r="T272" i="18" s="1"/>
  <c r="T273" i="18" a="1"/>
  <c r="T273" i="18"/>
  <c r="T274" i="18" a="1"/>
  <c r="T274" i="18"/>
  <c r="T275" i="18" a="1"/>
  <c r="T275" i="18" s="1"/>
  <c r="T276" i="18" a="1"/>
  <c r="T276" i="18" s="1"/>
  <c r="T277" i="18" a="1"/>
  <c r="T277" i="18" s="1"/>
  <c r="T278" i="18" a="1"/>
  <c r="T278" i="18" s="1"/>
  <c r="T279" i="18" a="1"/>
  <c r="T279" i="18" s="1"/>
  <c r="T280" i="18" a="1"/>
  <c r="T280" i="18" s="1"/>
  <c r="T281" i="18" a="1"/>
  <c r="T281" i="18" s="1"/>
  <c r="T282" i="18" a="1"/>
  <c r="T282" i="18"/>
  <c r="T283" i="18" a="1"/>
  <c r="T283" i="18" s="1"/>
  <c r="T284" i="18" a="1"/>
  <c r="T284" i="18" s="1"/>
  <c r="T285" i="18" a="1"/>
  <c r="T285" i="18" s="1"/>
  <c r="T286" i="18" a="1"/>
  <c r="T286" i="18" s="1"/>
  <c r="T287" i="18" a="1"/>
  <c r="T287" i="18" s="1"/>
  <c r="T288" i="18" a="1"/>
  <c r="T288" i="18"/>
  <c r="T289" i="18" a="1"/>
  <c r="T289" i="18" s="1"/>
  <c r="T290" i="18" a="1"/>
  <c r="T290" i="18"/>
  <c r="T291" i="18" a="1"/>
  <c r="T291" i="18" s="1"/>
  <c r="T292" i="18" a="1"/>
  <c r="T292" i="18" s="1"/>
  <c r="T293" i="18" a="1"/>
  <c r="T293" i="18" s="1"/>
  <c r="T294" i="18" a="1"/>
  <c r="T294" i="18" s="1"/>
  <c r="T295" i="18" a="1"/>
  <c r="T295" i="18" s="1"/>
  <c r="T296" i="18" a="1"/>
  <c r="T296" i="18"/>
  <c r="T297" i="18" a="1"/>
  <c r="T297" i="18" s="1"/>
  <c r="T298" i="18" a="1"/>
  <c r="T298" i="18" s="1"/>
  <c r="T299" i="18" a="1"/>
  <c r="T299" i="18" s="1"/>
  <c r="T300" i="18" a="1"/>
  <c r="T300" i="18" s="1"/>
  <c r="T301" i="18" a="1"/>
  <c r="T301" i="18" s="1"/>
  <c r="T302" i="18" a="1"/>
  <c r="T302" i="18" s="1"/>
  <c r="T303" i="18" a="1"/>
  <c r="T303" i="18" s="1"/>
  <c r="T304" i="18" a="1"/>
  <c r="T304" i="18"/>
  <c r="T305" i="18" a="1"/>
  <c r="T305" i="18"/>
  <c r="T306" i="18" a="1"/>
  <c r="T306" i="18" s="1"/>
  <c r="T307" i="18" a="1"/>
  <c r="T307" i="18" s="1"/>
  <c r="T308" i="18" a="1"/>
  <c r="T308" i="18" s="1"/>
  <c r="T309" i="18" a="1"/>
  <c r="T309" i="18" s="1"/>
  <c r="T310" i="18" a="1"/>
  <c r="T310" i="18" s="1"/>
  <c r="T311" i="18" a="1"/>
  <c r="T311" i="18" s="1"/>
  <c r="T312" i="18" a="1"/>
  <c r="T312" i="18"/>
  <c r="T313" i="18" a="1"/>
  <c r="T313" i="18"/>
  <c r="T314" i="18" a="1"/>
  <c r="T314" i="18" s="1"/>
  <c r="T315" i="18" a="1"/>
  <c r="T315" i="18" s="1"/>
  <c r="T316" i="18" a="1"/>
  <c r="T316" i="18" s="1"/>
  <c r="T317" i="18" a="1"/>
  <c r="T317" i="18" s="1"/>
  <c r="T318" i="18" a="1"/>
  <c r="T318" i="18" s="1"/>
  <c r="T319" i="18" a="1"/>
  <c r="T319" i="18" s="1"/>
  <c r="T320" i="18" a="1"/>
  <c r="T320" i="18"/>
  <c r="T321" i="18" a="1"/>
  <c r="T321" i="18"/>
  <c r="T322" i="18" a="1"/>
  <c r="T322" i="18"/>
  <c r="T323" i="18" a="1"/>
  <c r="T323" i="18" s="1"/>
  <c r="T324" i="18" a="1"/>
  <c r="T324" i="18" s="1"/>
  <c r="T325" i="18" a="1"/>
  <c r="T325" i="18" s="1"/>
  <c r="T326" i="18" a="1"/>
  <c r="T326" i="18" s="1"/>
  <c r="T327" i="18" a="1"/>
  <c r="T327" i="18" s="1"/>
  <c r="T328" i="18" a="1"/>
  <c r="T328" i="18" s="1"/>
  <c r="T329" i="18" a="1"/>
  <c r="T329" i="18"/>
  <c r="T330" i="18" a="1"/>
  <c r="T330" i="18"/>
  <c r="T331" i="18" a="1"/>
  <c r="T331" i="18" s="1"/>
  <c r="T332" i="18" a="1"/>
  <c r="T332" i="18" s="1"/>
  <c r="T333" i="18" a="1"/>
  <c r="T333" i="18" s="1"/>
  <c r="T334" i="18" a="1"/>
  <c r="T334" i="18" s="1"/>
  <c r="T335" i="18" a="1"/>
  <c r="T335" i="18" s="1"/>
  <c r="T336" i="18" a="1"/>
  <c r="T336" i="18" s="1"/>
  <c r="T337" i="18" a="1"/>
  <c r="T337" i="18"/>
  <c r="T338" i="18" a="1"/>
  <c r="T338" i="18"/>
  <c r="T339" i="18" a="1"/>
  <c r="T339" i="18" s="1"/>
  <c r="T340" i="18" a="1"/>
  <c r="T340" i="18" s="1"/>
  <c r="T341" i="18" a="1"/>
  <c r="T341" i="18" s="1"/>
  <c r="T342" i="18" a="1"/>
  <c r="T342" i="18" s="1"/>
  <c r="T343" i="18" a="1"/>
  <c r="T343" i="18" s="1"/>
  <c r="T344" i="18" a="1"/>
  <c r="T344" i="18" s="1"/>
  <c r="T345" i="18" a="1"/>
  <c r="T345" i="18" s="1"/>
  <c r="T346" i="18" a="1"/>
  <c r="T346" i="18"/>
  <c r="T347" i="18" a="1"/>
  <c r="T347" i="18" s="1"/>
  <c r="T348" i="18" a="1"/>
  <c r="T348" i="18" s="1"/>
  <c r="T349" i="18" a="1"/>
  <c r="T349" i="18" s="1"/>
  <c r="T350" i="18" a="1"/>
  <c r="T350" i="18" s="1"/>
  <c r="T351" i="18" a="1"/>
  <c r="T351" i="18" s="1"/>
  <c r="T352" i="18" a="1"/>
  <c r="T352" i="18"/>
  <c r="T353" i="18" a="1"/>
  <c r="T353" i="18" s="1"/>
  <c r="T354" i="18" a="1"/>
  <c r="T354" i="18"/>
  <c r="T355" i="18" a="1"/>
  <c r="T355" i="18" s="1"/>
  <c r="T356" i="18" a="1"/>
  <c r="T356" i="18" s="1"/>
  <c r="T357" i="18" a="1"/>
  <c r="T357" i="18" s="1"/>
  <c r="T358" i="18" a="1"/>
  <c r="T358" i="18" s="1"/>
  <c r="T359" i="18" a="1"/>
  <c r="T359" i="18" s="1"/>
  <c r="T360" i="18" a="1"/>
  <c r="T360" i="18"/>
  <c r="T361" i="18" a="1"/>
  <c r="T361" i="18" s="1"/>
  <c r="T362" i="18" a="1"/>
  <c r="T362" i="18" s="1"/>
  <c r="U2" i="18"/>
  <c r="U3" i="18"/>
  <c r="U5" i="18"/>
  <c r="U6" i="18"/>
  <c r="U7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8" i="18"/>
  <c r="U29" i="18"/>
  <c r="U30" i="18"/>
  <c r="U32" i="18"/>
  <c r="U33" i="18"/>
  <c r="U34" i="18"/>
  <c r="U35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59" i="18"/>
  <c r="U60" i="18"/>
  <c r="U61" i="18"/>
  <c r="U62" i="18"/>
  <c r="U63" i="18"/>
  <c r="U64" i="18"/>
  <c r="U65" i="18"/>
  <c r="U67" i="18"/>
  <c r="U69" i="18"/>
  <c r="U70" i="18"/>
  <c r="U71" i="18"/>
  <c r="U72" i="18"/>
  <c r="U73" i="18"/>
  <c r="U74" i="18"/>
  <c r="U76" i="18"/>
  <c r="U77" i="18"/>
  <c r="U78" i="18"/>
  <c r="U79" i="18"/>
  <c r="U80" i="18"/>
  <c r="U81" i="18"/>
  <c r="U82" i="18"/>
  <c r="U84" i="18"/>
  <c r="U85" i="18"/>
  <c r="U86" i="18"/>
  <c r="U88" i="18"/>
  <c r="U89" i="18"/>
  <c r="U90" i="18"/>
  <c r="U91" i="18"/>
  <c r="U92" i="18"/>
  <c r="U93" i="18"/>
  <c r="U94" i="18"/>
  <c r="U95" i="18"/>
  <c r="U96" i="18"/>
  <c r="U97" i="18"/>
  <c r="U98" i="18"/>
  <c r="U99" i="18"/>
  <c r="U100" i="18"/>
  <c r="U101" i="18"/>
  <c r="U102" i="18"/>
  <c r="U103" i="18"/>
  <c r="U104" i="18"/>
  <c r="U105" i="18"/>
  <c r="U106" i="18"/>
  <c r="U107" i="18"/>
  <c r="U108" i="18"/>
  <c r="U110" i="18"/>
  <c r="U111" i="18"/>
  <c r="U112" i="18"/>
  <c r="U113" i="18"/>
  <c r="U114" i="18"/>
  <c r="U115" i="18"/>
  <c r="U116" i="18"/>
  <c r="U117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1" i="18"/>
  <c r="U132" i="18"/>
  <c r="U133" i="18"/>
  <c r="U134" i="18"/>
  <c r="U136" i="18"/>
  <c r="U137" i="18"/>
  <c r="U138" i="18"/>
  <c r="U139" i="18"/>
  <c r="U140" i="18"/>
  <c r="U141" i="18"/>
  <c r="U142" i="18"/>
  <c r="U143" i="18"/>
  <c r="U145" i="18"/>
  <c r="U146" i="18"/>
  <c r="U147" i="18"/>
  <c r="U148" i="18"/>
  <c r="U149" i="18"/>
  <c r="U150" i="18"/>
  <c r="U151" i="18"/>
  <c r="U152" i="18"/>
  <c r="U153" i="18"/>
  <c r="U155" i="18"/>
  <c r="U156" i="18"/>
  <c r="U157" i="18"/>
  <c r="U158" i="18"/>
  <c r="U160" i="18"/>
  <c r="U161" i="18"/>
  <c r="U163" i="18"/>
  <c r="U164" i="18"/>
  <c r="U165" i="18"/>
  <c r="U166" i="18"/>
  <c r="U168" i="18"/>
  <c r="U169" i="18"/>
  <c r="U170" i="18"/>
  <c r="U171" i="18"/>
  <c r="U172" i="18"/>
  <c r="U173" i="18"/>
  <c r="U174" i="18"/>
  <c r="U175" i="18"/>
  <c r="U177" i="18"/>
  <c r="U179" i="18"/>
  <c r="U180" i="18"/>
  <c r="U181" i="18"/>
  <c r="U182" i="18"/>
  <c r="U183" i="18"/>
  <c r="U184" i="18"/>
  <c r="U185" i="18"/>
  <c r="U186" i="18"/>
  <c r="U188" i="18"/>
  <c r="U189" i="18"/>
  <c r="U190" i="18"/>
  <c r="U191" i="18"/>
  <c r="U192" i="18"/>
  <c r="U193" i="18"/>
  <c r="U195" i="18"/>
  <c r="U196" i="18"/>
  <c r="U197" i="18"/>
  <c r="U201" i="18"/>
  <c r="U202" i="18"/>
  <c r="U203" i="18"/>
  <c r="U204" i="18"/>
  <c r="U205" i="18"/>
  <c r="U206" i="18"/>
  <c r="U207" i="18"/>
  <c r="U209" i="18"/>
  <c r="U210" i="18"/>
  <c r="U211" i="18"/>
  <c r="U212" i="18"/>
  <c r="U213" i="18"/>
  <c r="U214" i="18"/>
  <c r="U215" i="18"/>
  <c r="U216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1" i="18"/>
  <c r="U272" i="18"/>
  <c r="U273" i="18"/>
  <c r="U274" i="18"/>
  <c r="U276" i="18"/>
  <c r="U277" i="18"/>
  <c r="U278" i="18"/>
  <c r="U279" i="18"/>
  <c r="U280" i="18"/>
  <c r="U281" i="18"/>
  <c r="U282" i="18"/>
  <c r="U283" i="18"/>
  <c r="U284" i="18"/>
  <c r="U285" i="18"/>
  <c r="U286" i="18"/>
  <c r="U288" i="18"/>
  <c r="U289" i="18"/>
  <c r="U290" i="18"/>
  <c r="U291" i="18"/>
  <c r="U293" i="18"/>
  <c r="U295" i="18"/>
  <c r="U298" i="18"/>
  <c r="U299" i="18"/>
  <c r="U300" i="18"/>
  <c r="U301" i="18"/>
  <c r="U302" i="18"/>
  <c r="U303" i="18"/>
  <c r="U306" i="18"/>
  <c r="U307" i="18"/>
  <c r="U309" i="18"/>
  <c r="U310" i="18"/>
  <c r="U312" i="18"/>
  <c r="U313" i="18"/>
  <c r="U317" i="18"/>
  <c r="U318" i="18"/>
  <c r="U319" i="18"/>
  <c r="U320" i="18"/>
  <c r="U321" i="18"/>
  <c r="U322" i="18"/>
  <c r="U323" i="18"/>
  <c r="U325" i="18"/>
  <c r="U326" i="18"/>
  <c r="U327" i="18"/>
  <c r="U328" i="18"/>
  <c r="U329" i="18"/>
  <c r="U330" i="18"/>
  <c r="U332" i="18"/>
  <c r="U333" i="18"/>
  <c r="U335" i="18"/>
  <c r="U336" i="18"/>
  <c r="U338" i="18"/>
  <c r="U340" i="18"/>
  <c r="U342" i="18"/>
  <c r="U344" i="18"/>
  <c r="U345" i="18"/>
  <c r="U347" i="18"/>
  <c r="U348" i="18"/>
  <c r="U349" i="18"/>
  <c r="U352" i="18"/>
  <c r="U353" i="18"/>
  <c r="U354" i="18"/>
  <c r="U356" i="18"/>
  <c r="U357" i="18"/>
  <c r="U358" i="18"/>
  <c r="U361" i="18"/>
  <c r="U362" i="18"/>
  <c r="L2" i="17"/>
  <c r="L3" i="17"/>
  <c r="L4" i="17"/>
  <c r="L5" i="17"/>
  <c r="L6" i="17"/>
  <c r="L7" i="17"/>
  <c r="L116" i="17"/>
  <c r="L135" i="17"/>
  <c r="N135" i="17" s="1" a="1"/>
  <c r="N135" i="17" s="1"/>
  <c r="L154" i="17"/>
  <c r="L173" i="17"/>
  <c r="L192" i="17"/>
  <c r="L193" i="17"/>
  <c r="L194" i="17"/>
  <c r="L249" i="17"/>
  <c r="L268" i="17"/>
  <c r="L287" i="17"/>
  <c r="N287" i="17" s="1" a="1"/>
  <c r="N287" i="17" s="1"/>
  <c r="L306" i="17"/>
  <c r="L325" i="17"/>
  <c r="L344" i="17"/>
  <c r="L363" i="17"/>
  <c r="L382" i="17"/>
  <c r="L401" i="17"/>
  <c r="L496" i="17"/>
  <c r="L515" i="17"/>
  <c r="N515" i="17" s="1" a="1"/>
  <c r="N515" i="17" s="1"/>
  <c r="L534" i="17"/>
  <c r="L420" i="17"/>
  <c r="L421" i="17"/>
  <c r="L422" i="17"/>
  <c r="L477" i="17"/>
  <c r="L667" i="17"/>
  <c r="L686" i="17"/>
  <c r="L705" i="17"/>
  <c r="N705" i="17" s="1" a="1"/>
  <c r="N705" i="17" s="1"/>
  <c r="L724" i="17"/>
  <c r="L743" i="17"/>
  <c r="L762" i="17"/>
  <c r="L781" i="17"/>
  <c r="L797" i="17"/>
  <c r="L814" i="17"/>
  <c r="L833" i="17"/>
  <c r="L852" i="17"/>
  <c r="N852" i="17" s="1" a="1"/>
  <c r="N852" i="17" s="1"/>
  <c r="L871" i="17"/>
  <c r="L890" i="17"/>
  <c r="L909" i="17"/>
  <c r="L928" i="17"/>
  <c r="L947" i="17"/>
  <c r="L966" i="17"/>
  <c r="L985" i="17"/>
  <c r="L1004" i="17"/>
  <c r="N1004" i="17" s="1" a="1"/>
  <c r="N1004" i="17" s="1"/>
  <c r="L1023" i="17"/>
  <c r="L1042" i="17"/>
  <c r="L553" i="17"/>
  <c r="L554" i="17"/>
  <c r="L555" i="17"/>
  <c r="L556" i="17"/>
  <c r="L557" i="17"/>
  <c r="L558" i="17"/>
  <c r="N558" i="17" s="1" a="1"/>
  <c r="N558" i="17" s="1"/>
  <c r="L8" i="17"/>
  <c r="L9" i="17"/>
  <c r="L10" i="17"/>
  <c r="L11" i="17"/>
  <c r="L12" i="17"/>
  <c r="L13" i="17"/>
  <c r="L117" i="17"/>
  <c r="L136" i="17"/>
  <c r="N136" i="17" s="1" a="1"/>
  <c r="N136" i="17" s="1"/>
  <c r="L155" i="17"/>
  <c r="L174" i="17"/>
  <c r="L195" i="17"/>
  <c r="L196" i="17"/>
  <c r="L197" i="17"/>
  <c r="L250" i="17"/>
  <c r="L269" i="17"/>
  <c r="L288" i="17"/>
  <c r="N288" i="17" s="1" a="1"/>
  <c r="N288" i="17" s="1"/>
  <c r="L307" i="17"/>
  <c r="L326" i="17"/>
  <c r="L345" i="17"/>
  <c r="L364" i="17"/>
  <c r="L383" i="17"/>
  <c r="L402" i="17"/>
  <c r="L497" i="17"/>
  <c r="L516" i="17"/>
  <c r="N516" i="17" s="1" a="1"/>
  <c r="N516" i="17" s="1"/>
  <c r="L535" i="17"/>
  <c r="L423" i="17"/>
  <c r="L424" i="17"/>
  <c r="L425" i="17"/>
  <c r="L478" i="17"/>
  <c r="L668" i="17"/>
  <c r="L687" i="17"/>
  <c r="L706" i="17"/>
  <c r="N706" i="17" s="1" a="1"/>
  <c r="N706" i="17" s="1"/>
  <c r="L725" i="17"/>
  <c r="L744" i="17"/>
  <c r="L763" i="17"/>
  <c r="L782" i="17"/>
  <c r="L798" i="17"/>
  <c r="L815" i="17"/>
  <c r="L834" i="17"/>
  <c r="L853" i="17"/>
  <c r="N853" i="17" s="1" a="1"/>
  <c r="N853" i="17" s="1"/>
  <c r="L872" i="17"/>
  <c r="L891" i="17"/>
  <c r="L910" i="17"/>
  <c r="L929" i="17"/>
  <c r="L948" i="17"/>
  <c r="L967" i="17"/>
  <c r="L986" i="17"/>
  <c r="L1005" i="17"/>
  <c r="N1005" i="17" s="1" a="1"/>
  <c r="N1005" i="17" s="1"/>
  <c r="L1024" i="17"/>
  <c r="L1043" i="17"/>
  <c r="L559" i="17"/>
  <c r="L560" i="17"/>
  <c r="L561" i="17"/>
  <c r="L562" i="17"/>
  <c r="L563" i="17"/>
  <c r="L564" i="17"/>
  <c r="N564" i="17" s="1" a="1"/>
  <c r="N564" i="17" s="1"/>
  <c r="L14" i="17"/>
  <c r="L15" i="17"/>
  <c r="L16" i="17"/>
  <c r="L17" i="17"/>
  <c r="L18" i="17"/>
  <c r="L19" i="17"/>
  <c r="L118" i="17"/>
  <c r="L137" i="17"/>
  <c r="N137" i="17" s="1" a="1"/>
  <c r="N137" i="17" s="1"/>
  <c r="L156" i="17"/>
  <c r="L175" i="17"/>
  <c r="L198" i="17"/>
  <c r="L199" i="17"/>
  <c r="L200" i="17"/>
  <c r="L251" i="17"/>
  <c r="L270" i="17"/>
  <c r="L289" i="17"/>
  <c r="N289" i="17" s="1" a="1"/>
  <c r="N289" i="17" s="1"/>
  <c r="L308" i="17"/>
  <c r="L327" i="17"/>
  <c r="L346" i="17"/>
  <c r="L365" i="17"/>
  <c r="L384" i="17"/>
  <c r="L403" i="17"/>
  <c r="L498" i="17"/>
  <c r="L517" i="17"/>
  <c r="N517" i="17" s="1" a="1"/>
  <c r="N517" i="17" s="1"/>
  <c r="L536" i="17"/>
  <c r="L426" i="17"/>
  <c r="L427" i="17"/>
  <c r="L428" i="17"/>
  <c r="L479" i="17"/>
  <c r="L669" i="17"/>
  <c r="L688" i="17"/>
  <c r="L707" i="17"/>
  <c r="N707" i="17" s="1" a="1"/>
  <c r="N707" i="17" s="1"/>
  <c r="L726" i="17"/>
  <c r="L745" i="17"/>
  <c r="L764" i="17"/>
  <c r="L783" i="17"/>
  <c r="L799" i="17"/>
  <c r="L816" i="17"/>
  <c r="L835" i="17"/>
  <c r="L854" i="17"/>
  <c r="N854" i="17" s="1" a="1"/>
  <c r="N854" i="17" s="1"/>
  <c r="L873" i="17"/>
  <c r="L892" i="17"/>
  <c r="L911" i="17"/>
  <c r="L930" i="17"/>
  <c r="L949" i="17"/>
  <c r="L968" i="17"/>
  <c r="L987" i="17"/>
  <c r="L1006" i="17"/>
  <c r="N1006" i="17" s="1" a="1"/>
  <c r="N1006" i="17" s="1"/>
  <c r="L1025" i="17"/>
  <c r="L1044" i="17"/>
  <c r="L565" i="17"/>
  <c r="L566" i="17"/>
  <c r="L567" i="17"/>
  <c r="L568" i="17"/>
  <c r="L569" i="17"/>
  <c r="L570" i="17"/>
  <c r="L20" i="17"/>
  <c r="L21" i="17"/>
  <c r="L22" i="17"/>
  <c r="L23" i="17"/>
  <c r="L24" i="17"/>
  <c r="L25" i="17"/>
  <c r="L119" i="17"/>
  <c r="L138" i="17"/>
  <c r="N138" i="17" s="1" a="1"/>
  <c r="N138" i="17" s="1"/>
  <c r="L157" i="17"/>
  <c r="L176" i="17"/>
  <c r="L201" i="17"/>
  <c r="L202" i="17"/>
  <c r="L203" i="17"/>
  <c r="L252" i="17"/>
  <c r="L271" i="17"/>
  <c r="L290" i="17"/>
  <c r="N290" i="17" s="1" a="1"/>
  <c r="N290" i="17" s="1"/>
  <c r="L309" i="17"/>
  <c r="L328" i="17"/>
  <c r="L347" i="17"/>
  <c r="L366" i="17"/>
  <c r="L385" i="17"/>
  <c r="L404" i="17"/>
  <c r="L499" i="17"/>
  <c r="L518" i="17"/>
  <c r="N518" i="17" s="1" a="1"/>
  <c r="N518" i="17" s="1"/>
  <c r="L537" i="17"/>
  <c r="L429" i="17"/>
  <c r="L430" i="17"/>
  <c r="L431" i="17"/>
  <c r="L480" i="17"/>
  <c r="L670" i="17"/>
  <c r="L689" i="17"/>
  <c r="L708" i="17"/>
  <c r="N708" i="17" s="1" a="1"/>
  <c r="N708" i="17" s="1"/>
  <c r="L727" i="17"/>
  <c r="L746" i="17"/>
  <c r="L765" i="17"/>
  <c r="L784" i="17"/>
  <c r="L810" i="17"/>
  <c r="L817" i="17"/>
  <c r="L836" i="17"/>
  <c r="L855" i="17"/>
  <c r="N855" i="17" s="1" a="1"/>
  <c r="N855" i="17" s="1"/>
  <c r="L874" i="17"/>
  <c r="L893" i="17"/>
  <c r="L912" i="17"/>
  <c r="L931" i="17"/>
  <c r="L950" i="17"/>
  <c r="L969" i="17"/>
  <c r="L988" i="17"/>
  <c r="L1007" i="17"/>
  <c r="L1026" i="17"/>
  <c r="L1045" i="17"/>
  <c r="L571" i="17"/>
  <c r="L572" i="17"/>
  <c r="L573" i="17"/>
  <c r="L574" i="17"/>
  <c r="L575" i="17"/>
  <c r="L576" i="17"/>
  <c r="L26" i="17"/>
  <c r="L27" i="17"/>
  <c r="L28" i="17"/>
  <c r="L29" i="17"/>
  <c r="L30" i="17"/>
  <c r="L31" i="17"/>
  <c r="L120" i="17"/>
  <c r="L139" i="17"/>
  <c r="L158" i="17"/>
  <c r="L177" i="17"/>
  <c r="L204" i="17"/>
  <c r="L205" i="17"/>
  <c r="L206" i="17"/>
  <c r="L253" i="17"/>
  <c r="L272" i="17"/>
  <c r="L291" i="17"/>
  <c r="L310" i="17"/>
  <c r="L329" i="17"/>
  <c r="L348" i="17"/>
  <c r="L367" i="17"/>
  <c r="L386" i="17"/>
  <c r="L405" i="17"/>
  <c r="L500" i="17"/>
  <c r="L519" i="17"/>
  <c r="L538" i="17"/>
  <c r="L432" i="17"/>
  <c r="L433" i="17"/>
  <c r="L434" i="17"/>
  <c r="L481" i="17"/>
  <c r="L671" i="17"/>
  <c r="L690" i="17"/>
  <c r="L709" i="17"/>
  <c r="L728" i="17"/>
  <c r="L747" i="17"/>
  <c r="L766" i="17"/>
  <c r="L800" i="17"/>
  <c r="L818" i="17"/>
  <c r="L837" i="17"/>
  <c r="L856" i="17"/>
  <c r="L875" i="17"/>
  <c r="L894" i="17"/>
  <c r="L913" i="17"/>
  <c r="L932" i="17"/>
  <c r="L951" i="17"/>
  <c r="L970" i="17"/>
  <c r="L989" i="17"/>
  <c r="L1008" i="17"/>
  <c r="L1027" i="17"/>
  <c r="N1027" i="17" s="1" a="1"/>
  <c r="N1027" i="17" s="1"/>
  <c r="L1046" i="17"/>
  <c r="L577" i="17"/>
  <c r="L578" i="17"/>
  <c r="L579" i="17"/>
  <c r="L580" i="17"/>
  <c r="L581" i="17"/>
  <c r="L582" i="17"/>
  <c r="L32" i="17"/>
  <c r="N5" i="17" s="1" a="1"/>
  <c r="N5" i="17" s="1"/>
  <c r="L33" i="17"/>
  <c r="L34" i="17"/>
  <c r="L35" i="17"/>
  <c r="L36" i="17"/>
  <c r="L37" i="17"/>
  <c r="L121" i="17"/>
  <c r="L140" i="17"/>
  <c r="L159" i="17"/>
  <c r="L178" i="17"/>
  <c r="L207" i="17"/>
  <c r="L208" i="17"/>
  <c r="L209" i="17"/>
  <c r="L254" i="17"/>
  <c r="L273" i="17"/>
  <c r="L292" i="17"/>
  <c r="L311" i="17"/>
  <c r="L330" i="17"/>
  <c r="L349" i="17"/>
  <c r="L368" i="17"/>
  <c r="L387" i="17"/>
  <c r="L406" i="17"/>
  <c r="L501" i="17"/>
  <c r="L520" i="17"/>
  <c r="L539" i="17"/>
  <c r="L435" i="17"/>
  <c r="L436" i="17"/>
  <c r="L437" i="17"/>
  <c r="L482" i="17"/>
  <c r="L672" i="17"/>
  <c r="L691" i="17"/>
  <c r="L710" i="17"/>
  <c r="L729" i="17"/>
  <c r="L748" i="17"/>
  <c r="L767" i="17"/>
  <c r="L819" i="17"/>
  <c r="L838" i="17"/>
  <c r="L857" i="17"/>
  <c r="L876" i="17"/>
  <c r="L895" i="17"/>
  <c r="L914" i="17"/>
  <c r="L933" i="17"/>
  <c r="L952" i="17"/>
  <c r="L971" i="17"/>
  <c r="L990" i="17"/>
  <c r="L1009" i="17"/>
  <c r="L1028" i="17"/>
  <c r="L1047" i="17"/>
  <c r="L583" i="17"/>
  <c r="L584" i="17"/>
  <c r="L585" i="17"/>
  <c r="L586" i="17"/>
  <c r="L587" i="17"/>
  <c r="L588" i="17"/>
  <c r="L38" i="17"/>
  <c r="L39" i="17"/>
  <c r="L40" i="17"/>
  <c r="L41" i="17"/>
  <c r="L42" i="17"/>
  <c r="L43" i="17"/>
  <c r="L122" i="17"/>
  <c r="L141" i="17"/>
  <c r="L160" i="17"/>
  <c r="L179" i="17"/>
  <c r="L210" i="17"/>
  <c r="L211" i="17"/>
  <c r="L212" i="17"/>
  <c r="L255" i="17"/>
  <c r="L274" i="17"/>
  <c r="L293" i="17"/>
  <c r="L312" i="17"/>
  <c r="L331" i="17"/>
  <c r="L350" i="17"/>
  <c r="L369" i="17"/>
  <c r="L388" i="17"/>
  <c r="L407" i="17"/>
  <c r="L502" i="17"/>
  <c r="L521" i="17"/>
  <c r="L540" i="17"/>
  <c r="L438" i="17"/>
  <c r="L439" i="17"/>
  <c r="L440" i="17"/>
  <c r="L483" i="17"/>
  <c r="L673" i="17"/>
  <c r="L692" i="17"/>
  <c r="L711" i="17"/>
  <c r="L730" i="17"/>
  <c r="L749" i="17"/>
  <c r="L768" i="17"/>
  <c r="L785" i="17"/>
  <c r="L801" i="17"/>
  <c r="L820" i="17"/>
  <c r="L839" i="17"/>
  <c r="L858" i="17"/>
  <c r="L877" i="17"/>
  <c r="L896" i="17"/>
  <c r="L915" i="17"/>
  <c r="L934" i="17"/>
  <c r="L953" i="17"/>
  <c r="L972" i="17"/>
  <c r="L991" i="17"/>
  <c r="L1010" i="17"/>
  <c r="L1029" i="17"/>
  <c r="L1048" i="17"/>
  <c r="L589" i="17"/>
  <c r="L590" i="17"/>
  <c r="L591" i="17"/>
  <c r="L592" i="17"/>
  <c r="L593" i="17"/>
  <c r="L594" i="17"/>
  <c r="L44" i="17"/>
  <c r="L45" i="17"/>
  <c r="L46" i="17"/>
  <c r="L47" i="17"/>
  <c r="L48" i="17"/>
  <c r="L49" i="17"/>
  <c r="L123" i="17"/>
  <c r="L142" i="17"/>
  <c r="L161" i="17"/>
  <c r="L180" i="17"/>
  <c r="L213" i="17"/>
  <c r="L214" i="17"/>
  <c r="L215" i="17"/>
  <c r="L256" i="17"/>
  <c r="L275" i="17"/>
  <c r="L294" i="17"/>
  <c r="L313" i="17"/>
  <c r="L332" i="17"/>
  <c r="L351" i="17"/>
  <c r="L370" i="17"/>
  <c r="L389" i="17"/>
  <c r="L408" i="17"/>
  <c r="L503" i="17"/>
  <c r="L522" i="17"/>
  <c r="L541" i="17"/>
  <c r="L441" i="17"/>
  <c r="L442" i="17"/>
  <c r="L443" i="17"/>
  <c r="L484" i="17"/>
  <c r="L674" i="17"/>
  <c r="L693" i="17"/>
  <c r="L712" i="17"/>
  <c r="L731" i="17"/>
  <c r="L750" i="17"/>
  <c r="L769" i="17"/>
  <c r="L786" i="17"/>
  <c r="L802" i="17"/>
  <c r="L821" i="17"/>
  <c r="L840" i="17"/>
  <c r="L859" i="17"/>
  <c r="L878" i="17"/>
  <c r="L897" i="17"/>
  <c r="L916" i="17"/>
  <c r="L935" i="17"/>
  <c r="L954" i="17"/>
  <c r="L973" i="17"/>
  <c r="L992" i="17"/>
  <c r="L1011" i="17"/>
  <c r="L1030" i="17"/>
  <c r="L1049" i="17"/>
  <c r="L595" i="17"/>
  <c r="L596" i="17"/>
  <c r="L597" i="17"/>
  <c r="L598" i="17"/>
  <c r="L599" i="17"/>
  <c r="L600" i="17"/>
  <c r="L50" i="17"/>
  <c r="L51" i="17"/>
  <c r="L52" i="17"/>
  <c r="L53" i="17"/>
  <c r="L54" i="17"/>
  <c r="L55" i="17"/>
  <c r="L124" i="17"/>
  <c r="L143" i="17"/>
  <c r="L162" i="17"/>
  <c r="L181" i="17"/>
  <c r="L216" i="17"/>
  <c r="L217" i="17"/>
  <c r="L218" i="17"/>
  <c r="L257" i="17"/>
  <c r="L276" i="17"/>
  <c r="L295" i="17"/>
  <c r="L314" i="17"/>
  <c r="L333" i="17"/>
  <c r="L352" i="17"/>
  <c r="L371" i="17"/>
  <c r="L390" i="17"/>
  <c r="L409" i="17"/>
  <c r="L504" i="17"/>
  <c r="L523" i="17"/>
  <c r="L542" i="17"/>
  <c r="L444" i="17"/>
  <c r="L445" i="17"/>
  <c r="L446" i="17"/>
  <c r="L485" i="17"/>
  <c r="L675" i="17"/>
  <c r="L694" i="17"/>
  <c r="L713" i="17"/>
  <c r="L732" i="17"/>
  <c r="L751" i="17"/>
  <c r="L770" i="17"/>
  <c r="L787" i="17"/>
  <c r="L822" i="17"/>
  <c r="L841" i="17"/>
  <c r="L860" i="17"/>
  <c r="L879" i="17"/>
  <c r="L898" i="17"/>
  <c r="L917" i="17"/>
  <c r="L936" i="17"/>
  <c r="L955" i="17"/>
  <c r="L974" i="17"/>
  <c r="L993" i="17"/>
  <c r="L1012" i="17"/>
  <c r="L1031" i="17"/>
  <c r="L1050" i="17"/>
  <c r="L601" i="17"/>
  <c r="L602" i="17"/>
  <c r="L603" i="17"/>
  <c r="L604" i="17"/>
  <c r="L605" i="17"/>
  <c r="L606" i="17"/>
  <c r="L56" i="17"/>
  <c r="L57" i="17"/>
  <c r="L58" i="17"/>
  <c r="L59" i="17"/>
  <c r="L60" i="17"/>
  <c r="L61" i="17"/>
  <c r="L125" i="17"/>
  <c r="L144" i="17"/>
  <c r="L163" i="17"/>
  <c r="L182" i="17"/>
  <c r="L219" i="17"/>
  <c r="L220" i="17"/>
  <c r="L221" i="17"/>
  <c r="L258" i="17"/>
  <c r="L277" i="17"/>
  <c r="L296" i="17"/>
  <c r="L315" i="17"/>
  <c r="L334" i="17"/>
  <c r="L353" i="17"/>
  <c r="L372" i="17"/>
  <c r="L391" i="17"/>
  <c r="L410" i="17"/>
  <c r="L505" i="17"/>
  <c r="L524" i="17"/>
  <c r="L543" i="17"/>
  <c r="L447" i="17"/>
  <c r="L448" i="17"/>
  <c r="L449" i="17"/>
  <c r="L486" i="17"/>
  <c r="L676" i="17"/>
  <c r="L695" i="17"/>
  <c r="L714" i="17"/>
  <c r="L733" i="17"/>
  <c r="L752" i="17"/>
  <c r="L771" i="17"/>
  <c r="L788" i="17"/>
  <c r="L803" i="17"/>
  <c r="L811" i="17"/>
  <c r="L823" i="17"/>
  <c r="L842" i="17"/>
  <c r="L861" i="17"/>
  <c r="L880" i="17"/>
  <c r="L899" i="17"/>
  <c r="L918" i="17"/>
  <c r="L937" i="17"/>
  <c r="L956" i="17"/>
  <c r="L975" i="17"/>
  <c r="L994" i="17"/>
  <c r="L1013" i="17"/>
  <c r="L1032" i="17"/>
  <c r="L1051" i="17"/>
  <c r="L607" i="17"/>
  <c r="L608" i="17"/>
  <c r="L609" i="17"/>
  <c r="L610" i="17"/>
  <c r="L611" i="17"/>
  <c r="L612" i="17"/>
  <c r="L62" i="17"/>
  <c r="L63" i="17"/>
  <c r="L64" i="17"/>
  <c r="N874" i="17" s="1" a="1"/>
  <c r="N874" i="17" s="1"/>
  <c r="L65" i="17"/>
  <c r="L66" i="17"/>
  <c r="L67" i="17"/>
  <c r="L126" i="17"/>
  <c r="L145" i="17"/>
  <c r="L164" i="17"/>
  <c r="L183" i="17"/>
  <c r="L222" i="17"/>
  <c r="L223" i="17"/>
  <c r="L224" i="17"/>
  <c r="L259" i="17"/>
  <c r="L278" i="17"/>
  <c r="L297" i="17"/>
  <c r="L316" i="17"/>
  <c r="L335" i="17"/>
  <c r="L354" i="17"/>
  <c r="L373" i="17"/>
  <c r="L392" i="17"/>
  <c r="L411" i="17"/>
  <c r="L506" i="17"/>
  <c r="L525" i="17"/>
  <c r="L544" i="17"/>
  <c r="L450" i="17"/>
  <c r="L451" i="17"/>
  <c r="L452" i="17"/>
  <c r="L487" i="17"/>
  <c r="L677" i="17"/>
  <c r="L696" i="17"/>
  <c r="L715" i="17"/>
  <c r="L734" i="17"/>
  <c r="L753" i="17"/>
  <c r="L772" i="17"/>
  <c r="L789" i="17"/>
  <c r="L824" i="17"/>
  <c r="L843" i="17"/>
  <c r="L862" i="17"/>
  <c r="L881" i="17"/>
  <c r="L900" i="17"/>
  <c r="L919" i="17"/>
  <c r="L938" i="17"/>
  <c r="L957" i="17"/>
  <c r="L976" i="17"/>
  <c r="L995" i="17"/>
  <c r="L1014" i="17"/>
  <c r="L1033" i="17"/>
  <c r="L1052" i="17"/>
  <c r="L613" i="17"/>
  <c r="L614" i="17"/>
  <c r="L615" i="17"/>
  <c r="L616" i="17"/>
  <c r="L617" i="17"/>
  <c r="L618" i="17"/>
  <c r="L68" i="17"/>
  <c r="L69" i="17"/>
  <c r="L70" i="17"/>
  <c r="L71" i="17"/>
  <c r="L72" i="17"/>
  <c r="L73" i="17"/>
  <c r="L127" i="17"/>
  <c r="L146" i="17"/>
  <c r="L165" i="17"/>
  <c r="L184" i="17"/>
  <c r="L225" i="17"/>
  <c r="L226" i="17"/>
  <c r="L227" i="17"/>
  <c r="L260" i="17"/>
  <c r="L279" i="17"/>
  <c r="L298" i="17"/>
  <c r="L317" i="17"/>
  <c r="L336" i="17"/>
  <c r="L355" i="17"/>
  <c r="L374" i="17"/>
  <c r="L393" i="17"/>
  <c r="L412" i="17"/>
  <c r="L507" i="17"/>
  <c r="L526" i="17"/>
  <c r="L545" i="17"/>
  <c r="L453" i="17"/>
  <c r="L454" i="17"/>
  <c r="L455" i="17"/>
  <c r="L488" i="17"/>
  <c r="L678" i="17"/>
  <c r="L697" i="17"/>
  <c r="L716" i="17"/>
  <c r="L735" i="17"/>
  <c r="L754" i="17"/>
  <c r="L773" i="17"/>
  <c r="L790" i="17"/>
  <c r="L825" i="17"/>
  <c r="L844" i="17"/>
  <c r="L863" i="17"/>
  <c r="L882" i="17"/>
  <c r="L901" i="17"/>
  <c r="L920" i="17"/>
  <c r="L939" i="17"/>
  <c r="L958" i="17"/>
  <c r="L977" i="17"/>
  <c r="L996" i="17"/>
  <c r="L1015" i="17"/>
  <c r="L1034" i="17"/>
  <c r="L1053" i="17"/>
  <c r="L619" i="17"/>
  <c r="L620" i="17"/>
  <c r="L621" i="17"/>
  <c r="L622" i="17"/>
  <c r="L623" i="17"/>
  <c r="L624" i="17"/>
  <c r="L74" i="17"/>
  <c r="L75" i="17"/>
  <c r="L76" i="17"/>
  <c r="L77" i="17"/>
  <c r="L78" i="17"/>
  <c r="L79" i="17"/>
  <c r="L128" i="17"/>
  <c r="L147" i="17"/>
  <c r="L166" i="17"/>
  <c r="L185" i="17"/>
  <c r="L228" i="17"/>
  <c r="L229" i="17"/>
  <c r="L230" i="17"/>
  <c r="L261" i="17"/>
  <c r="L280" i="17"/>
  <c r="L299" i="17"/>
  <c r="L318" i="17"/>
  <c r="L337" i="17"/>
  <c r="L356" i="17"/>
  <c r="L375" i="17"/>
  <c r="L394" i="17"/>
  <c r="L413" i="17"/>
  <c r="L508" i="17"/>
  <c r="L527" i="17"/>
  <c r="L546" i="17"/>
  <c r="L456" i="17"/>
  <c r="L457" i="17"/>
  <c r="L458" i="17"/>
  <c r="L489" i="17"/>
  <c r="L679" i="17"/>
  <c r="L698" i="17"/>
  <c r="L717" i="17"/>
  <c r="L736" i="17"/>
  <c r="L755" i="17"/>
  <c r="L774" i="17"/>
  <c r="L791" i="17"/>
  <c r="L826" i="17"/>
  <c r="L845" i="17"/>
  <c r="L864" i="17"/>
  <c r="L883" i="17"/>
  <c r="L902" i="17"/>
  <c r="L921" i="17"/>
  <c r="L940" i="17"/>
  <c r="L959" i="17"/>
  <c r="L978" i="17"/>
  <c r="L997" i="17"/>
  <c r="L1016" i="17"/>
  <c r="L1035" i="17"/>
  <c r="L1054" i="17"/>
  <c r="L625" i="17"/>
  <c r="L626" i="17"/>
  <c r="L627" i="17"/>
  <c r="L628" i="17"/>
  <c r="L629" i="17"/>
  <c r="L630" i="17"/>
  <c r="L80" i="17"/>
  <c r="L81" i="17"/>
  <c r="L82" i="17"/>
  <c r="L83" i="17"/>
  <c r="L84" i="17"/>
  <c r="L85" i="17"/>
  <c r="L129" i="17"/>
  <c r="L148" i="17"/>
  <c r="L167" i="17"/>
  <c r="L186" i="17"/>
  <c r="L231" i="17"/>
  <c r="L232" i="17"/>
  <c r="L233" i="17"/>
  <c r="L262" i="17"/>
  <c r="L281" i="17"/>
  <c r="L300" i="17"/>
  <c r="L319" i="17"/>
  <c r="L338" i="17"/>
  <c r="L357" i="17"/>
  <c r="L376" i="17"/>
  <c r="L395" i="17"/>
  <c r="L414" i="17"/>
  <c r="L509" i="17"/>
  <c r="L528" i="17"/>
  <c r="L547" i="17"/>
  <c r="L459" i="17"/>
  <c r="L460" i="17"/>
  <c r="L461" i="17"/>
  <c r="L490" i="17"/>
  <c r="L680" i="17"/>
  <c r="L699" i="17"/>
  <c r="L718" i="17"/>
  <c r="L737" i="17"/>
  <c r="L756" i="17"/>
  <c r="L775" i="17"/>
  <c r="L792" i="17"/>
  <c r="L804" i="17"/>
  <c r="L827" i="17"/>
  <c r="L846" i="17"/>
  <c r="L865" i="17"/>
  <c r="L884" i="17"/>
  <c r="L903" i="17"/>
  <c r="L922" i="17"/>
  <c r="L941" i="17"/>
  <c r="L960" i="17"/>
  <c r="L979" i="17"/>
  <c r="L998" i="17"/>
  <c r="L1017" i="17"/>
  <c r="L1036" i="17"/>
  <c r="L1055" i="17"/>
  <c r="L631" i="17"/>
  <c r="L632" i="17"/>
  <c r="L633" i="17"/>
  <c r="L634" i="17"/>
  <c r="L635" i="17"/>
  <c r="L636" i="17"/>
  <c r="L86" i="17"/>
  <c r="L87" i="17"/>
  <c r="L88" i="17"/>
  <c r="L89" i="17"/>
  <c r="L90" i="17"/>
  <c r="L91" i="17"/>
  <c r="L130" i="17"/>
  <c r="L149" i="17"/>
  <c r="L168" i="17"/>
  <c r="L187" i="17"/>
  <c r="L234" i="17"/>
  <c r="L235" i="17"/>
  <c r="L236" i="17"/>
  <c r="L263" i="17"/>
  <c r="L282" i="17"/>
  <c r="L301" i="17"/>
  <c r="L320" i="17"/>
  <c r="L339" i="17"/>
  <c r="L358" i="17"/>
  <c r="L377" i="17"/>
  <c r="L396" i="17"/>
  <c r="L415" i="17"/>
  <c r="L510" i="17"/>
  <c r="L529" i="17"/>
  <c r="L548" i="17"/>
  <c r="L462" i="17"/>
  <c r="L463" i="17"/>
  <c r="L464" i="17"/>
  <c r="L491" i="17"/>
  <c r="L681" i="17"/>
  <c r="L700" i="17"/>
  <c r="L719" i="17"/>
  <c r="L738" i="17"/>
  <c r="L757" i="17"/>
  <c r="L776" i="17"/>
  <c r="L793" i="17"/>
  <c r="L805" i="17"/>
  <c r="L828" i="17"/>
  <c r="L847" i="17"/>
  <c r="L866" i="17"/>
  <c r="L885" i="17"/>
  <c r="L904" i="17"/>
  <c r="L923" i="17"/>
  <c r="L942" i="17"/>
  <c r="L961" i="17"/>
  <c r="L980" i="17"/>
  <c r="L999" i="17"/>
  <c r="L1018" i="17"/>
  <c r="L1037" i="17"/>
  <c r="L1056" i="17"/>
  <c r="L637" i="17"/>
  <c r="L638" i="17"/>
  <c r="L639" i="17"/>
  <c r="L640" i="17"/>
  <c r="L641" i="17"/>
  <c r="L642" i="17"/>
  <c r="L92" i="17"/>
  <c r="L93" i="17"/>
  <c r="L94" i="17"/>
  <c r="L95" i="17"/>
  <c r="L96" i="17"/>
  <c r="L97" i="17"/>
  <c r="L131" i="17"/>
  <c r="L150" i="17"/>
  <c r="L169" i="17"/>
  <c r="L188" i="17"/>
  <c r="L237" i="17"/>
  <c r="L238" i="17"/>
  <c r="L239" i="17"/>
  <c r="L264" i="17"/>
  <c r="L283" i="17"/>
  <c r="L302" i="17"/>
  <c r="L321" i="17"/>
  <c r="L340" i="17"/>
  <c r="L359" i="17"/>
  <c r="L378" i="17"/>
  <c r="L397" i="17"/>
  <c r="L416" i="17"/>
  <c r="L511" i="17"/>
  <c r="L530" i="17"/>
  <c r="L549" i="17"/>
  <c r="L465" i="17"/>
  <c r="L466" i="17"/>
  <c r="L467" i="17"/>
  <c r="L492" i="17"/>
  <c r="L682" i="17"/>
  <c r="L701" i="17"/>
  <c r="L720" i="17"/>
  <c r="L739" i="17"/>
  <c r="L758" i="17"/>
  <c r="L777" i="17"/>
  <c r="L806" i="17"/>
  <c r="L812" i="17"/>
  <c r="L829" i="17"/>
  <c r="L848" i="17"/>
  <c r="L867" i="17"/>
  <c r="L886" i="17"/>
  <c r="L905" i="17"/>
  <c r="L924" i="17"/>
  <c r="L943" i="17"/>
  <c r="L962" i="17"/>
  <c r="L981" i="17"/>
  <c r="L1000" i="17"/>
  <c r="L1019" i="17"/>
  <c r="L1038" i="17"/>
  <c r="L1057" i="17"/>
  <c r="L643" i="17"/>
  <c r="L644" i="17"/>
  <c r="L645" i="17"/>
  <c r="L646" i="17"/>
  <c r="L647" i="17"/>
  <c r="L648" i="17"/>
  <c r="L98" i="17"/>
  <c r="L99" i="17"/>
  <c r="L100" i="17"/>
  <c r="L101" i="17"/>
  <c r="L102" i="17"/>
  <c r="L103" i="17"/>
  <c r="N209" i="17" s="1" a="1"/>
  <c r="N209" i="17" s="1"/>
  <c r="L132" i="17"/>
  <c r="L151" i="17"/>
  <c r="L170" i="17"/>
  <c r="L189" i="17"/>
  <c r="L240" i="17"/>
  <c r="L241" i="17"/>
  <c r="L242" i="17"/>
  <c r="L265" i="17"/>
  <c r="L284" i="17"/>
  <c r="L303" i="17"/>
  <c r="L322" i="17"/>
  <c r="L341" i="17"/>
  <c r="L360" i="17"/>
  <c r="L379" i="17"/>
  <c r="L398" i="17"/>
  <c r="L417" i="17"/>
  <c r="L512" i="17"/>
  <c r="L531" i="17"/>
  <c r="L550" i="17"/>
  <c r="L468" i="17"/>
  <c r="L469" i="17"/>
  <c r="L470" i="17"/>
  <c r="L493" i="17"/>
  <c r="L683" i="17"/>
  <c r="L702" i="17"/>
  <c r="L721" i="17"/>
  <c r="L740" i="17"/>
  <c r="L759" i="17"/>
  <c r="L778" i="17"/>
  <c r="L794" i="17"/>
  <c r="L807" i="17"/>
  <c r="L830" i="17"/>
  <c r="L849" i="17"/>
  <c r="L868" i="17"/>
  <c r="L887" i="17"/>
  <c r="L906" i="17"/>
  <c r="L925" i="17"/>
  <c r="L944" i="17"/>
  <c r="L963" i="17"/>
  <c r="L982" i="17"/>
  <c r="L1001" i="17"/>
  <c r="L1020" i="17"/>
  <c r="L1039" i="17"/>
  <c r="L1058" i="17"/>
  <c r="L649" i="17"/>
  <c r="L650" i="17"/>
  <c r="L651" i="17"/>
  <c r="L652" i="17"/>
  <c r="L653" i="17"/>
  <c r="L654" i="17"/>
  <c r="L104" i="17"/>
  <c r="L105" i="17"/>
  <c r="L106" i="17"/>
  <c r="L107" i="17"/>
  <c r="L108" i="17"/>
  <c r="L109" i="17"/>
  <c r="L133" i="17"/>
  <c r="L152" i="17"/>
  <c r="L171" i="17"/>
  <c r="L190" i="17"/>
  <c r="L243" i="17"/>
  <c r="L244" i="17"/>
  <c r="L245" i="17"/>
  <c r="L266" i="17"/>
  <c r="L285" i="17"/>
  <c r="L304" i="17"/>
  <c r="L323" i="17"/>
  <c r="L342" i="17"/>
  <c r="L361" i="17"/>
  <c r="L380" i="17"/>
  <c r="L399" i="17"/>
  <c r="L418" i="17"/>
  <c r="L513" i="17"/>
  <c r="L532" i="17"/>
  <c r="L551" i="17"/>
  <c r="L471" i="17"/>
  <c r="L472" i="17"/>
  <c r="L473" i="17"/>
  <c r="L494" i="17"/>
  <c r="L684" i="17"/>
  <c r="L703" i="17"/>
  <c r="L722" i="17"/>
  <c r="L741" i="17"/>
  <c r="L760" i="17"/>
  <c r="L779" i="17"/>
  <c r="L795" i="17"/>
  <c r="L808" i="17"/>
  <c r="L831" i="17"/>
  <c r="L850" i="17"/>
  <c r="L869" i="17"/>
  <c r="L888" i="17"/>
  <c r="L907" i="17"/>
  <c r="L926" i="17"/>
  <c r="L945" i="17"/>
  <c r="L964" i="17"/>
  <c r="L983" i="17"/>
  <c r="L1002" i="17"/>
  <c r="L1021" i="17"/>
  <c r="L1040" i="17"/>
  <c r="L1059" i="17"/>
  <c r="L655" i="17"/>
  <c r="L656" i="17"/>
  <c r="L657" i="17"/>
  <c r="L658" i="17"/>
  <c r="L659" i="17"/>
  <c r="L660" i="17"/>
  <c r="L110" i="17"/>
  <c r="L111" i="17"/>
  <c r="L112" i="17"/>
  <c r="L113" i="17"/>
  <c r="L114" i="17"/>
  <c r="L115" i="17"/>
  <c r="L134" i="17"/>
  <c r="L153" i="17"/>
  <c r="L172" i="17"/>
  <c r="L191" i="17"/>
  <c r="L246" i="17"/>
  <c r="L247" i="17"/>
  <c r="L248" i="17"/>
  <c r="L267" i="17"/>
  <c r="L286" i="17"/>
  <c r="L305" i="17"/>
  <c r="L324" i="17"/>
  <c r="L343" i="17"/>
  <c r="L362" i="17"/>
  <c r="L381" i="17"/>
  <c r="L400" i="17"/>
  <c r="L419" i="17"/>
  <c r="L514" i="17"/>
  <c r="L533" i="17"/>
  <c r="L552" i="17"/>
  <c r="L474" i="17"/>
  <c r="L475" i="17"/>
  <c r="L476" i="17"/>
  <c r="L495" i="17"/>
  <c r="L685" i="17"/>
  <c r="L704" i="17"/>
  <c r="L723" i="17"/>
  <c r="L742" i="17"/>
  <c r="L761" i="17"/>
  <c r="L780" i="17"/>
  <c r="L796" i="17"/>
  <c r="L809" i="17"/>
  <c r="L813" i="17"/>
  <c r="L832" i="17"/>
  <c r="L851" i="17"/>
  <c r="L870" i="17"/>
  <c r="L889" i="17"/>
  <c r="L908" i="17"/>
  <c r="L927" i="17"/>
  <c r="L946" i="17"/>
  <c r="L965" i="17"/>
  <c r="L984" i="17"/>
  <c r="L1003" i="17"/>
  <c r="L1022" i="17"/>
  <c r="L1041" i="17"/>
  <c r="L1060" i="17"/>
  <c r="L661" i="17"/>
  <c r="L662" i="17"/>
  <c r="L663" i="17"/>
  <c r="L664" i="17"/>
  <c r="L665" i="17"/>
  <c r="L666" i="17"/>
  <c r="M2" i="17" a="1"/>
  <c r="M2" i="17" s="1"/>
  <c r="M3" i="17" a="1"/>
  <c r="M3" i="17"/>
  <c r="M4" i="17" a="1"/>
  <c r="M4" i="17"/>
  <c r="M5" i="17" a="1"/>
  <c r="M5" i="17" s="1"/>
  <c r="M6" i="17" a="1"/>
  <c r="M6" i="17" s="1"/>
  <c r="M7" i="17" a="1"/>
  <c r="M7" i="17" s="1"/>
  <c r="M116" i="17" a="1"/>
  <c r="M116" i="17" s="1"/>
  <c r="M135" i="17" a="1"/>
  <c r="M135" i="17" s="1"/>
  <c r="M154" i="17" a="1"/>
  <c r="M154" i="17" s="1"/>
  <c r="M173" i="17" a="1"/>
  <c r="M173" i="17" s="1"/>
  <c r="M192" i="17" a="1"/>
  <c r="M192" i="17" s="1"/>
  <c r="M193" i="17" a="1"/>
  <c r="M193" i="17" s="1"/>
  <c r="M194" i="17" a="1"/>
  <c r="M194" i="17" s="1"/>
  <c r="M249" i="17" a="1"/>
  <c r="M249" i="17" s="1"/>
  <c r="M268" i="17" a="1"/>
  <c r="M268" i="17" s="1"/>
  <c r="M287" i="17" a="1"/>
  <c r="M287" i="17" s="1"/>
  <c r="M306" i="17" a="1"/>
  <c r="M306" i="17" s="1"/>
  <c r="M325" i="17" a="1"/>
  <c r="M325" i="17"/>
  <c r="M344" i="17" a="1"/>
  <c r="M344" i="17" s="1"/>
  <c r="M363" i="17" a="1"/>
  <c r="M363" i="17" s="1"/>
  <c r="M382" i="17" a="1"/>
  <c r="M382" i="17" s="1"/>
  <c r="M401" i="17" a="1"/>
  <c r="M401" i="17" s="1"/>
  <c r="M496" i="17" a="1"/>
  <c r="M496" i="17" s="1"/>
  <c r="M515" i="17" a="1"/>
  <c r="M515" i="17" s="1"/>
  <c r="M534" i="17" a="1"/>
  <c r="M534" i="17" s="1"/>
  <c r="M420" i="17" a="1"/>
  <c r="M420" i="17" s="1"/>
  <c r="M421" i="17" a="1"/>
  <c r="M421" i="17" s="1"/>
  <c r="M422" i="17" a="1"/>
  <c r="M422" i="17" s="1"/>
  <c r="M477" i="17" a="1"/>
  <c r="M477" i="17" s="1"/>
  <c r="M667" i="17" a="1"/>
  <c r="M667" i="17" s="1"/>
  <c r="M686" i="17" a="1"/>
  <c r="M686" i="17" s="1"/>
  <c r="M705" i="17" a="1"/>
  <c r="M705" i="17"/>
  <c r="M724" i="17" a="1"/>
  <c r="M724" i="17" s="1"/>
  <c r="M743" i="17" a="1"/>
  <c r="M743" i="17" s="1"/>
  <c r="M762" i="17" a="1"/>
  <c r="M762" i="17" s="1"/>
  <c r="M781" i="17" a="1"/>
  <c r="M781" i="17" s="1"/>
  <c r="M797" i="17" a="1"/>
  <c r="M797" i="17" s="1"/>
  <c r="M814" i="17" a="1"/>
  <c r="M814" i="17" s="1"/>
  <c r="M833" i="17" a="1"/>
  <c r="M833" i="17"/>
  <c r="M852" i="17" a="1"/>
  <c r="M852" i="17"/>
  <c r="M871" i="17" a="1"/>
  <c r="M871" i="17" s="1"/>
  <c r="M890" i="17" a="1"/>
  <c r="M890" i="17" s="1"/>
  <c r="M909" i="17" a="1"/>
  <c r="M909" i="17" s="1"/>
  <c r="M928" i="17" a="1"/>
  <c r="M928" i="17" s="1"/>
  <c r="M947" i="17" a="1"/>
  <c r="M947" i="17" s="1"/>
  <c r="M966" i="17" a="1"/>
  <c r="M966" i="17" s="1"/>
  <c r="M985" i="17" a="1"/>
  <c r="M985" i="17" s="1"/>
  <c r="M1004" i="17" a="1"/>
  <c r="M1004" i="17" s="1"/>
  <c r="M1023" i="17" a="1"/>
  <c r="M1023" i="17" s="1"/>
  <c r="M1042" i="17" a="1"/>
  <c r="M1042" i="17" s="1"/>
  <c r="M553" i="17" a="1"/>
  <c r="M553" i="17" s="1"/>
  <c r="M554" i="17" a="1"/>
  <c r="M554" i="17" s="1"/>
  <c r="M555" i="17" a="1"/>
  <c r="M555" i="17" s="1"/>
  <c r="M556" i="17" a="1"/>
  <c r="M556" i="17" s="1"/>
  <c r="M557" i="17" a="1"/>
  <c r="M557" i="17" s="1"/>
  <c r="M558" i="17" a="1"/>
  <c r="M558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/>
  <c r="M117" i="17" a="1"/>
  <c r="M117" i="17" s="1"/>
  <c r="M136" i="17" a="1"/>
  <c r="M136" i="17" s="1"/>
  <c r="M155" i="17" a="1"/>
  <c r="M155" i="17" s="1"/>
  <c r="M174" i="17" a="1"/>
  <c r="M174" i="17" s="1"/>
  <c r="M195" i="17" a="1"/>
  <c r="M195" i="17" s="1"/>
  <c r="M196" i="17" a="1"/>
  <c r="M196" i="17" s="1"/>
  <c r="M197" i="17" a="1"/>
  <c r="M197" i="17" s="1"/>
  <c r="M250" i="17" a="1"/>
  <c r="M250" i="17" s="1"/>
  <c r="M269" i="17" a="1"/>
  <c r="M269" i="17" s="1"/>
  <c r="M288" i="17" a="1"/>
  <c r="M288" i="17" s="1"/>
  <c r="M307" i="17" a="1"/>
  <c r="M307" i="17" s="1"/>
  <c r="M326" i="17" a="1"/>
  <c r="M326" i="17" s="1"/>
  <c r="M345" i="17" a="1"/>
  <c r="M345" i="17" s="1"/>
  <c r="M364" i="17" a="1"/>
  <c r="M364" i="17" s="1"/>
  <c r="M383" i="17" a="1"/>
  <c r="M383" i="17" s="1"/>
  <c r="M402" i="17" a="1"/>
  <c r="M402" i="17" s="1"/>
  <c r="M497" i="17" a="1"/>
  <c r="M497" i="17" s="1"/>
  <c r="M516" i="17" a="1"/>
  <c r="M516" i="17" s="1"/>
  <c r="M535" i="17" a="1"/>
  <c r="M535" i="17" s="1"/>
  <c r="M423" i="17" a="1"/>
  <c r="M423" i="17" s="1"/>
  <c r="M424" i="17" a="1"/>
  <c r="M424" i="17" s="1"/>
  <c r="M425" i="17" a="1"/>
  <c r="M425" i="17" s="1"/>
  <c r="M478" i="17" a="1"/>
  <c r="M478" i="17" s="1"/>
  <c r="M668" i="17" a="1"/>
  <c r="M668" i="17" s="1"/>
  <c r="M687" i="17" a="1"/>
  <c r="M687" i="17" s="1"/>
  <c r="M706" i="17" a="1"/>
  <c r="M706" i="17" s="1"/>
  <c r="M725" i="17" a="1"/>
  <c r="M725" i="17" s="1"/>
  <c r="M744" i="17" a="1"/>
  <c r="M744" i="17" s="1"/>
  <c r="M763" i="17" a="1"/>
  <c r="M763" i="17" s="1"/>
  <c r="M782" i="17" a="1"/>
  <c r="M782" i="17" s="1"/>
  <c r="M798" i="17" a="1"/>
  <c r="M798" i="17" s="1"/>
  <c r="M815" i="17" a="1"/>
  <c r="M815" i="17" s="1"/>
  <c r="M834" i="17" a="1"/>
  <c r="M834" i="17" s="1"/>
  <c r="M853" i="17" a="1"/>
  <c r="M853" i="17" s="1"/>
  <c r="M872" i="17" a="1"/>
  <c r="M872" i="17" s="1"/>
  <c r="M891" i="17" a="1"/>
  <c r="M891" i="17" s="1"/>
  <c r="M910" i="17" a="1"/>
  <c r="M910" i="17" s="1"/>
  <c r="M929" i="17" a="1"/>
  <c r="M929" i="17" s="1"/>
  <c r="M948" i="17" a="1"/>
  <c r="M948" i="17" s="1"/>
  <c r="M967" i="17" a="1"/>
  <c r="M967" i="17" s="1"/>
  <c r="M986" i="17" a="1"/>
  <c r="M986" i="17" s="1"/>
  <c r="M1005" i="17" a="1"/>
  <c r="M1005" i="17" s="1"/>
  <c r="M1024" i="17" a="1"/>
  <c r="M1024" i="17" s="1"/>
  <c r="M1043" i="17" a="1"/>
  <c r="M1043" i="17" s="1"/>
  <c r="M559" i="17" a="1"/>
  <c r="M559" i="17" s="1"/>
  <c r="M560" i="17" a="1"/>
  <c r="M560" i="17" s="1"/>
  <c r="M561" i="17" a="1"/>
  <c r="M561" i="17" s="1"/>
  <c r="M562" i="17" a="1"/>
  <c r="M562" i="17" s="1"/>
  <c r="M563" i="17" a="1"/>
  <c r="M563" i="17" s="1"/>
  <c r="M564" i="17" a="1"/>
  <c r="M564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/>
  <c r="M118" i="17" a="1"/>
  <c r="M118" i="17" s="1"/>
  <c r="M137" i="17" a="1"/>
  <c r="M137" i="17" s="1"/>
  <c r="M156" i="17" a="1"/>
  <c r="M156" i="17" s="1"/>
  <c r="M175" i="17" a="1"/>
  <c r="M175" i="17" s="1"/>
  <c r="M198" i="17" a="1"/>
  <c r="M198" i="17" s="1"/>
  <c r="M199" i="17" a="1"/>
  <c r="M199" i="17" s="1"/>
  <c r="M200" i="17" a="1"/>
  <c r="M200" i="17" s="1"/>
  <c r="M251" i="17" a="1"/>
  <c r="M251" i="17"/>
  <c r="M270" i="17" a="1"/>
  <c r="M270" i="17" s="1"/>
  <c r="M289" i="17" a="1"/>
  <c r="M289" i="17" s="1"/>
  <c r="M308" i="17" a="1"/>
  <c r="M308" i="17" s="1"/>
  <c r="M327" i="17" a="1"/>
  <c r="M327" i="17" s="1"/>
  <c r="M346" i="17" a="1"/>
  <c r="M346" i="17" s="1"/>
  <c r="M365" i="17" a="1"/>
  <c r="M365" i="17" s="1"/>
  <c r="M384" i="17" a="1"/>
  <c r="M384" i="17" s="1"/>
  <c r="M403" i="17" a="1"/>
  <c r="M403" i="17" s="1"/>
  <c r="M498" i="17" a="1"/>
  <c r="M498" i="17" s="1"/>
  <c r="M517" i="17" a="1"/>
  <c r="M517" i="17" s="1"/>
  <c r="M536" i="17" a="1"/>
  <c r="M536" i="17" s="1"/>
  <c r="M426" i="17" a="1"/>
  <c r="M426" i="17" s="1"/>
  <c r="M427" i="17" a="1"/>
  <c r="M427" i="17" s="1"/>
  <c r="M428" i="17" a="1"/>
  <c r="M428" i="17" s="1"/>
  <c r="M479" i="17" a="1"/>
  <c r="M479" i="17" s="1"/>
  <c r="M669" i="17" a="1"/>
  <c r="M669" i="17" s="1"/>
  <c r="M688" i="17" a="1"/>
  <c r="M688" i="17"/>
  <c r="M707" i="17" a="1"/>
  <c r="M707" i="17" s="1"/>
  <c r="M726" i="17" a="1"/>
  <c r="M726" i="17" s="1"/>
  <c r="M745" i="17" a="1"/>
  <c r="M745" i="17" s="1"/>
  <c r="M764" i="17" a="1"/>
  <c r="M764" i="17" s="1"/>
  <c r="M783" i="17" a="1"/>
  <c r="M783" i="17" s="1"/>
  <c r="M799" i="17" a="1"/>
  <c r="M799" i="17" s="1"/>
  <c r="M816" i="17" a="1"/>
  <c r="M816" i="17"/>
  <c r="M835" i="17" a="1"/>
  <c r="M835" i="17"/>
  <c r="M854" i="17" a="1"/>
  <c r="M854" i="17" s="1"/>
  <c r="M873" i="17" a="1"/>
  <c r="M873" i="17" s="1"/>
  <c r="M892" i="17" a="1"/>
  <c r="M892" i="17" s="1"/>
  <c r="M911" i="17" a="1"/>
  <c r="M911" i="17" s="1"/>
  <c r="M930" i="17" a="1"/>
  <c r="M930" i="17" s="1"/>
  <c r="M949" i="17" a="1"/>
  <c r="M949" i="17" s="1"/>
  <c r="M968" i="17" a="1"/>
  <c r="M968" i="17" s="1"/>
  <c r="M987" i="17" a="1"/>
  <c r="M987" i="17" s="1"/>
  <c r="M1006" i="17" a="1"/>
  <c r="M1006" i="17"/>
  <c r="M1025" i="17" a="1"/>
  <c r="M1025" i="17" s="1"/>
  <c r="M1044" i="17" a="1"/>
  <c r="M1044" i="17" s="1"/>
  <c r="M565" i="17" a="1"/>
  <c r="M565" i="17" s="1"/>
  <c r="M566" i="17" a="1"/>
  <c r="M566" i="17" s="1"/>
  <c r="M567" i="17" a="1"/>
  <c r="M567" i="17" s="1"/>
  <c r="M568" i="17" a="1"/>
  <c r="M568" i="17" s="1"/>
  <c r="M569" i="17" a="1"/>
  <c r="M569" i="17"/>
  <c r="M570" i="17" a="1"/>
  <c r="M570" i="17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119" i="17" a="1"/>
  <c r="M119" i="17" s="1"/>
  <c r="M138" i="17" a="1"/>
  <c r="M138" i="17" s="1"/>
  <c r="M157" i="17" a="1"/>
  <c r="M157" i="17" s="1"/>
  <c r="M176" i="17" a="1"/>
  <c r="M176" i="17" s="1"/>
  <c r="M201" i="17" a="1"/>
  <c r="M201" i="17" s="1"/>
  <c r="M202" i="17" a="1"/>
  <c r="M202" i="17" s="1"/>
  <c r="M203" i="17" a="1"/>
  <c r="M203" i="17" s="1"/>
  <c r="M252" i="17" a="1"/>
  <c r="M252" i="17" s="1"/>
  <c r="M271" i="17" a="1"/>
  <c r="M271" i="17" s="1"/>
  <c r="M290" i="17" a="1"/>
  <c r="M290" i="17"/>
  <c r="M309" i="17" a="1"/>
  <c r="M309" i="17" s="1"/>
  <c r="M328" i="17" a="1"/>
  <c r="M328" i="17" s="1"/>
  <c r="M347" i="17" a="1"/>
  <c r="M347" i="17" s="1"/>
  <c r="M366" i="17" a="1"/>
  <c r="M366" i="17" s="1"/>
  <c r="M385" i="17" a="1"/>
  <c r="M385" i="17" s="1"/>
  <c r="M404" i="17" a="1"/>
  <c r="M404" i="17" s="1"/>
  <c r="M499" i="17" a="1"/>
  <c r="M499" i="17" s="1"/>
  <c r="M518" i="17" a="1"/>
  <c r="M518" i="17" s="1"/>
  <c r="M537" i="17" a="1"/>
  <c r="M537" i="17" s="1"/>
  <c r="M429" i="17" a="1"/>
  <c r="M429" i="17" s="1"/>
  <c r="M430" i="17" a="1"/>
  <c r="M430" i="17" s="1"/>
  <c r="M431" i="17" a="1"/>
  <c r="M431" i="17" s="1"/>
  <c r="M480" i="17" a="1"/>
  <c r="M480" i="17" s="1"/>
  <c r="M670" i="17" a="1"/>
  <c r="M670" i="17"/>
  <c r="M689" i="17" a="1"/>
  <c r="M689" i="17"/>
  <c r="M708" i="17" a="1"/>
  <c r="M708" i="17" s="1"/>
  <c r="M727" i="17" a="1"/>
  <c r="M727" i="17" s="1"/>
  <c r="M746" i="17" a="1"/>
  <c r="M746" i="17" s="1"/>
  <c r="M765" i="17" a="1"/>
  <c r="M765" i="17" s="1"/>
  <c r="M784" i="17" a="1"/>
  <c r="M784" i="17" s="1"/>
  <c r="M810" i="17" a="1"/>
  <c r="M810" i="17" s="1"/>
  <c r="M817" i="17" a="1"/>
  <c r="M817" i="17" s="1"/>
  <c r="M836" i="17" a="1"/>
  <c r="M836" i="17" s="1"/>
  <c r="M855" i="17" a="1"/>
  <c r="M855" i="17" s="1"/>
  <c r="M874" i="17" a="1"/>
  <c r="M874" i="17" s="1"/>
  <c r="M893" i="17" a="1"/>
  <c r="M893" i="17" s="1"/>
  <c r="M912" i="17" a="1"/>
  <c r="M912" i="17" s="1"/>
  <c r="M931" i="17" a="1"/>
  <c r="M931" i="17" s="1"/>
  <c r="M950" i="17" a="1"/>
  <c r="M950" i="17" s="1"/>
  <c r="M969" i="17" a="1"/>
  <c r="M969" i="17" s="1"/>
  <c r="M988" i="17" a="1"/>
  <c r="M988" i="17" s="1"/>
  <c r="M1007" i="17" a="1"/>
  <c r="M1007" i="17" s="1"/>
  <c r="M1026" i="17" a="1"/>
  <c r="M1026" i="17" s="1"/>
  <c r="M1045" i="17" a="1"/>
  <c r="M1045" i="17" s="1"/>
  <c r="M571" i="17" a="1"/>
  <c r="M571" i="17" s="1"/>
  <c r="M572" i="17" a="1"/>
  <c r="M572" i="17" s="1"/>
  <c r="M573" i="17" a="1"/>
  <c r="M573" i="17" s="1"/>
  <c r="M574" i="17" a="1"/>
  <c r="M574" i="17" s="1"/>
  <c r="M575" i="17" a="1"/>
  <c r="M575" i="17" s="1"/>
  <c r="M576" i="17" a="1"/>
  <c r="M576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120" i="17" a="1"/>
  <c r="M120" i="17" s="1"/>
  <c r="M139" i="17" a="1"/>
  <c r="M139" i="17" s="1"/>
  <c r="M158" i="17" a="1"/>
  <c r="M158" i="17" s="1"/>
  <c r="M177" i="17" a="1"/>
  <c r="M177" i="17" s="1"/>
  <c r="M204" i="17" a="1"/>
  <c r="M204" i="17" s="1"/>
  <c r="M205" i="17" a="1"/>
  <c r="M205" i="17" s="1"/>
  <c r="M206" i="17" a="1"/>
  <c r="M206" i="17" s="1"/>
  <c r="M253" i="17" a="1"/>
  <c r="M253" i="17" s="1"/>
  <c r="M272" i="17" a="1"/>
  <c r="M272" i="17" s="1"/>
  <c r="M291" i="17" a="1"/>
  <c r="M291" i="17" s="1"/>
  <c r="M310" i="17" a="1"/>
  <c r="M310" i="17" s="1"/>
  <c r="M329" i="17" a="1"/>
  <c r="M329" i="17" s="1"/>
  <c r="M348" i="17" a="1"/>
  <c r="M348" i="17" s="1"/>
  <c r="M367" i="17" a="1"/>
  <c r="M367" i="17" s="1"/>
  <c r="M386" i="17" a="1"/>
  <c r="M386" i="17" s="1"/>
  <c r="M405" i="17" a="1"/>
  <c r="M405" i="17"/>
  <c r="M500" i="17" a="1"/>
  <c r="M500" i="17" s="1"/>
  <c r="M519" i="17" a="1"/>
  <c r="M519" i="17" s="1"/>
  <c r="M538" i="17" a="1"/>
  <c r="M538" i="17" s="1"/>
  <c r="M432" i="17" a="1"/>
  <c r="M432" i="17" s="1"/>
  <c r="M433" i="17" a="1"/>
  <c r="M433" i="17" s="1"/>
  <c r="M434" i="17" a="1"/>
  <c r="M434" i="17" s="1"/>
  <c r="M481" i="17" a="1"/>
  <c r="M481" i="17" s="1"/>
  <c r="M671" i="17" a="1"/>
  <c r="M671" i="17"/>
  <c r="M690" i="17" a="1"/>
  <c r="M690" i="17" s="1"/>
  <c r="M709" i="17" a="1"/>
  <c r="M709" i="17" s="1"/>
  <c r="M728" i="17" a="1"/>
  <c r="M728" i="17" s="1"/>
  <c r="M747" i="17" a="1"/>
  <c r="M747" i="17" s="1"/>
  <c r="M766" i="17" a="1"/>
  <c r="M766" i="17" s="1"/>
  <c r="M800" i="17" a="1"/>
  <c r="M800" i="17" s="1"/>
  <c r="M818" i="17" a="1"/>
  <c r="M818" i="17" s="1"/>
  <c r="M837" i="17" a="1"/>
  <c r="M837" i="17" s="1"/>
  <c r="M856" i="17" a="1"/>
  <c r="M856" i="17" s="1"/>
  <c r="M875" i="17" a="1"/>
  <c r="M875" i="17" s="1"/>
  <c r="M894" i="17" a="1"/>
  <c r="M894" i="17" s="1"/>
  <c r="M913" i="17" a="1"/>
  <c r="M913" i="17" s="1"/>
  <c r="M932" i="17" a="1"/>
  <c r="M932" i="17" s="1"/>
  <c r="M951" i="17" a="1"/>
  <c r="M951" i="17" s="1"/>
  <c r="M970" i="17" a="1"/>
  <c r="M970" i="17" s="1"/>
  <c r="M989" i="17" a="1"/>
  <c r="M989" i="17" s="1"/>
  <c r="M1008" i="17" a="1"/>
  <c r="M1008" i="17"/>
  <c r="M1027" i="17" a="1"/>
  <c r="M1027" i="17" s="1"/>
  <c r="M1046" i="17" a="1"/>
  <c r="M1046" i="17" s="1"/>
  <c r="M577" i="17" a="1"/>
  <c r="M577" i="17" s="1"/>
  <c r="M578" i="17" a="1"/>
  <c r="M578" i="17" s="1"/>
  <c r="M579" i="17" a="1"/>
  <c r="M579" i="17" s="1"/>
  <c r="M580" i="17" a="1"/>
  <c r="M580" i="17" s="1"/>
  <c r="M581" i="17" a="1"/>
  <c r="M581" i="17"/>
  <c r="M582" i="17" a="1"/>
  <c r="M582" i="17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121" i="17" a="1"/>
  <c r="M121" i="17" s="1"/>
  <c r="M140" i="17" a="1"/>
  <c r="M140" i="17" s="1"/>
  <c r="M159" i="17" a="1"/>
  <c r="M159" i="17"/>
  <c r="M178" i="17" a="1"/>
  <c r="M178" i="17" s="1"/>
  <c r="M207" i="17" a="1"/>
  <c r="M207" i="17" s="1"/>
  <c r="M208" i="17" a="1"/>
  <c r="M208" i="17" s="1"/>
  <c r="M209" i="17" a="1"/>
  <c r="M209" i="17" s="1"/>
  <c r="M254" i="17" a="1"/>
  <c r="M254" i="17" s="1"/>
  <c r="M273" i="17" a="1"/>
  <c r="M273" i="17" s="1"/>
  <c r="M292" i="17" a="1"/>
  <c r="M292" i="17"/>
  <c r="M311" i="17" a="1"/>
  <c r="M311" i="17"/>
  <c r="M330" i="17" a="1"/>
  <c r="M330" i="17" s="1"/>
  <c r="M349" i="17" a="1"/>
  <c r="M349" i="17" s="1"/>
  <c r="M368" i="17" a="1"/>
  <c r="M368" i="17" s="1"/>
  <c r="M387" i="17" a="1"/>
  <c r="M387" i="17" s="1"/>
  <c r="M406" i="17" a="1"/>
  <c r="M406" i="17" s="1"/>
  <c r="M501" i="17" a="1"/>
  <c r="M501" i="17" s="1"/>
  <c r="M520" i="17" a="1"/>
  <c r="M520" i="17" s="1"/>
  <c r="M539" i="17" a="1"/>
  <c r="M539" i="17" s="1"/>
  <c r="M435" i="17" a="1"/>
  <c r="M435" i="17" s="1"/>
  <c r="M436" i="17" a="1"/>
  <c r="M436" i="17" s="1"/>
  <c r="M437" i="17" a="1"/>
  <c r="M437" i="17" s="1"/>
  <c r="M482" i="17" a="1"/>
  <c r="M482" i="17" s="1"/>
  <c r="M672" i="17" a="1"/>
  <c r="M672" i="17" s="1"/>
  <c r="M691" i="17" a="1"/>
  <c r="M691" i="17" s="1"/>
  <c r="M710" i="17" a="1"/>
  <c r="M710" i="17" s="1"/>
  <c r="M729" i="17" a="1"/>
  <c r="M729" i="17"/>
  <c r="M748" i="17" a="1"/>
  <c r="M748" i="17" s="1"/>
  <c r="M767" i="17" a="1"/>
  <c r="M767" i="17" s="1"/>
  <c r="M819" i="17" a="1"/>
  <c r="M819" i="17" s="1"/>
  <c r="M838" i="17" a="1"/>
  <c r="M838" i="17" s="1"/>
  <c r="M857" i="17" a="1"/>
  <c r="M857" i="17" s="1"/>
  <c r="M876" i="17" a="1"/>
  <c r="M876" i="17" s="1"/>
  <c r="M895" i="17" a="1"/>
  <c r="M895" i="17" s="1"/>
  <c r="M914" i="17" a="1"/>
  <c r="M914" i="17" s="1"/>
  <c r="M933" i="17" a="1"/>
  <c r="M933" i="17" s="1"/>
  <c r="M952" i="17" a="1"/>
  <c r="M952" i="17" s="1"/>
  <c r="M971" i="17" a="1"/>
  <c r="M971" i="17" s="1"/>
  <c r="M990" i="17" a="1"/>
  <c r="M990" i="17" s="1"/>
  <c r="M1009" i="17" a="1"/>
  <c r="M1009" i="17" s="1"/>
  <c r="M1028" i="17" a="1"/>
  <c r="M1028" i="17"/>
  <c r="M1047" i="17" a="1"/>
  <c r="M1047" i="17"/>
  <c r="M583" i="17" a="1"/>
  <c r="M583" i="17" s="1"/>
  <c r="M584" i="17" a="1"/>
  <c r="M584" i="17" s="1"/>
  <c r="M585" i="17" a="1"/>
  <c r="M585" i="17" s="1"/>
  <c r="M586" i="17" a="1"/>
  <c r="M586" i="17" s="1"/>
  <c r="M587" i="17" a="1"/>
  <c r="M587" i="17" s="1"/>
  <c r="M588" i="17" a="1"/>
  <c r="M588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122" i="17" a="1"/>
  <c r="M122" i="17" s="1"/>
  <c r="M141" i="17" a="1"/>
  <c r="M141" i="17" s="1"/>
  <c r="M160" i="17" a="1"/>
  <c r="M160" i="17" s="1"/>
  <c r="M179" i="17" a="1"/>
  <c r="M179" i="17" s="1"/>
  <c r="M210" i="17" a="1"/>
  <c r="M210" i="17" s="1"/>
  <c r="M211" i="17" a="1"/>
  <c r="M211" i="17" s="1"/>
  <c r="M212" i="17" a="1"/>
  <c r="M212" i="17" s="1"/>
  <c r="M255" i="17" a="1"/>
  <c r="M255" i="17" s="1"/>
  <c r="M274" i="17" a="1"/>
  <c r="M274" i="17" s="1"/>
  <c r="M293" i="17" a="1"/>
  <c r="M293" i="17" s="1"/>
  <c r="M312" i="17" a="1"/>
  <c r="M312" i="17" s="1"/>
  <c r="M331" i="17" a="1"/>
  <c r="M331" i="17" s="1"/>
  <c r="M350" i="17" a="1"/>
  <c r="M350" i="17" s="1"/>
  <c r="M369" i="17" a="1"/>
  <c r="M369" i="17" s="1"/>
  <c r="M388" i="17" a="1"/>
  <c r="M388" i="17" s="1"/>
  <c r="M407" i="17" a="1"/>
  <c r="M407" i="17" s="1"/>
  <c r="M502" i="17" a="1"/>
  <c r="M502" i="17" s="1"/>
  <c r="M521" i="17" a="1"/>
  <c r="M521" i="17" s="1"/>
  <c r="M540" i="17" a="1"/>
  <c r="M540" i="17" s="1"/>
  <c r="M438" i="17" a="1"/>
  <c r="M438" i="17" s="1"/>
  <c r="M439" i="17" a="1"/>
  <c r="M439" i="17" s="1"/>
  <c r="M440" i="17" a="1"/>
  <c r="M440" i="17" s="1"/>
  <c r="M483" i="17" a="1"/>
  <c r="M483" i="17" s="1"/>
  <c r="M673" i="17" a="1"/>
  <c r="M673" i="17" s="1"/>
  <c r="M692" i="17" a="1"/>
  <c r="M692" i="17" s="1"/>
  <c r="M711" i="17" a="1"/>
  <c r="M711" i="17" s="1"/>
  <c r="M730" i="17" a="1"/>
  <c r="M730" i="17" s="1"/>
  <c r="M749" i="17" a="1"/>
  <c r="M749" i="17" s="1"/>
  <c r="M768" i="17" a="1"/>
  <c r="M768" i="17" s="1"/>
  <c r="M785" i="17" a="1"/>
  <c r="M785" i="17" s="1"/>
  <c r="M801" i="17" a="1"/>
  <c r="M801" i="17" s="1"/>
  <c r="M820" i="17" a="1"/>
  <c r="M820" i="17" s="1"/>
  <c r="M839" i="17" a="1"/>
  <c r="M839" i="17" s="1"/>
  <c r="M858" i="17" a="1"/>
  <c r="M858" i="17" s="1"/>
  <c r="M877" i="17" a="1"/>
  <c r="M877" i="17" s="1"/>
  <c r="M896" i="17" a="1"/>
  <c r="M896" i="17" s="1"/>
  <c r="M915" i="17" a="1"/>
  <c r="M915" i="17" s="1"/>
  <c r="M934" i="17" a="1"/>
  <c r="M934" i="17" s="1"/>
  <c r="M953" i="17" a="1"/>
  <c r="M953" i="17" s="1"/>
  <c r="M972" i="17" a="1"/>
  <c r="M972" i="17" s="1"/>
  <c r="M991" i="17" a="1"/>
  <c r="M991" i="17" s="1"/>
  <c r="M1010" i="17" a="1"/>
  <c r="M1010" i="17" s="1"/>
  <c r="M1029" i="17" a="1"/>
  <c r="M1029" i="17" s="1"/>
  <c r="M1048" i="17" a="1"/>
  <c r="M1048" i="17" s="1"/>
  <c r="M589" i="17" a="1"/>
  <c r="M589" i="17" s="1"/>
  <c r="M590" i="17" a="1"/>
  <c r="M590" i="17" s="1"/>
  <c r="M591" i="17" a="1"/>
  <c r="M591" i="17" s="1"/>
  <c r="M592" i="17" a="1"/>
  <c r="M592" i="17" s="1"/>
  <c r="M593" i="17" a="1"/>
  <c r="M593" i="17" s="1"/>
  <c r="M594" i="17" a="1"/>
  <c r="M594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123" i="17" a="1"/>
  <c r="M123" i="17" s="1"/>
  <c r="M142" i="17" a="1"/>
  <c r="M142" i="17" s="1"/>
  <c r="M161" i="17" a="1"/>
  <c r="M161" i="17" s="1"/>
  <c r="M180" i="17" a="1"/>
  <c r="M180" i="17" s="1"/>
  <c r="M213" i="17" a="1"/>
  <c r="M213" i="17" s="1"/>
  <c r="M214" i="17" a="1"/>
  <c r="M214" i="17" s="1"/>
  <c r="M215" i="17" a="1"/>
  <c r="M215" i="17" s="1"/>
  <c r="M256" i="17" a="1"/>
  <c r="M256" i="17" s="1"/>
  <c r="M275" i="17" a="1"/>
  <c r="M275" i="17" s="1"/>
  <c r="M294" i="17" a="1"/>
  <c r="M294" i="17" s="1"/>
  <c r="M313" i="17" a="1"/>
  <c r="M313" i="17" s="1"/>
  <c r="M332" i="17" a="1"/>
  <c r="M332" i="17" s="1"/>
  <c r="M351" i="17" a="1"/>
  <c r="M351" i="17" s="1"/>
  <c r="M370" i="17" a="1"/>
  <c r="M370" i="17" s="1"/>
  <c r="M389" i="17" a="1"/>
  <c r="M389" i="17" s="1"/>
  <c r="M408" i="17" a="1"/>
  <c r="M408" i="17" s="1"/>
  <c r="M503" i="17" a="1"/>
  <c r="M503" i="17" s="1"/>
  <c r="M522" i="17" a="1"/>
  <c r="M522" i="17" s="1"/>
  <c r="M541" i="17" a="1"/>
  <c r="M541" i="17" s="1"/>
  <c r="M441" i="17" a="1"/>
  <c r="M441" i="17" s="1"/>
  <c r="M442" i="17" a="1"/>
  <c r="M442" i="17" s="1"/>
  <c r="M443" i="17" a="1"/>
  <c r="M443" i="17" s="1"/>
  <c r="M484" i="17" a="1"/>
  <c r="M484" i="17" s="1"/>
  <c r="M674" i="17" a="1"/>
  <c r="M674" i="17" s="1"/>
  <c r="M693" i="17" a="1"/>
  <c r="M693" i="17" s="1"/>
  <c r="M712" i="17" a="1"/>
  <c r="M712" i="17" s="1"/>
  <c r="M731" i="17" a="1"/>
  <c r="M731" i="17" s="1"/>
  <c r="M750" i="17" a="1"/>
  <c r="M750" i="17" s="1"/>
  <c r="M769" i="17" a="1"/>
  <c r="M769" i="17" s="1"/>
  <c r="M786" i="17" a="1"/>
  <c r="M786" i="17" s="1"/>
  <c r="M802" i="17" a="1"/>
  <c r="M802" i="17" s="1"/>
  <c r="M821" i="17" a="1"/>
  <c r="M821" i="17" s="1"/>
  <c r="M840" i="17" a="1"/>
  <c r="M840" i="17" s="1"/>
  <c r="M859" i="17" a="1"/>
  <c r="M859" i="17" s="1"/>
  <c r="M878" i="17" a="1"/>
  <c r="M878" i="17" s="1"/>
  <c r="M897" i="17" a="1"/>
  <c r="M897" i="17" s="1"/>
  <c r="M916" i="17" a="1"/>
  <c r="M916" i="17" s="1"/>
  <c r="M935" i="17" a="1"/>
  <c r="M935" i="17" s="1"/>
  <c r="M954" i="17" a="1"/>
  <c r="M954" i="17" s="1"/>
  <c r="M973" i="17" a="1"/>
  <c r="M973" i="17" s="1"/>
  <c r="M992" i="17" a="1"/>
  <c r="M992" i="17" s="1"/>
  <c r="M1011" i="17" a="1"/>
  <c r="M1011" i="17" s="1"/>
  <c r="M1030" i="17" a="1"/>
  <c r="M1030" i="17" s="1"/>
  <c r="M1049" i="17" a="1"/>
  <c r="M1049" i="17" s="1"/>
  <c r="M595" i="17" a="1"/>
  <c r="M595" i="17" s="1"/>
  <c r="M596" i="17" a="1"/>
  <c r="M596" i="17" s="1"/>
  <c r="M597" i="17" a="1"/>
  <c r="M597" i="17" s="1"/>
  <c r="M598" i="17" a="1"/>
  <c r="M598" i="17" s="1"/>
  <c r="M599" i="17" a="1"/>
  <c r="M599" i="17" s="1"/>
  <c r="M600" i="17" a="1"/>
  <c r="M600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124" i="17" a="1"/>
  <c r="M124" i="17" s="1"/>
  <c r="M143" i="17" a="1"/>
  <c r="M143" i="17" s="1"/>
  <c r="M162" i="17" a="1"/>
  <c r="M162" i="17" s="1"/>
  <c r="M181" i="17" a="1"/>
  <c r="M181" i="17" s="1"/>
  <c r="M216" i="17" a="1"/>
  <c r="M216" i="17" s="1"/>
  <c r="M217" i="17" a="1"/>
  <c r="M217" i="17" s="1"/>
  <c r="M218" i="17" a="1"/>
  <c r="M218" i="17" s="1"/>
  <c r="M257" i="17" a="1"/>
  <c r="M257" i="17" s="1"/>
  <c r="M276" i="17" a="1"/>
  <c r="M276" i="17" s="1"/>
  <c r="M295" i="17" a="1"/>
  <c r="M295" i="17" s="1"/>
  <c r="M314" i="17" a="1"/>
  <c r="M314" i="17" s="1"/>
  <c r="M333" i="17" a="1"/>
  <c r="M333" i="17" s="1"/>
  <c r="M352" i="17" a="1"/>
  <c r="M352" i="17" s="1"/>
  <c r="M371" i="17" a="1"/>
  <c r="M371" i="17" s="1"/>
  <c r="M390" i="17" a="1"/>
  <c r="M390" i="17" s="1"/>
  <c r="M409" i="17" a="1"/>
  <c r="M409" i="17" s="1"/>
  <c r="M504" i="17" a="1"/>
  <c r="M504" i="17" s="1"/>
  <c r="M523" i="17" a="1"/>
  <c r="M523" i="17" s="1"/>
  <c r="M542" i="17" a="1"/>
  <c r="M542" i="17" s="1"/>
  <c r="M444" i="17" a="1"/>
  <c r="M444" i="17" s="1"/>
  <c r="M445" i="17" a="1"/>
  <c r="M445" i="17" s="1"/>
  <c r="M446" i="17" a="1"/>
  <c r="M446" i="17" s="1"/>
  <c r="M485" i="17" a="1"/>
  <c r="M485" i="17" s="1"/>
  <c r="M675" i="17" a="1"/>
  <c r="M675" i="17" s="1"/>
  <c r="M694" i="17" a="1"/>
  <c r="M694" i="17" s="1"/>
  <c r="M713" i="17" a="1"/>
  <c r="M713" i="17" s="1"/>
  <c r="M732" i="17" a="1"/>
  <c r="M732" i="17" s="1"/>
  <c r="M751" i="17" a="1"/>
  <c r="M751" i="17" s="1"/>
  <c r="M770" i="17" a="1"/>
  <c r="M770" i="17" s="1"/>
  <c r="M787" i="17" a="1"/>
  <c r="M787" i="17" s="1"/>
  <c r="M822" i="17" a="1"/>
  <c r="M822" i="17" s="1"/>
  <c r="M841" i="17" a="1"/>
  <c r="M841" i="17" s="1"/>
  <c r="M860" i="17" a="1"/>
  <c r="M860" i="17" s="1"/>
  <c r="M879" i="17" a="1"/>
  <c r="M879" i="17" s="1"/>
  <c r="M898" i="17" a="1"/>
  <c r="M898" i="17" s="1"/>
  <c r="M917" i="17" a="1"/>
  <c r="M917" i="17" s="1"/>
  <c r="M936" i="17" a="1"/>
  <c r="M936" i="17" s="1"/>
  <c r="M955" i="17" a="1"/>
  <c r="M955" i="17" s="1"/>
  <c r="M974" i="17" a="1"/>
  <c r="M974" i="17" s="1"/>
  <c r="M993" i="17" a="1"/>
  <c r="M993" i="17" s="1"/>
  <c r="M1012" i="17" a="1"/>
  <c r="M1012" i="17" s="1"/>
  <c r="M1031" i="17" a="1"/>
  <c r="M1031" i="17" s="1"/>
  <c r="M1050" i="17" a="1"/>
  <c r="M1050" i="17" s="1"/>
  <c r="M601" i="17" a="1"/>
  <c r="M601" i="17" s="1"/>
  <c r="M602" i="17" a="1"/>
  <c r="M602" i="17" s="1"/>
  <c r="M603" i="17" a="1"/>
  <c r="M603" i="17" s="1"/>
  <c r="M604" i="17" a="1"/>
  <c r="M604" i="17" s="1"/>
  <c r="M605" i="17" a="1"/>
  <c r="M605" i="17" s="1"/>
  <c r="M606" i="17" a="1"/>
  <c r="M606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125" i="17" a="1"/>
  <c r="M125" i="17" s="1"/>
  <c r="M144" i="17" a="1"/>
  <c r="M144" i="17" s="1"/>
  <c r="M163" i="17" a="1"/>
  <c r="M163" i="17" s="1"/>
  <c r="M182" i="17" a="1"/>
  <c r="M182" i="17" s="1"/>
  <c r="M219" i="17" a="1"/>
  <c r="M219" i="17" s="1"/>
  <c r="M220" i="17" a="1"/>
  <c r="M220" i="17" s="1"/>
  <c r="M221" i="17" a="1"/>
  <c r="M221" i="17" s="1"/>
  <c r="M258" i="17" a="1"/>
  <c r="M258" i="17" s="1"/>
  <c r="M277" i="17" a="1"/>
  <c r="M277" i="17" s="1"/>
  <c r="M296" i="17" a="1"/>
  <c r="M296" i="17" s="1"/>
  <c r="M315" i="17" a="1"/>
  <c r="M315" i="17" s="1"/>
  <c r="M334" i="17" a="1"/>
  <c r="M334" i="17" s="1"/>
  <c r="M353" i="17" a="1"/>
  <c r="M353" i="17" s="1"/>
  <c r="M372" i="17" a="1"/>
  <c r="M372" i="17" s="1"/>
  <c r="M391" i="17" a="1"/>
  <c r="M391" i="17" s="1"/>
  <c r="M410" i="17" a="1"/>
  <c r="M410" i="17" s="1"/>
  <c r="M505" i="17" a="1"/>
  <c r="M505" i="17" s="1"/>
  <c r="M524" i="17" a="1"/>
  <c r="M524" i="17" s="1"/>
  <c r="M543" i="17" a="1"/>
  <c r="M543" i="17" s="1"/>
  <c r="M447" i="17" a="1"/>
  <c r="M447" i="17" s="1"/>
  <c r="M448" i="17" a="1"/>
  <c r="M448" i="17" s="1"/>
  <c r="M449" i="17" a="1"/>
  <c r="M449" i="17" s="1"/>
  <c r="M486" i="17" a="1"/>
  <c r="M486" i="17" s="1"/>
  <c r="M676" i="17" a="1"/>
  <c r="M676" i="17" s="1"/>
  <c r="M695" i="17" a="1"/>
  <c r="M695" i="17" s="1"/>
  <c r="M714" i="17" a="1"/>
  <c r="M714" i="17" s="1"/>
  <c r="M733" i="17" a="1"/>
  <c r="M733" i="17" s="1"/>
  <c r="M752" i="17" a="1"/>
  <c r="M752" i="17"/>
  <c r="M771" i="17" a="1"/>
  <c r="M771" i="17" s="1"/>
  <c r="M788" i="17" a="1"/>
  <c r="M788" i="17" s="1"/>
  <c r="M803" i="17" a="1"/>
  <c r="M803" i="17" s="1"/>
  <c r="M811" i="17" a="1"/>
  <c r="M811" i="17" s="1"/>
  <c r="M823" i="17" a="1"/>
  <c r="M823" i="17" s="1"/>
  <c r="M842" i="17" a="1"/>
  <c r="M842" i="17" s="1"/>
  <c r="M861" i="17" a="1"/>
  <c r="M861" i="17" s="1"/>
  <c r="M880" i="17" a="1"/>
  <c r="M880" i="17" s="1"/>
  <c r="M899" i="17" a="1"/>
  <c r="M899" i="17" s="1"/>
  <c r="M918" i="17" a="1"/>
  <c r="M918" i="17" s="1"/>
  <c r="M937" i="17" a="1"/>
  <c r="M937" i="17" s="1"/>
  <c r="M956" i="17" a="1"/>
  <c r="M956" i="17" s="1"/>
  <c r="M975" i="17" a="1"/>
  <c r="M975" i="17" s="1"/>
  <c r="M994" i="17" a="1"/>
  <c r="M994" i="17" s="1"/>
  <c r="M1013" i="17" a="1"/>
  <c r="M1013" i="17" s="1"/>
  <c r="M1032" i="17" a="1"/>
  <c r="M1032" i="17" s="1"/>
  <c r="M1051" i="17" a="1"/>
  <c r="M1051" i="17" s="1"/>
  <c r="M607" i="17" a="1"/>
  <c r="M607" i="17" s="1"/>
  <c r="M608" i="17" a="1"/>
  <c r="M608" i="17" s="1"/>
  <c r="M609" i="17" a="1"/>
  <c r="M609" i="17" s="1"/>
  <c r="M610" i="17" a="1"/>
  <c r="M610" i="17" s="1"/>
  <c r="M611" i="17" a="1"/>
  <c r="M611" i="17" s="1"/>
  <c r="M612" i="17" a="1"/>
  <c r="M612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126" i="17" a="1"/>
  <c r="M126" i="17" s="1"/>
  <c r="M145" i="17" a="1"/>
  <c r="M145" i="17" s="1"/>
  <c r="M164" i="17" a="1"/>
  <c r="M164" i="17" s="1"/>
  <c r="M183" i="17" a="1"/>
  <c r="M183" i="17" s="1"/>
  <c r="M222" i="17" a="1"/>
  <c r="M222" i="17" s="1"/>
  <c r="M223" i="17" a="1"/>
  <c r="M223" i="17" s="1"/>
  <c r="M224" i="17" a="1"/>
  <c r="M224" i="17" s="1"/>
  <c r="M259" i="17" a="1"/>
  <c r="M259" i="17" s="1"/>
  <c r="M278" i="17" a="1"/>
  <c r="M278" i="17" s="1"/>
  <c r="M297" i="17" a="1"/>
  <c r="M297" i="17" s="1"/>
  <c r="M316" i="17" a="1"/>
  <c r="M316" i="17" s="1"/>
  <c r="M335" i="17" a="1"/>
  <c r="M335" i="17" s="1"/>
  <c r="M354" i="17" a="1"/>
  <c r="M354" i="17" s="1"/>
  <c r="M373" i="17" a="1"/>
  <c r="M373" i="17" s="1"/>
  <c r="M392" i="17" a="1"/>
  <c r="M392" i="17" s="1"/>
  <c r="M411" i="17" a="1"/>
  <c r="M411" i="17" s="1"/>
  <c r="M506" i="17" a="1"/>
  <c r="M506" i="17" s="1"/>
  <c r="M525" i="17" a="1"/>
  <c r="M525" i="17" s="1"/>
  <c r="M544" i="17" a="1"/>
  <c r="M544" i="17" s="1"/>
  <c r="M450" i="17" a="1"/>
  <c r="M450" i="17" s="1"/>
  <c r="M451" i="17" a="1"/>
  <c r="M451" i="17" s="1"/>
  <c r="M452" i="17" a="1"/>
  <c r="M452" i="17" s="1"/>
  <c r="M487" i="17" a="1"/>
  <c r="M487" i="17" s="1"/>
  <c r="M677" i="17" a="1"/>
  <c r="M677" i="17" s="1"/>
  <c r="M696" i="17" a="1"/>
  <c r="M696" i="17" s="1"/>
  <c r="M715" i="17" a="1"/>
  <c r="M715" i="17" s="1"/>
  <c r="M734" i="17" a="1"/>
  <c r="M734" i="17" s="1"/>
  <c r="M753" i="17" a="1"/>
  <c r="M753" i="17" s="1"/>
  <c r="M772" i="17" a="1"/>
  <c r="M772" i="17" s="1"/>
  <c r="M789" i="17" a="1"/>
  <c r="M789" i="17" s="1"/>
  <c r="M824" i="17" a="1"/>
  <c r="M824" i="17" s="1"/>
  <c r="M843" i="17" a="1"/>
  <c r="M843" i="17" s="1"/>
  <c r="M862" i="17" a="1"/>
  <c r="M862" i="17" s="1"/>
  <c r="M881" i="17" a="1"/>
  <c r="M881" i="17" s="1"/>
  <c r="M900" i="17" a="1"/>
  <c r="M900" i="17" s="1"/>
  <c r="M919" i="17" a="1"/>
  <c r="M919" i="17" s="1"/>
  <c r="M938" i="17" a="1"/>
  <c r="M938" i="17" s="1"/>
  <c r="M957" i="17" a="1"/>
  <c r="M957" i="17" s="1"/>
  <c r="M976" i="17" a="1"/>
  <c r="M976" i="17" s="1"/>
  <c r="M995" i="17" a="1"/>
  <c r="M995" i="17" s="1"/>
  <c r="M1014" i="17" a="1"/>
  <c r="M1014" i="17" s="1"/>
  <c r="M1033" i="17" a="1"/>
  <c r="M1033" i="17" s="1"/>
  <c r="M1052" i="17" a="1"/>
  <c r="M1052" i="17" s="1"/>
  <c r="M613" i="17" a="1"/>
  <c r="M613" i="17" s="1"/>
  <c r="M614" i="17" a="1"/>
  <c r="M614" i="17" s="1"/>
  <c r="M615" i="17" a="1"/>
  <c r="M615" i="17" s="1"/>
  <c r="M616" i="17" a="1"/>
  <c r="M616" i="17" s="1"/>
  <c r="M617" i="17" a="1"/>
  <c r="M617" i="17" s="1"/>
  <c r="M618" i="17" a="1"/>
  <c r="M618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127" i="17" a="1"/>
  <c r="M127" i="17" s="1"/>
  <c r="M146" i="17" a="1"/>
  <c r="M146" i="17" s="1"/>
  <c r="M165" i="17" a="1"/>
  <c r="M165" i="17" s="1"/>
  <c r="M184" i="17" a="1"/>
  <c r="M184" i="17" s="1"/>
  <c r="M225" i="17" a="1"/>
  <c r="M225" i="17" s="1"/>
  <c r="M226" i="17" a="1"/>
  <c r="M226" i="17" s="1"/>
  <c r="M227" i="17" a="1"/>
  <c r="M227" i="17" s="1"/>
  <c r="M260" i="17" a="1"/>
  <c r="M260" i="17" s="1"/>
  <c r="M279" i="17" a="1"/>
  <c r="M279" i="17" s="1"/>
  <c r="M298" i="17" a="1"/>
  <c r="M298" i="17" s="1"/>
  <c r="M317" i="17" a="1"/>
  <c r="M317" i="17" s="1"/>
  <c r="M336" i="17" a="1"/>
  <c r="M336" i="17" s="1"/>
  <c r="M355" i="17" a="1"/>
  <c r="M355" i="17" s="1"/>
  <c r="M374" i="17" a="1"/>
  <c r="M374" i="17" s="1"/>
  <c r="M393" i="17" a="1"/>
  <c r="M393" i="17" s="1"/>
  <c r="M412" i="17" a="1"/>
  <c r="M412" i="17" s="1"/>
  <c r="M507" i="17" a="1"/>
  <c r="M507" i="17" s="1"/>
  <c r="M526" i="17" a="1"/>
  <c r="M526" i="17" s="1"/>
  <c r="M545" i="17" a="1"/>
  <c r="M545" i="17" s="1"/>
  <c r="M453" i="17" a="1"/>
  <c r="M453" i="17" s="1"/>
  <c r="M454" i="17" a="1"/>
  <c r="M454" i="17" s="1"/>
  <c r="M455" i="17" a="1"/>
  <c r="M455" i="17" s="1"/>
  <c r="M488" i="17" a="1"/>
  <c r="M488" i="17" s="1"/>
  <c r="M678" i="17" a="1"/>
  <c r="M678" i="17" s="1"/>
  <c r="M697" i="17" a="1"/>
  <c r="M697" i="17" s="1"/>
  <c r="M716" i="17" a="1"/>
  <c r="M716" i="17" s="1"/>
  <c r="M735" i="17" a="1"/>
  <c r="M735" i="17" s="1"/>
  <c r="M754" i="17" a="1"/>
  <c r="M754" i="17" s="1"/>
  <c r="M773" i="17" a="1"/>
  <c r="M773" i="17" s="1"/>
  <c r="M790" i="17" a="1"/>
  <c r="M790" i="17" s="1"/>
  <c r="M825" i="17" a="1"/>
  <c r="M825" i="17" s="1"/>
  <c r="M844" i="17" a="1"/>
  <c r="M844" i="17" s="1"/>
  <c r="M863" i="17" a="1"/>
  <c r="M863" i="17" s="1"/>
  <c r="M882" i="17" a="1"/>
  <c r="M882" i="17" s="1"/>
  <c r="M901" i="17" a="1"/>
  <c r="M901" i="17" s="1"/>
  <c r="M920" i="17" a="1"/>
  <c r="M920" i="17" s="1"/>
  <c r="M939" i="17" a="1"/>
  <c r="M939" i="17" s="1"/>
  <c r="M958" i="17" a="1"/>
  <c r="M958" i="17" s="1"/>
  <c r="M977" i="17" a="1"/>
  <c r="M977" i="17" s="1"/>
  <c r="M996" i="17" a="1"/>
  <c r="M996" i="17" s="1"/>
  <c r="M1015" i="17" a="1"/>
  <c r="M1015" i="17" s="1"/>
  <c r="M1034" i="17" a="1"/>
  <c r="M1034" i="17" s="1"/>
  <c r="M1053" i="17" a="1"/>
  <c r="M1053" i="17" s="1"/>
  <c r="M619" i="17" a="1"/>
  <c r="M619" i="17" s="1"/>
  <c r="M620" i="17" a="1"/>
  <c r="M620" i="17" s="1"/>
  <c r="M621" i="17" a="1"/>
  <c r="M621" i="17" s="1"/>
  <c r="M622" i="17" a="1"/>
  <c r="M622" i="17" s="1"/>
  <c r="M623" i="17" a="1"/>
  <c r="M623" i="17" s="1"/>
  <c r="M624" i="17" a="1"/>
  <c r="M624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128" i="17" a="1"/>
  <c r="M128" i="17" s="1"/>
  <c r="M147" i="17" a="1"/>
  <c r="M147" i="17" s="1"/>
  <c r="M166" i="17" a="1"/>
  <c r="M166" i="17" s="1"/>
  <c r="M185" i="17" a="1"/>
  <c r="M185" i="17" s="1"/>
  <c r="M228" i="17" a="1"/>
  <c r="M228" i="17" s="1"/>
  <c r="M229" i="17" a="1"/>
  <c r="M229" i="17" s="1"/>
  <c r="M230" i="17" a="1"/>
  <c r="M230" i="17" s="1"/>
  <c r="M261" i="17" a="1"/>
  <c r="M261" i="17" s="1"/>
  <c r="M280" i="17" a="1"/>
  <c r="M280" i="17" s="1"/>
  <c r="M299" i="17" a="1"/>
  <c r="M299" i="17" s="1"/>
  <c r="M318" i="17" a="1"/>
  <c r="M318" i="17" s="1"/>
  <c r="M337" i="17" a="1"/>
  <c r="M337" i="17" s="1"/>
  <c r="M356" i="17" a="1"/>
  <c r="M356" i="17" s="1"/>
  <c r="M375" i="17" a="1"/>
  <c r="M375" i="17" s="1"/>
  <c r="M394" i="17" a="1"/>
  <c r="M394" i="17" s="1"/>
  <c r="M413" i="17" a="1"/>
  <c r="M413" i="17" s="1"/>
  <c r="M508" i="17" a="1"/>
  <c r="M508" i="17" s="1"/>
  <c r="M527" i="17" a="1"/>
  <c r="M527" i="17" s="1"/>
  <c r="M546" i="17" a="1"/>
  <c r="M546" i="17" s="1"/>
  <c r="M456" i="17" a="1"/>
  <c r="M456" i="17" s="1"/>
  <c r="M457" i="17" a="1"/>
  <c r="M457" i="17" s="1"/>
  <c r="M458" i="17" a="1"/>
  <c r="M458" i="17" s="1"/>
  <c r="M489" i="17" a="1"/>
  <c r="M489" i="17" s="1"/>
  <c r="M679" i="17" a="1"/>
  <c r="M679" i="17" s="1"/>
  <c r="M698" i="17" a="1"/>
  <c r="M698" i="17" s="1"/>
  <c r="M717" i="17" a="1"/>
  <c r="M717" i="17" s="1"/>
  <c r="M736" i="17" a="1"/>
  <c r="M736" i="17" s="1"/>
  <c r="M755" i="17" a="1"/>
  <c r="M755" i="17" s="1"/>
  <c r="M774" i="17" a="1"/>
  <c r="M774" i="17" s="1"/>
  <c r="M791" i="17" a="1"/>
  <c r="M791" i="17" s="1"/>
  <c r="M826" i="17" a="1"/>
  <c r="M826" i="17" s="1"/>
  <c r="M845" i="17" a="1"/>
  <c r="M845" i="17" s="1"/>
  <c r="M864" i="17" a="1"/>
  <c r="M864" i="17" s="1"/>
  <c r="M883" i="17" a="1"/>
  <c r="M883" i="17" s="1"/>
  <c r="M902" i="17" a="1"/>
  <c r="M902" i="17" s="1"/>
  <c r="M921" i="17" a="1"/>
  <c r="M921" i="17" s="1"/>
  <c r="M940" i="17" a="1"/>
  <c r="M940" i="17" s="1"/>
  <c r="M959" i="17" a="1"/>
  <c r="M959" i="17" s="1"/>
  <c r="M978" i="17" a="1"/>
  <c r="M978" i="17" s="1"/>
  <c r="M997" i="17" a="1"/>
  <c r="M997" i="17" s="1"/>
  <c r="M1016" i="17" a="1"/>
  <c r="M1016" i="17" s="1"/>
  <c r="M1035" i="17" a="1"/>
  <c r="M1035" i="17" s="1"/>
  <c r="M1054" i="17" a="1"/>
  <c r="M1054" i="17" s="1"/>
  <c r="M625" i="17" a="1"/>
  <c r="M625" i="17" s="1"/>
  <c r="M626" i="17" a="1"/>
  <c r="M626" i="17" s="1"/>
  <c r="M627" i="17" a="1"/>
  <c r="M627" i="17" s="1"/>
  <c r="M628" i="17" a="1"/>
  <c r="M628" i="17" s="1"/>
  <c r="M629" i="17" a="1"/>
  <c r="M629" i="17" s="1"/>
  <c r="M630" i="17" a="1"/>
  <c r="M630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129" i="17" a="1"/>
  <c r="M129" i="17" s="1"/>
  <c r="M148" i="17" a="1"/>
  <c r="M148" i="17" s="1"/>
  <c r="M167" i="17" a="1"/>
  <c r="M167" i="17" s="1"/>
  <c r="M186" i="17" a="1"/>
  <c r="M186" i="17" s="1"/>
  <c r="M231" i="17" a="1"/>
  <c r="M231" i="17" s="1"/>
  <c r="M232" i="17" a="1"/>
  <c r="M232" i="17" s="1"/>
  <c r="M233" i="17" a="1"/>
  <c r="M233" i="17" s="1"/>
  <c r="M262" i="17" a="1"/>
  <c r="M262" i="17" s="1"/>
  <c r="M281" i="17" a="1"/>
  <c r="M281" i="17" s="1"/>
  <c r="M300" i="17" a="1"/>
  <c r="M300" i="17" s="1"/>
  <c r="M319" i="17" a="1"/>
  <c r="M319" i="17" s="1"/>
  <c r="M338" i="17" a="1"/>
  <c r="M338" i="17" s="1"/>
  <c r="M357" i="17" a="1"/>
  <c r="M357" i="17" s="1"/>
  <c r="M376" i="17" a="1"/>
  <c r="M376" i="17" s="1"/>
  <c r="M395" i="17" a="1"/>
  <c r="M395" i="17" s="1"/>
  <c r="M414" i="17" a="1"/>
  <c r="M414" i="17" s="1"/>
  <c r="M509" i="17" a="1"/>
  <c r="M509" i="17" s="1"/>
  <c r="M528" i="17" a="1"/>
  <c r="M528" i="17" s="1"/>
  <c r="M547" i="17" a="1"/>
  <c r="M547" i="17" s="1"/>
  <c r="M459" i="17" a="1"/>
  <c r="M459" i="17" s="1"/>
  <c r="M460" i="17" a="1"/>
  <c r="M460" i="17" s="1"/>
  <c r="M461" i="17" a="1"/>
  <c r="M461" i="17" s="1"/>
  <c r="M490" i="17" a="1"/>
  <c r="M490" i="17" s="1"/>
  <c r="M680" i="17" a="1"/>
  <c r="M680" i="17" s="1"/>
  <c r="M699" i="17" a="1"/>
  <c r="M699" i="17" s="1"/>
  <c r="M718" i="17" a="1"/>
  <c r="M718" i="17" s="1"/>
  <c r="M737" i="17" a="1"/>
  <c r="M737" i="17" s="1"/>
  <c r="M756" i="17" a="1"/>
  <c r="M756" i="17" s="1"/>
  <c r="M775" i="17" a="1"/>
  <c r="M775" i="17" s="1"/>
  <c r="M792" i="17" a="1"/>
  <c r="M792" i="17" s="1"/>
  <c r="M804" i="17" a="1"/>
  <c r="M804" i="17" s="1"/>
  <c r="M827" i="17" a="1"/>
  <c r="M827" i="17" s="1"/>
  <c r="M846" i="17" a="1"/>
  <c r="M846" i="17" s="1"/>
  <c r="M865" i="17" a="1"/>
  <c r="M865" i="17" s="1"/>
  <c r="M884" i="17" a="1"/>
  <c r="M884" i="17" s="1"/>
  <c r="M903" i="17" a="1"/>
  <c r="M903" i="17" s="1"/>
  <c r="M922" i="17" a="1"/>
  <c r="M922" i="17" s="1"/>
  <c r="M941" i="17" a="1"/>
  <c r="M941" i="17" s="1"/>
  <c r="M960" i="17" a="1"/>
  <c r="M960" i="17" s="1"/>
  <c r="M979" i="17" a="1"/>
  <c r="M979" i="17" s="1"/>
  <c r="M998" i="17" a="1"/>
  <c r="M998" i="17" s="1"/>
  <c r="M1017" i="17" a="1"/>
  <c r="M1017" i="17" s="1"/>
  <c r="M1036" i="17" a="1"/>
  <c r="M1036" i="17" s="1"/>
  <c r="M1055" i="17" a="1"/>
  <c r="M1055" i="17" s="1"/>
  <c r="M631" i="17" a="1"/>
  <c r="M631" i="17" s="1"/>
  <c r="M632" i="17" a="1"/>
  <c r="M632" i="17" s="1"/>
  <c r="M633" i="17" a="1"/>
  <c r="M633" i="17" s="1"/>
  <c r="M634" i="17" a="1"/>
  <c r="M634" i="17" s="1"/>
  <c r="M635" i="17" a="1"/>
  <c r="M635" i="17" s="1"/>
  <c r="M636" i="17" a="1"/>
  <c r="M636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130" i="17" a="1"/>
  <c r="M130" i="17" s="1"/>
  <c r="M149" i="17" a="1"/>
  <c r="M149" i="17" s="1"/>
  <c r="M168" i="17" a="1"/>
  <c r="M168" i="17" s="1"/>
  <c r="M187" i="17" a="1"/>
  <c r="M187" i="17" s="1"/>
  <c r="M234" i="17" a="1"/>
  <c r="M234" i="17" s="1"/>
  <c r="M235" i="17" a="1"/>
  <c r="M235" i="17" s="1"/>
  <c r="M236" i="17" a="1"/>
  <c r="M236" i="17" s="1"/>
  <c r="M263" i="17" a="1"/>
  <c r="M263" i="17" s="1"/>
  <c r="M282" i="17" a="1"/>
  <c r="M282" i="17" s="1"/>
  <c r="M301" i="17" a="1"/>
  <c r="M301" i="17" s="1"/>
  <c r="M320" i="17" a="1"/>
  <c r="M320" i="17" s="1"/>
  <c r="M339" i="17" a="1"/>
  <c r="M339" i="17" s="1"/>
  <c r="M358" i="17" a="1"/>
  <c r="M358" i="17" s="1"/>
  <c r="M377" i="17" a="1"/>
  <c r="M377" i="17" s="1"/>
  <c r="M396" i="17" a="1"/>
  <c r="M396" i="17" s="1"/>
  <c r="M415" i="17" a="1"/>
  <c r="M415" i="17" s="1"/>
  <c r="M510" i="17" a="1"/>
  <c r="M510" i="17" s="1"/>
  <c r="M529" i="17" a="1"/>
  <c r="M529" i="17" s="1"/>
  <c r="M548" i="17" a="1"/>
  <c r="M548" i="17" s="1"/>
  <c r="M462" i="17" a="1"/>
  <c r="M462" i="17" s="1"/>
  <c r="M463" i="17" a="1"/>
  <c r="M463" i="17" s="1"/>
  <c r="M464" i="17" a="1"/>
  <c r="M464" i="17" s="1"/>
  <c r="M491" i="17" a="1"/>
  <c r="M491" i="17" s="1"/>
  <c r="M681" i="17" a="1"/>
  <c r="M681" i="17" s="1"/>
  <c r="M700" i="17" a="1"/>
  <c r="M700" i="17" s="1"/>
  <c r="M719" i="17" a="1"/>
  <c r="M719" i="17" s="1"/>
  <c r="M738" i="17" a="1"/>
  <c r="M738" i="17" s="1"/>
  <c r="M757" i="17" a="1"/>
  <c r="M757" i="17" s="1"/>
  <c r="M776" i="17" a="1"/>
  <c r="M776" i="17" s="1"/>
  <c r="M793" i="17" a="1"/>
  <c r="M793" i="17" s="1"/>
  <c r="M805" i="17" a="1"/>
  <c r="M805" i="17" s="1"/>
  <c r="M828" i="17" a="1"/>
  <c r="M828" i="17" s="1"/>
  <c r="M847" i="17" a="1"/>
  <c r="M847" i="17" s="1"/>
  <c r="M866" i="17" a="1"/>
  <c r="M866" i="17" s="1"/>
  <c r="M885" i="17" a="1"/>
  <c r="M885" i="17" s="1"/>
  <c r="M904" i="17" a="1"/>
  <c r="M904" i="17"/>
  <c r="M923" i="17" a="1"/>
  <c r="M923" i="17" s="1"/>
  <c r="M942" i="17" a="1"/>
  <c r="M942" i="17" s="1"/>
  <c r="M961" i="17" a="1"/>
  <c r="M961" i="17" s="1"/>
  <c r="M980" i="17" a="1"/>
  <c r="M980" i="17" s="1"/>
  <c r="M999" i="17" a="1"/>
  <c r="M999" i="17" s="1"/>
  <c r="M1018" i="17" a="1"/>
  <c r="M1018" i="17" s="1"/>
  <c r="M1037" i="17" a="1"/>
  <c r="M1037" i="17" s="1"/>
  <c r="M1056" i="17" a="1"/>
  <c r="M1056" i="17" s="1"/>
  <c r="M637" i="17" a="1"/>
  <c r="M637" i="17" s="1"/>
  <c r="M638" i="17" a="1"/>
  <c r="M638" i="17" s="1"/>
  <c r="M639" i="17" a="1"/>
  <c r="M639" i="17" s="1"/>
  <c r="M640" i="17" a="1"/>
  <c r="M640" i="17" s="1"/>
  <c r="M641" i="17" a="1"/>
  <c r="M641" i="17" s="1"/>
  <c r="M642" i="17" a="1"/>
  <c r="M642" i="17"/>
  <c r="M92" i="17" a="1"/>
  <c r="M92" i="17" s="1"/>
  <c r="M93" i="17" a="1"/>
  <c r="M93" i="17"/>
  <c r="M94" i="17" a="1"/>
  <c r="M94" i="17" s="1"/>
  <c r="M95" i="17" a="1"/>
  <c r="M95" i="17" s="1"/>
  <c r="M96" i="17" a="1"/>
  <c r="M96" i="17" s="1"/>
  <c r="M97" i="17" a="1"/>
  <c r="M97" i="17"/>
  <c r="M131" i="17" a="1"/>
  <c r="M131" i="17" s="1"/>
  <c r="M150" i="17" a="1"/>
  <c r="M150" i="17" s="1"/>
  <c r="M169" i="17" a="1"/>
  <c r="M169" i="17" s="1"/>
  <c r="M188" i="17" a="1"/>
  <c r="M188" i="17" s="1"/>
  <c r="M237" i="17" a="1"/>
  <c r="M237" i="17" s="1"/>
  <c r="M238" i="17" a="1"/>
  <c r="M238" i="17" s="1"/>
  <c r="M239" i="17" a="1"/>
  <c r="M239" i="17" s="1"/>
  <c r="M264" i="17" a="1"/>
  <c r="M264" i="17" s="1"/>
  <c r="M283" i="17" a="1"/>
  <c r="M283" i="17" s="1"/>
  <c r="M302" i="17" a="1"/>
  <c r="M302" i="17" s="1"/>
  <c r="M321" i="17" a="1"/>
  <c r="M321" i="17" s="1"/>
  <c r="M340" i="17" a="1"/>
  <c r="M340" i="17" s="1"/>
  <c r="M359" i="17" a="1"/>
  <c r="M359" i="17" s="1"/>
  <c r="M378" i="17" a="1"/>
  <c r="M378" i="17" s="1"/>
  <c r="M397" i="17" a="1"/>
  <c r="M397" i="17" s="1"/>
  <c r="M416" i="17" a="1"/>
  <c r="M416" i="17" s="1"/>
  <c r="M511" i="17" a="1"/>
  <c r="M511" i="17" s="1"/>
  <c r="M530" i="17" a="1"/>
  <c r="M530" i="17" s="1"/>
  <c r="M549" i="17" a="1"/>
  <c r="M549" i="17" s="1"/>
  <c r="M465" i="17" a="1"/>
  <c r="M465" i="17"/>
  <c r="M466" i="17" a="1"/>
  <c r="M466" i="17" s="1"/>
  <c r="M467" i="17" a="1"/>
  <c r="M467" i="17" s="1"/>
  <c r="M492" i="17" a="1"/>
  <c r="M492" i="17" s="1"/>
  <c r="M682" i="17" a="1"/>
  <c r="M682" i="17" s="1"/>
  <c r="M701" i="17" a="1"/>
  <c r="M701" i="17" s="1"/>
  <c r="M720" i="17" a="1"/>
  <c r="M720" i="17" s="1"/>
  <c r="M739" i="17" a="1"/>
  <c r="M739" i="17" s="1"/>
  <c r="M758" i="17" a="1"/>
  <c r="M758" i="17"/>
  <c r="M777" i="17" a="1"/>
  <c r="M777" i="17" s="1"/>
  <c r="M806" i="17" a="1"/>
  <c r="M806" i="17" s="1"/>
  <c r="M812" i="17" a="1"/>
  <c r="M812" i="17" s="1"/>
  <c r="M829" i="17" a="1"/>
  <c r="M829" i="17" s="1"/>
  <c r="M848" i="17" a="1"/>
  <c r="M848" i="17" s="1"/>
  <c r="M867" i="17" a="1"/>
  <c r="M867" i="17" s="1"/>
  <c r="M886" i="17" a="1"/>
  <c r="M886" i="17" s="1"/>
  <c r="M905" i="17" a="1"/>
  <c r="M905" i="17" s="1"/>
  <c r="M924" i="17" a="1"/>
  <c r="M924" i="17" s="1"/>
  <c r="M943" i="17" a="1"/>
  <c r="M943" i="17" s="1"/>
  <c r="M962" i="17" a="1"/>
  <c r="M962" i="17" s="1"/>
  <c r="M981" i="17" a="1"/>
  <c r="M981" i="17" s="1"/>
  <c r="M1000" i="17" a="1"/>
  <c r="M1000" i="17" s="1"/>
  <c r="M1019" i="17" a="1"/>
  <c r="M1019" i="17" s="1"/>
  <c r="M1038" i="17" a="1"/>
  <c r="M1038" i="17" s="1"/>
  <c r="M1057" i="17" a="1"/>
  <c r="M1057" i="17" s="1"/>
  <c r="M643" i="17" a="1"/>
  <c r="M643" i="17" s="1"/>
  <c r="M644" i="17" a="1"/>
  <c r="M644" i="17" s="1"/>
  <c r="M645" i="17" a="1"/>
  <c r="M645" i="17" s="1"/>
  <c r="M646" i="17" a="1"/>
  <c r="M646" i="17" s="1"/>
  <c r="M647" i="17" a="1"/>
  <c r="M647" i="17" s="1"/>
  <c r="M648" i="17" a="1"/>
  <c r="M648" i="17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132" i="17" a="1"/>
  <c r="M132" i="17" s="1"/>
  <c r="M151" i="17" a="1"/>
  <c r="M151" i="17" s="1"/>
  <c r="M170" i="17" a="1"/>
  <c r="M170" i="17" s="1"/>
  <c r="M189" i="17" a="1"/>
  <c r="M189" i="17" s="1"/>
  <c r="M240" i="17" a="1"/>
  <c r="M240" i="17" s="1"/>
  <c r="M241" i="17" a="1"/>
  <c r="M241" i="17" s="1"/>
  <c r="M242" i="17" a="1"/>
  <c r="M242" i="17" s="1"/>
  <c r="M265" i="17" a="1"/>
  <c r="M265" i="17" s="1"/>
  <c r="M284" i="17" a="1"/>
  <c r="M284" i="17" s="1"/>
  <c r="M303" i="17" a="1"/>
  <c r="M303" i="17"/>
  <c r="M322" i="17" a="1"/>
  <c r="M322" i="17" s="1"/>
  <c r="M341" i="17" a="1"/>
  <c r="M341" i="17" s="1"/>
  <c r="M360" i="17" a="1"/>
  <c r="M360" i="17" s="1"/>
  <c r="M379" i="17" a="1"/>
  <c r="M379" i="17" s="1"/>
  <c r="M398" i="17" a="1"/>
  <c r="M398" i="17" s="1"/>
  <c r="M417" i="17" a="1"/>
  <c r="M417" i="17" s="1"/>
  <c r="M512" i="17" a="1"/>
  <c r="M512" i="17" s="1"/>
  <c r="M531" i="17" a="1"/>
  <c r="M531" i="17" s="1"/>
  <c r="M550" i="17" a="1"/>
  <c r="M550" i="17" s="1"/>
  <c r="M468" i="17" a="1"/>
  <c r="M468" i="17" s="1"/>
  <c r="M469" i="17" a="1"/>
  <c r="M469" i="17" s="1"/>
  <c r="M470" i="17" a="1"/>
  <c r="M470" i="17" s="1"/>
  <c r="M493" i="17" a="1"/>
  <c r="M493" i="17" s="1"/>
  <c r="M683" i="17" a="1"/>
  <c r="M683" i="17" s="1"/>
  <c r="M702" i="17" a="1"/>
  <c r="M702" i="17" s="1"/>
  <c r="M721" i="17" a="1"/>
  <c r="M721" i="17"/>
  <c r="M740" i="17" a="1"/>
  <c r="M740" i="17" s="1"/>
  <c r="M759" i="17" a="1"/>
  <c r="M759" i="17" s="1"/>
  <c r="M778" i="17" a="1"/>
  <c r="M778" i="17" s="1"/>
  <c r="M794" i="17" a="1"/>
  <c r="M794" i="17"/>
  <c r="M807" i="17" a="1"/>
  <c r="M807" i="17" s="1"/>
  <c r="M830" i="17" a="1"/>
  <c r="M830" i="17" s="1"/>
  <c r="M849" i="17" a="1"/>
  <c r="M849" i="17" s="1"/>
  <c r="M868" i="17" a="1"/>
  <c r="M868" i="17" s="1"/>
  <c r="M887" i="17" a="1"/>
  <c r="M887" i="17" s="1"/>
  <c r="M906" i="17" a="1"/>
  <c r="M906" i="17" s="1"/>
  <c r="M925" i="17" a="1"/>
  <c r="M925" i="17" s="1"/>
  <c r="M944" i="17" a="1"/>
  <c r="M944" i="17"/>
  <c r="M963" i="17" a="1"/>
  <c r="M963" i="17" s="1"/>
  <c r="M982" i="17" a="1"/>
  <c r="M982" i="17" s="1"/>
  <c r="M1001" i="17" a="1"/>
  <c r="M1001" i="17" s="1"/>
  <c r="M1020" i="17" a="1"/>
  <c r="M1020" i="17" s="1"/>
  <c r="M1039" i="17" a="1"/>
  <c r="M1039" i="17" s="1"/>
  <c r="M1058" i="17" a="1"/>
  <c r="M1058" i="17" s="1"/>
  <c r="M649" i="17" a="1"/>
  <c r="M649" i="17" s="1"/>
  <c r="M650" i="17" a="1"/>
  <c r="M650" i="17" s="1"/>
  <c r="M651" i="17" a="1"/>
  <c r="M651" i="17" s="1"/>
  <c r="M652" i="17" a="1"/>
  <c r="M652" i="17" s="1"/>
  <c r="M653" i="17" a="1"/>
  <c r="M653" i="17" s="1"/>
  <c r="M654" i="17" a="1"/>
  <c r="M654" i="17" s="1"/>
  <c r="M104" i="17" a="1"/>
  <c r="M104" i="17" s="1"/>
  <c r="M105" i="17" a="1"/>
  <c r="M105" i="17" s="1"/>
  <c r="M106" i="17" a="1"/>
  <c r="M106" i="17" s="1"/>
  <c r="M107" i="17" a="1"/>
  <c r="M107" i="17" s="1"/>
  <c r="M108" i="17" a="1"/>
  <c r="M108" i="17" s="1"/>
  <c r="M109" i="17" a="1"/>
  <c r="M109" i="17" s="1"/>
  <c r="M133" i="17" a="1"/>
  <c r="M133" i="17" s="1"/>
  <c r="M152" i="17" a="1"/>
  <c r="M152" i="17"/>
  <c r="M171" i="17" a="1"/>
  <c r="M171" i="17" s="1"/>
  <c r="M190" i="17" a="1"/>
  <c r="M190" i="17" s="1"/>
  <c r="M243" i="17" a="1"/>
  <c r="M243" i="17" s="1"/>
  <c r="M244" i="17" a="1"/>
  <c r="M244" i="17" s="1"/>
  <c r="M245" i="17" a="1"/>
  <c r="M245" i="17" s="1"/>
  <c r="M266" i="17" a="1"/>
  <c r="M266" i="17" s="1"/>
  <c r="M285" i="17" a="1"/>
  <c r="M285" i="17" s="1"/>
  <c r="M304" i="17" a="1"/>
  <c r="M304" i="17" s="1"/>
  <c r="M323" i="17" a="1"/>
  <c r="M323" i="17" s="1"/>
  <c r="M342" i="17" a="1"/>
  <c r="M342" i="17" s="1"/>
  <c r="M361" i="17" a="1"/>
  <c r="M361" i="17" s="1"/>
  <c r="M380" i="17" a="1"/>
  <c r="M380" i="17" s="1"/>
  <c r="M399" i="17" a="1"/>
  <c r="M399" i="17" s="1"/>
  <c r="M418" i="17" a="1"/>
  <c r="M418" i="17" s="1"/>
  <c r="M513" i="17" a="1"/>
  <c r="M513" i="17" s="1"/>
  <c r="M532" i="17" a="1"/>
  <c r="M532" i="17" s="1"/>
  <c r="M551" i="17" a="1"/>
  <c r="M551" i="17" s="1"/>
  <c r="M471" i="17" a="1"/>
  <c r="M471" i="17" s="1"/>
  <c r="M472" i="17" a="1"/>
  <c r="M472" i="17" s="1"/>
  <c r="M473" i="17" a="1"/>
  <c r="M473" i="17"/>
  <c r="M494" i="17" a="1"/>
  <c r="M494" i="17" s="1"/>
  <c r="M684" i="17" a="1"/>
  <c r="M684" i="17" s="1"/>
  <c r="M703" i="17" a="1"/>
  <c r="M703" i="17" s="1"/>
  <c r="M722" i="17" a="1"/>
  <c r="M722" i="17" s="1"/>
  <c r="M741" i="17" a="1"/>
  <c r="M741" i="17" s="1"/>
  <c r="M760" i="17" a="1"/>
  <c r="M760" i="17" s="1"/>
  <c r="M779" i="17" a="1"/>
  <c r="M779" i="17" s="1"/>
  <c r="M795" i="17" a="1"/>
  <c r="M795" i="17" s="1"/>
  <c r="M808" i="17" a="1"/>
  <c r="M808" i="17" s="1"/>
  <c r="M831" i="17" a="1"/>
  <c r="M831" i="17" s="1"/>
  <c r="M850" i="17" a="1"/>
  <c r="M850" i="17" s="1"/>
  <c r="M869" i="17" a="1"/>
  <c r="M869" i="17" s="1"/>
  <c r="M888" i="17" a="1"/>
  <c r="M888" i="17" s="1"/>
  <c r="M907" i="17" a="1"/>
  <c r="M907" i="17" s="1"/>
  <c r="M926" i="17" a="1"/>
  <c r="M926" i="17" s="1"/>
  <c r="M945" i="17" a="1"/>
  <c r="M945" i="17" s="1"/>
  <c r="M964" i="17" a="1"/>
  <c r="M964" i="17" s="1"/>
  <c r="M983" i="17" a="1"/>
  <c r="M983" i="17" s="1"/>
  <c r="M1002" i="17" a="1"/>
  <c r="M1002" i="17" s="1"/>
  <c r="M1021" i="17" a="1"/>
  <c r="M1021" i="17" s="1"/>
  <c r="M1040" i="17" a="1"/>
  <c r="M1040" i="17" s="1"/>
  <c r="M1059" i="17" a="1"/>
  <c r="M1059" i="17" s="1"/>
  <c r="M655" i="17" a="1"/>
  <c r="M655" i="17" s="1"/>
  <c r="M656" i="17" a="1"/>
  <c r="M656" i="17" s="1"/>
  <c r="M657" i="17" a="1"/>
  <c r="M657" i="17" s="1"/>
  <c r="M658" i="17" a="1"/>
  <c r="M658" i="17" s="1"/>
  <c r="M659" i="17" a="1"/>
  <c r="M659" i="17" s="1"/>
  <c r="M660" i="17" a="1"/>
  <c r="M660" i="17" s="1"/>
  <c r="M110" i="17" a="1"/>
  <c r="M110" i="17" s="1"/>
  <c r="M111" i="17" a="1"/>
  <c r="M111" i="17" s="1"/>
  <c r="M112" i="17" a="1"/>
  <c r="M112" i="17" s="1"/>
  <c r="M113" i="17" a="1"/>
  <c r="M113" i="17" s="1"/>
  <c r="M114" i="17" a="1"/>
  <c r="M114" i="17" s="1"/>
  <c r="M115" i="17" a="1"/>
  <c r="M115" i="17" s="1"/>
  <c r="M134" i="17" a="1"/>
  <c r="M134" i="17" s="1"/>
  <c r="M153" i="17" a="1"/>
  <c r="M153" i="17" s="1"/>
  <c r="M172" i="17" a="1"/>
  <c r="M172" i="17" s="1"/>
  <c r="M191" i="17" a="1"/>
  <c r="M191" i="17" s="1"/>
  <c r="M246" i="17" a="1"/>
  <c r="M246" i="17" s="1"/>
  <c r="M247" i="17" a="1"/>
  <c r="M247" i="17"/>
  <c r="M248" i="17" a="1"/>
  <c r="M248" i="17" s="1"/>
  <c r="M267" i="17" a="1"/>
  <c r="M267" i="17" s="1"/>
  <c r="M286" i="17" a="1"/>
  <c r="M286" i="17" s="1"/>
  <c r="M305" i="17" a="1"/>
  <c r="M305" i="17" s="1"/>
  <c r="M324" i="17" a="1"/>
  <c r="M324" i="17" s="1"/>
  <c r="M343" i="17" a="1"/>
  <c r="M343" i="17" s="1"/>
  <c r="M362" i="17" a="1"/>
  <c r="M362" i="17" s="1"/>
  <c r="M381" i="17" a="1"/>
  <c r="M381" i="17" s="1"/>
  <c r="M400" i="17" a="1"/>
  <c r="M400" i="17" s="1"/>
  <c r="M419" i="17" a="1"/>
  <c r="M419" i="17" s="1"/>
  <c r="M514" i="17" a="1"/>
  <c r="M514" i="17" s="1"/>
  <c r="M533" i="17" a="1"/>
  <c r="M533" i="17" s="1"/>
  <c r="M552" i="17" a="1"/>
  <c r="M552" i="17" s="1"/>
  <c r="M474" i="17" a="1"/>
  <c r="M474" i="17" s="1"/>
  <c r="M475" i="17" a="1"/>
  <c r="M475" i="17" s="1"/>
  <c r="M476" i="17" a="1"/>
  <c r="M476" i="17"/>
  <c r="M495" i="17" a="1"/>
  <c r="M495" i="17" s="1"/>
  <c r="M685" i="17" a="1"/>
  <c r="M685" i="17" s="1"/>
  <c r="M704" i="17" a="1"/>
  <c r="M704" i="17" s="1"/>
  <c r="M723" i="17" a="1"/>
  <c r="M723" i="17" s="1"/>
  <c r="M742" i="17" a="1"/>
  <c r="M742" i="17" s="1"/>
  <c r="M761" i="17" a="1"/>
  <c r="M761" i="17" s="1"/>
  <c r="M780" i="17" a="1"/>
  <c r="M780" i="17" s="1"/>
  <c r="M796" i="17" a="1"/>
  <c r="M796" i="17"/>
  <c r="M809" i="17" a="1"/>
  <c r="M809" i="17" s="1"/>
  <c r="M813" i="17" a="1"/>
  <c r="M813" i="17" s="1"/>
  <c r="M832" i="17" a="1"/>
  <c r="M832" i="17" s="1"/>
  <c r="M851" i="17" a="1"/>
  <c r="M851" i="17" s="1"/>
  <c r="M870" i="17" a="1"/>
  <c r="M870" i="17" s="1"/>
  <c r="M889" i="17" a="1"/>
  <c r="M889" i="17" s="1"/>
  <c r="M908" i="17" a="1"/>
  <c r="M908" i="17" s="1"/>
  <c r="M927" i="17" a="1"/>
  <c r="M927" i="17" s="1"/>
  <c r="M946" i="17" a="1"/>
  <c r="M946" i="17" s="1"/>
  <c r="M965" i="17" a="1"/>
  <c r="M965" i="17" s="1"/>
  <c r="M984" i="17" a="1"/>
  <c r="M984" i="17" s="1"/>
  <c r="M1003" i="17" a="1"/>
  <c r="M1003" i="17"/>
  <c r="M1022" i="17" a="1"/>
  <c r="M1022" i="17" s="1"/>
  <c r="M1041" i="17" a="1"/>
  <c r="M1041" i="17" s="1"/>
  <c r="M1060" i="17" a="1"/>
  <c r="M1060" i="17" s="1"/>
  <c r="M661" i="17" a="1"/>
  <c r="M661" i="17"/>
  <c r="M662" i="17" a="1"/>
  <c r="M662" i="17" s="1"/>
  <c r="M663" i="17" a="1"/>
  <c r="M663" i="17" s="1"/>
  <c r="M664" i="17" a="1"/>
  <c r="M664" i="17" s="1"/>
  <c r="M665" i="17" a="1"/>
  <c r="M665" i="17" s="1"/>
  <c r="M666" i="17" a="1"/>
  <c r="M666" i="17" s="1"/>
  <c r="N4" i="17" a="1"/>
  <c r="N4" i="17" s="1"/>
  <c r="N194" i="17" a="1"/>
  <c r="N194" i="17" s="1"/>
  <c r="N382" i="17" a="1"/>
  <c r="N382" i="17" s="1"/>
  <c r="N477" i="17" a="1"/>
  <c r="N477" i="17" s="1"/>
  <c r="N797" i="17" a="1"/>
  <c r="N797" i="17" s="1"/>
  <c r="N928" i="17" a="1"/>
  <c r="N928" i="17" s="1"/>
  <c r="N554" i="17" a="1"/>
  <c r="N554" i="17" s="1"/>
  <c r="N10" i="17" a="1"/>
  <c r="N10" i="17" s="1"/>
  <c r="N195" i="17" a="1"/>
  <c r="N195" i="17" s="1"/>
  <c r="N345" i="17" a="1"/>
  <c r="N345" i="17" s="1"/>
  <c r="N424" i="17" a="1"/>
  <c r="N424" i="17" s="1"/>
  <c r="N763" i="17" a="1"/>
  <c r="N763" i="17" s="1"/>
  <c r="N910" i="17" a="1"/>
  <c r="N910" i="17" s="1"/>
  <c r="N559" i="17" a="1"/>
  <c r="N559" i="17" s="1"/>
  <c r="N14" i="17" a="1"/>
  <c r="N14" i="17" s="1"/>
  <c r="N156" i="17" a="1"/>
  <c r="N156" i="17" s="1"/>
  <c r="N308" i="17" a="1"/>
  <c r="N308" i="17" s="1"/>
  <c r="N669" i="17" a="1"/>
  <c r="N669" i="17" s="1"/>
  <c r="N783" i="17" a="1"/>
  <c r="N783" i="17" s="1"/>
  <c r="N892" i="17" a="1"/>
  <c r="N892" i="17" s="1"/>
  <c r="N570" i="17" a="1"/>
  <c r="N570" i="17" s="1"/>
  <c r="N119" i="17" a="1"/>
  <c r="N119" i="17" s="1"/>
  <c r="N252" i="17" a="1"/>
  <c r="N252" i="17" s="1"/>
  <c r="N385" i="17" a="1"/>
  <c r="N385" i="17" s="1"/>
  <c r="N431" i="17" a="1"/>
  <c r="N431" i="17" s="1"/>
  <c r="N784" i="17" a="1"/>
  <c r="N784" i="17" s="1"/>
  <c r="N912" i="17" a="1"/>
  <c r="N912" i="17" s="1"/>
  <c r="N1007" i="17" a="1"/>
  <c r="N1007" i="17" s="1"/>
  <c r="N1045" i="17" a="1"/>
  <c r="N1045" i="17" s="1"/>
  <c r="N571" i="17" a="1"/>
  <c r="N571" i="17" s="1"/>
  <c r="N572" i="17" a="1"/>
  <c r="N572" i="17" s="1"/>
  <c r="N576" i="17" a="1"/>
  <c r="N576" i="17" s="1"/>
  <c r="N26" i="17" a="1"/>
  <c r="N26" i="17" s="1"/>
  <c r="N27" i="17" a="1"/>
  <c r="N27" i="17" s="1"/>
  <c r="N28" i="17" a="1"/>
  <c r="N28" i="17" s="1"/>
  <c r="N120" i="17" a="1"/>
  <c r="N120" i="17" s="1"/>
  <c r="N139" i="17" a="1"/>
  <c r="N139" i="17" s="1"/>
  <c r="N158" i="17" a="1"/>
  <c r="N158" i="17" s="1"/>
  <c r="N177" i="17" a="1"/>
  <c r="N177" i="17" s="1"/>
  <c r="N253" i="17" a="1"/>
  <c r="N253" i="17" s="1"/>
  <c r="N291" i="17" a="1"/>
  <c r="N291" i="17" s="1"/>
  <c r="N310" i="17" a="1"/>
  <c r="N310" i="17" s="1"/>
  <c r="N329" i="17" a="1"/>
  <c r="N329" i="17" s="1"/>
  <c r="N405" i="17" a="1"/>
  <c r="N405" i="17" s="1"/>
  <c r="N500" i="17" a="1"/>
  <c r="N500" i="17" s="1"/>
  <c r="N519" i="17" a="1"/>
  <c r="N519" i="17" s="1"/>
  <c r="N538" i="17" a="1"/>
  <c r="N538" i="17" s="1"/>
  <c r="N481" i="17" a="1"/>
  <c r="N481" i="17" s="1"/>
  <c r="N690" i="17" a="1"/>
  <c r="N690" i="17" s="1"/>
  <c r="N709" i="17" a="1"/>
  <c r="N709" i="17" s="1"/>
  <c r="N800" i="17" a="1"/>
  <c r="N800" i="17" s="1"/>
  <c r="N818" i="17" a="1"/>
  <c r="N818" i="17" s="1"/>
  <c r="N837" i="17" a="1"/>
  <c r="N837" i="17" s="1"/>
  <c r="N856" i="17" a="1"/>
  <c r="N856" i="17" s="1"/>
  <c r="N875" i="17" a="1"/>
  <c r="N875" i="17" s="1"/>
  <c r="N913" i="17" a="1"/>
  <c r="N913" i="17" s="1"/>
  <c r="N951" i="17" a="1"/>
  <c r="N951" i="17" s="1"/>
  <c r="N970" i="17" a="1"/>
  <c r="N970" i="17" s="1"/>
  <c r="N989" i="17" a="1"/>
  <c r="N989" i="17" s="1"/>
  <c r="N1008" i="17" a="1"/>
  <c r="N1008" i="17" s="1"/>
  <c r="N1046" i="17" a="1"/>
  <c r="N1046" i="17" s="1"/>
  <c r="N578" i="17" a="1"/>
  <c r="N578" i="17" s="1"/>
  <c r="N579" i="17" a="1"/>
  <c r="N579" i="17" s="1"/>
  <c r="N580" i="17" a="1"/>
  <c r="N580" i="17" s="1"/>
  <c r="N581" i="17" a="1"/>
  <c r="N581" i="17"/>
  <c r="N32" i="17" a="1"/>
  <c r="N32" i="17" s="1"/>
  <c r="N33" i="17" a="1"/>
  <c r="N33" i="17" s="1"/>
  <c r="N34" i="17" a="1"/>
  <c r="N34" i="17" s="1"/>
  <c r="N35" i="17" a="1"/>
  <c r="N35" i="17" s="1"/>
  <c r="N36" i="17" a="1"/>
  <c r="N36" i="17" s="1"/>
  <c r="N37" i="17" a="1"/>
  <c r="N37" i="17" s="1"/>
  <c r="N140" i="17" a="1"/>
  <c r="N140" i="17" s="1"/>
  <c r="N159" i="17" a="1"/>
  <c r="N159" i="17" s="1"/>
  <c r="N178" i="17" a="1"/>
  <c r="N178" i="17" s="1"/>
  <c r="N207" i="17" a="1"/>
  <c r="N207" i="17" s="1"/>
  <c r="N208" i="17" a="1"/>
  <c r="N208" i="17" s="1"/>
  <c r="N254" i="17" a="1"/>
  <c r="N254" i="17" s="1"/>
  <c r="N273" i="17" a="1"/>
  <c r="N273" i="17" s="1"/>
  <c r="N292" i="17" a="1"/>
  <c r="N292" i="17" s="1"/>
  <c r="N311" i="17" a="1"/>
  <c r="N311" i="17" s="1"/>
  <c r="N330" i="17" a="1"/>
  <c r="N330" i="17" s="1"/>
  <c r="N349" i="17" a="1"/>
  <c r="N349" i="17" s="1"/>
  <c r="N368" i="17" a="1"/>
  <c r="N368" i="17" s="1"/>
  <c r="N387" i="17" a="1"/>
  <c r="N387" i="17" s="1"/>
  <c r="N406" i="17" a="1"/>
  <c r="N406" i="17" s="1"/>
  <c r="N501" i="17" a="1"/>
  <c r="N501" i="17" s="1"/>
  <c r="N520" i="17" a="1"/>
  <c r="N520" i="17" s="1"/>
  <c r="N539" i="17" a="1"/>
  <c r="N539" i="17" s="1"/>
  <c r="N435" i="17" a="1"/>
  <c r="N435" i="17" s="1"/>
  <c r="N436" i="17" a="1"/>
  <c r="N436" i="17" s="1"/>
  <c r="N437" i="17" a="1"/>
  <c r="N437" i="17" s="1"/>
  <c r="N482" i="17" a="1"/>
  <c r="N482" i="17" s="1"/>
  <c r="N672" i="17" a="1"/>
  <c r="N672" i="17" s="1"/>
  <c r="N691" i="17" a="1"/>
  <c r="N691" i="17" s="1"/>
  <c r="N710" i="17" a="1"/>
  <c r="N710" i="17"/>
  <c r="N729" i="17" a="1"/>
  <c r="N729" i="17" s="1"/>
  <c r="N748" i="17" a="1"/>
  <c r="N748" i="17" s="1"/>
  <c r="N767" i="17" a="1"/>
  <c r="N767" i="17" s="1"/>
  <c r="N819" i="17" a="1"/>
  <c r="N819" i="17" s="1"/>
  <c r="N838" i="17" a="1"/>
  <c r="N838" i="17" s="1"/>
  <c r="N857" i="17" a="1"/>
  <c r="N857" i="17" s="1"/>
  <c r="N876" i="17" a="1"/>
  <c r="N876" i="17"/>
  <c r="N895" i="17" a="1"/>
  <c r="N895" i="17" s="1"/>
  <c r="N914" i="17" a="1"/>
  <c r="N914" i="17" s="1"/>
  <c r="N933" i="17" a="1"/>
  <c r="N933" i="17" s="1"/>
  <c r="N952" i="17" a="1"/>
  <c r="N952" i="17" s="1"/>
  <c r="N971" i="17" a="1"/>
  <c r="N971" i="17" s="1"/>
  <c r="N990" i="17" a="1"/>
  <c r="N990" i="17" s="1"/>
  <c r="N1009" i="17" a="1"/>
  <c r="N1009" i="17" s="1"/>
  <c r="N1028" i="17" a="1"/>
  <c r="N1028" i="17" s="1"/>
  <c r="N1047" i="17" a="1"/>
  <c r="N1047" i="17" s="1"/>
  <c r="N583" i="17" a="1"/>
  <c r="N583" i="17" s="1"/>
  <c r="N584" i="17" a="1"/>
  <c r="N584" i="17" s="1"/>
  <c r="N585" i="17" a="1"/>
  <c r="N585" i="17" s="1"/>
  <c r="N586" i="17" a="1"/>
  <c r="N586" i="17" s="1"/>
  <c r="N587" i="17" a="1"/>
  <c r="N587" i="17" s="1"/>
  <c r="N588" i="17" a="1"/>
  <c r="N588" i="17" s="1"/>
  <c r="N38" i="17" a="1"/>
  <c r="N38" i="17" s="1"/>
  <c r="N39" i="17" a="1"/>
  <c r="N39" i="17" s="1"/>
  <c r="N40" i="17" a="1"/>
  <c r="N40" i="17"/>
  <c r="N41" i="17" a="1"/>
  <c r="N41" i="17" s="1"/>
  <c r="N42" i="17" a="1"/>
  <c r="N42" i="17" s="1"/>
  <c r="N43" i="17" a="1"/>
  <c r="N43" i="17" s="1"/>
  <c r="N122" i="17" a="1"/>
  <c r="N122" i="17" s="1"/>
  <c r="N141" i="17" a="1"/>
  <c r="N141" i="17" s="1"/>
  <c r="N160" i="17" a="1"/>
  <c r="N160" i="17"/>
  <c r="N179" i="17" a="1"/>
  <c r="N179" i="17" s="1"/>
  <c r="N210" i="17" a="1"/>
  <c r="N210" i="17" s="1"/>
  <c r="N211" i="17" a="1"/>
  <c r="N211" i="17" s="1"/>
  <c r="N212" i="17" a="1"/>
  <c r="N212" i="17" s="1"/>
  <c r="N255" i="17" a="1"/>
  <c r="N255" i="17" s="1"/>
  <c r="N274" i="17" a="1"/>
  <c r="N274" i="17" s="1"/>
  <c r="N293" i="17" a="1"/>
  <c r="N293" i="17" s="1"/>
  <c r="N312" i="17" a="1"/>
  <c r="N312" i="17" s="1"/>
  <c r="N331" i="17" a="1"/>
  <c r="N331" i="17" s="1"/>
  <c r="N350" i="17" a="1"/>
  <c r="N350" i="17" s="1"/>
  <c r="N369" i="17" a="1"/>
  <c r="N369" i="17" s="1"/>
  <c r="N388" i="17" a="1"/>
  <c r="N388" i="17" s="1"/>
  <c r="N407" i="17" a="1"/>
  <c r="N407" i="17" s="1"/>
  <c r="N502" i="17" a="1"/>
  <c r="N502" i="17" s="1"/>
  <c r="N521" i="17" a="1"/>
  <c r="N521" i="17" s="1"/>
  <c r="N540" i="17" a="1"/>
  <c r="N540" i="17" s="1"/>
  <c r="N438" i="17" a="1"/>
  <c r="N438" i="17" s="1"/>
  <c r="N439" i="17" a="1"/>
  <c r="N439" i="17" s="1"/>
  <c r="N440" i="17" a="1"/>
  <c r="N440" i="17" s="1"/>
  <c r="N483" i="17" a="1"/>
  <c r="N483" i="17" s="1"/>
  <c r="N673" i="17" a="1"/>
  <c r="N673" i="17" s="1"/>
  <c r="N692" i="17" a="1"/>
  <c r="N692" i="17" s="1"/>
  <c r="N711" i="17" a="1"/>
  <c r="N711" i="17" s="1"/>
  <c r="N730" i="17" a="1"/>
  <c r="N730" i="17" s="1"/>
  <c r="N749" i="17" a="1"/>
  <c r="N749" i="17" s="1"/>
  <c r="N768" i="17" a="1"/>
  <c r="N768" i="17"/>
  <c r="N785" i="17" a="1"/>
  <c r="N785" i="17" s="1"/>
  <c r="N801" i="17" a="1"/>
  <c r="N801" i="17" s="1"/>
  <c r="N820" i="17" a="1"/>
  <c r="N820" i="17" s="1"/>
  <c r="N839" i="17" a="1"/>
  <c r="N839" i="17" s="1"/>
  <c r="N858" i="17" a="1"/>
  <c r="N858" i="17" s="1"/>
  <c r="N877" i="17" a="1"/>
  <c r="N877" i="17" s="1"/>
  <c r="N896" i="17" a="1"/>
  <c r="N896" i="17" s="1"/>
  <c r="N915" i="17" a="1"/>
  <c r="N915" i="17" s="1"/>
  <c r="N934" i="17" a="1"/>
  <c r="N934" i="17" s="1"/>
  <c r="N953" i="17" a="1"/>
  <c r="N953" i="17" s="1"/>
  <c r="N972" i="17" a="1"/>
  <c r="N972" i="17" s="1"/>
  <c r="N991" i="17" a="1"/>
  <c r="N991" i="17" s="1"/>
  <c r="N1010" i="17" a="1"/>
  <c r="N1010" i="17" s="1"/>
  <c r="N1029" i="17" a="1"/>
  <c r="N1029" i="17" s="1"/>
  <c r="N1048" i="17" a="1"/>
  <c r="N1048" i="17" s="1"/>
  <c r="N589" i="17" a="1"/>
  <c r="N589" i="17" s="1"/>
  <c r="N590" i="17" a="1"/>
  <c r="N590" i="17" s="1"/>
  <c r="N591" i="17" a="1"/>
  <c r="N591" i="17" s="1"/>
  <c r="N592" i="17" a="1"/>
  <c r="N592" i="17" s="1"/>
  <c r="N593" i="17" a="1"/>
  <c r="N593" i="17" s="1"/>
  <c r="N594" i="17" a="1"/>
  <c r="N594" i="17" s="1"/>
  <c r="N44" i="17" a="1"/>
  <c r="N44" i="17" s="1"/>
  <c r="N45" i="17" a="1"/>
  <c r="N45" i="17" s="1"/>
  <c r="N46" i="17" a="1"/>
  <c r="N46" i="17"/>
  <c r="N47" i="17" a="1"/>
  <c r="N47" i="17" s="1"/>
  <c r="N48" i="17" a="1"/>
  <c r="N48" i="17" s="1"/>
  <c r="N49" i="17" a="1"/>
  <c r="N49" i="17" s="1"/>
  <c r="N123" i="17" a="1"/>
  <c r="N123" i="17" s="1"/>
  <c r="N142" i="17" a="1"/>
  <c r="N142" i="17" s="1"/>
  <c r="N161" i="17" a="1"/>
  <c r="N161" i="17" s="1"/>
  <c r="N180" i="17" a="1"/>
  <c r="N180" i="17" s="1"/>
  <c r="N213" i="17" a="1"/>
  <c r="N213" i="17" s="1"/>
  <c r="N214" i="17" a="1"/>
  <c r="N214" i="17" s="1"/>
  <c r="N215" i="17" a="1"/>
  <c r="N215" i="17" s="1"/>
  <c r="N256" i="17" a="1"/>
  <c r="N256" i="17" s="1"/>
  <c r="N275" i="17" a="1"/>
  <c r="N275" i="17" s="1"/>
  <c r="N294" i="17" a="1"/>
  <c r="N294" i="17" s="1"/>
  <c r="N313" i="17" a="1"/>
  <c r="N313" i="17"/>
  <c r="N332" i="17" a="1"/>
  <c r="N332" i="17" s="1"/>
  <c r="N351" i="17" a="1"/>
  <c r="N351" i="17" s="1"/>
  <c r="N370" i="17" a="1"/>
  <c r="N370" i="17" s="1"/>
  <c r="N389" i="17" a="1"/>
  <c r="N389" i="17" s="1"/>
  <c r="N408" i="17" a="1"/>
  <c r="N408" i="17" s="1"/>
  <c r="N503" i="17" a="1"/>
  <c r="N503" i="17" s="1"/>
  <c r="N522" i="17" a="1"/>
  <c r="N522" i="17" s="1"/>
  <c r="N541" i="17" a="1"/>
  <c r="N541" i="17" s="1"/>
  <c r="N441" i="17" a="1"/>
  <c r="N441" i="17" s="1"/>
  <c r="N442" i="17" a="1"/>
  <c r="N442" i="17" s="1"/>
  <c r="N443" i="17" a="1"/>
  <c r="N443" i="17" s="1"/>
  <c r="N484" i="17" a="1"/>
  <c r="N484" i="17" s="1"/>
  <c r="N674" i="17" a="1"/>
  <c r="N674" i="17" s="1"/>
  <c r="N693" i="17" a="1"/>
  <c r="N693" i="17" s="1"/>
  <c r="N712" i="17" a="1"/>
  <c r="N712" i="17" s="1"/>
  <c r="N731" i="17" a="1"/>
  <c r="N731" i="17" s="1"/>
  <c r="N750" i="17" a="1"/>
  <c r="N750" i="17" s="1"/>
  <c r="N769" i="17" a="1"/>
  <c r="N769" i="17"/>
  <c r="N786" i="17" a="1"/>
  <c r="N786" i="17" s="1"/>
  <c r="N802" i="17" a="1"/>
  <c r="N802" i="17" s="1"/>
  <c r="N821" i="17" a="1"/>
  <c r="N821" i="17" s="1"/>
  <c r="N840" i="17" a="1"/>
  <c r="N840" i="17" s="1"/>
  <c r="N859" i="17" a="1"/>
  <c r="N859" i="17" s="1"/>
  <c r="N878" i="17" a="1"/>
  <c r="N878" i="17" s="1"/>
  <c r="N897" i="17" a="1"/>
  <c r="N897" i="17" s="1"/>
  <c r="N916" i="17" a="1"/>
  <c r="N916" i="17"/>
  <c r="N935" i="17" a="1"/>
  <c r="N935" i="17" s="1"/>
  <c r="N954" i="17" a="1"/>
  <c r="N954" i="17" s="1"/>
  <c r="N973" i="17" a="1"/>
  <c r="N973" i="17" s="1"/>
  <c r="N992" i="17" a="1"/>
  <c r="N992" i="17" s="1"/>
  <c r="N1011" i="17" a="1"/>
  <c r="N1011" i="17" s="1"/>
  <c r="N1030" i="17" a="1"/>
  <c r="N1030" i="17" s="1"/>
  <c r="N1049" i="17" a="1"/>
  <c r="N1049" i="17" s="1"/>
  <c r="N595" i="17" a="1"/>
  <c r="N595" i="17" s="1"/>
  <c r="N596" i="17" a="1"/>
  <c r="N596" i="17" s="1"/>
  <c r="N597" i="17" a="1"/>
  <c r="N597" i="17" s="1"/>
  <c r="N598" i="17" a="1"/>
  <c r="N598" i="17" s="1"/>
  <c r="N599" i="17" a="1"/>
  <c r="N599" i="17" s="1"/>
  <c r="N600" i="17" a="1"/>
  <c r="N600" i="17" s="1"/>
  <c r="N50" i="17" a="1"/>
  <c r="N50" i="17" s="1"/>
  <c r="N51" i="17" a="1"/>
  <c r="N51" i="17" s="1"/>
  <c r="N52" i="17" a="1"/>
  <c r="N52" i="17" s="1"/>
  <c r="N53" i="17" a="1"/>
  <c r="N53" i="17" s="1"/>
  <c r="N54" i="17" a="1"/>
  <c r="N54" i="17" s="1"/>
  <c r="N55" i="17" a="1"/>
  <c r="N55" i="17" s="1"/>
  <c r="N124" i="17" a="1"/>
  <c r="N124" i="17" s="1"/>
  <c r="N143" i="17" a="1"/>
  <c r="N143" i="17" s="1"/>
  <c r="N162" i="17" a="1"/>
  <c r="N162" i="17" s="1"/>
  <c r="N181" i="17" a="1"/>
  <c r="N181" i="17" s="1"/>
  <c r="N216" i="17" a="1"/>
  <c r="N216" i="17" s="1"/>
  <c r="N217" i="17" a="1"/>
  <c r="N217" i="17" s="1"/>
  <c r="N218" i="17" a="1"/>
  <c r="N218" i="17" s="1"/>
  <c r="N257" i="17" a="1"/>
  <c r="N257" i="17" s="1"/>
  <c r="N276" i="17" a="1"/>
  <c r="N276" i="17" s="1"/>
  <c r="N295" i="17" a="1"/>
  <c r="N295" i="17" s="1"/>
  <c r="N314" i="17" a="1"/>
  <c r="N314" i="17" s="1"/>
  <c r="N333" i="17" a="1"/>
  <c r="N333" i="17" s="1"/>
  <c r="N352" i="17" a="1"/>
  <c r="N352" i="17" s="1"/>
  <c r="N371" i="17" a="1"/>
  <c r="N371" i="17" s="1"/>
  <c r="N390" i="17" a="1"/>
  <c r="N390" i="17" s="1"/>
  <c r="N409" i="17" a="1"/>
  <c r="N409" i="17" s="1"/>
  <c r="N504" i="17" a="1"/>
  <c r="N504" i="17" s="1"/>
  <c r="N523" i="17" a="1"/>
  <c r="N523" i="17" s="1"/>
  <c r="N542" i="17" a="1"/>
  <c r="N542" i="17" s="1"/>
  <c r="N444" i="17" a="1"/>
  <c r="N444" i="17" s="1"/>
  <c r="N445" i="17" a="1"/>
  <c r="N445" i="17" s="1"/>
  <c r="N446" i="17" a="1"/>
  <c r="N446" i="17" s="1"/>
  <c r="N485" i="17" a="1"/>
  <c r="N485" i="17" s="1"/>
  <c r="N675" i="17" a="1"/>
  <c r="N675" i="17" s="1"/>
  <c r="N694" i="17" a="1"/>
  <c r="N694" i="17" s="1"/>
  <c r="N713" i="17" a="1"/>
  <c r="N713" i="17" s="1"/>
  <c r="N732" i="17" a="1"/>
  <c r="N732" i="17" s="1"/>
  <c r="N751" i="17" a="1"/>
  <c r="N751" i="17" s="1"/>
  <c r="N770" i="17" a="1"/>
  <c r="N770" i="17" s="1"/>
  <c r="N787" i="17" a="1"/>
  <c r="N787" i="17" s="1"/>
  <c r="N822" i="17" a="1"/>
  <c r="N822" i="17" s="1"/>
  <c r="N841" i="17" a="1"/>
  <c r="N841" i="17" s="1"/>
  <c r="N860" i="17" a="1"/>
  <c r="N860" i="17" s="1"/>
  <c r="N879" i="17" a="1"/>
  <c r="N879" i="17" s="1"/>
  <c r="N898" i="17" a="1"/>
  <c r="N898" i="17" s="1"/>
  <c r="N917" i="17" a="1"/>
  <c r="N917" i="17" s="1"/>
  <c r="N936" i="17" a="1"/>
  <c r="N936" i="17" s="1"/>
  <c r="N955" i="17" a="1"/>
  <c r="N955" i="17" s="1"/>
  <c r="N974" i="17" a="1"/>
  <c r="N974" i="17" s="1"/>
  <c r="N993" i="17" a="1"/>
  <c r="N993" i="17" s="1"/>
  <c r="N1012" i="17" a="1"/>
  <c r="N1012" i="17" s="1"/>
  <c r="N1031" i="17" a="1"/>
  <c r="N1031" i="17" s="1"/>
  <c r="N1050" i="17" a="1"/>
  <c r="N1050" i="17" s="1"/>
  <c r="N601" i="17" a="1"/>
  <c r="N601" i="17" s="1"/>
  <c r="N602" i="17" a="1"/>
  <c r="N602" i="17" s="1"/>
  <c r="N603" i="17" a="1"/>
  <c r="N603" i="17" s="1"/>
  <c r="N604" i="17" a="1"/>
  <c r="N604" i="17" s="1"/>
  <c r="N605" i="17" a="1"/>
  <c r="N605" i="17" s="1"/>
  <c r="N606" i="17" a="1"/>
  <c r="N606" i="17"/>
  <c r="N56" i="17" a="1"/>
  <c r="N56" i="17" s="1"/>
  <c r="N57" i="17" a="1"/>
  <c r="N57" i="17" s="1"/>
  <c r="N58" i="17" a="1"/>
  <c r="N58" i="17" s="1"/>
  <c r="N59" i="17" a="1"/>
  <c r="N59" i="17" s="1"/>
  <c r="N60" i="17" a="1"/>
  <c r="N60" i="17" s="1"/>
  <c r="N61" i="17" a="1"/>
  <c r="N61" i="17" s="1"/>
  <c r="N125" i="17" a="1"/>
  <c r="N125" i="17" s="1"/>
  <c r="N144" i="17" a="1"/>
  <c r="N144" i="17" s="1"/>
  <c r="N163" i="17" a="1"/>
  <c r="N163" i="17" s="1"/>
  <c r="N182" i="17" a="1"/>
  <c r="N182" i="17" s="1"/>
  <c r="N219" i="17" a="1"/>
  <c r="N219" i="17" s="1"/>
  <c r="N220" i="17" a="1"/>
  <c r="N220" i="17" s="1"/>
  <c r="N221" i="17" a="1"/>
  <c r="N221" i="17" s="1"/>
  <c r="N258" i="17" a="1"/>
  <c r="N258" i="17" s="1"/>
  <c r="N277" i="17" a="1"/>
  <c r="N277" i="17" s="1"/>
  <c r="N296" i="17" a="1"/>
  <c r="N296" i="17" s="1"/>
  <c r="N315" i="17" a="1"/>
  <c r="N315" i="17" s="1"/>
  <c r="N334" i="17" a="1"/>
  <c r="N334" i="17" s="1"/>
  <c r="N353" i="17" a="1"/>
  <c r="N353" i="17" s="1"/>
  <c r="N372" i="17" a="1"/>
  <c r="N372" i="17" s="1"/>
  <c r="N391" i="17" a="1"/>
  <c r="N391" i="17" s="1"/>
  <c r="N410" i="17" a="1"/>
  <c r="N410" i="17" s="1"/>
  <c r="N505" i="17" a="1"/>
  <c r="N505" i="17" s="1"/>
  <c r="N524" i="17" a="1"/>
  <c r="N524" i="17" s="1"/>
  <c r="N543" i="17" a="1"/>
  <c r="N543" i="17" s="1"/>
  <c r="N447" i="17" a="1"/>
  <c r="N447" i="17" s="1"/>
  <c r="N448" i="17" a="1"/>
  <c r="N448" i="17" s="1"/>
  <c r="N449" i="17" a="1"/>
  <c r="N449" i="17" s="1"/>
  <c r="N486" i="17" a="1"/>
  <c r="N486" i="17" s="1"/>
  <c r="N676" i="17" a="1"/>
  <c r="N676" i="17" s="1"/>
  <c r="N695" i="17" a="1"/>
  <c r="N695" i="17" s="1"/>
  <c r="N714" i="17" a="1"/>
  <c r="N714" i="17"/>
  <c r="N733" i="17" a="1"/>
  <c r="N733" i="17" s="1"/>
  <c r="N752" i="17" a="1"/>
  <c r="N752" i="17" s="1"/>
  <c r="N771" i="17" a="1"/>
  <c r="N771" i="17" s="1"/>
  <c r="N788" i="17" a="1"/>
  <c r="N788" i="17" s="1"/>
  <c r="N803" i="17" a="1"/>
  <c r="N803" i="17" s="1"/>
  <c r="N811" i="17" a="1"/>
  <c r="N811" i="17" s="1"/>
  <c r="N823" i="17" a="1"/>
  <c r="N823" i="17" s="1"/>
  <c r="N842" i="17" a="1"/>
  <c r="N842" i="17" s="1"/>
  <c r="N861" i="17" a="1"/>
  <c r="N861" i="17" s="1"/>
  <c r="N880" i="17" a="1"/>
  <c r="N880" i="17" s="1"/>
  <c r="N899" i="17" a="1"/>
  <c r="N899" i="17" s="1"/>
  <c r="N918" i="17" a="1"/>
  <c r="N918" i="17" s="1"/>
  <c r="N937" i="17" a="1"/>
  <c r="N937" i="17" s="1"/>
  <c r="N956" i="17" a="1"/>
  <c r="N956" i="17" s="1"/>
  <c r="N975" i="17" a="1"/>
  <c r="N975" i="17" s="1"/>
  <c r="N994" i="17" a="1"/>
  <c r="N994" i="17" s="1"/>
  <c r="N1013" i="17" a="1"/>
  <c r="N1013" i="17" s="1"/>
  <c r="N1032" i="17" a="1"/>
  <c r="N1032" i="17" s="1"/>
  <c r="N1051" i="17" a="1"/>
  <c r="N1051" i="17" s="1"/>
  <c r="N607" i="17" a="1"/>
  <c r="N607" i="17" s="1"/>
  <c r="N608" i="17" a="1"/>
  <c r="N608" i="17" s="1"/>
  <c r="N609" i="17" a="1"/>
  <c r="N609" i="17" s="1"/>
  <c r="N610" i="17" a="1"/>
  <c r="N610" i="17" s="1"/>
  <c r="N611" i="17" a="1"/>
  <c r="N611" i="17" s="1"/>
  <c r="N612" i="17" a="1"/>
  <c r="N612" i="17" s="1"/>
  <c r="N62" i="17" a="1"/>
  <c r="N62" i="17" s="1"/>
  <c r="N63" i="17" a="1"/>
  <c r="N63" i="17" s="1"/>
  <c r="N64" i="17" a="1"/>
  <c r="N64" i="17" s="1"/>
  <c r="N65" i="17" a="1"/>
  <c r="N65" i="17" s="1"/>
  <c r="N66" i="17" a="1"/>
  <c r="N66" i="17" s="1"/>
  <c r="N67" i="17" a="1"/>
  <c r="N67" i="17" s="1"/>
  <c r="N126" i="17" a="1"/>
  <c r="N126" i="17" s="1"/>
  <c r="N145" i="17" a="1"/>
  <c r="N145" i="17" s="1"/>
  <c r="N164" i="17" a="1"/>
  <c r="N164" i="17" s="1"/>
  <c r="N183" i="17" a="1"/>
  <c r="N183" i="17" s="1"/>
  <c r="N222" i="17" a="1"/>
  <c r="N222" i="17" s="1"/>
  <c r="N223" i="17" a="1"/>
  <c r="N223" i="17" s="1"/>
  <c r="N224" i="17" a="1"/>
  <c r="N224" i="17" s="1"/>
  <c r="N259" i="17" a="1"/>
  <c r="N259" i="17" s="1"/>
  <c r="N278" i="17" a="1"/>
  <c r="N278" i="17" s="1"/>
  <c r="N297" i="17" a="1"/>
  <c r="N297" i="17" s="1"/>
  <c r="N316" i="17" a="1"/>
  <c r="N316" i="17" s="1"/>
  <c r="N335" i="17" a="1"/>
  <c r="N335" i="17" s="1"/>
  <c r="N354" i="17" a="1"/>
  <c r="N354" i="17" s="1"/>
  <c r="N373" i="17" a="1"/>
  <c r="N373" i="17" s="1"/>
  <c r="N392" i="17" a="1"/>
  <c r="N392" i="17" s="1"/>
  <c r="N411" i="17" a="1"/>
  <c r="N411" i="17" s="1"/>
  <c r="N506" i="17" a="1"/>
  <c r="N506" i="17" s="1"/>
  <c r="N525" i="17" a="1"/>
  <c r="N525" i="17" s="1"/>
  <c r="N544" i="17" a="1"/>
  <c r="N544" i="17" s="1"/>
  <c r="N450" i="17" a="1"/>
  <c r="N450" i="17" s="1"/>
  <c r="N451" i="17" a="1"/>
  <c r="N451" i="17" s="1"/>
  <c r="N452" i="17" a="1"/>
  <c r="N452" i="17" s="1"/>
  <c r="N487" i="17" a="1"/>
  <c r="N487" i="17" s="1"/>
  <c r="N677" i="17" a="1"/>
  <c r="N677" i="17" s="1"/>
  <c r="N696" i="17" a="1"/>
  <c r="N696" i="17" s="1"/>
  <c r="N715" i="17" a="1"/>
  <c r="N715" i="17" s="1"/>
  <c r="N734" i="17" a="1"/>
  <c r="N734" i="17" s="1"/>
  <c r="N753" i="17" a="1"/>
  <c r="N753" i="17" s="1"/>
  <c r="N772" i="17" a="1"/>
  <c r="N772" i="17" s="1"/>
  <c r="N789" i="17" a="1"/>
  <c r="N789" i="17" s="1"/>
  <c r="N824" i="17" a="1"/>
  <c r="N824" i="17" s="1"/>
  <c r="N843" i="17" a="1"/>
  <c r="N843" i="17" s="1"/>
  <c r="N862" i="17" a="1"/>
  <c r="N862" i="17" s="1"/>
  <c r="N881" i="17" a="1"/>
  <c r="N881" i="17" s="1"/>
  <c r="N900" i="17" a="1"/>
  <c r="N900" i="17" s="1"/>
  <c r="N919" i="17" a="1"/>
  <c r="N919" i="17" s="1"/>
  <c r="N938" i="17" a="1"/>
  <c r="N938" i="17" s="1"/>
  <c r="N957" i="17" a="1"/>
  <c r="N957" i="17" s="1"/>
  <c r="N976" i="17" a="1"/>
  <c r="N976" i="17" s="1"/>
  <c r="N995" i="17" a="1"/>
  <c r="N995" i="17" s="1"/>
  <c r="N1014" i="17" a="1"/>
  <c r="N1014" i="17" s="1"/>
  <c r="N1033" i="17" a="1"/>
  <c r="N1033" i="17" s="1"/>
  <c r="N1052" i="17" a="1"/>
  <c r="N1052" i="17" s="1"/>
  <c r="N613" i="17" a="1"/>
  <c r="N613" i="17" s="1"/>
  <c r="N614" i="17" a="1"/>
  <c r="N614" i="17" s="1"/>
  <c r="N615" i="17" a="1"/>
  <c r="N615" i="17" s="1"/>
  <c r="N616" i="17" a="1"/>
  <c r="N616" i="17" s="1"/>
  <c r="N617" i="17" a="1"/>
  <c r="N617" i="17" s="1"/>
  <c r="N618" i="17" a="1"/>
  <c r="N618" i="17" s="1"/>
  <c r="N68" i="17" a="1"/>
  <c r="N68" i="17" s="1"/>
  <c r="N69" i="17" a="1"/>
  <c r="N69" i="17" s="1"/>
  <c r="N70" i="17" a="1"/>
  <c r="N70" i="17" s="1"/>
  <c r="N71" i="17" a="1"/>
  <c r="N71" i="17" s="1"/>
  <c r="N72" i="17" a="1"/>
  <c r="N72" i="17" s="1"/>
  <c r="N73" i="17" a="1"/>
  <c r="N73" i="17" s="1"/>
  <c r="N127" i="17" a="1"/>
  <c r="N127" i="17" s="1"/>
  <c r="N146" i="17" a="1"/>
  <c r="N146" i="17" s="1"/>
  <c r="N165" i="17" a="1"/>
  <c r="N165" i="17" s="1"/>
  <c r="N184" i="17" a="1"/>
  <c r="N184" i="17" s="1"/>
  <c r="N225" i="17" a="1"/>
  <c r="N225" i="17" s="1"/>
  <c r="N226" i="17" a="1"/>
  <c r="N226" i="17" s="1"/>
  <c r="N227" i="17" a="1"/>
  <c r="N227" i="17" s="1"/>
  <c r="N260" i="17" a="1"/>
  <c r="N260" i="17"/>
  <c r="N279" i="17" a="1"/>
  <c r="N279" i="17" s="1"/>
  <c r="N298" i="17" a="1"/>
  <c r="N298" i="17" s="1"/>
  <c r="N317" i="17" a="1"/>
  <c r="N317" i="17" s="1"/>
  <c r="N336" i="17" a="1"/>
  <c r="N336" i="17" s="1"/>
  <c r="N355" i="17" a="1"/>
  <c r="N355" i="17" s="1"/>
  <c r="N374" i="17" a="1"/>
  <c r="N374" i="17" s="1"/>
  <c r="N393" i="17" a="1"/>
  <c r="N393" i="17" s="1"/>
  <c r="N412" i="17" a="1"/>
  <c r="N412" i="17" s="1"/>
  <c r="N507" i="17" a="1"/>
  <c r="N507" i="17" s="1"/>
  <c r="N526" i="17" a="1"/>
  <c r="N526" i="17" s="1"/>
  <c r="N545" i="17" a="1"/>
  <c r="N545" i="17" s="1"/>
  <c r="N453" i="17" a="1"/>
  <c r="N453" i="17" s="1"/>
  <c r="N454" i="17" a="1"/>
  <c r="N454" i="17" s="1"/>
  <c r="N455" i="17" a="1"/>
  <c r="N455" i="17" s="1"/>
  <c r="N488" i="17" a="1"/>
  <c r="N488" i="17" s="1"/>
  <c r="N678" i="17" a="1"/>
  <c r="N678" i="17" s="1"/>
  <c r="N697" i="17" a="1"/>
  <c r="N697" i="17" s="1"/>
  <c r="N716" i="17" a="1"/>
  <c r="N716" i="17" s="1"/>
  <c r="N735" i="17" a="1"/>
  <c r="N735" i="17" s="1"/>
  <c r="N754" i="17" a="1"/>
  <c r="N754" i="17" s="1"/>
  <c r="N773" i="17" a="1"/>
  <c r="N773" i="17" s="1"/>
  <c r="N790" i="17" a="1"/>
  <c r="N790" i="17" s="1"/>
  <c r="N825" i="17" a="1"/>
  <c r="N825" i="17" s="1"/>
  <c r="N844" i="17" a="1"/>
  <c r="N844" i="17" s="1"/>
  <c r="N863" i="17" a="1"/>
  <c r="N863" i="17" s="1"/>
  <c r="N882" i="17" a="1"/>
  <c r="N882" i="17" s="1"/>
  <c r="N901" i="17" a="1"/>
  <c r="N901" i="17" s="1"/>
  <c r="N920" i="17" a="1"/>
  <c r="N920" i="17" s="1"/>
  <c r="N939" i="17" a="1"/>
  <c r="N939" i="17" s="1"/>
  <c r="N958" i="17" a="1"/>
  <c r="N958" i="17" s="1"/>
  <c r="N977" i="17" a="1"/>
  <c r="N977" i="17" s="1"/>
  <c r="N996" i="17" a="1"/>
  <c r="N996" i="17" s="1"/>
  <c r="N1015" i="17" a="1"/>
  <c r="N1015" i="17" s="1"/>
  <c r="N1034" i="17" a="1"/>
  <c r="N1034" i="17" s="1"/>
  <c r="N1053" i="17" a="1"/>
  <c r="N1053" i="17" s="1"/>
  <c r="N619" i="17" a="1"/>
  <c r="N619" i="17" s="1"/>
  <c r="N620" i="17" a="1"/>
  <c r="N620" i="17" s="1"/>
  <c r="N621" i="17" a="1"/>
  <c r="N621" i="17" s="1"/>
  <c r="N622" i="17" a="1"/>
  <c r="N622" i="17" s="1"/>
  <c r="N623" i="17" a="1"/>
  <c r="N623" i="17" s="1"/>
  <c r="N624" i="17" a="1"/>
  <c r="N624" i="17" s="1"/>
  <c r="N74" i="17" a="1"/>
  <c r="N74" i="17" s="1"/>
  <c r="N75" i="17" a="1"/>
  <c r="N75" i="17" s="1"/>
  <c r="N76" i="17" a="1"/>
  <c r="N76" i="17" s="1"/>
  <c r="N77" i="17" a="1"/>
  <c r="N77" i="17" s="1"/>
  <c r="N78" i="17" a="1"/>
  <c r="N78" i="17" s="1"/>
  <c r="N79" i="17" a="1"/>
  <c r="N79" i="17" s="1"/>
  <c r="N128" i="17" a="1"/>
  <c r="N128" i="17" s="1"/>
  <c r="N147" i="17" a="1"/>
  <c r="N147" i="17" s="1"/>
  <c r="N166" i="17" a="1"/>
  <c r="N166" i="17"/>
  <c r="N185" i="17" a="1"/>
  <c r="N185" i="17" s="1"/>
  <c r="N228" i="17" a="1"/>
  <c r="N228" i="17" s="1"/>
  <c r="N229" i="17" a="1"/>
  <c r="N229" i="17" s="1"/>
  <c r="N230" i="17" a="1"/>
  <c r="N230" i="17" s="1"/>
  <c r="N261" i="17" a="1"/>
  <c r="N261" i="17" s="1"/>
  <c r="N280" i="17" a="1"/>
  <c r="N280" i="17" s="1"/>
  <c r="N299" i="17" a="1"/>
  <c r="N299" i="17" s="1"/>
  <c r="N318" i="17" a="1"/>
  <c r="N318" i="17" s="1"/>
  <c r="N337" i="17" a="1"/>
  <c r="N337" i="17" s="1"/>
  <c r="N356" i="17" a="1"/>
  <c r="N356" i="17" s="1"/>
  <c r="N375" i="17" a="1"/>
  <c r="N375" i="17" s="1"/>
  <c r="N394" i="17" a="1"/>
  <c r="N394" i="17" s="1"/>
  <c r="N413" i="17" a="1"/>
  <c r="N413" i="17" s="1"/>
  <c r="N508" i="17" a="1"/>
  <c r="N508" i="17" s="1"/>
  <c r="N527" i="17" a="1"/>
  <c r="N527" i="17" s="1"/>
  <c r="N546" i="17" a="1"/>
  <c r="N546" i="17" s="1"/>
  <c r="N456" i="17" a="1"/>
  <c r="N456" i="17" s="1"/>
  <c r="N457" i="17" a="1"/>
  <c r="N457" i="17" s="1"/>
  <c r="N458" i="17" a="1"/>
  <c r="N458" i="17" s="1"/>
  <c r="N489" i="17" a="1"/>
  <c r="N489" i="17" s="1"/>
  <c r="N679" i="17" a="1"/>
  <c r="N679" i="17" s="1"/>
  <c r="N698" i="17" a="1"/>
  <c r="N698" i="17" s="1"/>
  <c r="N717" i="17" a="1"/>
  <c r="N717" i="17" s="1"/>
  <c r="N736" i="17" a="1"/>
  <c r="N736" i="17" s="1"/>
  <c r="N755" i="17" a="1"/>
  <c r="N755" i="17" s="1"/>
  <c r="N774" i="17" a="1"/>
  <c r="N774" i="17"/>
  <c r="N791" i="17" a="1"/>
  <c r="N791" i="17" s="1"/>
  <c r="N826" i="17" a="1"/>
  <c r="N826" i="17" s="1"/>
  <c r="N845" i="17" a="1"/>
  <c r="N845" i="17" s="1"/>
  <c r="N864" i="17" a="1"/>
  <c r="N864" i="17" s="1"/>
  <c r="N883" i="17" a="1"/>
  <c r="N883" i="17" s="1"/>
  <c r="N902" i="17" a="1"/>
  <c r="N902" i="17" s="1"/>
  <c r="N921" i="17" a="1"/>
  <c r="N921" i="17" s="1"/>
  <c r="N940" i="17" a="1"/>
  <c r="N940" i="17" s="1"/>
  <c r="N959" i="17" a="1"/>
  <c r="N959" i="17" s="1"/>
  <c r="N978" i="17" a="1"/>
  <c r="N978" i="17" s="1"/>
  <c r="N997" i="17" a="1"/>
  <c r="N997" i="17" s="1"/>
  <c r="N1016" i="17" a="1"/>
  <c r="N1016" i="17" s="1"/>
  <c r="N1035" i="17" a="1"/>
  <c r="N1035" i="17" s="1"/>
  <c r="N1054" i="17" a="1"/>
  <c r="N1054" i="17" s="1"/>
  <c r="N625" i="17" a="1"/>
  <c r="N625" i="17" s="1"/>
  <c r="N626" i="17" a="1"/>
  <c r="N626" i="17" s="1"/>
  <c r="N627" i="17" a="1"/>
  <c r="N627" i="17" s="1"/>
  <c r="N628" i="17" a="1"/>
  <c r="N628" i="17" s="1"/>
  <c r="N629" i="17" a="1"/>
  <c r="N629" i="17" s="1"/>
  <c r="N630" i="17" a="1"/>
  <c r="N630" i="17" s="1"/>
  <c r="N80" i="17" a="1"/>
  <c r="N80" i="17" s="1"/>
  <c r="N81" i="17" a="1"/>
  <c r="N81" i="17" s="1"/>
  <c r="N82" i="17" a="1"/>
  <c r="N82" i="17" s="1"/>
  <c r="N83" i="17" a="1"/>
  <c r="N83" i="17" s="1"/>
  <c r="N84" i="17" a="1"/>
  <c r="N84" i="17" s="1"/>
  <c r="N85" i="17" a="1"/>
  <c r="N85" i="17" s="1"/>
  <c r="N129" i="17" a="1"/>
  <c r="N129" i="17" s="1"/>
  <c r="N148" i="17" a="1"/>
  <c r="N148" i="17" s="1"/>
  <c r="N167" i="17" a="1"/>
  <c r="N167" i="17" s="1"/>
  <c r="N186" i="17" a="1"/>
  <c r="N186" i="17" s="1"/>
  <c r="N231" i="17" a="1"/>
  <c r="N231" i="17" s="1"/>
  <c r="N232" i="17" a="1"/>
  <c r="N232" i="17"/>
  <c r="N233" i="17" a="1"/>
  <c r="N233" i="17" s="1"/>
  <c r="N262" i="17" a="1"/>
  <c r="N262" i="17" s="1"/>
  <c r="N281" i="17" a="1"/>
  <c r="N281" i="17" s="1"/>
  <c r="N300" i="17" a="1"/>
  <c r="N300" i="17" s="1"/>
  <c r="N319" i="17" a="1"/>
  <c r="N319" i="17" s="1"/>
  <c r="N338" i="17" a="1"/>
  <c r="N338" i="17" s="1"/>
  <c r="N357" i="17" a="1"/>
  <c r="N357" i="17" s="1"/>
  <c r="N376" i="17" a="1"/>
  <c r="N376" i="17" s="1"/>
  <c r="N395" i="17" a="1"/>
  <c r="N395" i="17" s="1"/>
  <c r="N414" i="17" a="1"/>
  <c r="N414" i="17" s="1"/>
  <c r="N509" i="17" a="1"/>
  <c r="N509" i="17" s="1"/>
  <c r="N528" i="17" a="1"/>
  <c r="N528" i="17" s="1"/>
  <c r="N547" i="17" a="1"/>
  <c r="N547" i="17" s="1"/>
  <c r="N459" i="17" a="1"/>
  <c r="N459" i="17" s="1"/>
  <c r="N460" i="17" a="1"/>
  <c r="N460" i="17" s="1"/>
  <c r="N461" i="17" a="1"/>
  <c r="N461" i="17" s="1"/>
  <c r="N490" i="17" a="1"/>
  <c r="N490" i="17" s="1"/>
  <c r="N680" i="17" a="1"/>
  <c r="N680" i="17" s="1"/>
  <c r="N699" i="17" a="1"/>
  <c r="N699" i="17" s="1"/>
  <c r="N718" i="17" a="1"/>
  <c r="N718" i="17" s="1"/>
  <c r="N737" i="17" a="1"/>
  <c r="N737" i="17" s="1"/>
  <c r="N756" i="17" a="1"/>
  <c r="N756" i="17" s="1"/>
  <c r="N775" i="17" a="1"/>
  <c r="N775" i="17" s="1"/>
  <c r="N792" i="17" a="1"/>
  <c r="N792" i="17"/>
  <c r="N804" i="17" a="1"/>
  <c r="N804" i="17" s="1"/>
  <c r="N827" i="17" a="1"/>
  <c r="N827" i="17" s="1"/>
  <c r="N846" i="17" a="1"/>
  <c r="N846" i="17" s="1"/>
  <c r="N865" i="17" a="1"/>
  <c r="N865" i="17" s="1"/>
  <c r="N884" i="17" a="1"/>
  <c r="N884" i="17" s="1"/>
  <c r="N903" i="17" a="1"/>
  <c r="N903" i="17" s="1"/>
  <c r="N922" i="17" a="1"/>
  <c r="N922" i="17" s="1"/>
  <c r="N941" i="17" a="1"/>
  <c r="N941" i="17" s="1"/>
  <c r="N960" i="17" a="1"/>
  <c r="N960" i="17" s="1"/>
  <c r="N979" i="17" a="1"/>
  <c r="N979" i="17" s="1"/>
  <c r="N998" i="17" a="1"/>
  <c r="N998" i="17" s="1"/>
  <c r="N1017" i="17" a="1"/>
  <c r="N1017" i="17" s="1"/>
  <c r="N1036" i="17" a="1"/>
  <c r="N1036" i="17" s="1"/>
  <c r="N1055" i="17" a="1"/>
  <c r="N1055" i="17" s="1"/>
  <c r="N631" i="17" a="1"/>
  <c r="N631" i="17" s="1"/>
  <c r="N632" i="17" a="1"/>
  <c r="N632" i="17" s="1"/>
  <c r="N633" i="17" a="1"/>
  <c r="N633" i="17" s="1"/>
  <c r="N634" i="17" a="1"/>
  <c r="N634" i="17" s="1"/>
  <c r="N635" i="17" a="1"/>
  <c r="N635" i="17" s="1"/>
  <c r="N636" i="17" a="1"/>
  <c r="N636" i="17" s="1"/>
  <c r="N86" i="17" a="1"/>
  <c r="N86" i="17" s="1"/>
  <c r="N87" i="17" a="1"/>
  <c r="N87" i="17" s="1"/>
  <c r="N88" i="17" a="1"/>
  <c r="N88" i="17" s="1"/>
  <c r="N89" i="17" a="1"/>
  <c r="N89" i="17" s="1"/>
  <c r="N90" i="17" a="1"/>
  <c r="N90" i="17" s="1"/>
  <c r="N91" i="17" a="1"/>
  <c r="N91" i="17" s="1"/>
  <c r="N130" i="17" a="1"/>
  <c r="N130" i="17" s="1"/>
  <c r="N149" i="17" a="1"/>
  <c r="N149" i="17" s="1"/>
  <c r="N168" i="17" a="1"/>
  <c r="N168" i="17" s="1"/>
  <c r="N187" i="17" a="1"/>
  <c r="N187" i="17" s="1"/>
  <c r="N234" i="17" a="1"/>
  <c r="N234" i="17" s="1"/>
  <c r="N235" i="17" a="1"/>
  <c r="N235" i="17"/>
  <c r="N236" i="17" a="1"/>
  <c r="N236" i="17" s="1"/>
  <c r="N263" i="17" a="1"/>
  <c r="N263" i="17" s="1"/>
  <c r="N282" i="17" a="1"/>
  <c r="N282" i="17" s="1"/>
  <c r="N301" i="17" a="1"/>
  <c r="N301" i="17" s="1"/>
  <c r="N320" i="17" a="1"/>
  <c r="N320" i="17" s="1"/>
  <c r="N339" i="17" a="1"/>
  <c r="N339" i="17" s="1"/>
  <c r="N358" i="17" a="1"/>
  <c r="N358" i="17" s="1"/>
  <c r="N377" i="17" a="1"/>
  <c r="N377" i="17" s="1"/>
  <c r="N396" i="17" a="1"/>
  <c r="N396" i="17" s="1"/>
  <c r="N415" i="17" a="1"/>
  <c r="N415" i="17" s="1"/>
  <c r="N510" i="17" a="1"/>
  <c r="N510" i="17" s="1"/>
  <c r="N529" i="17" a="1"/>
  <c r="N529" i="17" s="1"/>
  <c r="N548" i="17" a="1"/>
  <c r="N548" i="17" s="1"/>
  <c r="N462" i="17" a="1"/>
  <c r="N462" i="17" s="1"/>
  <c r="N463" i="17" a="1"/>
  <c r="N463" i="17" s="1"/>
  <c r="N464" i="17" a="1"/>
  <c r="N464" i="17" s="1"/>
  <c r="N491" i="17" a="1"/>
  <c r="N491" i="17" s="1"/>
  <c r="N681" i="17" a="1"/>
  <c r="N681" i="17" s="1"/>
  <c r="N700" i="17" a="1"/>
  <c r="N700" i="17" s="1"/>
  <c r="N719" i="17" a="1"/>
  <c r="N719" i="17" s="1"/>
  <c r="N738" i="17" a="1"/>
  <c r="N738" i="17" s="1"/>
  <c r="N757" i="17" a="1"/>
  <c r="N757" i="17" s="1"/>
  <c r="N776" i="17" a="1"/>
  <c r="N776" i="17" s="1"/>
  <c r="N793" i="17" a="1"/>
  <c r="N793" i="17" s="1"/>
  <c r="N805" i="17" a="1"/>
  <c r="N805" i="17" s="1"/>
  <c r="N828" i="17" a="1"/>
  <c r="N828" i="17" s="1"/>
  <c r="N847" i="17" a="1"/>
  <c r="N847" i="17" s="1"/>
  <c r="N866" i="17" a="1"/>
  <c r="N866" i="17" s="1"/>
  <c r="N885" i="17" a="1"/>
  <c r="N885" i="17" s="1"/>
  <c r="N904" i="17" a="1"/>
  <c r="N904" i="17" s="1"/>
  <c r="N923" i="17" a="1"/>
  <c r="N923" i="17" s="1"/>
  <c r="N942" i="17" a="1"/>
  <c r="N942" i="17"/>
  <c r="N961" i="17" a="1"/>
  <c r="N961" i="17" s="1"/>
  <c r="N980" i="17" a="1"/>
  <c r="N980" i="17" s="1"/>
  <c r="N999" i="17" a="1"/>
  <c r="N999" i="17" s="1"/>
  <c r="N1018" i="17" a="1"/>
  <c r="N1018" i="17" s="1"/>
  <c r="N1037" i="17" a="1"/>
  <c r="N1037" i="17" s="1"/>
  <c r="N1056" i="17" a="1"/>
  <c r="N1056" i="17" s="1"/>
  <c r="N637" i="17" a="1"/>
  <c r="N637" i="17" s="1"/>
  <c r="N638" i="17" a="1"/>
  <c r="N638" i="17" s="1"/>
  <c r="N639" i="17" a="1"/>
  <c r="N639" i="17" s="1"/>
  <c r="N640" i="17" a="1"/>
  <c r="N640" i="17" s="1"/>
  <c r="N641" i="17" a="1"/>
  <c r="N641" i="17" s="1"/>
  <c r="N642" i="17" a="1"/>
  <c r="N642" i="17" s="1"/>
  <c r="N92" i="17" a="1"/>
  <c r="N92" i="17" s="1"/>
  <c r="N93" i="17" a="1"/>
  <c r="N93" i="17" s="1"/>
  <c r="N94" i="17" a="1"/>
  <c r="N94" i="17" s="1"/>
  <c r="N95" i="17" a="1"/>
  <c r="N95" i="17"/>
  <c r="N96" i="17" a="1"/>
  <c r="N96" i="17" s="1"/>
  <c r="N97" i="17" a="1"/>
  <c r="N97" i="17" s="1"/>
  <c r="N131" i="17" a="1"/>
  <c r="N131" i="17" s="1"/>
  <c r="N150" i="17" a="1"/>
  <c r="N150" i="17" s="1"/>
  <c r="N169" i="17" a="1"/>
  <c r="N169" i="17" s="1"/>
  <c r="N188" i="17" a="1"/>
  <c r="N188" i="17" s="1"/>
  <c r="N237" i="17" a="1"/>
  <c r="N237" i="17" s="1"/>
  <c r="N238" i="17" a="1"/>
  <c r="N238" i="17" s="1"/>
  <c r="N239" i="17" a="1"/>
  <c r="N239" i="17" s="1"/>
  <c r="N264" i="17" a="1"/>
  <c r="N264" i="17" s="1"/>
  <c r="N283" i="17" a="1"/>
  <c r="N283" i="17" s="1"/>
  <c r="N302" i="17" a="1"/>
  <c r="N302" i="17" s="1"/>
  <c r="N321" i="17" a="1"/>
  <c r="N321" i="17" s="1"/>
  <c r="N340" i="17" a="1"/>
  <c r="N340" i="17" s="1"/>
  <c r="N359" i="17" a="1"/>
  <c r="N359" i="17" s="1"/>
  <c r="N378" i="17" a="1"/>
  <c r="N378" i="17" s="1"/>
  <c r="N397" i="17" a="1"/>
  <c r="N397" i="17" s="1"/>
  <c r="N416" i="17" a="1"/>
  <c r="N416" i="17" s="1"/>
  <c r="N511" i="17" a="1"/>
  <c r="N511" i="17" s="1"/>
  <c r="N530" i="17" a="1"/>
  <c r="N530" i="17" s="1"/>
  <c r="N549" i="17" a="1"/>
  <c r="N549" i="17" s="1"/>
  <c r="N465" i="17" a="1"/>
  <c r="N465" i="17" s="1"/>
  <c r="N466" i="17" a="1"/>
  <c r="N466" i="17" s="1"/>
  <c r="N467" i="17" a="1"/>
  <c r="N467" i="17" s="1"/>
  <c r="N492" i="17" a="1"/>
  <c r="N492" i="17" s="1"/>
  <c r="N682" i="17" a="1"/>
  <c r="N682" i="17" s="1"/>
  <c r="N701" i="17" a="1"/>
  <c r="N701" i="17" s="1"/>
  <c r="N720" i="17" a="1"/>
  <c r="N720" i="17" s="1"/>
  <c r="N739" i="17" a="1"/>
  <c r="N739" i="17" s="1"/>
  <c r="N758" i="17" a="1"/>
  <c r="N758" i="17" s="1"/>
  <c r="N777" i="17" a="1"/>
  <c r="N777" i="17" s="1"/>
  <c r="N806" i="17" a="1"/>
  <c r="N806" i="17"/>
  <c r="N812" i="17" a="1"/>
  <c r="N812" i="17" s="1"/>
  <c r="N829" i="17" a="1"/>
  <c r="N829" i="17" s="1"/>
  <c r="N848" i="17" a="1"/>
  <c r="N848" i="17" s="1"/>
  <c r="N867" i="17" a="1"/>
  <c r="N867" i="17" s="1"/>
  <c r="N886" i="17" a="1"/>
  <c r="N886" i="17" s="1"/>
  <c r="N905" i="17" a="1"/>
  <c r="N905" i="17" s="1"/>
  <c r="N924" i="17" a="1"/>
  <c r="N924" i="17" s="1"/>
  <c r="N943" i="17" a="1"/>
  <c r="N943" i="17" s="1"/>
  <c r="N962" i="17" a="1"/>
  <c r="N962" i="17" s="1"/>
  <c r="N981" i="17" a="1"/>
  <c r="N981" i="17" s="1"/>
  <c r="N1000" i="17" a="1"/>
  <c r="N1000" i="17" s="1"/>
  <c r="N1019" i="17" a="1"/>
  <c r="N1019" i="17" s="1"/>
  <c r="N1038" i="17" a="1"/>
  <c r="N1038" i="17" s="1"/>
  <c r="N1057" i="17" a="1"/>
  <c r="N1057" i="17" s="1"/>
  <c r="N643" i="17" a="1"/>
  <c r="N643" i="17" s="1"/>
  <c r="N644" i="17" a="1"/>
  <c r="N644" i="17" s="1"/>
  <c r="N645" i="17" a="1"/>
  <c r="N645" i="17" s="1"/>
  <c r="N646" i="17" a="1"/>
  <c r="N646" i="17" s="1"/>
  <c r="N647" i="17" a="1"/>
  <c r="N647" i="17" s="1"/>
  <c r="N648" i="17" a="1"/>
  <c r="N648" i="17" s="1"/>
  <c r="N98" i="17" a="1"/>
  <c r="N98" i="17" s="1"/>
  <c r="N99" i="17" a="1"/>
  <c r="N99" i="17" s="1"/>
  <c r="N100" i="17" a="1"/>
  <c r="N100" i="17" s="1"/>
  <c r="N101" i="17" a="1"/>
  <c r="N101" i="17" s="1"/>
  <c r="N102" i="17" a="1"/>
  <c r="N102" i="17" s="1"/>
  <c r="N103" i="17" a="1"/>
  <c r="N103" i="17" s="1"/>
  <c r="N132" i="17" a="1"/>
  <c r="N132" i="17" s="1"/>
  <c r="N151" i="17" a="1"/>
  <c r="N151" i="17" s="1"/>
  <c r="N170" i="17" a="1"/>
  <c r="N170" i="17" s="1"/>
  <c r="N189" i="17" a="1"/>
  <c r="N189" i="17" s="1"/>
  <c r="N240" i="17" a="1"/>
  <c r="N240" i="17" s="1"/>
  <c r="N241" i="17" a="1"/>
  <c r="N241" i="17"/>
  <c r="N242" i="17" a="1"/>
  <c r="N242" i="17" s="1"/>
  <c r="N265" i="17" a="1"/>
  <c r="N265" i="17" s="1"/>
  <c r="N284" i="17" a="1"/>
  <c r="N284" i="17" s="1"/>
  <c r="N303" i="17" a="1"/>
  <c r="N303" i="17" s="1"/>
  <c r="N322" i="17" a="1"/>
  <c r="N322" i="17" s="1"/>
  <c r="N341" i="17" a="1"/>
  <c r="N341" i="17" s="1"/>
  <c r="N360" i="17" a="1"/>
  <c r="N360" i="17" s="1"/>
  <c r="N379" i="17" a="1"/>
  <c r="N379" i="17" s="1"/>
  <c r="N398" i="17" a="1"/>
  <c r="N398" i="17" s="1"/>
  <c r="N417" i="17" a="1"/>
  <c r="N417" i="17" s="1"/>
  <c r="N512" i="17" a="1"/>
  <c r="N512" i="17" s="1"/>
  <c r="N531" i="17" a="1"/>
  <c r="N531" i="17" s="1"/>
  <c r="N550" i="17" a="1"/>
  <c r="N550" i="17" s="1"/>
  <c r="N468" i="17" a="1"/>
  <c r="N468" i="17" s="1"/>
  <c r="N469" i="17" a="1"/>
  <c r="N469" i="17" s="1"/>
  <c r="N470" i="17" a="1"/>
  <c r="N470" i="17" s="1"/>
  <c r="N493" i="17" a="1"/>
  <c r="N493" i="17" s="1"/>
  <c r="N683" i="17" a="1"/>
  <c r="N683" i="17" s="1"/>
  <c r="N702" i="17" a="1"/>
  <c r="N702" i="17" s="1"/>
  <c r="N721" i="17" a="1"/>
  <c r="N721" i="17" s="1"/>
  <c r="N740" i="17" a="1"/>
  <c r="N740" i="17" s="1"/>
  <c r="N759" i="17" a="1"/>
  <c r="N759" i="17" s="1"/>
  <c r="N778" i="17" a="1"/>
  <c r="N778" i="17" s="1"/>
  <c r="N794" i="17" a="1"/>
  <c r="N794" i="17" s="1"/>
  <c r="N807" i="17" a="1"/>
  <c r="N807" i="17" s="1"/>
  <c r="N830" i="17" a="1"/>
  <c r="N830" i="17" s="1"/>
  <c r="N849" i="17" a="1"/>
  <c r="N849" i="17" s="1"/>
  <c r="N868" i="17" a="1"/>
  <c r="N868" i="17" s="1"/>
  <c r="N887" i="17" a="1"/>
  <c r="N887" i="17" s="1"/>
  <c r="N906" i="17" a="1"/>
  <c r="N906" i="17" s="1"/>
  <c r="N925" i="17" a="1"/>
  <c r="N925" i="17" s="1"/>
  <c r="N944" i="17" a="1"/>
  <c r="N944" i="17" s="1"/>
  <c r="N963" i="17" a="1"/>
  <c r="N963" i="17" s="1"/>
  <c r="N982" i="17" a="1"/>
  <c r="N982" i="17" s="1"/>
  <c r="N1001" i="17" a="1"/>
  <c r="N1001" i="17" s="1"/>
  <c r="N1020" i="17" a="1"/>
  <c r="N1020" i="17" s="1"/>
  <c r="N1039" i="17" a="1"/>
  <c r="N1039" i="17" s="1"/>
  <c r="N1058" i="17" a="1"/>
  <c r="N1058" i="17" s="1"/>
  <c r="N649" i="17" a="1"/>
  <c r="N649" i="17" s="1"/>
  <c r="N650" i="17" a="1"/>
  <c r="N650" i="17" s="1"/>
  <c r="N651" i="17" a="1"/>
  <c r="N651" i="17" s="1"/>
  <c r="N652" i="17" a="1"/>
  <c r="N652" i="17" s="1"/>
  <c r="N653" i="17" a="1"/>
  <c r="N653" i="17" s="1"/>
  <c r="N654" i="17" a="1"/>
  <c r="N654" i="17" s="1"/>
  <c r="N104" i="17" a="1"/>
  <c r="N104" i="17" s="1"/>
  <c r="N105" i="17" a="1"/>
  <c r="N105" i="17" s="1"/>
  <c r="N106" i="17" a="1"/>
  <c r="N106" i="17" s="1"/>
  <c r="N107" i="17" a="1"/>
  <c r="N107" i="17" s="1"/>
  <c r="N108" i="17" a="1"/>
  <c r="N108" i="17" s="1"/>
  <c r="N109" i="17" a="1"/>
  <c r="N109" i="17" s="1"/>
  <c r="N133" i="17" a="1"/>
  <c r="N133" i="17" s="1"/>
  <c r="N152" i="17" a="1"/>
  <c r="N152" i="17" s="1"/>
  <c r="N171" i="17" a="1"/>
  <c r="N171" i="17" s="1"/>
  <c r="N190" i="17" a="1"/>
  <c r="N190" i="17" s="1"/>
  <c r="N243" i="17" a="1"/>
  <c r="N243" i="17" s="1"/>
  <c r="N244" i="17" a="1"/>
  <c r="N244" i="17"/>
  <c r="N245" i="17" a="1"/>
  <c r="N245" i="17" s="1"/>
  <c r="N266" i="17" a="1"/>
  <c r="N266" i="17" s="1"/>
  <c r="N285" i="17" a="1"/>
  <c r="N285" i="17" s="1"/>
  <c r="N304" i="17" a="1"/>
  <c r="N304" i="17" s="1"/>
  <c r="N323" i="17" a="1"/>
  <c r="N323" i="17" s="1"/>
  <c r="N342" i="17" a="1"/>
  <c r="N342" i="17" s="1"/>
  <c r="N361" i="17" a="1"/>
  <c r="N361" i="17" s="1"/>
  <c r="N380" i="17" a="1"/>
  <c r="N380" i="17" s="1"/>
  <c r="N399" i="17" a="1"/>
  <c r="N399" i="17" s="1"/>
  <c r="N418" i="17" a="1"/>
  <c r="N418" i="17" s="1"/>
  <c r="N513" i="17" a="1"/>
  <c r="N513" i="17" s="1"/>
  <c r="N532" i="17" a="1"/>
  <c r="N532" i="17" s="1"/>
  <c r="N551" i="17" a="1"/>
  <c r="N551" i="17" s="1"/>
  <c r="N471" i="17" a="1"/>
  <c r="N471" i="17" s="1"/>
  <c r="N472" i="17" a="1"/>
  <c r="N472" i="17" s="1"/>
  <c r="N473" i="17" a="1"/>
  <c r="N473" i="17" s="1"/>
  <c r="N494" i="17" a="1"/>
  <c r="N494" i="17" s="1"/>
  <c r="N684" i="17" a="1"/>
  <c r="N684" i="17" s="1"/>
  <c r="N703" i="17" a="1"/>
  <c r="N703" i="17" s="1"/>
  <c r="N722" i="17" a="1"/>
  <c r="N722" i="17" s="1"/>
  <c r="N741" i="17" a="1"/>
  <c r="N741" i="17" s="1"/>
  <c r="N760" i="17" a="1"/>
  <c r="N760" i="17" s="1"/>
  <c r="N779" i="17" a="1"/>
  <c r="N779" i="17" s="1"/>
  <c r="N795" i="17" a="1"/>
  <c r="N795" i="17" s="1"/>
  <c r="N808" i="17" a="1"/>
  <c r="N808" i="17" s="1"/>
  <c r="N831" i="17" a="1"/>
  <c r="N831" i="17" s="1"/>
  <c r="N850" i="17" a="1"/>
  <c r="N850" i="17" s="1"/>
  <c r="N869" i="17" a="1"/>
  <c r="N869" i="17" s="1"/>
  <c r="N888" i="17" a="1"/>
  <c r="N888" i="17" s="1"/>
  <c r="N907" i="17" a="1"/>
  <c r="N907" i="17" s="1"/>
  <c r="N926" i="17" a="1"/>
  <c r="N926" i="17" s="1"/>
  <c r="N945" i="17" a="1"/>
  <c r="N945" i="17"/>
  <c r="N964" i="17" a="1"/>
  <c r="N964" i="17" s="1"/>
  <c r="N983" i="17" a="1"/>
  <c r="N983" i="17" s="1"/>
  <c r="N1002" i="17" a="1"/>
  <c r="N1002" i="17" s="1"/>
  <c r="N1021" i="17" a="1"/>
  <c r="N1021" i="17" s="1"/>
  <c r="N1040" i="17" a="1"/>
  <c r="N1040" i="17" s="1"/>
  <c r="N1059" i="17" a="1"/>
  <c r="N1059" i="17" s="1"/>
  <c r="N655" i="17" a="1"/>
  <c r="N655" i="17" s="1"/>
  <c r="N656" i="17" a="1"/>
  <c r="N656" i="17" s="1"/>
  <c r="N657" i="17" a="1"/>
  <c r="N657" i="17" s="1"/>
  <c r="N658" i="17" a="1"/>
  <c r="N658" i="17" s="1"/>
  <c r="N659" i="17" a="1"/>
  <c r="N659" i="17" s="1"/>
  <c r="N660" i="17" a="1"/>
  <c r="N660" i="17" s="1"/>
  <c r="N110" i="17" a="1"/>
  <c r="N110" i="17" s="1"/>
  <c r="N111" i="17" a="1"/>
  <c r="N111" i="17" s="1"/>
  <c r="N112" i="17" a="1"/>
  <c r="N112" i="17" s="1"/>
  <c r="N113" i="17" a="1"/>
  <c r="N113" i="17" s="1"/>
  <c r="N114" i="17" a="1"/>
  <c r="N114" i="17" s="1"/>
  <c r="N115" i="17" a="1"/>
  <c r="N115" i="17" s="1"/>
  <c r="N134" i="17" a="1"/>
  <c r="N134" i="17" s="1"/>
  <c r="N153" i="17" a="1"/>
  <c r="N153" i="17" s="1"/>
  <c r="N172" i="17" a="1"/>
  <c r="N172" i="17" s="1"/>
  <c r="N191" i="17" a="1"/>
  <c r="N191" i="17" s="1"/>
  <c r="N246" i="17" a="1"/>
  <c r="N246" i="17" s="1"/>
  <c r="N247" i="17" a="1"/>
  <c r="N247" i="17" s="1"/>
  <c r="N248" i="17" a="1"/>
  <c r="N248" i="17" s="1"/>
  <c r="N267" i="17" a="1"/>
  <c r="N267" i="17" s="1"/>
  <c r="N286" i="17" a="1"/>
  <c r="N286" i="17" s="1"/>
  <c r="N305" i="17" a="1"/>
  <c r="N305" i="17" s="1"/>
  <c r="N324" i="17" a="1"/>
  <c r="N324" i="17" s="1"/>
  <c r="N343" i="17" a="1"/>
  <c r="N343" i="17" s="1"/>
  <c r="N362" i="17" a="1"/>
  <c r="N362" i="17" s="1"/>
  <c r="N381" i="17" a="1"/>
  <c r="N381" i="17" s="1"/>
  <c r="N400" i="17" a="1"/>
  <c r="N400" i="17" s="1"/>
  <c r="N419" i="17" a="1"/>
  <c r="N419" i="17"/>
  <c r="N514" i="17" a="1"/>
  <c r="N514" i="17" s="1"/>
  <c r="N533" i="17" a="1"/>
  <c r="N533" i="17" s="1"/>
  <c r="N552" i="17" a="1"/>
  <c r="N552" i="17" s="1"/>
  <c r="N474" i="17" a="1"/>
  <c r="N474" i="17" s="1"/>
  <c r="N475" i="17" a="1"/>
  <c r="N475" i="17" s="1"/>
  <c r="N476" i="17" a="1"/>
  <c r="N476" i="17" s="1"/>
  <c r="N495" i="17" a="1"/>
  <c r="N495" i="17" s="1"/>
  <c r="N685" i="17" a="1"/>
  <c r="N685" i="17" s="1"/>
  <c r="N704" i="17" a="1"/>
  <c r="N704" i="17" s="1"/>
  <c r="N723" i="17" a="1"/>
  <c r="N723" i="17" s="1"/>
  <c r="N742" i="17" a="1"/>
  <c r="N742" i="17" s="1"/>
  <c r="N761" i="17" a="1"/>
  <c r="N761" i="17" s="1"/>
  <c r="N780" i="17" a="1"/>
  <c r="N780" i="17" s="1"/>
  <c r="N796" i="17" a="1"/>
  <c r="N796" i="17" s="1"/>
  <c r="N809" i="17" a="1"/>
  <c r="N809" i="17" s="1"/>
  <c r="N813" i="17" a="1"/>
  <c r="N813" i="17" s="1"/>
  <c r="N832" i="17" a="1"/>
  <c r="N832" i="17" s="1"/>
  <c r="N851" i="17" a="1"/>
  <c r="N851" i="17" s="1"/>
  <c r="N870" i="17" a="1"/>
  <c r="N870" i="17" s="1"/>
  <c r="N889" i="17" a="1"/>
  <c r="N889" i="17" s="1"/>
  <c r="N908" i="17" a="1"/>
  <c r="N908" i="17" s="1"/>
  <c r="N927" i="17" a="1"/>
  <c r="N927" i="17" s="1"/>
  <c r="N946" i="17" a="1"/>
  <c r="N946" i="17" s="1"/>
  <c r="N965" i="17" a="1"/>
  <c r="N965" i="17" s="1"/>
  <c r="N984" i="17" a="1"/>
  <c r="N984" i="17" s="1"/>
  <c r="N1003" i="17" a="1"/>
  <c r="N1003" i="17" s="1"/>
  <c r="N1022" i="17" a="1"/>
  <c r="N1022" i="17"/>
  <c r="N1041" i="17" a="1"/>
  <c r="N1041" i="17" s="1"/>
  <c r="N1060" i="17" a="1"/>
  <c r="N1060" i="17" s="1"/>
  <c r="N661" i="17" a="1"/>
  <c r="N661" i="17" s="1"/>
  <c r="N662" i="17" a="1"/>
  <c r="N662" i="17" s="1"/>
  <c r="N663" i="17" a="1"/>
  <c r="N663" i="17" s="1"/>
  <c r="N664" i="17" a="1"/>
  <c r="N664" i="17"/>
  <c r="N665" i="17" a="1"/>
  <c r="N665" i="17" s="1"/>
  <c r="N666" i="17" a="1"/>
  <c r="N666" i="17" s="1"/>
  <c r="O2" i="17" a="1"/>
  <c r="O2" i="17" s="1"/>
  <c r="O3" i="17" a="1"/>
  <c r="O3" i="17" s="1"/>
  <c r="O4" i="17" a="1"/>
  <c r="O4" i="17" s="1"/>
  <c r="O5" i="17" a="1"/>
  <c r="O5" i="17" s="1"/>
  <c r="O6" i="17" a="1"/>
  <c r="O6" i="17" s="1"/>
  <c r="O7" i="17" a="1"/>
  <c r="O7" i="17" s="1"/>
  <c r="O116" i="17" a="1"/>
  <c r="O116" i="17" s="1"/>
  <c r="O135" i="17" a="1"/>
  <c r="O135" i="17" s="1"/>
  <c r="O154" i="17" a="1"/>
  <c r="O154" i="17" s="1"/>
  <c r="O173" i="17" a="1"/>
  <c r="O173" i="17" s="1"/>
  <c r="O192" i="17" a="1"/>
  <c r="O192" i="17" s="1"/>
  <c r="O193" i="17" a="1"/>
  <c r="O193" i="17" s="1"/>
  <c r="O194" i="17" a="1"/>
  <c r="O194" i="17" s="1"/>
  <c r="O249" i="17" a="1"/>
  <c r="O249" i="17" s="1"/>
  <c r="O268" i="17" a="1"/>
  <c r="O268" i="17" s="1"/>
  <c r="O287" i="17" a="1"/>
  <c r="O287" i="17" s="1"/>
  <c r="O306" i="17" a="1"/>
  <c r="O306" i="17" s="1"/>
  <c r="O325" i="17" a="1"/>
  <c r="O325" i="17" s="1"/>
  <c r="O344" i="17" a="1"/>
  <c r="O344" i="17" s="1"/>
  <c r="O363" i="17" a="1"/>
  <c r="O363" i="17" s="1"/>
  <c r="O382" i="17" a="1"/>
  <c r="O382" i="17" s="1"/>
  <c r="O401" i="17" a="1"/>
  <c r="O401" i="17" s="1"/>
  <c r="O496" i="17" a="1"/>
  <c r="O496" i="17" s="1"/>
  <c r="O515" i="17" a="1"/>
  <c r="O515" i="17" s="1"/>
  <c r="O534" i="17" a="1"/>
  <c r="O534" i="17" s="1"/>
  <c r="O420" i="17" a="1"/>
  <c r="O420" i="17" s="1"/>
  <c r="O421" i="17" a="1"/>
  <c r="O421" i="17" s="1"/>
  <c r="O422" i="17" a="1"/>
  <c r="O422" i="17"/>
  <c r="O477" i="17" a="1"/>
  <c r="O477" i="17" s="1"/>
  <c r="O667" i="17" a="1"/>
  <c r="O667" i="17" s="1"/>
  <c r="O686" i="17" a="1"/>
  <c r="O686" i="17" s="1"/>
  <c r="O705" i="17" a="1"/>
  <c r="O705" i="17" s="1"/>
  <c r="O724" i="17" a="1"/>
  <c r="O724" i="17" s="1"/>
  <c r="O743" i="17" a="1"/>
  <c r="O743" i="17" s="1"/>
  <c r="O762" i="17" a="1"/>
  <c r="O762" i="17" s="1"/>
  <c r="O781" i="17" a="1"/>
  <c r="O781" i="17" s="1"/>
  <c r="O797" i="17" a="1"/>
  <c r="O797" i="17" s="1"/>
  <c r="O814" i="17" a="1"/>
  <c r="O814" i="17" s="1"/>
  <c r="O833" i="17" a="1"/>
  <c r="O833" i="17" s="1"/>
  <c r="O852" i="17" a="1"/>
  <c r="O852" i="17" s="1"/>
  <c r="O871" i="17" a="1"/>
  <c r="O871" i="17" s="1"/>
  <c r="O890" i="17" a="1"/>
  <c r="O890" i="17" s="1"/>
  <c r="O909" i="17" a="1"/>
  <c r="O909" i="17" s="1"/>
  <c r="O928" i="17" a="1"/>
  <c r="O928" i="17"/>
  <c r="O947" i="17" a="1"/>
  <c r="O947" i="17" s="1"/>
  <c r="O966" i="17" a="1"/>
  <c r="O966" i="17" s="1"/>
  <c r="O985" i="17" a="1"/>
  <c r="O985" i="17" s="1"/>
  <c r="O1004" i="17" a="1"/>
  <c r="O1004" i="17" s="1"/>
  <c r="O1023" i="17" a="1"/>
  <c r="O1023" i="17" s="1"/>
  <c r="O1042" i="17" a="1"/>
  <c r="O1042" i="17" s="1"/>
  <c r="O553" i="17" a="1"/>
  <c r="O553" i="17" s="1"/>
  <c r="O554" i="17" a="1"/>
  <c r="O554" i="17" s="1"/>
  <c r="O555" i="17" a="1"/>
  <c r="O555" i="17" s="1"/>
  <c r="O556" i="17" a="1"/>
  <c r="O556" i="17" s="1"/>
  <c r="O557" i="17" a="1"/>
  <c r="O557" i="17" s="1"/>
  <c r="O558" i="17" a="1"/>
  <c r="O558" i="17" s="1"/>
  <c r="O8" i="17" a="1"/>
  <c r="O8" i="17" s="1"/>
  <c r="O9" i="17" a="1"/>
  <c r="O9" i="17" s="1"/>
  <c r="O10" i="17" a="1"/>
  <c r="O10" i="17" s="1"/>
  <c r="O11" i="17" a="1"/>
  <c r="O11" i="17" s="1"/>
  <c r="O12" i="17" a="1"/>
  <c r="O12" i="17"/>
  <c r="O13" i="17" a="1"/>
  <c r="O13" i="17" s="1"/>
  <c r="O117" i="17" a="1"/>
  <c r="O117" i="17" s="1"/>
  <c r="O136" i="17" a="1"/>
  <c r="O136" i="17" s="1"/>
  <c r="O155" i="17" a="1"/>
  <c r="O155" i="17" s="1"/>
  <c r="O174" i="17" a="1"/>
  <c r="O174" i="17" s="1"/>
  <c r="O195" i="17" a="1"/>
  <c r="O195" i="17" s="1"/>
  <c r="O196" i="17" a="1"/>
  <c r="O196" i="17" s="1"/>
  <c r="O197" i="17" a="1"/>
  <c r="O197" i="17" s="1"/>
  <c r="O250" i="17" a="1"/>
  <c r="O250" i="17" s="1"/>
  <c r="O269" i="17" a="1"/>
  <c r="O269" i="17" s="1"/>
  <c r="O288" i="17" a="1"/>
  <c r="O288" i="17" s="1"/>
  <c r="O307" i="17" a="1"/>
  <c r="O307" i="17" s="1"/>
  <c r="O326" i="17" a="1"/>
  <c r="O326" i="17" s="1"/>
  <c r="O345" i="17" a="1"/>
  <c r="O345" i="17" s="1"/>
  <c r="O364" i="17" a="1"/>
  <c r="O364" i="17" s="1"/>
  <c r="O383" i="17" a="1"/>
  <c r="O383" i="17"/>
  <c r="O402" i="17" a="1"/>
  <c r="O402" i="17" s="1"/>
  <c r="O497" i="17" a="1"/>
  <c r="O497" i="17" s="1"/>
  <c r="O516" i="17" a="1"/>
  <c r="O516" i="17" s="1"/>
  <c r="O535" i="17" a="1"/>
  <c r="O535" i="17" s="1"/>
  <c r="O423" i="17" a="1"/>
  <c r="O423" i="17" s="1"/>
  <c r="O424" i="17" a="1"/>
  <c r="O424" i="17" s="1"/>
  <c r="O425" i="17" a="1"/>
  <c r="O425" i="17" s="1"/>
  <c r="O478" i="17" a="1"/>
  <c r="O478" i="17" s="1"/>
  <c r="O668" i="17" a="1"/>
  <c r="O668" i="17" s="1"/>
  <c r="O687" i="17" a="1"/>
  <c r="O687" i="17" s="1"/>
  <c r="O706" i="17" a="1"/>
  <c r="O706" i="17" s="1"/>
  <c r="O725" i="17" a="1"/>
  <c r="O725" i="17" s="1"/>
  <c r="O744" i="17" a="1"/>
  <c r="O744" i="17" s="1"/>
  <c r="O763" i="17" a="1"/>
  <c r="O763" i="17" s="1"/>
  <c r="O782" i="17" a="1"/>
  <c r="O782" i="17"/>
  <c r="O798" i="17" a="1"/>
  <c r="O798" i="17" s="1"/>
  <c r="O815" i="17" a="1"/>
  <c r="O815" i="17" s="1"/>
  <c r="O834" i="17" a="1"/>
  <c r="O834" i="17" s="1"/>
  <c r="O853" i="17" a="1"/>
  <c r="O853" i="17" s="1"/>
  <c r="O872" i="17" a="1"/>
  <c r="O872" i="17" s="1"/>
  <c r="O891" i="17" a="1"/>
  <c r="O891" i="17" s="1"/>
  <c r="O910" i="17" a="1"/>
  <c r="O910" i="17" s="1"/>
  <c r="O929" i="17" a="1"/>
  <c r="O929" i="17" s="1"/>
  <c r="O948" i="17" a="1"/>
  <c r="O948" i="17" s="1"/>
  <c r="O967" i="17" a="1"/>
  <c r="O967" i="17" s="1"/>
  <c r="O986" i="17" a="1"/>
  <c r="O986" i="17" s="1"/>
  <c r="O1005" i="17" a="1"/>
  <c r="O1005" i="17" s="1"/>
  <c r="O1024" i="17" a="1"/>
  <c r="O1024" i="17" s="1"/>
  <c r="O1043" i="17" a="1"/>
  <c r="O1043" i="17" s="1"/>
  <c r="O559" i="17" a="1"/>
  <c r="O559" i="17" s="1"/>
  <c r="O560" i="17" a="1"/>
  <c r="O560" i="17" s="1"/>
  <c r="O561" i="17" a="1"/>
  <c r="O561" i="17" s="1"/>
  <c r="O562" i="17" a="1"/>
  <c r="O562" i="17" s="1"/>
  <c r="O563" i="17" a="1"/>
  <c r="O563" i="17" s="1"/>
  <c r="O564" i="17" a="1"/>
  <c r="O564" i="17" s="1"/>
  <c r="O14" i="17" a="1"/>
  <c r="O14" i="17" s="1"/>
  <c r="O15" i="17" a="1"/>
  <c r="O15" i="17" s="1"/>
  <c r="O16" i="17" a="1"/>
  <c r="O16" i="17" s="1"/>
  <c r="O17" i="17" a="1"/>
  <c r="O17" i="17" s="1"/>
  <c r="O18" i="17" a="1"/>
  <c r="O18" i="17" s="1"/>
  <c r="O19" i="17" a="1"/>
  <c r="O19" i="17"/>
  <c r="O118" i="17" a="1"/>
  <c r="O118" i="17" s="1"/>
  <c r="O137" i="17" a="1"/>
  <c r="O137" i="17" s="1"/>
  <c r="O156" i="17" a="1"/>
  <c r="O156" i="17" s="1"/>
  <c r="O175" i="17" a="1"/>
  <c r="O175" i="17" s="1"/>
  <c r="O198" i="17" a="1"/>
  <c r="O198" i="17" s="1"/>
  <c r="O199" i="17" a="1"/>
  <c r="O199" i="17" s="1"/>
  <c r="O200" i="17" a="1"/>
  <c r="O200" i="17" s="1"/>
  <c r="O251" i="17" a="1"/>
  <c r="O251" i="17" s="1"/>
  <c r="O270" i="17" a="1"/>
  <c r="O270" i="17" s="1"/>
  <c r="O289" i="17" a="1"/>
  <c r="O289" i="17" s="1"/>
  <c r="O308" i="17" a="1"/>
  <c r="O308" i="17" s="1"/>
  <c r="O327" i="17" a="1"/>
  <c r="O327" i="17" s="1"/>
  <c r="O346" i="17" a="1"/>
  <c r="O346" i="17" s="1"/>
  <c r="O365" i="17" a="1"/>
  <c r="O365" i="17" s="1"/>
  <c r="O384" i="17" a="1"/>
  <c r="O384" i="17" s="1"/>
  <c r="O403" i="17" a="1"/>
  <c r="O403" i="17" s="1"/>
  <c r="O498" i="17" a="1"/>
  <c r="O498" i="17" s="1"/>
  <c r="O517" i="17" a="1"/>
  <c r="O517" i="17" s="1"/>
  <c r="O536" i="17" a="1"/>
  <c r="O536" i="17" s="1"/>
  <c r="O426" i="17" a="1"/>
  <c r="O426" i="17" s="1"/>
  <c r="O427" i="17" a="1"/>
  <c r="O427" i="17" s="1"/>
  <c r="O428" i="17" a="1"/>
  <c r="O428" i="17" s="1"/>
  <c r="O479" i="17" a="1"/>
  <c r="O479" i="17" s="1"/>
  <c r="O669" i="17" a="1"/>
  <c r="O669" i="17" s="1"/>
  <c r="O688" i="17" a="1"/>
  <c r="O688" i="17" s="1"/>
  <c r="O707" i="17" a="1"/>
  <c r="O707" i="17" s="1"/>
  <c r="O726" i="17" a="1"/>
  <c r="O726" i="17" s="1"/>
  <c r="O745" i="17" a="1"/>
  <c r="O745" i="17" s="1"/>
  <c r="O764" i="17" a="1"/>
  <c r="O764" i="17" s="1"/>
  <c r="O783" i="17" a="1"/>
  <c r="O783" i="17" s="1"/>
  <c r="O799" i="17" a="1"/>
  <c r="O799" i="17" s="1"/>
  <c r="O816" i="17" a="1"/>
  <c r="O816" i="17" s="1"/>
  <c r="O835" i="17" a="1"/>
  <c r="O835" i="17" s="1"/>
  <c r="O854" i="17" a="1"/>
  <c r="O854" i="17"/>
  <c r="O873" i="17" a="1"/>
  <c r="O873" i="17" s="1"/>
  <c r="O892" i="17" a="1"/>
  <c r="O892" i="17" s="1"/>
  <c r="O911" i="17" a="1"/>
  <c r="O911" i="17" s="1"/>
  <c r="O930" i="17" a="1"/>
  <c r="O930" i="17" s="1"/>
  <c r="O949" i="17" a="1"/>
  <c r="O949" i="17" s="1"/>
  <c r="O968" i="17" a="1"/>
  <c r="O968" i="17" s="1"/>
  <c r="O987" i="17" a="1"/>
  <c r="O987" i="17" s="1"/>
  <c r="O1006" i="17" a="1"/>
  <c r="O1006" i="17" s="1"/>
  <c r="O1025" i="17" a="1"/>
  <c r="O1025" i="17" s="1"/>
  <c r="O1044" i="17" a="1"/>
  <c r="O1044" i="17" s="1"/>
  <c r="O565" i="17" a="1"/>
  <c r="O565" i="17" s="1"/>
  <c r="O566" i="17" a="1"/>
  <c r="O566" i="17" s="1"/>
  <c r="O567" i="17" a="1"/>
  <c r="O567" i="17" s="1"/>
  <c r="O568" i="17" a="1"/>
  <c r="O568" i="17" s="1"/>
  <c r="O569" i="17" a="1"/>
  <c r="O569" i="17" s="1"/>
  <c r="O570" i="17" a="1"/>
  <c r="O570" i="17" s="1"/>
  <c r="O20" i="17" a="1"/>
  <c r="O20" i="17" s="1"/>
  <c r="O21" i="17" a="1"/>
  <c r="O21" i="17"/>
  <c r="O22" i="17" a="1"/>
  <c r="O22" i="17" s="1"/>
  <c r="O23" i="17" a="1"/>
  <c r="O23" i="17" s="1"/>
  <c r="O24" i="17" a="1"/>
  <c r="O24" i="17" s="1"/>
  <c r="O25" i="17" a="1"/>
  <c r="O25" i="17" s="1"/>
  <c r="O119" i="17" a="1"/>
  <c r="O119" i="17" s="1"/>
  <c r="O138" i="17" a="1"/>
  <c r="O138" i="17" s="1"/>
  <c r="O157" i="17" a="1"/>
  <c r="O157" i="17" s="1"/>
  <c r="O176" i="17" a="1"/>
  <c r="O176" i="17" s="1"/>
  <c r="O201" i="17" a="1"/>
  <c r="O201" i="17" s="1"/>
  <c r="O202" i="17" a="1"/>
  <c r="O202" i="17" s="1"/>
  <c r="O203" i="17" a="1"/>
  <c r="O203" i="17" s="1"/>
  <c r="O252" i="17" a="1"/>
  <c r="O252" i="17" s="1"/>
  <c r="O271" i="17" a="1"/>
  <c r="O271" i="17" s="1"/>
  <c r="O290" i="17" a="1"/>
  <c r="O290" i="17" s="1"/>
  <c r="O309" i="17" a="1"/>
  <c r="O309" i="17" s="1"/>
  <c r="O328" i="17" a="1"/>
  <c r="O328" i="17" s="1"/>
  <c r="O347" i="17" a="1"/>
  <c r="O347" i="17" s="1"/>
  <c r="O366" i="17" a="1"/>
  <c r="O366" i="17" s="1"/>
  <c r="O385" i="17" a="1"/>
  <c r="O385" i="17" s="1"/>
  <c r="O404" i="17" a="1"/>
  <c r="O404" i="17" s="1"/>
  <c r="O499" i="17" a="1"/>
  <c r="O499" i="17" s="1"/>
  <c r="O518" i="17" a="1"/>
  <c r="O518" i="17" s="1"/>
  <c r="O537" i="17" a="1"/>
  <c r="O537" i="17" s="1"/>
  <c r="O429" i="17" a="1"/>
  <c r="O429" i="17" s="1"/>
  <c r="O430" i="17" a="1"/>
  <c r="O430" i="17" s="1"/>
  <c r="O431" i="17" a="1"/>
  <c r="O431" i="17" s="1"/>
  <c r="O480" i="17" a="1"/>
  <c r="O480" i="17" s="1"/>
  <c r="O670" i="17" a="1"/>
  <c r="O670" i="17" s="1"/>
  <c r="O689" i="17" a="1"/>
  <c r="O689" i="17" s="1"/>
  <c r="O708" i="17" a="1"/>
  <c r="O708" i="17" s="1"/>
  <c r="O727" i="17" a="1"/>
  <c r="O727" i="17" s="1"/>
  <c r="O746" i="17" a="1"/>
  <c r="O746" i="17" s="1"/>
  <c r="O765" i="17" a="1"/>
  <c r="O765" i="17" s="1"/>
  <c r="O784" i="17" a="1"/>
  <c r="O784" i="17"/>
  <c r="O810" i="17" a="1"/>
  <c r="O810" i="17" s="1"/>
  <c r="O817" i="17" a="1"/>
  <c r="O817" i="17" s="1"/>
  <c r="O836" i="17" a="1"/>
  <c r="O836" i="17" s="1"/>
  <c r="O855" i="17" a="1"/>
  <c r="O855" i="17" s="1"/>
  <c r="O874" i="17" a="1"/>
  <c r="O874" i="17" s="1"/>
  <c r="O893" i="17" a="1"/>
  <c r="O893" i="17" s="1"/>
  <c r="O912" i="17" a="1"/>
  <c r="O912" i="17" s="1"/>
  <c r="O931" i="17" a="1"/>
  <c r="O931" i="17" s="1"/>
  <c r="O950" i="17" a="1"/>
  <c r="O950" i="17" s="1"/>
  <c r="O969" i="17" a="1"/>
  <c r="O969" i="17" s="1"/>
  <c r="O988" i="17" a="1"/>
  <c r="O988" i="17" s="1"/>
  <c r="O1007" i="17" a="1"/>
  <c r="O1007" i="17" s="1"/>
  <c r="O1026" i="17" a="1"/>
  <c r="O1026" i="17" s="1"/>
  <c r="O1045" i="17" a="1"/>
  <c r="O1045" i="17" s="1"/>
  <c r="O571" i="17" a="1"/>
  <c r="O571" i="17" s="1"/>
  <c r="O572" i="17" a="1"/>
  <c r="O572" i="17" s="1"/>
  <c r="O573" i="17" a="1"/>
  <c r="O573" i="17" s="1"/>
  <c r="O574" i="17" a="1"/>
  <c r="O574" i="17" s="1"/>
  <c r="O575" i="17" a="1"/>
  <c r="O575" i="17" s="1"/>
  <c r="O576" i="17" a="1"/>
  <c r="O576" i="17" s="1"/>
  <c r="O26" i="17" a="1"/>
  <c r="O26" i="17" s="1"/>
  <c r="O27" i="17" a="1"/>
  <c r="O27" i="17" s="1"/>
  <c r="O28" i="17" a="1"/>
  <c r="O28" i="17" s="1"/>
  <c r="O29" i="17" a="1"/>
  <c r="O29" i="17" s="1"/>
  <c r="O30" i="17" a="1"/>
  <c r="O30" i="17" s="1"/>
  <c r="O31" i="17" a="1"/>
  <c r="O31" i="17" s="1"/>
  <c r="O120" i="17" a="1"/>
  <c r="O120" i="17" s="1"/>
  <c r="O139" i="17" a="1"/>
  <c r="O139" i="17" s="1"/>
  <c r="O158" i="17" a="1"/>
  <c r="O158" i="17" s="1"/>
  <c r="O177" i="17" a="1"/>
  <c r="O177" i="17" s="1"/>
  <c r="O204" i="17" a="1"/>
  <c r="O204" i="17" s="1"/>
  <c r="O205" i="17" a="1"/>
  <c r="O205" i="17" s="1"/>
  <c r="O206" i="17" a="1"/>
  <c r="O206" i="17" s="1"/>
  <c r="O253" i="17" a="1"/>
  <c r="O253" i="17" s="1"/>
  <c r="O272" i="17" a="1"/>
  <c r="O272" i="17" s="1"/>
  <c r="O291" i="17" a="1"/>
  <c r="O291" i="17" s="1"/>
  <c r="O310" i="17" a="1"/>
  <c r="O310" i="17" s="1"/>
  <c r="O329" i="17" a="1"/>
  <c r="O329" i="17" s="1"/>
  <c r="O348" i="17" a="1"/>
  <c r="O348" i="17" s="1"/>
  <c r="O367" i="17" a="1"/>
  <c r="O367" i="17" s="1"/>
  <c r="O386" i="17" a="1"/>
  <c r="O386" i="17"/>
  <c r="O405" i="17" a="1"/>
  <c r="O405" i="17" s="1"/>
  <c r="O500" i="17" a="1"/>
  <c r="O500" i="17" s="1"/>
  <c r="O519" i="17" a="1"/>
  <c r="O519" i="17" s="1"/>
  <c r="O538" i="17" a="1"/>
  <c r="O538" i="17" s="1"/>
  <c r="O432" i="17" a="1"/>
  <c r="O432" i="17" s="1"/>
  <c r="O433" i="17" a="1"/>
  <c r="O433" i="17" s="1"/>
  <c r="O434" i="17" a="1"/>
  <c r="O434" i="17" s="1"/>
  <c r="O481" i="17" a="1"/>
  <c r="O481" i="17" s="1"/>
  <c r="O671" i="17" a="1"/>
  <c r="O671" i="17"/>
  <c r="O690" i="17" a="1"/>
  <c r="O690" i="17" s="1"/>
  <c r="O709" i="17" a="1"/>
  <c r="O709" i="17" s="1"/>
  <c r="O728" i="17" a="1"/>
  <c r="O728" i="17" s="1"/>
  <c r="O747" i="17" a="1"/>
  <c r="O747" i="17" s="1"/>
  <c r="O766" i="17" a="1"/>
  <c r="O766" i="17" s="1"/>
  <c r="O800" i="17" a="1"/>
  <c r="O800" i="17"/>
  <c r="O818" i="17" a="1"/>
  <c r="O818" i="17" s="1"/>
  <c r="O837" i="17" a="1"/>
  <c r="O837" i="17" s="1"/>
  <c r="O856" i="17" a="1"/>
  <c r="O856" i="17" s="1"/>
  <c r="O875" i="17" a="1"/>
  <c r="O875" i="17" s="1"/>
  <c r="O894" i="17" a="1"/>
  <c r="O894" i="17" s="1"/>
  <c r="O913" i="17" a="1"/>
  <c r="O913" i="17" s="1"/>
  <c r="O932" i="17" a="1"/>
  <c r="O932" i="17" s="1"/>
  <c r="O951" i="17" a="1"/>
  <c r="O951" i="17" s="1"/>
  <c r="O970" i="17" a="1"/>
  <c r="O970" i="17" s="1"/>
  <c r="O989" i="17" a="1"/>
  <c r="O989" i="17" s="1"/>
  <c r="O1008" i="17" a="1"/>
  <c r="O1008" i="17" s="1"/>
  <c r="O1027" i="17" a="1"/>
  <c r="O1027" i="17" s="1"/>
  <c r="O1046" i="17" a="1"/>
  <c r="O1046" i="17" s="1"/>
  <c r="O577" i="17" a="1"/>
  <c r="O577" i="17" s="1"/>
  <c r="O578" i="17" a="1"/>
  <c r="O578" i="17" s="1"/>
  <c r="O579" i="17" a="1"/>
  <c r="O579" i="17" s="1"/>
  <c r="O580" i="17" a="1"/>
  <c r="O580" i="17" s="1"/>
  <c r="O581" i="17" a="1"/>
  <c r="O581" i="17" s="1"/>
  <c r="O582" i="17" a="1"/>
  <c r="O582" i="17" s="1"/>
  <c r="O32" i="17" a="1"/>
  <c r="O32" i="17" s="1"/>
  <c r="O33" i="17" a="1"/>
  <c r="O33" i="17" s="1"/>
  <c r="O34" i="17" a="1"/>
  <c r="O34" i="17" s="1"/>
  <c r="O35" i="17" a="1"/>
  <c r="O35" i="17" s="1"/>
  <c r="O36" i="17" a="1"/>
  <c r="O36" i="17" s="1"/>
  <c r="O37" i="17" a="1"/>
  <c r="O37" i="17" s="1"/>
  <c r="O121" i="17" a="1"/>
  <c r="O121" i="17" s="1"/>
  <c r="O140" i="17" a="1"/>
  <c r="O140" i="17" s="1"/>
  <c r="O159" i="17" a="1"/>
  <c r="O159" i="17" s="1"/>
  <c r="O178" i="17" a="1"/>
  <c r="O178" i="17" s="1"/>
  <c r="O207" i="17" a="1"/>
  <c r="O207" i="17" s="1"/>
  <c r="O208" i="17" a="1"/>
  <c r="O208" i="17" s="1"/>
  <c r="O209" i="17" a="1"/>
  <c r="O209" i="17" s="1"/>
  <c r="O254" i="17" a="1"/>
  <c r="O254" i="17" s="1"/>
  <c r="O273" i="17" a="1"/>
  <c r="O273" i="17" s="1"/>
  <c r="O292" i="17" a="1"/>
  <c r="O292" i="17" s="1"/>
  <c r="O311" i="17" a="1"/>
  <c r="O311" i="17" s="1"/>
  <c r="O330" i="17" a="1"/>
  <c r="O330" i="17" s="1"/>
  <c r="O349" i="17" a="1"/>
  <c r="O349" i="17" s="1"/>
  <c r="O368" i="17" a="1"/>
  <c r="O368" i="17" s="1"/>
  <c r="O387" i="17" a="1"/>
  <c r="O387" i="17" s="1"/>
  <c r="O406" i="17" a="1"/>
  <c r="O406" i="17" s="1"/>
  <c r="O501" i="17" a="1"/>
  <c r="O501" i="17" s="1"/>
  <c r="O520" i="17" a="1"/>
  <c r="O520" i="17" s="1"/>
  <c r="O539" i="17" a="1"/>
  <c r="O539" i="17" s="1"/>
  <c r="O435" i="17" a="1"/>
  <c r="O435" i="17" s="1"/>
  <c r="O436" i="17" a="1"/>
  <c r="O436" i="17" s="1"/>
  <c r="O437" i="17" a="1"/>
  <c r="O437" i="17" s="1"/>
  <c r="O482" i="17" a="1"/>
  <c r="O482" i="17" s="1"/>
  <c r="O672" i="17" a="1"/>
  <c r="O672" i="17" s="1"/>
  <c r="O691" i="17" a="1"/>
  <c r="O691" i="17"/>
  <c r="O710" i="17" a="1"/>
  <c r="O710" i="17" s="1"/>
  <c r="O729" i="17" a="1"/>
  <c r="O729" i="17" s="1"/>
  <c r="O748" i="17" a="1"/>
  <c r="O748" i="17" s="1"/>
  <c r="O767" i="17" a="1"/>
  <c r="O767" i="17" s="1"/>
  <c r="O819" i="17" a="1"/>
  <c r="O819" i="17" s="1"/>
  <c r="O838" i="17" a="1"/>
  <c r="O838" i="17" s="1"/>
  <c r="O857" i="17" a="1"/>
  <c r="O857" i="17" s="1"/>
  <c r="O876" i="17" a="1"/>
  <c r="O876" i="17" s="1"/>
  <c r="O895" i="17" a="1"/>
  <c r="O895" i="17" s="1"/>
  <c r="O914" i="17" a="1"/>
  <c r="O914" i="17" s="1"/>
  <c r="O933" i="17" a="1"/>
  <c r="O933" i="17"/>
  <c r="O952" i="17" a="1"/>
  <c r="O952" i="17" s="1"/>
  <c r="O971" i="17" a="1"/>
  <c r="O971" i="17" s="1"/>
  <c r="O990" i="17" a="1"/>
  <c r="O990" i="17" s="1"/>
  <c r="O1009" i="17" a="1"/>
  <c r="O1009" i="17" s="1"/>
  <c r="O1028" i="17" a="1"/>
  <c r="O1028" i="17" s="1"/>
  <c r="O1047" i="17" a="1"/>
  <c r="O1047" i="17" s="1"/>
  <c r="O583" i="17" a="1"/>
  <c r="O583" i="17" s="1"/>
  <c r="O584" i="17" a="1"/>
  <c r="O584" i="17" s="1"/>
  <c r="O585" i="17" a="1"/>
  <c r="O585" i="17" s="1"/>
  <c r="O586" i="17" a="1"/>
  <c r="O586" i="17" s="1"/>
  <c r="O587" i="17" a="1"/>
  <c r="O587" i="17" s="1"/>
  <c r="O588" i="17" a="1"/>
  <c r="O588" i="17" s="1"/>
  <c r="O38" i="17" a="1"/>
  <c r="O38" i="17" s="1"/>
  <c r="O39" i="17" a="1"/>
  <c r="O39" i="17" s="1"/>
  <c r="O40" i="17" a="1"/>
  <c r="O40" i="17" s="1"/>
  <c r="O41" i="17" a="1"/>
  <c r="O41" i="17" s="1"/>
  <c r="O42" i="17" a="1"/>
  <c r="O42" i="17" s="1"/>
  <c r="O43" i="17" a="1"/>
  <c r="O43" i="17" s="1"/>
  <c r="O122" i="17" a="1"/>
  <c r="O122" i="17" s="1"/>
  <c r="O141" i="17" a="1"/>
  <c r="O141" i="17" s="1"/>
  <c r="O160" i="17" a="1"/>
  <c r="O160" i="17" s="1"/>
  <c r="O179" i="17" a="1"/>
  <c r="O179" i="17" s="1"/>
  <c r="O210" i="17" a="1"/>
  <c r="O210" i="17"/>
  <c r="O211" i="17" a="1"/>
  <c r="O211" i="17" s="1"/>
  <c r="O212" i="17" a="1"/>
  <c r="O212" i="17" s="1"/>
  <c r="O255" i="17" a="1"/>
  <c r="O255" i="17" s="1"/>
  <c r="O274" i="17" a="1"/>
  <c r="O274" i="17" s="1"/>
  <c r="O293" i="17" a="1"/>
  <c r="O293" i="17" s="1"/>
  <c r="O312" i="17" a="1"/>
  <c r="O312" i="17" s="1"/>
  <c r="O331" i="17" a="1"/>
  <c r="O331" i="17" s="1"/>
  <c r="O350" i="17" a="1"/>
  <c r="O350" i="17" s="1"/>
  <c r="O369" i="17" a="1"/>
  <c r="O369" i="17" s="1"/>
  <c r="O388" i="17" a="1"/>
  <c r="O388" i="17" s="1"/>
  <c r="O407" i="17" a="1"/>
  <c r="O407" i="17" s="1"/>
  <c r="O502" i="17" a="1"/>
  <c r="O502" i="17" s="1"/>
  <c r="O521" i="17" a="1"/>
  <c r="O521" i="17" s="1"/>
  <c r="O540" i="17" a="1"/>
  <c r="O540" i="17" s="1"/>
  <c r="O438" i="17" a="1"/>
  <c r="O438" i="17" s="1"/>
  <c r="O439" i="17" a="1"/>
  <c r="O439" i="17" s="1"/>
  <c r="O440" i="17" a="1"/>
  <c r="O440" i="17" s="1"/>
  <c r="O483" i="17" a="1"/>
  <c r="O483" i="17" s="1"/>
  <c r="O673" i="17" a="1"/>
  <c r="O673" i="17" s="1"/>
  <c r="O692" i="17" a="1"/>
  <c r="O692" i="17" s="1"/>
  <c r="O711" i="17" a="1"/>
  <c r="O711" i="17" s="1"/>
  <c r="O730" i="17" a="1"/>
  <c r="O730" i="17" s="1"/>
  <c r="O749" i="17" a="1"/>
  <c r="O749" i="17" s="1"/>
  <c r="O768" i="17" a="1"/>
  <c r="O768" i="17" s="1"/>
  <c r="O785" i="17" a="1"/>
  <c r="O785" i="17" s="1"/>
  <c r="O801" i="17" a="1"/>
  <c r="O801" i="17" s="1"/>
  <c r="O820" i="17" a="1"/>
  <c r="O820" i="17" s="1"/>
  <c r="O839" i="17" a="1"/>
  <c r="O839" i="17" s="1"/>
  <c r="O858" i="17" a="1"/>
  <c r="O858" i="17" s="1"/>
  <c r="O877" i="17" a="1"/>
  <c r="O877" i="17" s="1"/>
  <c r="O896" i="17" a="1"/>
  <c r="O896" i="17" s="1"/>
  <c r="O915" i="17" a="1"/>
  <c r="O915" i="17" s="1"/>
  <c r="O934" i="17" a="1"/>
  <c r="O934" i="17" s="1"/>
  <c r="O953" i="17" a="1"/>
  <c r="O953" i="17" s="1"/>
  <c r="O972" i="17" a="1"/>
  <c r="O972" i="17" s="1"/>
  <c r="O991" i="17" a="1"/>
  <c r="O991" i="17" s="1"/>
  <c r="O1010" i="17" a="1"/>
  <c r="O1010" i="17" s="1"/>
  <c r="O1029" i="17" a="1"/>
  <c r="O1029" i="17" s="1"/>
  <c r="O1048" i="17" a="1"/>
  <c r="O1048" i="17" s="1"/>
  <c r="O589" i="17" a="1"/>
  <c r="O589" i="17" s="1"/>
  <c r="O590" i="17" a="1"/>
  <c r="O590" i="17" s="1"/>
  <c r="O591" i="17" a="1"/>
  <c r="O591" i="17" s="1"/>
  <c r="O592" i="17" a="1"/>
  <c r="O592" i="17" s="1"/>
  <c r="O593" i="17" a="1"/>
  <c r="O593" i="17" s="1"/>
  <c r="O594" i="17" a="1"/>
  <c r="O594" i="17" s="1"/>
  <c r="O44" i="17" a="1"/>
  <c r="O44" i="17" s="1"/>
  <c r="O45" i="17" a="1"/>
  <c r="O45" i="17" s="1"/>
  <c r="O46" i="17" a="1"/>
  <c r="O46" i="17" s="1"/>
  <c r="O47" i="17" a="1"/>
  <c r="O47" i="17" s="1"/>
  <c r="O48" i="17" a="1"/>
  <c r="O48" i="17" s="1"/>
  <c r="O49" i="17" a="1"/>
  <c r="O49" i="17" s="1"/>
  <c r="O123" i="17" a="1"/>
  <c r="O123" i="17" s="1"/>
  <c r="O142" i="17" a="1"/>
  <c r="O142" i="17"/>
  <c r="O161" i="17" a="1"/>
  <c r="O161" i="17" s="1"/>
  <c r="O180" i="17" a="1"/>
  <c r="O180" i="17" s="1"/>
  <c r="O213" i="17" a="1"/>
  <c r="O213" i="17" s="1"/>
  <c r="O214" i="17" a="1"/>
  <c r="O214" i="17" s="1"/>
  <c r="O215" i="17" a="1"/>
  <c r="O215" i="17" s="1"/>
  <c r="O256" i="17" a="1"/>
  <c r="O256" i="17" s="1"/>
  <c r="O275" i="17" a="1"/>
  <c r="O275" i="17" s="1"/>
  <c r="O294" i="17" a="1"/>
  <c r="O294" i="17" s="1"/>
  <c r="O313" i="17" a="1"/>
  <c r="O313" i="17" s="1"/>
  <c r="O332" i="17" a="1"/>
  <c r="O332" i="17" s="1"/>
  <c r="O351" i="17" a="1"/>
  <c r="O351" i="17" s="1"/>
  <c r="O370" i="17" a="1"/>
  <c r="O370" i="17" s="1"/>
  <c r="O389" i="17" a="1"/>
  <c r="O389" i="17" s="1"/>
  <c r="O408" i="17" a="1"/>
  <c r="O408" i="17" s="1"/>
  <c r="O503" i="17" a="1"/>
  <c r="O503" i="17" s="1"/>
  <c r="O522" i="17" a="1"/>
  <c r="O522" i="17" s="1"/>
  <c r="O541" i="17" a="1"/>
  <c r="O541" i="17" s="1"/>
  <c r="O441" i="17" a="1"/>
  <c r="O441" i="17" s="1"/>
  <c r="O442" i="17" a="1"/>
  <c r="O442" i="17" s="1"/>
  <c r="O443" i="17" a="1"/>
  <c r="O443" i="17" s="1"/>
  <c r="O484" i="17" a="1"/>
  <c r="O484" i="17" s="1"/>
  <c r="O674" i="17" a="1"/>
  <c r="O674" i="17" s="1"/>
  <c r="O693" i="17" a="1"/>
  <c r="O693" i="17" s="1"/>
  <c r="O712" i="17" a="1"/>
  <c r="O712" i="17" s="1"/>
  <c r="O731" i="17" a="1"/>
  <c r="O731" i="17" s="1"/>
  <c r="O750" i="17" a="1"/>
  <c r="O750" i="17" s="1"/>
  <c r="O769" i="17" a="1"/>
  <c r="O769" i="17" s="1"/>
  <c r="O786" i="17" a="1"/>
  <c r="O786" i="17" s="1"/>
  <c r="O802" i="17" a="1"/>
  <c r="O802" i="17" s="1"/>
  <c r="O821" i="17" a="1"/>
  <c r="O821" i="17" s="1"/>
  <c r="O840" i="17" a="1"/>
  <c r="O840" i="17" s="1"/>
  <c r="O859" i="17" a="1"/>
  <c r="O859" i="17" s="1"/>
  <c r="O878" i="17" a="1"/>
  <c r="O878" i="17" s="1"/>
  <c r="O897" i="17" a="1"/>
  <c r="O897" i="17" s="1"/>
  <c r="O916" i="17" a="1"/>
  <c r="O916" i="17" s="1"/>
  <c r="O935" i="17" a="1"/>
  <c r="O935" i="17" s="1"/>
  <c r="O954" i="17" a="1"/>
  <c r="O954" i="17" s="1"/>
  <c r="O973" i="17" a="1"/>
  <c r="O973" i="17" s="1"/>
  <c r="O992" i="17" a="1"/>
  <c r="O992" i="17" s="1"/>
  <c r="O1011" i="17" a="1"/>
  <c r="O1011" i="17" s="1"/>
  <c r="O1030" i="17" a="1"/>
  <c r="O1030" i="17" s="1"/>
  <c r="O1049" i="17" a="1"/>
  <c r="O1049" i="17" s="1"/>
  <c r="O595" i="17" a="1"/>
  <c r="O595" i="17" s="1"/>
  <c r="O596" i="17" a="1"/>
  <c r="O596" i="17" s="1"/>
  <c r="O597" i="17" a="1"/>
  <c r="O597" i="17" s="1"/>
  <c r="O598" i="17" a="1"/>
  <c r="O598" i="17" s="1"/>
  <c r="O599" i="17" a="1"/>
  <c r="O599" i="17" s="1"/>
  <c r="O600" i="17" a="1"/>
  <c r="O600" i="17" s="1"/>
  <c r="O50" i="17" a="1"/>
  <c r="O50" i="17" s="1"/>
  <c r="O51" i="17" a="1"/>
  <c r="O51" i="17" s="1"/>
  <c r="O52" i="17" a="1"/>
  <c r="O52" i="17" s="1"/>
  <c r="O53" i="17" a="1"/>
  <c r="O53" i="17" s="1"/>
  <c r="O54" i="17" a="1"/>
  <c r="O54" i="17" s="1"/>
  <c r="O55" i="17" a="1"/>
  <c r="O55" i="17" s="1"/>
  <c r="O124" i="17" a="1"/>
  <c r="O124" i="17" s="1"/>
  <c r="O143" i="17" a="1"/>
  <c r="O143" i="17" s="1"/>
  <c r="O162" i="17" a="1"/>
  <c r="O162" i="17" s="1"/>
  <c r="O181" i="17" a="1"/>
  <c r="O181" i="17" s="1"/>
  <c r="O216" i="17" a="1"/>
  <c r="O216" i="17" s="1"/>
  <c r="O217" i="17" a="1"/>
  <c r="O217" i="17"/>
  <c r="O218" i="17" a="1"/>
  <c r="O218" i="17" s="1"/>
  <c r="O257" i="17" a="1"/>
  <c r="O257" i="17" s="1"/>
  <c r="O276" i="17" a="1"/>
  <c r="O276" i="17" s="1"/>
  <c r="O295" i="17" a="1"/>
  <c r="O295" i="17" s="1"/>
  <c r="O314" i="17" a="1"/>
  <c r="O314" i="17" s="1"/>
  <c r="O333" i="17" a="1"/>
  <c r="O333" i="17" s="1"/>
  <c r="O352" i="17" a="1"/>
  <c r="O352" i="17" s="1"/>
  <c r="O371" i="17" a="1"/>
  <c r="O371" i="17" s="1"/>
  <c r="O390" i="17" a="1"/>
  <c r="O390" i="17" s="1"/>
  <c r="O409" i="17" a="1"/>
  <c r="O409" i="17" s="1"/>
  <c r="O504" i="17" a="1"/>
  <c r="O504" i="17" s="1"/>
  <c r="O523" i="17" a="1"/>
  <c r="O523" i="17" s="1"/>
  <c r="O542" i="17" a="1"/>
  <c r="O542" i="17" s="1"/>
  <c r="O444" i="17" a="1"/>
  <c r="O444" i="17" s="1"/>
  <c r="O445" i="17" a="1"/>
  <c r="O445" i="17" s="1"/>
  <c r="O446" i="17" a="1"/>
  <c r="O446" i="17" s="1"/>
  <c r="O485" i="17" a="1"/>
  <c r="O485" i="17" s="1"/>
  <c r="O675" i="17" a="1"/>
  <c r="O675" i="17" s="1"/>
  <c r="O694" i="17" a="1"/>
  <c r="O694" i="17" s="1"/>
  <c r="O713" i="17" a="1"/>
  <c r="O713" i="17" s="1"/>
  <c r="O732" i="17" a="1"/>
  <c r="O732" i="17" s="1"/>
  <c r="O751" i="17" a="1"/>
  <c r="O751" i="17" s="1"/>
  <c r="O770" i="17" a="1"/>
  <c r="O770" i="17" s="1"/>
  <c r="O787" i="17" a="1"/>
  <c r="O787" i="17" s="1"/>
  <c r="O822" i="17" a="1"/>
  <c r="O822" i="17" s="1"/>
  <c r="O841" i="17" a="1"/>
  <c r="O841" i="17" s="1"/>
  <c r="O860" i="17" a="1"/>
  <c r="O860" i="17"/>
  <c r="O879" i="17" a="1"/>
  <c r="O879" i="17" s="1"/>
  <c r="O898" i="17" a="1"/>
  <c r="O898" i="17" s="1"/>
  <c r="O917" i="17" a="1"/>
  <c r="O917" i="17" s="1"/>
  <c r="O936" i="17" a="1"/>
  <c r="O936" i="17" s="1"/>
  <c r="O955" i="17" a="1"/>
  <c r="O955" i="17" s="1"/>
  <c r="O974" i="17" a="1"/>
  <c r="O974" i="17"/>
  <c r="O993" i="17" a="1"/>
  <c r="O993" i="17" s="1"/>
  <c r="O1012" i="17" a="1"/>
  <c r="O1012" i="17" s="1"/>
  <c r="O1031" i="17" a="1"/>
  <c r="O1031" i="17" s="1"/>
  <c r="O1050" i="17" a="1"/>
  <c r="O1050" i="17" s="1"/>
  <c r="O601" i="17" a="1"/>
  <c r="O601" i="17" s="1"/>
  <c r="O602" i="17" a="1"/>
  <c r="O602" i="17" s="1"/>
  <c r="O603" i="17" a="1"/>
  <c r="O603" i="17" s="1"/>
  <c r="O604" i="17" a="1"/>
  <c r="O604" i="17" s="1"/>
  <c r="O605" i="17" a="1"/>
  <c r="O605" i="17" s="1"/>
  <c r="O606" i="17" a="1"/>
  <c r="O606" i="17" s="1"/>
  <c r="O56" i="17" a="1"/>
  <c r="O56" i="17" s="1"/>
  <c r="O57" i="17" a="1"/>
  <c r="O57" i="17" s="1"/>
  <c r="O58" i="17" a="1"/>
  <c r="O58" i="17" s="1"/>
  <c r="O59" i="17" a="1"/>
  <c r="O59" i="17"/>
  <c r="O60" i="17" a="1"/>
  <c r="O60" i="17" s="1"/>
  <c r="O61" i="17" a="1"/>
  <c r="O61" i="17" s="1"/>
  <c r="O125" i="17" a="1"/>
  <c r="O125" i="17" s="1"/>
  <c r="O144" i="17" a="1"/>
  <c r="O144" i="17" s="1"/>
  <c r="O163" i="17" a="1"/>
  <c r="O163" i="17" s="1"/>
  <c r="O182" i="17" a="1"/>
  <c r="O182" i="17" s="1"/>
  <c r="O219" i="17" a="1"/>
  <c r="O219" i="17" s="1"/>
  <c r="O220" i="17" a="1"/>
  <c r="O220" i="17" s="1"/>
  <c r="O221" i="17" a="1"/>
  <c r="O221" i="17" s="1"/>
  <c r="O258" i="17" a="1"/>
  <c r="O258" i="17" s="1"/>
  <c r="O277" i="17" a="1"/>
  <c r="O277" i="17" s="1"/>
  <c r="O296" i="17" a="1"/>
  <c r="O296" i="17" s="1"/>
  <c r="O315" i="17" a="1"/>
  <c r="O315" i="17" s="1"/>
  <c r="O334" i="17" a="1"/>
  <c r="O334" i="17" s="1"/>
  <c r="O353" i="17" a="1"/>
  <c r="O353" i="17" s="1"/>
  <c r="O372" i="17" a="1"/>
  <c r="O372" i="17" s="1"/>
  <c r="O391" i="17" a="1"/>
  <c r="O391" i="17" s="1"/>
  <c r="O410" i="17" a="1"/>
  <c r="O410" i="17" s="1"/>
  <c r="O505" i="17" a="1"/>
  <c r="O505" i="17" s="1"/>
  <c r="O524" i="17" a="1"/>
  <c r="O524" i="17" s="1"/>
  <c r="O543" i="17" a="1"/>
  <c r="O543" i="17" s="1"/>
  <c r="O447" i="17" a="1"/>
  <c r="O447" i="17" s="1"/>
  <c r="O448" i="17" a="1"/>
  <c r="O448" i="17" s="1"/>
  <c r="O449" i="17" a="1"/>
  <c r="O449" i="17" s="1"/>
  <c r="O486" i="17" a="1"/>
  <c r="O486" i="17" s="1"/>
  <c r="O676" i="17" a="1"/>
  <c r="O676" i="17" s="1"/>
  <c r="O695" i="17" a="1"/>
  <c r="O695" i="17" s="1"/>
  <c r="O714" i="17" a="1"/>
  <c r="O714" i="17" s="1"/>
  <c r="O733" i="17" a="1"/>
  <c r="O733" i="17" s="1"/>
  <c r="O752" i="17" a="1"/>
  <c r="O752" i="17" s="1"/>
  <c r="O771" i="17" a="1"/>
  <c r="O771" i="17" s="1"/>
  <c r="O788" i="17" a="1"/>
  <c r="O788" i="17" s="1"/>
  <c r="O803" i="17" a="1"/>
  <c r="O803" i="17" s="1"/>
  <c r="O811" i="17" a="1"/>
  <c r="O811" i="17" s="1"/>
  <c r="O823" i="17" a="1"/>
  <c r="O823" i="17" s="1"/>
  <c r="O842" i="17" a="1"/>
  <c r="O842" i="17" s="1"/>
  <c r="O861" i="17" a="1"/>
  <c r="O861" i="17" s="1"/>
  <c r="O880" i="17" a="1"/>
  <c r="O880" i="17" s="1"/>
  <c r="O899" i="17" a="1"/>
  <c r="O899" i="17" s="1"/>
  <c r="O918" i="17" a="1"/>
  <c r="O918" i="17" s="1"/>
  <c r="O937" i="17" a="1"/>
  <c r="O937" i="17" s="1"/>
  <c r="O956" i="17" a="1"/>
  <c r="O956" i="17" s="1"/>
  <c r="O975" i="17" a="1"/>
  <c r="O975" i="17" s="1"/>
  <c r="O994" i="17" a="1"/>
  <c r="O994" i="17" s="1"/>
  <c r="O1013" i="17" a="1"/>
  <c r="O1013" i="17" s="1"/>
  <c r="O1032" i="17" a="1"/>
  <c r="O1032" i="17" s="1"/>
  <c r="O1051" i="17" a="1"/>
  <c r="O1051" i="17" s="1"/>
  <c r="O607" i="17" a="1"/>
  <c r="O607" i="17" s="1"/>
  <c r="O608" i="17" a="1"/>
  <c r="O608" i="17" s="1"/>
  <c r="O609" i="17" a="1"/>
  <c r="O609" i="17" s="1"/>
  <c r="O610" i="17" a="1"/>
  <c r="O610" i="17" s="1"/>
  <c r="O611" i="17" a="1"/>
  <c r="O611" i="17" s="1"/>
  <c r="O612" i="17" a="1"/>
  <c r="O612" i="17" s="1"/>
  <c r="O62" i="17" a="1"/>
  <c r="O62" i="17" s="1"/>
  <c r="O63" i="17" a="1"/>
  <c r="O63" i="17" s="1"/>
  <c r="O64" i="17" a="1"/>
  <c r="O64" i="17" s="1"/>
  <c r="O65" i="17" a="1"/>
  <c r="O65" i="17" s="1"/>
  <c r="O66" i="17" a="1"/>
  <c r="O66" i="17" s="1"/>
  <c r="O67" i="17" a="1"/>
  <c r="O67" i="17" s="1"/>
  <c r="O126" i="17" a="1"/>
  <c r="O126" i="17" s="1"/>
  <c r="O145" i="17" a="1"/>
  <c r="O145" i="17" s="1"/>
  <c r="O164" i="17" a="1"/>
  <c r="O164" i="17" s="1"/>
  <c r="O183" i="17" a="1"/>
  <c r="O183" i="17" s="1"/>
  <c r="O222" i="17" a="1"/>
  <c r="O222" i="17" s="1"/>
  <c r="O223" i="17" a="1"/>
  <c r="O223" i="17" s="1"/>
  <c r="O224" i="17" a="1"/>
  <c r="O224" i="17" s="1"/>
  <c r="O259" i="17" a="1"/>
  <c r="O259" i="17" s="1"/>
  <c r="O278" i="17" a="1"/>
  <c r="O278" i="17" s="1"/>
  <c r="O297" i="17" a="1"/>
  <c r="O297" i="17"/>
  <c r="O316" i="17" a="1"/>
  <c r="O316" i="17" s="1"/>
  <c r="O335" i="17" a="1"/>
  <c r="O335" i="17" s="1"/>
  <c r="O354" i="17" a="1"/>
  <c r="O354" i="17" s="1"/>
  <c r="O373" i="17" a="1"/>
  <c r="O373" i="17" s="1"/>
  <c r="O392" i="17" a="1"/>
  <c r="O392" i="17" s="1"/>
  <c r="O411" i="17" a="1"/>
  <c r="O411" i="17" s="1"/>
  <c r="O506" i="17" a="1"/>
  <c r="O506" i="17" s="1"/>
  <c r="O525" i="17" a="1"/>
  <c r="O525" i="17" s="1"/>
  <c r="O544" i="17" a="1"/>
  <c r="O544" i="17" s="1"/>
  <c r="O450" i="17" a="1"/>
  <c r="O450" i="17" s="1"/>
  <c r="O451" i="17" a="1"/>
  <c r="O451" i="17" s="1"/>
  <c r="O452" i="17" a="1"/>
  <c r="O452" i="17" s="1"/>
  <c r="O487" i="17" a="1"/>
  <c r="O487" i="17" s="1"/>
  <c r="O677" i="17" a="1"/>
  <c r="O677" i="17" s="1"/>
  <c r="O696" i="17" a="1"/>
  <c r="O696" i="17" s="1"/>
  <c r="O715" i="17" a="1"/>
  <c r="O715" i="17" s="1"/>
  <c r="O734" i="17" a="1"/>
  <c r="O734" i="17" s="1"/>
  <c r="O753" i="17" a="1"/>
  <c r="O753" i="17" s="1"/>
  <c r="O772" i="17" a="1"/>
  <c r="O772" i="17" s="1"/>
  <c r="O789" i="17" a="1"/>
  <c r="O789" i="17" s="1"/>
  <c r="O824" i="17" a="1"/>
  <c r="O824" i="17" s="1"/>
  <c r="O843" i="17" a="1"/>
  <c r="O843" i="17" s="1"/>
  <c r="O862" i="17" a="1"/>
  <c r="O862" i="17" s="1"/>
  <c r="O881" i="17" a="1"/>
  <c r="O881" i="17" s="1"/>
  <c r="O900" i="17" a="1"/>
  <c r="O900" i="17" s="1"/>
  <c r="O919" i="17" a="1"/>
  <c r="O919" i="17" s="1"/>
  <c r="O938" i="17" a="1"/>
  <c r="O938" i="17" s="1"/>
  <c r="O957" i="17" a="1"/>
  <c r="O957" i="17" s="1"/>
  <c r="O976" i="17" a="1"/>
  <c r="O976" i="17" s="1"/>
  <c r="O995" i="17" a="1"/>
  <c r="O995" i="17" s="1"/>
  <c r="O1014" i="17" a="1"/>
  <c r="O1014" i="17" s="1"/>
  <c r="O1033" i="17" a="1"/>
  <c r="O1033" i="17" s="1"/>
  <c r="O1052" i="17" a="1"/>
  <c r="O1052" i="17" s="1"/>
  <c r="O613" i="17" a="1"/>
  <c r="O613" i="17" s="1"/>
  <c r="O614" i="17" a="1"/>
  <c r="O614" i="17" s="1"/>
  <c r="O615" i="17" a="1"/>
  <c r="O615" i="17" s="1"/>
  <c r="O616" i="17" a="1"/>
  <c r="O616" i="17" s="1"/>
  <c r="O617" i="17" a="1"/>
  <c r="O617" i="17" s="1"/>
  <c r="O618" i="17" a="1"/>
  <c r="O618" i="17" s="1"/>
  <c r="O68" i="17" a="1"/>
  <c r="O68" i="17" s="1"/>
  <c r="O69" i="17" a="1"/>
  <c r="O69" i="17" s="1"/>
  <c r="O70" i="17" a="1"/>
  <c r="O70" i="17" s="1"/>
  <c r="O71" i="17" a="1"/>
  <c r="O71" i="17" s="1"/>
  <c r="O72" i="17" a="1"/>
  <c r="O72" i="17" s="1"/>
  <c r="O73" i="17" a="1"/>
  <c r="O73" i="17" s="1"/>
  <c r="O127" i="17" a="1"/>
  <c r="O127" i="17" s="1"/>
  <c r="O146" i="17" a="1"/>
  <c r="O146" i="17" s="1"/>
  <c r="O165" i="17" a="1"/>
  <c r="O165" i="17" s="1"/>
  <c r="O184" i="17" a="1"/>
  <c r="O184" i="17" s="1"/>
  <c r="O225" i="17" a="1"/>
  <c r="O225" i="17" s="1"/>
  <c r="O226" i="17" a="1"/>
  <c r="O226" i="17" s="1"/>
  <c r="O227" i="17" a="1"/>
  <c r="O227" i="17" s="1"/>
  <c r="O260" i="17" a="1"/>
  <c r="O260" i="17" s="1"/>
  <c r="O279" i="17" a="1"/>
  <c r="O279" i="17" s="1"/>
  <c r="O298" i="17" a="1"/>
  <c r="O298" i="17" s="1"/>
  <c r="O317" i="17" a="1"/>
  <c r="O317" i="17" s="1"/>
  <c r="O336" i="17" a="1"/>
  <c r="O336" i="17" s="1"/>
  <c r="O355" i="17" a="1"/>
  <c r="O355" i="17" s="1"/>
  <c r="O374" i="17" a="1"/>
  <c r="O374" i="17" s="1"/>
  <c r="O393" i="17" a="1"/>
  <c r="O393" i="17" s="1"/>
  <c r="O412" i="17" a="1"/>
  <c r="O412" i="17" s="1"/>
  <c r="O507" i="17" a="1"/>
  <c r="O507" i="17" s="1"/>
  <c r="O526" i="17" a="1"/>
  <c r="O526" i="17" s="1"/>
  <c r="O545" i="17" a="1"/>
  <c r="O545" i="17" s="1"/>
  <c r="O453" i="17" a="1"/>
  <c r="O453" i="17" s="1"/>
  <c r="O454" i="17" a="1"/>
  <c r="O454" i="17" s="1"/>
  <c r="O455" i="17" a="1"/>
  <c r="O455" i="17" s="1"/>
  <c r="O488" i="17" a="1"/>
  <c r="O488" i="17" s="1"/>
  <c r="O678" i="17" a="1"/>
  <c r="O678" i="17" s="1"/>
  <c r="O697" i="17" a="1"/>
  <c r="O697" i="17" s="1"/>
  <c r="O716" i="17" a="1"/>
  <c r="O716" i="17" s="1"/>
  <c r="O735" i="17" a="1"/>
  <c r="O735" i="17" s="1"/>
  <c r="O754" i="17" a="1"/>
  <c r="O754" i="17" s="1"/>
  <c r="O773" i="17" a="1"/>
  <c r="O773" i="17"/>
  <c r="O790" i="17" a="1"/>
  <c r="O790" i="17" s="1"/>
  <c r="O825" i="17" a="1"/>
  <c r="O825" i="17" s="1"/>
  <c r="O844" i="17" a="1"/>
  <c r="O844" i="17" s="1"/>
  <c r="O863" i="17" a="1"/>
  <c r="O863" i="17" s="1"/>
  <c r="O882" i="17" a="1"/>
  <c r="O882" i="17" s="1"/>
  <c r="O901" i="17" a="1"/>
  <c r="O901" i="17"/>
  <c r="O920" i="17" a="1"/>
  <c r="O920" i="17" s="1"/>
  <c r="O939" i="17" a="1"/>
  <c r="O939" i="17" s="1"/>
  <c r="O958" i="17" a="1"/>
  <c r="O958" i="17" s="1"/>
  <c r="O977" i="17" a="1"/>
  <c r="O977" i="17" s="1"/>
  <c r="O996" i="17" a="1"/>
  <c r="O996" i="17" s="1"/>
  <c r="O1015" i="17" a="1"/>
  <c r="O1015" i="17" s="1"/>
  <c r="O1034" i="17" a="1"/>
  <c r="O1034" i="17" s="1"/>
  <c r="O1053" i="17" a="1"/>
  <c r="O1053" i="17" s="1"/>
  <c r="O619" i="17" a="1"/>
  <c r="O619" i="17" s="1"/>
  <c r="O620" i="17" a="1"/>
  <c r="O620" i="17" s="1"/>
  <c r="O621" i="17" a="1"/>
  <c r="O621" i="17" s="1"/>
  <c r="O622" i="17" a="1"/>
  <c r="O622" i="17"/>
  <c r="O623" i="17" a="1"/>
  <c r="O623" i="17" s="1"/>
  <c r="O624" i="17" a="1"/>
  <c r="O624" i="17" s="1"/>
  <c r="O74" i="17" a="1"/>
  <c r="O74" i="17" s="1"/>
  <c r="O75" i="17" a="1"/>
  <c r="O75" i="17" s="1"/>
  <c r="O76" i="17" a="1"/>
  <c r="O76" i="17" s="1"/>
  <c r="O77" i="17" a="1"/>
  <c r="O77" i="17" s="1"/>
  <c r="O78" i="17" a="1"/>
  <c r="O78" i="17" s="1"/>
  <c r="O79" i="17" a="1"/>
  <c r="O79" i="17" s="1"/>
  <c r="O128" i="17" a="1"/>
  <c r="O128" i="17" s="1"/>
  <c r="O147" i="17" a="1"/>
  <c r="O147" i="17" s="1"/>
  <c r="O166" i="17" a="1"/>
  <c r="O166" i="17" s="1"/>
  <c r="O185" i="17" a="1"/>
  <c r="O185" i="17" s="1"/>
  <c r="O228" i="17" a="1"/>
  <c r="O228" i="17" s="1"/>
  <c r="O229" i="17" a="1"/>
  <c r="O229" i="17" s="1"/>
  <c r="O230" i="17" a="1"/>
  <c r="O230" i="17" s="1"/>
  <c r="O261" i="17" a="1"/>
  <c r="O261" i="17" s="1"/>
  <c r="O280" i="17" a="1"/>
  <c r="O280" i="17" s="1"/>
  <c r="O299" i="17" a="1"/>
  <c r="O299" i="17" s="1"/>
  <c r="O318" i="17" a="1"/>
  <c r="O318" i="17" s="1"/>
  <c r="O337" i="17" a="1"/>
  <c r="O337" i="17" s="1"/>
  <c r="O356" i="17" a="1"/>
  <c r="O356" i="17" s="1"/>
  <c r="O375" i="17" a="1"/>
  <c r="O375" i="17" s="1"/>
  <c r="O394" i="17" a="1"/>
  <c r="O394" i="17" s="1"/>
  <c r="O413" i="17" a="1"/>
  <c r="O413" i="17" s="1"/>
  <c r="O508" i="17" a="1"/>
  <c r="O508" i="17" s="1"/>
  <c r="O527" i="17" a="1"/>
  <c r="O527" i="17" s="1"/>
  <c r="O546" i="17" a="1"/>
  <c r="O546" i="17" s="1"/>
  <c r="O456" i="17" a="1"/>
  <c r="O456" i="17" s="1"/>
  <c r="O457" i="17" a="1"/>
  <c r="O457" i="17" s="1"/>
  <c r="O458" i="17" a="1"/>
  <c r="O458" i="17" s="1"/>
  <c r="O489" i="17" a="1"/>
  <c r="O489" i="17" s="1"/>
  <c r="O679" i="17" a="1"/>
  <c r="O679" i="17" s="1"/>
  <c r="O698" i="17" a="1"/>
  <c r="O698" i="17" s="1"/>
  <c r="O717" i="17" a="1"/>
  <c r="O717" i="17" s="1"/>
  <c r="O736" i="17" a="1"/>
  <c r="O736" i="17" s="1"/>
  <c r="O755" i="17" a="1"/>
  <c r="O755" i="17" s="1"/>
  <c r="O774" i="17" a="1"/>
  <c r="O774" i="17" s="1"/>
  <c r="O791" i="17" a="1"/>
  <c r="O791" i="17" s="1"/>
  <c r="O826" i="17" a="1"/>
  <c r="O826" i="17" s="1"/>
  <c r="O845" i="17" a="1"/>
  <c r="O845" i="17" s="1"/>
  <c r="O864" i="17" a="1"/>
  <c r="O864" i="17" s="1"/>
  <c r="O883" i="17" a="1"/>
  <c r="O883" i="17" s="1"/>
  <c r="O902" i="17" a="1"/>
  <c r="O902" i="17" s="1"/>
  <c r="O921" i="17" a="1"/>
  <c r="O921" i="17" s="1"/>
  <c r="O940" i="17" a="1"/>
  <c r="O940" i="17" s="1"/>
  <c r="O959" i="17" a="1"/>
  <c r="O959" i="17" s="1"/>
  <c r="O978" i="17" a="1"/>
  <c r="O978" i="17" s="1"/>
  <c r="O997" i="17" a="1"/>
  <c r="O997" i="17" s="1"/>
  <c r="O1016" i="17" a="1"/>
  <c r="O1016" i="17" s="1"/>
  <c r="O1035" i="17" a="1"/>
  <c r="O1035" i="17" s="1"/>
  <c r="O1054" i="17" a="1"/>
  <c r="O1054" i="17" s="1"/>
  <c r="O625" i="17" a="1"/>
  <c r="O625" i="17" s="1"/>
  <c r="O626" i="17" a="1"/>
  <c r="O626" i="17" s="1"/>
  <c r="O627" i="17" a="1"/>
  <c r="O627" i="17" s="1"/>
  <c r="O628" i="17" a="1"/>
  <c r="O628" i="17" s="1"/>
  <c r="O629" i="17" a="1"/>
  <c r="O629" i="17" s="1"/>
  <c r="O630" i="17" a="1"/>
  <c r="O630" i="17" s="1"/>
  <c r="O80" i="17" a="1"/>
  <c r="O80" i="17" s="1"/>
  <c r="O81" i="17" a="1"/>
  <c r="O81" i="17" s="1"/>
  <c r="O82" i="17" a="1"/>
  <c r="O82" i="17" s="1"/>
  <c r="O83" i="17" a="1"/>
  <c r="O83" i="17" s="1"/>
  <c r="O84" i="17" a="1"/>
  <c r="O84" i="17" s="1"/>
  <c r="O85" i="17" a="1"/>
  <c r="O85" i="17" s="1"/>
  <c r="O129" i="17" a="1"/>
  <c r="O129" i="17" s="1"/>
  <c r="O148" i="17" a="1"/>
  <c r="O148" i="17" s="1"/>
  <c r="O167" i="17" a="1"/>
  <c r="O167" i="17" s="1"/>
  <c r="O186" i="17" a="1"/>
  <c r="O186" i="17" s="1"/>
  <c r="O231" i="17" a="1"/>
  <c r="O231" i="17" s="1"/>
  <c r="O232" i="17" a="1"/>
  <c r="O232" i="17" s="1"/>
  <c r="O233" i="17" a="1"/>
  <c r="O233" i="17" s="1"/>
  <c r="O262" i="17" a="1"/>
  <c r="O262" i="17" s="1"/>
  <c r="O281" i="17" a="1"/>
  <c r="O281" i="17" s="1"/>
  <c r="O300" i="17" a="1"/>
  <c r="O300" i="17" s="1"/>
  <c r="O319" i="17" a="1"/>
  <c r="O319" i="17" s="1"/>
  <c r="O338" i="17" a="1"/>
  <c r="O338" i="17" s="1"/>
  <c r="O357" i="17" a="1"/>
  <c r="O357" i="17" s="1"/>
  <c r="O376" i="17" a="1"/>
  <c r="O376" i="17" s="1"/>
  <c r="O395" i="17" a="1"/>
  <c r="O395" i="17" s="1"/>
  <c r="O414" i="17" a="1"/>
  <c r="O414" i="17" s="1"/>
  <c r="O509" i="17" a="1"/>
  <c r="O509" i="17" s="1"/>
  <c r="O528" i="17" a="1"/>
  <c r="O528" i="17" s="1"/>
  <c r="O547" i="17" a="1"/>
  <c r="O547" i="17" s="1"/>
  <c r="O459" i="17" a="1"/>
  <c r="O459" i="17" s="1"/>
  <c r="O460" i="17" a="1"/>
  <c r="O460" i="17" s="1"/>
  <c r="O461" i="17" a="1"/>
  <c r="O461" i="17" s="1"/>
  <c r="O490" i="17" a="1"/>
  <c r="O490" i="17" s="1"/>
  <c r="O680" i="17" a="1"/>
  <c r="O680" i="17" s="1"/>
  <c r="O699" i="17" a="1"/>
  <c r="O699" i="17" s="1"/>
  <c r="O718" i="17" a="1"/>
  <c r="O718" i="17" s="1"/>
  <c r="O737" i="17" a="1"/>
  <c r="O737" i="17" s="1"/>
  <c r="O756" i="17" a="1"/>
  <c r="O756" i="17" s="1"/>
  <c r="O775" i="17" a="1"/>
  <c r="O775" i="17" s="1"/>
  <c r="O792" i="17" a="1"/>
  <c r="O792" i="17" s="1"/>
  <c r="O804" i="17" a="1"/>
  <c r="O804" i="17" s="1"/>
  <c r="O827" i="17" a="1"/>
  <c r="O827" i="17" s="1"/>
  <c r="O846" i="17" a="1"/>
  <c r="O846" i="17" s="1"/>
  <c r="O865" i="17" a="1"/>
  <c r="O865" i="17" s="1"/>
  <c r="O884" i="17" a="1"/>
  <c r="O884" i="17" s="1"/>
  <c r="O903" i="17" a="1"/>
  <c r="O903" i="17" s="1"/>
  <c r="O922" i="17" a="1"/>
  <c r="O922" i="17" s="1"/>
  <c r="O941" i="17" a="1"/>
  <c r="O941" i="17" s="1"/>
  <c r="O960" i="17" a="1"/>
  <c r="O960" i="17" s="1"/>
  <c r="O979" i="17" a="1"/>
  <c r="O979" i="17" s="1"/>
  <c r="O998" i="17" a="1"/>
  <c r="O998" i="17" s="1"/>
  <c r="O1017" i="17" a="1"/>
  <c r="O1017" i="17"/>
  <c r="O1036" i="17" a="1"/>
  <c r="O1036" i="17" s="1"/>
  <c r="O1055" i="17" a="1"/>
  <c r="O1055" i="17" s="1"/>
  <c r="O631" i="17" a="1"/>
  <c r="O631" i="17" s="1"/>
  <c r="O632" i="17" a="1"/>
  <c r="O632" i="17" s="1"/>
  <c r="O633" i="17" a="1"/>
  <c r="O633" i="17" s="1"/>
  <c r="O634" i="17" a="1"/>
  <c r="O634" i="17" s="1"/>
  <c r="O635" i="17" a="1"/>
  <c r="O635" i="17" s="1"/>
  <c r="O636" i="17" a="1"/>
  <c r="O636" i="17" s="1"/>
  <c r="O86" i="17" a="1"/>
  <c r="O86" i="17" s="1"/>
  <c r="O87" i="17" a="1"/>
  <c r="O87" i="17" s="1"/>
  <c r="O88" i="17" a="1"/>
  <c r="O88" i="17" s="1"/>
  <c r="O89" i="17" a="1"/>
  <c r="O89" i="17" s="1"/>
  <c r="O90" i="17" a="1"/>
  <c r="O90" i="17" s="1"/>
  <c r="O91" i="17" a="1"/>
  <c r="O91" i="17" s="1"/>
  <c r="O130" i="17" a="1"/>
  <c r="O130" i="17" s="1"/>
  <c r="O149" i="17" a="1"/>
  <c r="O149" i="17" s="1"/>
  <c r="O168" i="17" a="1"/>
  <c r="O168" i="17" s="1"/>
  <c r="O187" i="17" a="1"/>
  <c r="O187" i="17" s="1"/>
  <c r="O234" i="17" a="1"/>
  <c r="O234" i="17" s="1"/>
  <c r="O235" i="17" a="1"/>
  <c r="O235" i="17" s="1"/>
  <c r="O236" i="17" a="1"/>
  <c r="O236" i="17" s="1"/>
  <c r="O263" i="17" a="1"/>
  <c r="O263" i="17" s="1"/>
  <c r="O282" i="17" a="1"/>
  <c r="O282" i="17" s="1"/>
  <c r="O301" i="17" a="1"/>
  <c r="O301" i="17"/>
  <c r="O320" i="17" a="1"/>
  <c r="O320" i="17" s="1"/>
  <c r="O339" i="17" a="1"/>
  <c r="O339" i="17" s="1"/>
  <c r="O358" i="17" a="1"/>
  <c r="O358" i="17" s="1"/>
  <c r="O377" i="17" a="1"/>
  <c r="O377" i="17" s="1"/>
  <c r="O396" i="17" a="1"/>
  <c r="O396" i="17" s="1"/>
  <c r="O415" i="17" a="1"/>
  <c r="O415" i="17" s="1"/>
  <c r="O510" i="17" a="1"/>
  <c r="O510" i="17" s="1"/>
  <c r="O529" i="17" a="1"/>
  <c r="O529" i="17" s="1"/>
  <c r="O548" i="17" a="1"/>
  <c r="O548" i="17" s="1"/>
  <c r="O462" i="17" a="1"/>
  <c r="O462" i="17" s="1"/>
  <c r="O463" i="17" a="1"/>
  <c r="O463" i="17" s="1"/>
  <c r="O464" i="17" a="1"/>
  <c r="O464" i="17" s="1"/>
  <c r="O491" i="17" a="1"/>
  <c r="O491" i="17" s="1"/>
  <c r="O681" i="17" a="1"/>
  <c r="O681" i="17" s="1"/>
  <c r="O700" i="17" a="1"/>
  <c r="O700" i="17" s="1"/>
  <c r="O719" i="17" a="1"/>
  <c r="O719" i="17" s="1"/>
  <c r="O738" i="17" a="1"/>
  <c r="O738" i="17" s="1"/>
  <c r="O757" i="17" a="1"/>
  <c r="O757" i="17" s="1"/>
  <c r="O776" i="17" a="1"/>
  <c r="O776" i="17" s="1"/>
  <c r="O793" i="17" a="1"/>
  <c r="O793" i="17" s="1"/>
  <c r="O805" i="17" a="1"/>
  <c r="O805" i="17" s="1"/>
  <c r="O828" i="17" a="1"/>
  <c r="O828" i="17" s="1"/>
  <c r="O847" i="17" a="1"/>
  <c r="O847" i="17" s="1"/>
  <c r="O866" i="17" a="1"/>
  <c r="O866" i="17" s="1"/>
  <c r="O885" i="17" a="1"/>
  <c r="O885" i="17" s="1"/>
  <c r="O904" i="17" a="1"/>
  <c r="O904" i="17"/>
  <c r="O923" i="17" a="1"/>
  <c r="O923" i="17" s="1"/>
  <c r="O942" i="17" a="1"/>
  <c r="O942" i="17" s="1"/>
  <c r="O961" i="17" a="1"/>
  <c r="O961" i="17" s="1"/>
  <c r="O980" i="17" a="1"/>
  <c r="O980" i="17" s="1"/>
  <c r="O999" i="17" a="1"/>
  <c r="O999" i="17" s="1"/>
  <c r="O1018" i="17" a="1"/>
  <c r="O1018" i="17"/>
  <c r="O1037" i="17" a="1"/>
  <c r="O1037" i="17" s="1"/>
  <c r="O1056" i="17" a="1"/>
  <c r="O1056" i="17" s="1"/>
  <c r="O637" i="17" a="1"/>
  <c r="O637" i="17" s="1"/>
  <c r="O638" i="17" a="1"/>
  <c r="O638" i="17" s="1"/>
  <c r="O639" i="17" a="1"/>
  <c r="O639" i="17" s="1"/>
  <c r="O640" i="17" a="1"/>
  <c r="O640" i="17" s="1"/>
  <c r="O641" i="17" a="1"/>
  <c r="O641" i="17" s="1"/>
  <c r="O642" i="17" a="1"/>
  <c r="O642" i="17" s="1"/>
  <c r="O92" i="17" a="1"/>
  <c r="O92" i="17"/>
  <c r="O93" i="17" a="1"/>
  <c r="O93" i="17" s="1"/>
  <c r="O94" i="17" a="1"/>
  <c r="O94" i="17" s="1"/>
  <c r="O95" i="17" a="1"/>
  <c r="O95" i="17" s="1"/>
  <c r="O96" i="17" a="1"/>
  <c r="O96" i="17" s="1"/>
  <c r="O97" i="17" a="1"/>
  <c r="O97" i="17" s="1"/>
  <c r="O131" i="17" a="1"/>
  <c r="O131" i="17" s="1"/>
  <c r="O150" i="17" a="1"/>
  <c r="O150" i="17" s="1"/>
  <c r="O169" i="17" a="1"/>
  <c r="O169" i="17" s="1"/>
  <c r="O188" i="17" a="1"/>
  <c r="O188" i="17" s="1"/>
  <c r="O237" i="17" a="1"/>
  <c r="O237" i="17" s="1"/>
  <c r="O238" i="17" a="1"/>
  <c r="O238" i="17" s="1"/>
  <c r="O239" i="17" a="1"/>
  <c r="O239" i="17" s="1"/>
  <c r="O264" i="17" a="1"/>
  <c r="O264" i="17" s="1"/>
  <c r="O283" i="17" a="1"/>
  <c r="O283" i="17" s="1"/>
  <c r="O302" i="17" a="1"/>
  <c r="O302" i="17" s="1"/>
  <c r="O321" i="17" a="1"/>
  <c r="O321" i="17" s="1"/>
  <c r="O340" i="17" a="1"/>
  <c r="O340" i="17" s="1"/>
  <c r="O359" i="17" a="1"/>
  <c r="O359" i="17" s="1"/>
  <c r="O378" i="17" a="1"/>
  <c r="O378" i="17" s="1"/>
  <c r="O397" i="17" a="1"/>
  <c r="O397" i="17" s="1"/>
  <c r="O416" i="17" a="1"/>
  <c r="O416" i="17" s="1"/>
  <c r="O511" i="17" a="1"/>
  <c r="O511" i="17" s="1"/>
  <c r="O530" i="17" a="1"/>
  <c r="O530" i="17" s="1"/>
  <c r="O549" i="17" a="1"/>
  <c r="O549" i="17" s="1"/>
  <c r="O465" i="17" a="1"/>
  <c r="O465" i="17" s="1"/>
  <c r="O466" i="17" a="1"/>
  <c r="O466" i="17" s="1"/>
  <c r="O467" i="17" a="1"/>
  <c r="O467" i="17" s="1"/>
  <c r="O492" i="17" a="1"/>
  <c r="O492" i="17" s="1"/>
  <c r="O682" i="17" a="1"/>
  <c r="O682" i="17" s="1"/>
  <c r="O701" i="17" a="1"/>
  <c r="O701" i="17" s="1"/>
  <c r="O720" i="17" a="1"/>
  <c r="O720" i="17" s="1"/>
  <c r="O739" i="17" a="1"/>
  <c r="O739" i="17" s="1"/>
  <c r="O758" i="17" a="1"/>
  <c r="O758" i="17" s="1"/>
  <c r="O777" i="17" a="1"/>
  <c r="O777" i="17" s="1"/>
  <c r="O806" i="17" a="1"/>
  <c r="O806" i="17" s="1"/>
  <c r="O812" i="17" a="1"/>
  <c r="O812" i="17" s="1"/>
  <c r="O829" i="17" a="1"/>
  <c r="O829" i="17" s="1"/>
  <c r="O848" i="17" a="1"/>
  <c r="O848" i="17" s="1"/>
  <c r="O867" i="17" a="1"/>
  <c r="O867" i="17" s="1"/>
  <c r="O886" i="17" a="1"/>
  <c r="O886" i="17" s="1"/>
  <c r="O905" i="17" a="1"/>
  <c r="O905" i="17" s="1"/>
  <c r="O924" i="17" a="1"/>
  <c r="O924" i="17" s="1"/>
  <c r="O943" i="17" a="1"/>
  <c r="O943" i="17" s="1"/>
  <c r="O962" i="17" a="1"/>
  <c r="O962" i="17" s="1"/>
  <c r="O981" i="17" a="1"/>
  <c r="O981" i="17" s="1"/>
  <c r="O1000" i="17" a="1"/>
  <c r="O1000" i="17" s="1"/>
  <c r="O1019" i="17" a="1"/>
  <c r="O1019" i="17"/>
  <c r="O1038" i="17" a="1"/>
  <c r="O1038" i="17" s="1"/>
  <c r="O1057" i="17" a="1"/>
  <c r="O1057" i="17" s="1"/>
  <c r="O643" i="17" a="1"/>
  <c r="O643" i="17" s="1"/>
  <c r="O644" i="17" a="1"/>
  <c r="O644" i="17" s="1"/>
  <c r="O645" i="17" a="1"/>
  <c r="O645" i="17" s="1"/>
  <c r="O646" i="17" a="1"/>
  <c r="O646" i="17" s="1"/>
  <c r="O647" i="17" a="1"/>
  <c r="O647" i="17" s="1"/>
  <c r="O648" i="17" a="1"/>
  <c r="O648" i="17" s="1"/>
  <c r="O98" i="17" a="1"/>
  <c r="O98" i="17" s="1"/>
  <c r="O99" i="17" a="1"/>
  <c r="O99" i="17" s="1"/>
  <c r="O100" i="17" a="1"/>
  <c r="O100" i="17" s="1"/>
  <c r="O101" i="17" a="1"/>
  <c r="O101" i="17" s="1"/>
  <c r="O102" i="17" a="1"/>
  <c r="O102" i="17" s="1"/>
  <c r="O103" i="17" a="1"/>
  <c r="O103" i="17" s="1"/>
  <c r="O132" i="17" a="1"/>
  <c r="O132" i="17" s="1"/>
  <c r="O151" i="17" a="1"/>
  <c r="O151" i="17" s="1"/>
  <c r="O170" i="17" a="1"/>
  <c r="O170" i="17"/>
  <c r="O189" i="17" a="1"/>
  <c r="O189" i="17" s="1"/>
  <c r="O240" i="17" a="1"/>
  <c r="O240" i="17" s="1"/>
  <c r="O241" i="17" a="1"/>
  <c r="O241" i="17" s="1"/>
  <c r="O242" i="17" a="1"/>
  <c r="O242" i="17" s="1"/>
  <c r="O265" i="17" a="1"/>
  <c r="O265" i="17" s="1"/>
  <c r="O284" i="17" a="1"/>
  <c r="O284" i="17" s="1"/>
  <c r="O303" i="17" a="1"/>
  <c r="O303" i="17" s="1"/>
  <c r="O322" i="17" a="1"/>
  <c r="O322" i="17" s="1"/>
  <c r="O341" i="17" a="1"/>
  <c r="O341" i="17" s="1"/>
  <c r="O360" i="17" a="1"/>
  <c r="O360" i="17" s="1"/>
  <c r="O379" i="17" a="1"/>
  <c r="O379" i="17" s="1"/>
  <c r="O398" i="17" a="1"/>
  <c r="O398" i="17" s="1"/>
  <c r="O417" i="17" a="1"/>
  <c r="O417" i="17" s="1"/>
  <c r="O512" i="17" a="1"/>
  <c r="O512" i="17" s="1"/>
  <c r="O531" i="17" a="1"/>
  <c r="O531" i="17" s="1"/>
  <c r="O550" i="17" a="1"/>
  <c r="O550" i="17" s="1"/>
  <c r="O468" i="17" a="1"/>
  <c r="O468" i="17" s="1"/>
  <c r="O469" i="17" a="1"/>
  <c r="O469" i="17" s="1"/>
  <c r="O470" i="17" a="1"/>
  <c r="O470" i="17" s="1"/>
  <c r="O493" i="17" a="1"/>
  <c r="O493" i="17" s="1"/>
  <c r="O683" i="17" a="1"/>
  <c r="O683" i="17" s="1"/>
  <c r="O702" i="17" a="1"/>
  <c r="O702" i="17" s="1"/>
  <c r="O721" i="17" a="1"/>
  <c r="O721" i="17" s="1"/>
  <c r="O740" i="17" a="1"/>
  <c r="O740" i="17" s="1"/>
  <c r="O759" i="17" a="1"/>
  <c r="O759" i="17" s="1"/>
  <c r="O778" i="17" a="1"/>
  <c r="O778" i="17" s="1"/>
  <c r="O794" i="17" a="1"/>
  <c r="O794" i="17" s="1"/>
  <c r="O807" i="17" a="1"/>
  <c r="O807" i="17" s="1"/>
  <c r="O830" i="17" a="1"/>
  <c r="O830" i="17" s="1"/>
  <c r="O849" i="17" a="1"/>
  <c r="O849" i="17" s="1"/>
  <c r="O868" i="17" a="1"/>
  <c r="O868" i="17" s="1"/>
  <c r="O887" i="17" a="1"/>
  <c r="O887" i="17" s="1"/>
  <c r="O906" i="17" a="1"/>
  <c r="O906" i="17" s="1"/>
  <c r="O925" i="17" a="1"/>
  <c r="O925" i="17" s="1"/>
  <c r="O944" i="17" a="1"/>
  <c r="O944" i="17" s="1"/>
  <c r="O963" i="17" a="1"/>
  <c r="O963" i="17" s="1"/>
  <c r="O982" i="17" a="1"/>
  <c r="O982" i="17" s="1"/>
  <c r="O1001" i="17" a="1"/>
  <c r="O1001" i="17" s="1"/>
  <c r="O1020" i="17" a="1"/>
  <c r="O1020" i="17" s="1"/>
  <c r="O1039" i="17" a="1"/>
  <c r="O1039" i="17" s="1"/>
  <c r="O1058" i="17" a="1"/>
  <c r="O1058" i="17" s="1"/>
  <c r="O649" i="17" a="1"/>
  <c r="O649" i="17" s="1"/>
  <c r="O650" i="17" a="1"/>
  <c r="O650" i="17" s="1"/>
  <c r="O651" i="17" a="1"/>
  <c r="O651" i="17" s="1"/>
  <c r="O652" i="17" a="1"/>
  <c r="O652" i="17" s="1"/>
  <c r="O653" i="17" a="1"/>
  <c r="O653" i="17" s="1"/>
  <c r="O654" i="17" a="1"/>
  <c r="O654" i="17"/>
  <c r="O104" i="17" a="1"/>
  <c r="O104" i="17" s="1"/>
  <c r="O105" i="17" a="1"/>
  <c r="O105" i="17" s="1"/>
  <c r="O106" i="17" a="1"/>
  <c r="O106" i="17" s="1"/>
  <c r="O107" i="17" a="1"/>
  <c r="O107" i="17" s="1"/>
  <c r="O108" i="17" a="1"/>
  <c r="O108" i="17" s="1"/>
  <c r="O109" i="17" a="1"/>
  <c r="O109" i="17" s="1"/>
  <c r="O133" i="17" a="1"/>
  <c r="O133" i="17" s="1"/>
  <c r="O152" i="17" a="1"/>
  <c r="O152" i="17" s="1"/>
  <c r="O171" i="17" a="1"/>
  <c r="O171" i="17" s="1"/>
  <c r="O190" i="17" a="1"/>
  <c r="O190" i="17" s="1"/>
  <c r="O243" i="17" a="1"/>
  <c r="O243" i="17" s="1"/>
  <c r="O244" i="17" a="1"/>
  <c r="O244" i="17" s="1"/>
  <c r="O245" i="17" a="1"/>
  <c r="O245" i="17" s="1"/>
  <c r="O266" i="17" a="1"/>
  <c r="O266" i="17" s="1"/>
  <c r="O285" i="17" a="1"/>
  <c r="O285" i="17" s="1"/>
  <c r="O304" i="17" a="1"/>
  <c r="O304" i="17" s="1"/>
  <c r="O323" i="17" a="1"/>
  <c r="O323" i="17"/>
  <c r="O342" i="17" a="1"/>
  <c r="O342" i="17" s="1"/>
  <c r="O361" i="17" a="1"/>
  <c r="O361" i="17" s="1"/>
  <c r="O380" i="17" a="1"/>
  <c r="O380" i="17" s="1"/>
  <c r="O399" i="17" a="1"/>
  <c r="O399" i="17" s="1"/>
  <c r="O418" i="17" a="1"/>
  <c r="O418" i="17" s="1"/>
  <c r="O513" i="17" a="1"/>
  <c r="O513" i="17" s="1"/>
  <c r="O532" i="17" a="1"/>
  <c r="O532" i="17" s="1"/>
  <c r="O551" i="17" a="1"/>
  <c r="O551" i="17" s="1"/>
  <c r="O471" i="17" a="1"/>
  <c r="O471" i="17" s="1"/>
  <c r="O472" i="17" a="1"/>
  <c r="O472" i="17" s="1"/>
  <c r="O473" i="17" a="1"/>
  <c r="O473" i="17" s="1"/>
  <c r="O494" i="17" a="1"/>
  <c r="O494" i="17" s="1"/>
  <c r="O684" i="17" a="1"/>
  <c r="O684" i="17" s="1"/>
  <c r="O703" i="17" a="1"/>
  <c r="O703" i="17" s="1"/>
  <c r="O722" i="17" a="1"/>
  <c r="O722" i="17" s="1"/>
  <c r="O741" i="17" a="1"/>
  <c r="O741" i="17" s="1"/>
  <c r="O760" i="17" a="1"/>
  <c r="O760" i="17" s="1"/>
  <c r="O779" i="17" a="1"/>
  <c r="O779" i="17" s="1"/>
  <c r="O795" i="17" a="1"/>
  <c r="O795" i="17" s="1"/>
  <c r="O808" i="17" a="1"/>
  <c r="O808" i="17" s="1"/>
  <c r="O831" i="17" a="1"/>
  <c r="O831" i="17" s="1"/>
  <c r="O850" i="17" a="1"/>
  <c r="O850" i="17" s="1"/>
  <c r="O869" i="17" a="1"/>
  <c r="O869" i="17" s="1"/>
  <c r="O888" i="17" a="1"/>
  <c r="O888" i="17" s="1"/>
  <c r="O907" i="17" a="1"/>
  <c r="O907" i="17" s="1"/>
  <c r="O926" i="17" a="1"/>
  <c r="O926" i="17" s="1"/>
  <c r="O945" i="17" a="1"/>
  <c r="O945" i="17" s="1"/>
  <c r="O964" i="17" a="1"/>
  <c r="O964" i="17" s="1"/>
  <c r="O983" i="17" a="1"/>
  <c r="O983" i="17" s="1"/>
  <c r="O1002" i="17" a="1"/>
  <c r="O1002" i="17" s="1"/>
  <c r="O1021" i="17" a="1"/>
  <c r="O1021" i="17" s="1"/>
  <c r="O1040" i="17" a="1"/>
  <c r="O1040" i="17"/>
  <c r="O1059" i="17" a="1"/>
  <c r="O1059" i="17"/>
  <c r="O655" i="17" a="1"/>
  <c r="O655" i="17" s="1"/>
  <c r="O656" i="17" a="1"/>
  <c r="O656" i="17" s="1"/>
  <c r="O657" i="17" a="1"/>
  <c r="O657" i="17" s="1"/>
  <c r="O658" i="17" a="1"/>
  <c r="O658" i="17" s="1"/>
  <c r="O659" i="17" a="1"/>
  <c r="O659" i="17" s="1"/>
  <c r="O660" i="17" a="1"/>
  <c r="O660" i="17" s="1"/>
  <c r="O110" i="17" a="1"/>
  <c r="O110" i="17" s="1"/>
  <c r="O111" i="17" a="1"/>
  <c r="O111" i="17" s="1"/>
  <c r="O112" i="17" a="1"/>
  <c r="O112" i="17" s="1"/>
  <c r="O113" i="17" a="1"/>
  <c r="O113" i="17" s="1"/>
  <c r="O114" i="17" a="1"/>
  <c r="O114" i="17" s="1"/>
  <c r="O115" i="17" a="1"/>
  <c r="O115" i="17" s="1"/>
  <c r="O134" i="17" a="1"/>
  <c r="O134" i="17" s="1"/>
  <c r="O153" i="17" a="1"/>
  <c r="O153" i="17"/>
  <c r="O172" i="17" a="1"/>
  <c r="O172" i="17" s="1"/>
  <c r="O191" i="17" a="1"/>
  <c r="O191" i="17" s="1"/>
  <c r="O246" i="17" a="1"/>
  <c r="O246" i="17" s="1"/>
  <c r="O247" i="17" a="1"/>
  <c r="O247" i="17" s="1"/>
  <c r="O248" i="17" a="1"/>
  <c r="O248" i="17" s="1"/>
  <c r="O267" i="17" a="1"/>
  <c r="O267" i="17" s="1"/>
  <c r="O286" i="17" a="1"/>
  <c r="O286" i="17" s="1"/>
  <c r="O305" i="17" a="1"/>
  <c r="O305" i="17" s="1"/>
  <c r="O324" i="17" a="1"/>
  <c r="O324" i="17"/>
  <c r="O343" i="17" a="1"/>
  <c r="O343" i="17" s="1"/>
  <c r="O362" i="17" a="1"/>
  <c r="O362" i="17" s="1"/>
  <c r="O381" i="17" a="1"/>
  <c r="O381" i="17" s="1"/>
  <c r="O400" i="17" a="1"/>
  <c r="O400" i="17" s="1"/>
  <c r="O419" i="17" a="1"/>
  <c r="O419" i="17" s="1"/>
  <c r="O514" i="17" a="1"/>
  <c r="O514" i="17" s="1"/>
  <c r="O533" i="17" a="1"/>
  <c r="O533" i="17"/>
  <c r="O552" i="17" a="1"/>
  <c r="O552" i="17" s="1"/>
  <c r="O474" i="17" a="1"/>
  <c r="O474" i="17"/>
  <c r="O475" i="17" a="1"/>
  <c r="O475" i="17" s="1"/>
  <c r="O476" i="17" a="1"/>
  <c r="O476" i="17" s="1"/>
  <c r="O495" i="17" a="1"/>
  <c r="O495" i="17" s="1"/>
  <c r="O685" i="17" a="1"/>
  <c r="O685" i="17" s="1"/>
  <c r="O704" i="17" a="1"/>
  <c r="O704" i="17" s="1"/>
  <c r="O723" i="17" a="1"/>
  <c r="O723" i="17" s="1"/>
  <c r="O742" i="17" a="1"/>
  <c r="O742" i="17"/>
  <c r="O761" i="17" a="1"/>
  <c r="O761" i="17"/>
  <c r="O780" i="17" a="1"/>
  <c r="O780" i="17" s="1"/>
  <c r="O796" i="17" a="1"/>
  <c r="O796" i="17" s="1"/>
  <c r="O809" i="17" a="1"/>
  <c r="O809" i="17" s="1"/>
  <c r="O813" i="17" a="1"/>
  <c r="O813" i="17" s="1"/>
  <c r="O832" i="17" a="1"/>
  <c r="O832" i="17" s="1"/>
  <c r="O851" i="17" a="1"/>
  <c r="O851" i="17" s="1"/>
  <c r="O870" i="17" a="1"/>
  <c r="O870" i="17" s="1"/>
  <c r="O889" i="17" a="1"/>
  <c r="O889" i="17" s="1"/>
  <c r="O908" i="17" a="1"/>
  <c r="O908" i="17" s="1"/>
  <c r="O927" i="17" a="1"/>
  <c r="O927" i="17" s="1"/>
  <c r="O946" i="17" a="1"/>
  <c r="O946" i="17" s="1"/>
  <c r="O965" i="17" a="1"/>
  <c r="O965" i="17" s="1"/>
  <c r="O984" i="17" a="1"/>
  <c r="O984" i="17" s="1"/>
  <c r="O1003" i="17" a="1"/>
  <c r="O1003" i="17" s="1"/>
  <c r="O1022" i="17" a="1"/>
  <c r="O1022" i="17"/>
  <c r="O1041" i="17" a="1"/>
  <c r="O1041" i="17" s="1"/>
  <c r="O1060" i="17" a="1"/>
  <c r="O1060" i="17" s="1"/>
  <c r="O661" i="17" a="1"/>
  <c r="O661" i="17" s="1"/>
  <c r="O662" i="17" a="1"/>
  <c r="O662" i="17" s="1"/>
  <c r="O663" i="17" a="1"/>
  <c r="O663" i="17" s="1"/>
  <c r="O664" i="17" a="1"/>
  <c r="O664" i="17" s="1"/>
  <c r="O665" i="17" a="1"/>
  <c r="O665" i="17"/>
  <c r="O666" i="17" a="1"/>
  <c r="O666" i="17" s="1"/>
  <c r="P2" i="17" a="1"/>
  <c r="P2" i="17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116" i="17" a="1"/>
  <c r="P116" i="17" s="1"/>
  <c r="P135" i="17" a="1"/>
  <c r="P135" i="17"/>
  <c r="P154" i="17" a="1"/>
  <c r="P154" i="17" s="1"/>
  <c r="P173" i="17" a="1"/>
  <c r="P173" i="17" s="1"/>
  <c r="P192" i="17" a="1"/>
  <c r="P192" i="17"/>
  <c r="P193" i="17" a="1"/>
  <c r="P193" i="17" s="1"/>
  <c r="P194" i="17" a="1"/>
  <c r="P194" i="17" s="1"/>
  <c r="P249" i="17" a="1"/>
  <c r="P249" i="17" s="1"/>
  <c r="P268" i="17" a="1"/>
  <c r="P268" i="17" s="1"/>
  <c r="P287" i="17" a="1"/>
  <c r="P287" i="17" s="1"/>
  <c r="P306" i="17" a="1"/>
  <c r="P306" i="17" s="1"/>
  <c r="P325" i="17" a="1"/>
  <c r="P325" i="17" s="1"/>
  <c r="P344" i="17" a="1"/>
  <c r="P344" i="17" s="1"/>
  <c r="P363" i="17" a="1"/>
  <c r="P363" i="17" s="1"/>
  <c r="P382" i="17" a="1"/>
  <c r="P382" i="17" s="1"/>
  <c r="P401" i="17" a="1"/>
  <c r="P401" i="17" s="1"/>
  <c r="P496" i="17" a="1"/>
  <c r="P496" i="17" s="1"/>
  <c r="P515" i="17" a="1"/>
  <c r="P515" i="17" s="1"/>
  <c r="P534" i="17" a="1"/>
  <c r="P534" i="17" s="1"/>
  <c r="P420" i="17" a="1"/>
  <c r="P420" i="17" s="1"/>
  <c r="P421" i="17" a="1"/>
  <c r="P421" i="17" s="1"/>
  <c r="P422" i="17" a="1"/>
  <c r="P422" i="17" s="1"/>
  <c r="P477" i="17" a="1"/>
  <c r="P477" i="17" s="1"/>
  <c r="P667" i="17" a="1"/>
  <c r="P667" i="17" s="1"/>
  <c r="P686" i="17" a="1"/>
  <c r="P686" i="17" s="1"/>
  <c r="P705" i="17" a="1"/>
  <c r="P705" i="17" s="1"/>
  <c r="P724" i="17" a="1"/>
  <c r="P724" i="17" s="1"/>
  <c r="P743" i="17" a="1"/>
  <c r="P743" i="17" s="1"/>
  <c r="P762" i="17" a="1"/>
  <c r="P762" i="17" s="1"/>
  <c r="P781" i="17" a="1"/>
  <c r="P781" i="17" s="1"/>
  <c r="P797" i="17" a="1"/>
  <c r="P797" i="17" s="1"/>
  <c r="P814" i="17" a="1"/>
  <c r="P814" i="17" s="1"/>
  <c r="P833" i="17" a="1"/>
  <c r="P833" i="17" s="1"/>
  <c r="P852" i="17" a="1"/>
  <c r="P852" i="17" s="1"/>
  <c r="P871" i="17" a="1"/>
  <c r="P871" i="17"/>
  <c r="P890" i="17" a="1"/>
  <c r="P890" i="17" s="1"/>
  <c r="P909" i="17" a="1"/>
  <c r="P909" i="17"/>
  <c r="P928" i="17" a="1"/>
  <c r="P928" i="17" s="1"/>
  <c r="P947" i="17" a="1"/>
  <c r="P947" i="17" s="1"/>
  <c r="P966" i="17" a="1"/>
  <c r="P966" i="17" s="1"/>
  <c r="P985" i="17" a="1"/>
  <c r="P985" i="17"/>
  <c r="P1004" i="17" a="1"/>
  <c r="P1004" i="17" s="1"/>
  <c r="P1023" i="17" a="1"/>
  <c r="P1023" i="17"/>
  <c r="P1042" i="17" a="1"/>
  <c r="P1042" i="17" s="1"/>
  <c r="P553" i="17" a="1"/>
  <c r="P553" i="17" s="1"/>
  <c r="P554" i="17" a="1"/>
  <c r="P554" i="17"/>
  <c r="P555" i="17" a="1"/>
  <c r="P555" i="17" s="1"/>
  <c r="P556" i="17" a="1"/>
  <c r="P556" i="17" s="1"/>
  <c r="P557" i="17" a="1"/>
  <c r="P557" i="17"/>
  <c r="P558" i="17" a="1"/>
  <c r="P558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17" i="17" a="1"/>
  <c r="P117" i="17" s="1"/>
  <c r="P136" i="17" a="1"/>
  <c r="P136" i="17" s="1"/>
  <c r="P155" i="17" a="1"/>
  <c r="P155" i="17" s="1"/>
  <c r="P174" i="17" a="1"/>
  <c r="P174" i="17" s="1"/>
  <c r="P195" i="17" a="1"/>
  <c r="P195" i="17" s="1"/>
  <c r="P196" i="17" a="1"/>
  <c r="P196" i="17" s="1"/>
  <c r="P197" i="17" a="1"/>
  <c r="P197" i="17" s="1"/>
  <c r="P250" i="17" a="1"/>
  <c r="P250" i="17" s="1"/>
  <c r="P269" i="17" a="1"/>
  <c r="P269" i="17" s="1"/>
  <c r="P288" i="17" a="1"/>
  <c r="P288" i="17" s="1"/>
  <c r="P307" i="17" a="1"/>
  <c r="P307" i="17" s="1"/>
  <c r="P326" i="17" a="1"/>
  <c r="P326" i="17" s="1"/>
  <c r="P345" i="17" a="1"/>
  <c r="P345" i="17" s="1"/>
  <c r="P364" i="17" a="1"/>
  <c r="P364" i="17" s="1"/>
  <c r="P383" i="17" a="1"/>
  <c r="P383" i="17" s="1"/>
  <c r="P402" i="17" a="1"/>
  <c r="P402" i="17" s="1"/>
  <c r="P497" i="17" a="1"/>
  <c r="P497" i="17" s="1"/>
  <c r="P516" i="17" a="1"/>
  <c r="P516" i="17" s="1"/>
  <c r="P535" i="17" a="1"/>
  <c r="P535" i="17" s="1"/>
  <c r="P423" i="17" a="1"/>
  <c r="P423" i="17" s="1"/>
  <c r="P424" i="17" a="1"/>
  <c r="P424" i="17" s="1"/>
  <c r="P425" i="17" a="1"/>
  <c r="P425" i="17" s="1"/>
  <c r="P478" i="17" a="1"/>
  <c r="P478" i="17" s="1"/>
  <c r="P668" i="17" a="1"/>
  <c r="P668" i="17" s="1"/>
  <c r="P687" i="17" a="1"/>
  <c r="P687" i="17" s="1"/>
  <c r="P706" i="17" a="1"/>
  <c r="P706" i="17" s="1"/>
  <c r="P725" i="17" a="1"/>
  <c r="P725" i="17" s="1"/>
  <c r="P744" i="17" a="1"/>
  <c r="P744" i="17" s="1"/>
  <c r="P763" i="17" a="1"/>
  <c r="P763" i="17" s="1"/>
  <c r="P782" i="17" a="1"/>
  <c r="P782" i="17" s="1"/>
  <c r="P798" i="17" a="1"/>
  <c r="P798" i="17" s="1"/>
  <c r="P815" i="17" a="1"/>
  <c r="P815" i="17" s="1"/>
  <c r="P834" i="17" a="1"/>
  <c r="P834" i="17"/>
  <c r="P853" i="17" a="1"/>
  <c r="P853" i="17" s="1"/>
  <c r="P872" i="17" a="1"/>
  <c r="P872" i="17" s="1"/>
  <c r="P891" i="17" a="1"/>
  <c r="P891" i="17" s="1"/>
  <c r="P910" i="17" a="1"/>
  <c r="P910" i="17" s="1"/>
  <c r="P929" i="17" a="1"/>
  <c r="P929" i="17" s="1"/>
  <c r="P948" i="17" a="1"/>
  <c r="P948" i="17" s="1"/>
  <c r="P967" i="17" a="1"/>
  <c r="P967" i="17" s="1"/>
  <c r="P986" i="17" a="1"/>
  <c r="P986" i="17" s="1"/>
  <c r="P1005" i="17" a="1"/>
  <c r="P1005" i="17" s="1"/>
  <c r="P1024" i="17" a="1"/>
  <c r="P1024" i="17" s="1"/>
  <c r="P1043" i="17" a="1"/>
  <c r="P1043" i="17" s="1"/>
  <c r="P559" i="17" a="1"/>
  <c r="P559" i="17" s="1"/>
  <c r="P560" i="17" a="1"/>
  <c r="P560" i="17" s="1"/>
  <c r="P561" i="17" a="1"/>
  <c r="P561" i="17" s="1"/>
  <c r="P562" i="17" a="1"/>
  <c r="P562" i="17" s="1"/>
  <c r="P563" i="17" a="1"/>
  <c r="P563" i="17"/>
  <c r="P564" i="17" a="1"/>
  <c r="P564" i="17" s="1"/>
  <c r="P14" i="17" a="1"/>
  <c r="P14" i="17" s="1"/>
  <c r="P15" i="17" a="1"/>
  <c r="P15" i="17" s="1"/>
  <c r="P16" i="17" a="1"/>
  <c r="P16" i="17" s="1"/>
  <c r="P17" i="17" a="1"/>
  <c r="P17" i="17"/>
  <c r="P18" i="17" a="1"/>
  <c r="P18" i="17" s="1"/>
  <c r="P19" i="17" a="1"/>
  <c r="P19" i="17" s="1"/>
  <c r="P118" i="17" a="1"/>
  <c r="P118" i="17" s="1"/>
  <c r="P137" i="17" a="1"/>
  <c r="P137" i="17"/>
  <c r="P156" i="17" a="1"/>
  <c r="P156" i="17" s="1"/>
  <c r="P175" i="17" a="1"/>
  <c r="P175" i="17" s="1"/>
  <c r="P198" i="17" a="1"/>
  <c r="P198" i="17" s="1"/>
  <c r="P199" i="17" a="1"/>
  <c r="P199" i="17" s="1"/>
  <c r="P200" i="17" a="1"/>
  <c r="P200" i="17"/>
  <c r="P251" i="17" a="1"/>
  <c r="P251" i="17" s="1"/>
  <c r="P270" i="17" a="1"/>
  <c r="P270" i="17" s="1"/>
  <c r="P289" i="17" a="1"/>
  <c r="P289" i="17" s="1"/>
  <c r="P308" i="17" a="1"/>
  <c r="P308" i="17" s="1"/>
  <c r="P327" i="17" a="1"/>
  <c r="P327" i="17" s="1"/>
  <c r="P346" i="17" a="1"/>
  <c r="P346" i="17" s="1"/>
  <c r="P365" i="17" a="1"/>
  <c r="P365" i="17" s="1"/>
  <c r="P384" i="17" a="1"/>
  <c r="P384" i="17" s="1"/>
  <c r="P403" i="17" a="1"/>
  <c r="P403" i="17" s="1"/>
  <c r="P498" i="17" a="1"/>
  <c r="P498" i="17" s="1"/>
  <c r="P517" i="17" a="1"/>
  <c r="P517" i="17" s="1"/>
  <c r="P536" i="17" a="1"/>
  <c r="P536" i="17"/>
  <c r="P426" i="17" a="1"/>
  <c r="P426" i="17" s="1"/>
  <c r="P427" i="17" a="1"/>
  <c r="P427" i="17"/>
  <c r="P428" i="17" a="1"/>
  <c r="P428" i="17" s="1"/>
  <c r="P479" i="17" a="1"/>
  <c r="P479" i="17" s="1"/>
  <c r="P669" i="17" a="1"/>
  <c r="P669" i="17" s="1"/>
  <c r="P688" i="17" a="1"/>
  <c r="P688" i="17"/>
  <c r="P707" i="17" a="1"/>
  <c r="P707" i="17"/>
  <c r="P726" i="17" a="1"/>
  <c r="P726" i="17" s="1"/>
  <c r="P745" i="17" a="1"/>
  <c r="P745" i="17" s="1"/>
  <c r="P764" i="17" a="1"/>
  <c r="P764" i="17" s="1"/>
  <c r="P783" i="17" a="1"/>
  <c r="P783" i="17" s="1"/>
  <c r="P799" i="17" a="1"/>
  <c r="P799" i="17" s="1"/>
  <c r="P816" i="17" a="1"/>
  <c r="P816" i="17" s="1"/>
  <c r="P835" i="17" a="1"/>
  <c r="P835" i="17"/>
  <c r="P854" i="17" a="1"/>
  <c r="P854" i="17" s="1"/>
  <c r="P873" i="17" a="1"/>
  <c r="P873" i="17" s="1"/>
  <c r="P892" i="17" a="1"/>
  <c r="P892" i="17" s="1"/>
  <c r="P911" i="17" a="1"/>
  <c r="P911" i="17" s="1"/>
  <c r="P930" i="17" a="1"/>
  <c r="P930" i="17" s="1"/>
  <c r="P949" i="17" a="1"/>
  <c r="P949" i="17" s="1"/>
  <c r="P968" i="17" a="1"/>
  <c r="P968" i="17" s="1"/>
  <c r="P987" i="17" a="1"/>
  <c r="P987" i="17" s="1"/>
  <c r="P1006" i="17" a="1"/>
  <c r="P1006" i="17" s="1"/>
  <c r="P1025" i="17" a="1"/>
  <c r="P1025" i="17" s="1"/>
  <c r="P1044" i="17" a="1"/>
  <c r="P1044" i="17" s="1"/>
  <c r="P565" i="17" a="1"/>
  <c r="P565" i="17" s="1"/>
  <c r="P566" i="17" a="1"/>
  <c r="P566" i="17" s="1"/>
  <c r="P567" i="17" a="1"/>
  <c r="P567" i="17" s="1"/>
  <c r="P568" i="17" a="1"/>
  <c r="P568" i="17" s="1"/>
  <c r="P569" i="17" a="1"/>
  <c r="P569" i="17" s="1"/>
  <c r="P570" i="17" a="1"/>
  <c r="P570" i="17"/>
  <c r="P20" i="17" a="1"/>
  <c r="P20" i="17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119" i="17" a="1"/>
  <c r="P119" i="17" s="1"/>
  <c r="P138" i="17" a="1"/>
  <c r="P138" i="17" s="1"/>
  <c r="P157" i="17" a="1"/>
  <c r="P157" i="17" s="1"/>
  <c r="P176" i="17" a="1"/>
  <c r="P176" i="17" s="1"/>
  <c r="P201" i="17" a="1"/>
  <c r="P201" i="17" s="1"/>
  <c r="P202" i="17" a="1"/>
  <c r="P202" i="17" s="1"/>
  <c r="P203" i="17" a="1"/>
  <c r="P203" i="17" s="1"/>
  <c r="P252" i="17" a="1"/>
  <c r="P252" i="17" s="1"/>
  <c r="P271" i="17" a="1"/>
  <c r="P271" i="17" s="1"/>
  <c r="P290" i="17" a="1"/>
  <c r="P290" i="17" s="1"/>
  <c r="P309" i="17" a="1"/>
  <c r="P309" i="17" s="1"/>
  <c r="P328" i="17" a="1"/>
  <c r="P328" i="17" s="1"/>
  <c r="P347" i="17" a="1"/>
  <c r="P347" i="17" s="1"/>
  <c r="P366" i="17" a="1"/>
  <c r="P366" i="17" s="1"/>
  <c r="P385" i="17" a="1"/>
  <c r="P385" i="17" s="1"/>
  <c r="P404" i="17" a="1"/>
  <c r="P404" i="17" s="1"/>
  <c r="P499" i="17" a="1"/>
  <c r="P499" i="17"/>
  <c r="P518" i="17" a="1"/>
  <c r="P518" i="17" s="1"/>
  <c r="P537" i="17" a="1"/>
  <c r="P537" i="17" s="1"/>
  <c r="P429" i="17" a="1"/>
  <c r="P429" i="17" s="1"/>
  <c r="P430" i="17" a="1"/>
  <c r="P430" i="17" s="1"/>
  <c r="P431" i="17" a="1"/>
  <c r="P431" i="17" s="1"/>
  <c r="P480" i="17" a="1"/>
  <c r="P480" i="17" s="1"/>
  <c r="P670" i="17" a="1"/>
  <c r="P670" i="17" s="1"/>
  <c r="P689" i="17" a="1"/>
  <c r="P689" i="17" s="1"/>
  <c r="P708" i="17" a="1"/>
  <c r="P708" i="17" s="1"/>
  <c r="P727" i="17" a="1"/>
  <c r="P727" i="17" s="1"/>
  <c r="P746" i="17" a="1"/>
  <c r="P746" i="17" s="1"/>
  <c r="P765" i="17" a="1"/>
  <c r="P765" i="17" s="1"/>
  <c r="P784" i="17" a="1"/>
  <c r="P784" i="17" s="1"/>
  <c r="P810" i="17" a="1"/>
  <c r="P810" i="17" s="1"/>
  <c r="P817" i="17" a="1"/>
  <c r="P817" i="17" s="1"/>
  <c r="P836" i="17" a="1"/>
  <c r="P836" i="17" s="1"/>
  <c r="P855" i="17" a="1"/>
  <c r="P855" i="17" s="1"/>
  <c r="P874" i="17" a="1"/>
  <c r="P874" i="17" s="1"/>
  <c r="P893" i="17" a="1"/>
  <c r="P893" i="17" s="1"/>
  <c r="P912" i="17" a="1"/>
  <c r="P912" i="17" s="1"/>
  <c r="P931" i="17" a="1"/>
  <c r="P931" i="17" s="1"/>
  <c r="P950" i="17" a="1"/>
  <c r="P950" i="17" s="1"/>
  <c r="P969" i="17" a="1"/>
  <c r="P969" i="17" s="1"/>
  <c r="P988" i="17" a="1"/>
  <c r="P988" i="17" s="1"/>
  <c r="P1007" i="17" a="1"/>
  <c r="P1007" i="17" s="1"/>
  <c r="P1026" i="17" a="1"/>
  <c r="P1026" i="17" s="1"/>
  <c r="P1045" i="17" a="1"/>
  <c r="P1045" i="17" s="1"/>
  <c r="P571" i="17" a="1"/>
  <c r="P571" i="17" s="1"/>
  <c r="P572" i="17" a="1"/>
  <c r="P572" i="17" s="1"/>
  <c r="P573" i="17" a="1"/>
  <c r="P573" i="17" s="1"/>
  <c r="P574" i="17" a="1"/>
  <c r="P574" i="17" s="1"/>
  <c r="P575" i="17" a="1"/>
  <c r="P575" i="17" s="1"/>
  <c r="P576" i="17" a="1"/>
  <c r="P576" i="17" s="1"/>
  <c r="P26" i="17" a="1"/>
  <c r="P26" i="17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120" i="17" a="1"/>
  <c r="P120" i="17"/>
  <c r="P139" i="17" a="1"/>
  <c r="P139" i="17" s="1"/>
  <c r="P158" i="17" a="1"/>
  <c r="P158" i="17" s="1"/>
  <c r="P177" i="17" a="1"/>
  <c r="P177" i="17" s="1"/>
  <c r="P204" i="17" a="1"/>
  <c r="P204" i="17" s="1"/>
  <c r="P205" i="17" a="1"/>
  <c r="P205" i="17" s="1"/>
  <c r="P206" i="17" a="1"/>
  <c r="P206" i="17" s="1"/>
  <c r="P253" i="17" a="1"/>
  <c r="P253" i="17" s="1"/>
  <c r="P272" i="17" a="1"/>
  <c r="P272" i="17" s="1"/>
  <c r="P291" i="17" a="1"/>
  <c r="P291" i="17" s="1"/>
  <c r="P310" i="17" a="1"/>
  <c r="P310" i="17" s="1"/>
  <c r="P329" i="17" a="1"/>
  <c r="P329" i="17" s="1"/>
  <c r="P348" i="17" a="1"/>
  <c r="P348" i="17" s="1"/>
  <c r="P367" i="17" a="1"/>
  <c r="P367" i="17" s="1"/>
  <c r="P386" i="17" a="1"/>
  <c r="P386" i="17" s="1"/>
  <c r="P405" i="17" a="1"/>
  <c r="P405" i="17" s="1"/>
  <c r="P500" i="17" a="1"/>
  <c r="P500" i="17" s="1"/>
  <c r="P519" i="17" a="1"/>
  <c r="P519" i="17" s="1"/>
  <c r="P538" i="17" a="1"/>
  <c r="P538" i="17" s="1"/>
  <c r="P432" i="17" a="1"/>
  <c r="P432" i="17" s="1"/>
  <c r="P433" i="17" a="1"/>
  <c r="P433" i="17" s="1"/>
  <c r="P434" i="17" a="1"/>
  <c r="P434" i="17" s="1"/>
  <c r="P481" i="17" a="1"/>
  <c r="P481" i="17" s="1"/>
  <c r="P671" i="17" a="1"/>
  <c r="P671" i="17" s="1"/>
  <c r="P690" i="17" a="1"/>
  <c r="P690" i="17" s="1"/>
  <c r="P709" i="17" a="1"/>
  <c r="P709" i="17"/>
  <c r="P728" i="17" a="1"/>
  <c r="P728" i="17" s="1"/>
  <c r="P747" i="17" a="1"/>
  <c r="P747" i="17" s="1"/>
  <c r="P766" i="17" a="1"/>
  <c r="P766" i="17" s="1"/>
  <c r="P800" i="17" a="1"/>
  <c r="P800" i="17" s="1"/>
  <c r="P818" i="17" a="1"/>
  <c r="P818" i="17" s="1"/>
  <c r="P837" i="17" a="1"/>
  <c r="P837" i="17" s="1"/>
  <c r="P856" i="17" a="1"/>
  <c r="P856" i="17" s="1"/>
  <c r="P875" i="17" a="1"/>
  <c r="P875" i="17" s="1"/>
  <c r="P894" i="17" a="1"/>
  <c r="P894" i="17" s="1"/>
  <c r="P913" i="17" a="1"/>
  <c r="P913" i="17"/>
  <c r="P932" i="17" a="1"/>
  <c r="P932" i="17" s="1"/>
  <c r="P951" i="17" a="1"/>
  <c r="P951" i="17" s="1"/>
  <c r="P970" i="17" a="1"/>
  <c r="P970" i="17" s="1"/>
  <c r="P989" i="17" a="1"/>
  <c r="P989" i="17" s="1"/>
  <c r="P1008" i="17" a="1"/>
  <c r="P1008" i="17" s="1"/>
  <c r="P1027" i="17" a="1"/>
  <c r="P1027" i="17"/>
  <c r="P1046" i="17" a="1"/>
  <c r="P1046" i="17" s="1"/>
  <c r="P577" i="17" a="1"/>
  <c r="P577" i="17" s="1"/>
  <c r="P578" i="17" a="1"/>
  <c r="P578" i="17" s="1"/>
  <c r="P579" i="17" a="1"/>
  <c r="P579" i="17" s="1"/>
  <c r="P580" i="17" a="1"/>
  <c r="P580" i="17" s="1"/>
  <c r="P581" i="17" a="1"/>
  <c r="P581" i="17" s="1"/>
  <c r="P582" i="17" a="1"/>
  <c r="P582" i="17" s="1"/>
  <c r="P32" i="17" a="1"/>
  <c r="P32" i="17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121" i="17" a="1"/>
  <c r="P121" i="17"/>
  <c r="P140" i="17" a="1"/>
  <c r="P140" i="17" s="1"/>
  <c r="P159" i="17" a="1"/>
  <c r="P159" i="17" s="1"/>
  <c r="P178" i="17" a="1"/>
  <c r="P178" i="17" s="1"/>
  <c r="P207" i="17" a="1"/>
  <c r="P207" i="17" s="1"/>
  <c r="P208" i="17" a="1"/>
  <c r="P208" i="17" s="1"/>
  <c r="P209" i="17" a="1"/>
  <c r="P209" i="17" s="1"/>
  <c r="P254" i="17" a="1"/>
  <c r="P254" i="17" s="1"/>
  <c r="P273" i="17" a="1"/>
  <c r="P273" i="17" s="1"/>
  <c r="P292" i="17" a="1"/>
  <c r="P292" i="17" s="1"/>
  <c r="P311" i="17" a="1"/>
  <c r="P311" i="17" s="1"/>
  <c r="P330" i="17" a="1"/>
  <c r="P330" i="17" s="1"/>
  <c r="P349" i="17" a="1"/>
  <c r="P349" i="17"/>
  <c r="P368" i="17" a="1"/>
  <c r="P368" i="17" s="1"/>
  <c r="P387" i="17" a="1"/>
  <c r="P387" i="17" s="1"/>
  <c r="P406" i="17" a="1"/>
  <c r="P406" i="17" s="1"/>
  <c r="P501" i="17" a="1"/>
  <c r="P501" i="17" s="1"/>
  <c r="P520" i="17" a="1"/>
  <c r="P520" i="17" s="1"/>
  <c r="P539" i="17" a="1"/>
  <c r="P539" i="17" s="1"/>
  <c r="P435" i="17" a="1"/>
  <c r="P435" i="17" s="1"/>
  <c r="P436" i="17" a="1"/>
  <c r="P436" i="17"/>
  <c r="P437" i="17" a="1"/>
  <c r="P437" i="17" s="1"/>
  <c r="P482" i="17" a="1"/>
  <c r="P482" i="17" s="1"/>
  <c r="P672" i="17" a="1"/>
  <c r="P672" i="17" s="1"/>
  <c r="P691" i="17" a="1"/>
  <c r="P691" i="17"/>
  <c r="P710" i="17" a="1"/>
  <c r="P710" i="17" s="1"/>
  <c r="P729" i="17" a="1"/>
  <c r="P729" i="17"/>
  <c r="P748" i="17" a="1"/>
  <c r="P748" i="17" s="1"/>
  <c r="P767" i="17" a="1"/>
  <c r="P767" i="17" s="1"/>
  <c r="P819" i="17" a="1"/>
  <c r="P819" i="17" s="1"/>
  <c r="P838" i="17" a="1"/>
  <c r="P838" i="17" s="1"/>
  <c r="P857" i="17" a="1"/>
  <c r="P857" i="17" s="1"/>
  <c r="P876" i="17" a="1"/>
  <c r="P876" i="17" s="1"/>
  <c r="P895" i="17" a="1"/>
  <c r="P895" i="17" s="1"/>
  <c r="P914" i="17" a="1"/>
  <c r="P914" i="17"/>
  <c r="P933" i="17" a="1"/>
  <c r="P933" i="17"/>
  <c r="P952" i="17" a="1"/>
  <c r="P952" i="17"/>
  <c r="P971" i="17" a="1"/>
  <c r="P971" i="17" s="1"/>
  <c r="P990" i="17" a="1"/>
  <c r="P990" i="17" s="1"/>
  <c r="P1009" i="17" a="1"/>
  <c r="P1009" i="17" s="1"/>
  <c r="P1028" i="17" a="1"/>
  <c r="P1028" i="17" s="1"/>
  <c r="P1047" i="17" a="1"/>
  <c r="P1047" i="17" s="1"/>
  <c r="P583" i="17" a="1"/>
  <c r="P583" i="17" s="1"/>
  <c r="P584" i="17" a="1"/>
  <c r="P584" i="17" s="1"/>
  <c r="P585" i="17" a="1"/>
  <c r="P585" i="17"/>
  <c r="P586" i="17" a="1"/>
  <c r="P586" i="17" s="1"/>
  <c r="P587" i="17" a="1"/>
  <c r="P587" i="17"/>
  <c r="P588" i="17" a="1"/>
  <c r="P588" i="17" s="1"/>
  <c r="P38" i="17" a="1"/>
  <c r="P38" i="17" s="1"/>
  <c r="P39" i="17" a="1"/>
  <c r="P39" i="17" s="1"/>
  <c r="P40" i="17" a="1"/>
  <c r="P40" i="17" s="1"/>
  <c r="P41" i="17" a="1"/>
  <c r="P41" i="17"/>
  <c r="P42" i="17" a="1"/>
  <c r="P42" i="17" s="1"/>
  <c r="P43" i="17" a="1"/>
  <c r="P43" i="17" s="1"/>
  <c r="P122" i="17" a="1"/>
  <c r="P122" i="17"/>
  <c r="P141" i="17" a="1"/>
  <c r="P141" i="17" s="1"/>
  <c r="P160" i="17" a="1"/>
  <c r="P160" i="17" s="1"/>
  <c r="P179" i="17" a="1"/>
  <c r="P179" i="17" s="1"/>
  <c r="P210" i="17" a="1"/>
  <c r="P210" i="17"/>
  <c r="P211" i="17" a="1"/>
  <c r="P211" i="17" s="1"/>
  <c r="P212" i="17" a="1"/>
  <c r="P212" i="17"/>
  <c r="P255" i="17" a="1"/>
  <c r="P255" i="17" s="1"/>
  <c r="P274" i="17" a="1"/>
  <c r="P274" i="17" s="1"/>
  <c r="P293" i="17" a="1"/>
  <c r="P293" i="17"/>
  <c r="P312" i="17" a="1"/>
  <c r="P312" i="17" s="1"/>
  <c r="P331" i="17" a="1"/>
  <c r="P331" i="17" s="1"/>
  <c r="P350" i="17" a="1"/>
  <c r="P350" i="17" s="1"/>
  <c r="P369" i="17" a="1"/>
  <c r="P369" i="17"/>
  <c r="P388" i="17" a="1"/>
  <c r="P388" i="17"/>
  <c r="P407" i="17" a="1"/>
  <c r="P407" i="17" s="1"/>
  <c r="P502" i="17" a="1"/>
  <c r="P502" i="17"/>
  <c r="P521" i="17" a="1"/>
  <c r="P521" i="17" s="1"/>
  <c r="P540" i="17" a="1"/>
  <c r="P540" i="17" s="1"/>
  <c r="P438" i="17" a="1"/>
  <c r="P438" i="17" s="1"/>
  <c r="P439" i="17" a="1"/>
  <c r="P439" i="17" s="1"/>
  <c r="P440" i="17" a="1"/>
  <c r="P440" i="17"/>
  <c r="P483" i="17" a="1"/>
  <c r="P483" i="17"/>
  <c r="P673" i="17" a="1"/>
  <c r="P673" i="17" s="1"/>
  <c r="P692" i="17" a="1"/>
  <c r="P692" i="17"/>
  <c r="P711" i="17" a="1"/>
  <c r="P711" i="17" s="1"/>
  <c r="P730" i="17" a="1"/>
  <c r="P730" i="17" s="1"/>
  <c r="P749" i="17" a="1"/>
  <c r="P749" i="17" s="1"/>
  <c r="P768" i="17" a="1"/>
  <c r="P768" i="17" s="1"/>
  <c r="P785" i="17" a="1"/>
  <c r="P785" i="17" s="1"/>
  <c r="P801" i="17" a="1"/>
  <c r="P801" i="17" s="1"/>
  <c r="P820" i="17" a="1"/>
  <c r="P820" i="17" s="1"/>
  <c r="P839" i="17" a="1"/>
  <c r="P839" i="17" s="1"/>
  <c r="P858" i="17" a="1"/>
  <c r="P858" i="17"/>
  <c r="P877" i="17" a="1"/>
  <c r="P877" i="17" s="1"/>
  <c r="P896" i="17" a="1"/>
  <c r="P896" i="17" s="1"/>
  <c r="P915" i="17" a="1"/>
  <c r="P915" i="17"/>
  <c r="P934" i="17" a="1"/>
  <c r="P934" i="17" s="1"/>
  <c r="P953" i="17" a="1"/>
  <c r="P953" i="17"/>
  <c r="P972" i="17" a="1"/>
  <c r="P972" i="17" s="1"/>
  <c r="P991" i="17" a="1"/>
  <c r="P991" i="17" s="1"/>
  <c r="P1010" i="17" a="1"/>
  <c r="P1010" i="17" s="1"/>
  <c r="P1029" i="17" a="1"/>
  <c r="P1029" i="17" s="1"/>
  <c r="P1048" i="17" a="1"/>
  <c r="P1048" i="17" s="1"/>
  <c r="P589" i="17" a="1"/>
  <c r="P589" i="17" s="1"/>
  <c r="P590" i="17" a="1"/>
  <c r="P590" i="17"/>
  <c r="P591" i="17" a="1"/>
  <c r="P591" i="17" s="1"/>
  <c r="P592" i="17" a="1"/>
  <c r="P592" i="17" s="1"/>
  <c r="P593" i="17" a="1"/>
  <c r="P593" i="17" s="1"/>
  <c r="P594" i="17" a="1"/>
  <c r="P594" i="17" s="1"/>
  <c r="P44" i="17" a="1"/>
  <c r="P44" i="17" s="1"/>
  <c r="P45" i="17" a="1"/>
  <c r="P45" i="17" s="1"/>
  <c r="P46" i="17" a="1"/>
  <c r="P46" i="17" s="1"/>
  <c r="P47" i="17" a="1"/>
  <c r="P47" i="17"/>
  <c r="P48" i="17" a="1"/>
  <c r="P48" i="17"/>
  <c r="P49" i="17" a="1"/>
  <c r="P49" i="17" s="1"/>
  <c r="P123" i="17" a="1"/>
  <c r="P123" i="17" s="1"/>
  <c r="P142" i="17" a="1"/>
  <c r="P142" i="17"/>
  <c r="P161" i="17" a="1"/>
  <c r="P161" i="17" s="1"/>
  <c r="P180" i="17" a="1"/>
  <c r="P180" i="17" s="1"/>
  <c r="P213" i="17" a="1"/>
  <c r="P213" i="17"/>
  <c r="P214" i="17" a="1"/>
  <c r="P214" i="17" s="1"/>
  <c r="P215" i="17" a="1"/>
  <c r="P215" i="17"/>
  <c r="P256" i="17" a="1"/>
  <c r="P256" i="17" s="1"/>
  <c r="P275" i="17" a="1"/>
  <c r="P275" i="17" s="1"/>
  <c r="P294" i="17" a="1"/>
  <c r="P294" i="17" s="1"/>
  <c r="P313" i="17" a="1"/>
  <c r="P313" i="17" s="1"/>
  <c r="P332" i="17" a="1"/>
  <c r="P332" i="17" s="1"/>
  <c r="P351" i="17" a="1"/>
  <c r="P351" i="17" s="1"/>
  <c r="P370" i="17" a="1"/>
  <c r="P370" i="17"/>
  <c r="P389" i="17" a="1"/>
  <c r="P389" i="17" s="1"/>
  <c r="P408" i="17" a="1"/>
  <c r="P408" i="17" s="1"/>
  <c r="P503" i="17" a="1"/>
  <c r="P503" i="17" s="1"/>
  <c r="P522" i="17" a="1"/>
  <c r="P522" i="17" s="1"/>
  <c r="P541" i="17" a="1"/>
  <c r="P541" i="17" s="1"/>
  <c r="P441" i="17" a="1"/>
  <c r="P441" i="17" s="1"/>
  <c r="P442" i="17" a="1"/>
  <c r="P442" i="17" s="1"/>
  <c r="P443" i="17" a="1"/>
  <c r="P443" i="17"/>
  <c r="P484" i="17" a="1"/>
  <c r="P484" i="17" s="1"/>
  <c r="P674" i="17" a="1"/>
  <c r="P674" i="17" s="1"/>
  <c r="P693" i="17" a="1"/>
  <c r="P693" i="17" s="1"/>
  <c r="P712" i="17" a="1"/>
  <c r="P712" i="17" s="1"/>
  <c r="P731" i="17" a="1"/>
  <c r="P731" i="17"/>
  <c r="P750" i="17" a="1"/>
  <c r="P750" i="17" s="1"/>
  <c r="P769" i="17" a="1"/>
  <c r="P769" i="17" s="1"/>
  <c r="P786" i="17" a="1"/>
  <c r="P786" i="17" s="1"/>
  <c r="P802" i="17" a="1"/>
  <c r="P802" i="17" s="1"/>
  <c r="P821" i="17" a="1"/>
  <c r="P821" i="17" s="1"/>
  <c r="P840" i="17" a="1"/>
  <c r="P840" i="17" s="1"/>
  <c r="P859" i="17" a="1"/>
  <c r="P859" i="17" s="1"/>
  <c r="P878" i="17" a="1"/>
  <c r="P878" i="17" s="1"/>
  <c r="P897" i="17" a="1"/>
  <c r="P897" i="17" s="1"/>
  <c r="P916" i="17" a="1"/>
  <c r="P916" i="17"/>
  <c r="P935" i="17" a="1"/>
  <c r="P935" i="17" s="1"/>
  <c r="P954" i="17" a="1"/>
  <c r="P954" i="17" s="1"/>
  <c r="P973" i="17" a="1"/>
  <c r="P973" i="17" s="1"/>
  <c r="P992" i="17" a="1"/>
  <c r="P992" i="17"/>
  <c r="P1011" i="17" a="1"/>
  <c r="P1011" i="17" s="1"/>
  <c r="P1030" i="17" a="1"/>
  <c r="P1030" i="17"/>
  <c r="P1049" i="17" a="1"/>
  <c r="P1049" i="17" s="1"/>
  <c r="P595" i="17" a="1"/>
  <c r="P595" i="17"/>
  <c r="P596" i="17" a="1"/>
  <c r="P596" i="17"/>
  <c r="P597" i="17" a="1"/>
  <c r="P597" i="17" s="1"/>
  <c r="P598" i="17" a="1"/>
  <c r="P598" i="17" s="1"/>
  <c r="P599" i="17" a="1"/>
  <c r="P599" i="17" s="1"/>
  <c r="P600" i="17" a="1"/>
  <c r="P600" i="17" s="1"/>
  <c r="P50" i="17" a="1"/>
  <c r="P50" i="17"/>
  <c r="P51" i="17" a="1"/>
  <c r="P51" i="17" s="1"/>
  <c r="P52" i="17" a="1"/>
  <c r="P52" i="17" s="1"/>
  <c r="P53" i="17" a="1"/>
  <c r="P53" i="17"/>
  <c r="P54" i="17" a="1"/>
  <c r="P54" i="17" s="1"/>
  <c r="P55" i="17" a="1"/>
  <c r="P55" i="17" s="1"/>
  <c r="P124" i="17" a="1"/>
  <c r="P124" i="17" s="1"/>
  <c r="P143" i="17" a="1"/>
  <c r="P143" i="17" s="1"/>
  <c r="P162" i="17" a="1"/>
  <c r="P162" i="17" s="1"/>
  <c r="P181" i="17" a="1"/>
  <c r="P181" i="17" s="1"/>
  <c r="P216" i="17" a="1"/>
  <c r="P216" i="17"/>
  <c r="P217" i="17" a="1"/>
  <c r="P217" i="17" s="1"/>
  <c r="P218" i="17" a="1"/>
  <c r="P218" i="17"/>
  <c r="P257" i="17" a="1"/>
  <c r="P257" i="17" s="1"/>
  <c r="P276" i="17" a="1"/>
  <c r="P276" i="17"/>
  <c r="P295" i="17" a="1"/>
  <c r="P295" i="17" s="1"/>
  <c r="P314" i="17" a="1"/>
  <c r="P314" i="17" s="1"/>
  <c r="P333" i="17" a="1"/>
  <c r="P333" i="17" s="1"/>
  <c r="P352" i="17" a="1"/>
  <c r="P352" i="17" s="1"/>
  <c r="P371" i="17" a="1"/>
  <c r="P371" i="17"/>
  <c r="P390" i="17" a="1"/>
  <c r="P390" i="17" s="1"/>
  <c r="P409" i="17" a="1"/>
  <c r="P409" i="17" s="1"/>
  <c r="P504" i="17" a="1"/>
  <c r="P504" i="17" s="1"/>
  <c r="P523" i="17" a="1"/>
  <c r="P523" i="17" s="1"/>
  <c r="P542" i="17" a="1"/>
  <c r="P542" i="17" s="1"/>
  <c r="P444" i="17" a="1"/>
  <c r="P444" i="17" s="1"/>
  <c r="P445" i="17" a="1"/>
  <c r="P445" i="17" s="1"/>
  <c r="P446" i="17" a="1"/>
  <c r="P446" i="17" s="1"/>
  <c r="P485" i="17" a="1"/>
  <c r="P485" i="17"/>
  <c r="P675" i="17" a="1"/>
  <c r="P675" i="17" s="1"/>
  <c r="P694" i="17" a="1"/>
  <c r="P694" i="17" s="1"/>
  <c r="P713" i="17" a="1"/>
  <c r="P713" i="17"/>
  <c r="P732" i="17" a="1"/>
  <c r="P732" i="17" s="1"/>
  <c r="P751" i="17" a="1"/>
  <c r="P751" i="17" s="1"/>
  <c r="P770" i="17" a="1"/>
  <c r="P770" i="17"/>
  <c r="P787" i="17" a="1"/>
  <c r="P787" i="17" s="1"/>
  <c r="P822" i="17" a="1"/>
  <c r="P822" i="17" s="1"/>
  <c r="P841" i="17" a="1"/>
  <c r="P841" i="17" s="1"/>
  <c r="P860" i="17" a="1"/>
  <c r="P860" i="17"/>
  <c r="P879" i="17" a="1"/>
  <c r="P879" i="17" s="1"/>
  <c r="P898" i="17" a="1"/>
  <c r="P898" i="17" s="1"/>
  <c r="P917" i="17" a="1"/>
  <c r="P917" i="17" s="1"/>
  <c r="P936" i="17" a="1"/>
  <c r="P936" i="17" s="1"/>
  <c r="P955" i="17" a="1"/>
  <c r="P955" i="17"/>
  <c r="P974" i="17" a="1"/>
  <c r="P974" i="17"/>
  <c r="P993" i="17" a="1"/>
  <c r="P993" i="17" s="1"/>
  <c r="P1012" i="17" a="1"/>
  <c r="P1012" i="17" s="1"/>
  <c r="P1031" i="17" a="1"/>
  <c r="P1031" i="17" s="1"/>
  <c r="P1050" i="17" a="1"/>
  <c r="P1050" i="17" s="1"/>
  <c r="P601" i="17" a="1"/>
  <c r="P601" i="17" s="1"/>
  <c r="P602" i="17" a="1"/>
  <c r="P602" i="17" s="1"/>
  <c r="P603" i="17" a="1"/>
  <c r="P603" i="17" s="1"/>
  <c r="P604" i="17" a="1"/>
  <c r="P604" i="17" s="1"/>
  <c r="P605" i="17" a="1"/>
  <c r="P605" i="17" s="1"/>
  <c r="P606" i="17" a="1"/>
  <c r="P606" i="17" s="1"/>
  <c r="P56" i="17" a="1"/>
  <c r="P56" i="17" s="1"/>
  <c r="P57" i="17" a="1"/>
  <c r="P57" i="17" s="1"/>
  <c r="P58" i="17" a="1"/>
  <c r="P58" i="17" s="1"/>
  <c r="P59" i="17" a="1"/>
  <c r="P59" i="17"/>
  <c r="P60" i="17" a="1"/>
  <c r="P60" i="17" s="1"/>
  <c r="P61" i="17" a="1"/>
  <c r="P61" i="17" s="1"/>
  <c r="P125" i="17" a="1"/>
  <c r="P125" i="17" s="1"/>
  <c r="P144" i="17" a="1"/>
  <c r="P144" i="17" s="1"/>
  <c r="P163" i="17" a="1"/>
  <c r="P163" i="17"/>
  <c r="P182" i="17" a="1"/>
  <c r="P182" i="17" s="1"/>
  <c r="P219" i="17" a="1"/>
  <c r="P219" i="17" s="1"/>
  <c r="P220" i="17" a="1"/>
  <c r="P220" i="17" s="1"/>
  <c r="P221" i="17" a="1"/>
  <c r="P221" i="17"/>
  <c r="P258" i="17" a="1"/>
  <c r="P258" i="17" s="1"/>
  <c r="P277" i="17" a="1"/>
  <c r="P277" i="17" s="1"/>
  <c r="P296" i="17" a="1"/>
  <c r="P296" i="17" s="1"/>
  <c r="P315" i="17" a="1"/>
  <c r="P315" i="17" s="1"/>
  <c r="P334" i="17" a="1"/>
  <c r="P334" i="17"/>
  <c r="P353" i="17" a="1"/>
  <c r="P353" i="17" s="1"/>
  <c r="P372" i="17" a="1"/>
  <c r="P372" i="17" s="1"/>
  <c r="P391" i="17" a="1"/>
  <c r="P391" i="17" s="1"/>
  <c r="P410" i="17" a="1"/>
  <c r="P410" i="17"/>
  <c r="P505" i="17" a="1"/>
  <c r="P505" i="17" s="1"/>
  <c r="P524" i="17" a="1"/>
  <c r="P524" i="17" s="1"/>
  <c r="P543" i="17" a="1"/>
  <c r="P543" i="17"/>
  <c r="P447" i="17" a="1"/>
  <c r="P447" i="17" s="1"/>
  <c r="P448" i="17" a="1"/>
  <c r="P448" i="17" s="1"/>
  <c r="P449" i="17" a="1"/>
  <c r="P449" i="17"/>
  <c r="P486" i="17" a="1"/>
  <c r="P486" i="17" s="1"/>
  <c r="P676" i="17" a="1"/>
  <c r="P676" i="17"/>
  <c r="P695" i="17" a="1"/>
  <c r="P695" i="17" s="1"/>
  <c r="P714" i="17" a="1"/>
  <c r="P714" i="17" s="1"/>
  <c r="P733" i="17" a="1"/>
  <c r="P733" i="17" s="1"/>
  <c r="P752" i="17" a="1"/>
  <c r="P752" i="17" s="1"/>
  <c r="P771" i="17" a="1"/>
  <c r="P771" i="17" s="1"/>
  <c r="P788" i="17" a="1"/>
  <c r="P788" i="17"/>
  <c r="P803" i="17" a="1"/>
  <c r="P803" i="17"/>
  <c r="P811" i="17" a="1"/>
  <c r="P811" i="17" s="1"/>
  <c r="P823" i="17" a="1"/>
  <c r="P823" i="17" s="1"/>
  <c r="P842" i="17" a="1"/>
  <c r="P842" i="17" s="1"/>
  <c r="P861" i="17" a="1"/>
  <c r="P861" i="17" s="1"/>
  <c r="P880" i="17" a="1"/>
  <c r="P880" i="17"/>
  <c r="P899" i="17" a="1"/>
  <c r="P899" i="17" s="1"/>
  <c r="P918" i="17" a="1"/>
  <c r="P918" i="17" s="1"/>
  <c r="P937" i="17" a="1"/>
  <c r="P937" i="17" s="1"/>
  <c r="P956" i="17" a="1"/>
  <c r="P956" i="17" s="1"/>
  <c r="P975" i="17" a="1"/>
  <c r="P975" i="17" s="1"/>
  <c r="P994" i="17" a="1"/>
  <c r="P994" i="17" s="1"/>
  <c r="P1013" i="17" a="1"/>
  <c r="P1013" i="17" s="1"/>
  <c r="P1032" i="17" a="1"/>
  <c r="P1032" i="17" s="1"/>
  <c r="P1051" i="17" a="1"/>
  <c r="P1051" i="17" s="1"/>
  <c r="P607" i="17" a="1"/>
  <c r="P607" i="17" s="1"/>
  <c r="P608" i="17" a="1"/>
  <c r="P608" i="17" s="1"/>
  <c r="P609" i="17" a="1"/>
  <c r="P609" i="17"/>
  <c r="P610" i="17" a="1"/>
  <c r="P610" i="17" s="1"/>
  <c r="P611" i="17" a="1"/>
  <c r="P611" i="17" s="1"/>
  <c r="P612" i="17" a="1"/>
  <c r="P612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/>
  <c r="P67" i="17" a="1"/>
  <c r="P67" i="17" s="1"/>
  <c r="P126" i="17" a="1"/>
  <c r="P126" i="17" s="1"/>
  <c r="P145" i="17" a="1"/>
  <c r="P145" i="17" s="1"/>
  <c r="P164" i="17" a="1"/>
  <c r="P164" i="17"/>
  <c r="P183" i="17" a="1"/>
  <c r="P183" i="17" s="1"/>
  <c r="P222" i="17" a="1"/>
  <c r="P222" i="17"/>
  <c r="P223" i="17" a="1"/>
  <c r="P223" i="17" s="1"/>
  <c r="P224" i="17" a="1"/>
  <c r="P224" i="17" s="1"/>
  <c r="P259" i="17" a="1"/>
  <c r="P259" i="17" s="1"/>
  <c r="P278" i="17" a="1"/>
  <c r="P278" i="17" s="1"/>
  <c r="P297" i="17" a="1"/>
  <c r="P297" i="17" s="1"/>
  <c r="P316" i="17" a="1"/>
  <c r="P316" i="17" s="1"/>
  <c r="P335" i="17" a="1"/>
  <c r="P335" i="17" s="1"/>
  <c r="P354" i="17" a="1"/>
  <c r="P354" i="17" s="1"/>
  <c r="P373" i="17" a="1"/>
  <c r="P373" i="17"/>
  <c r="P392" i="17" a="1"/>
  <c r="P392" i="17"/>
  <c r="P411" i="17" a="1"/>
  <c r="P411" i="17" s="1"/>
  <c r="P506" i="17" a="1"/>
  <c r="P506" i="17" s="1"/>
  <c r="P525" i="17" a="1"/>
  <c r="P525" i="17" s="1"/>
  <c r="P544" i="17" a="1"/>
  <c r="P544" i="17" s="1"/>
  <c r="P450" i="17" a="1"/>
  <c r="P450" i="17" s="1"/>
  <c r="P451" i="17" a="1"/>
  <c r="P451" i="17" s="1"/>
  <c r="P452" i="17" a="1"/>
  <c r="P452" i="17" s="1"/>
  <c r="P487" i="17" a="1"/>
  <c r="P487" i="17"/>
  <c r="P677" i="17" a="1"/>
  <c r="P677" i="17" s="1"/>
  <c r="P696" i="17" a="1"/>
  <c r="P696" i="17" s="1"/>
  <c r="P715" i="17" a="1"/>
  <c r="P715" i="17" s="1"/>
  <c r="P734" i="17" a="1"/>
  <c r="P734" i="17" s="1"/>
  <c r="P753" i="17" a="1"/>
  <c r="P753" i="17" s="1"/>
  <c r="P772" i="17" a="1"/>
  <c r="P772" i="17" s="1"/>
  <c r="P789" i="17" a="1"/>
  <c r="P789" i="17"/>
  <c r="P824" i="17" a="1"/>
  <c r="P824" i="17" s="1"/>
  <c r="P843" i="17" a="1"/>
  <c r="P843" i="17" s="1"/>
  <c r="P862" i="17" a="1"/>
  <c r="P862" i="17"/>
  <c r="P881" i="17" a="1"/>
  <c r="P881" i="17" s="1"/>
  <c r="P900" i="17" a="1"/>
  <c r="P900" i="17" s="1"/>
  <c r="P919" i="17" a="1"/>
  <c r="P919" i="17" s="1"/>
  <c r="P938" i="17" a="1"/>
  <c r="P938" i="17"/>
  <c r="P957" i="17" a="1"/>
  <c r="P957" i="17" s="1"/>
  <c r="P976" i="17" a="1"/>
  <c r="P976" i="17"/>
  <c r="P995" i="17" a="1"/>
  <c r="P995" i="17" s="1"/>
  <c r="P1014" i="17" a="1"/>
  <c r="P1014" i="17" s="1"/>
  <c r="P1033" i="17" a="1"/>
  <c r="P1033" i="17"/>
  <c r="P1052" i="17" a="1"/>
  <c r="P1052" i="17" s="1"/>
  <c r="P613" i="17" a="1"/>
  <c r="P613" i="17" s="1"/>
  <c r="P614" i="17" a="1"/>
  <c r="P614" i="17" s="1"/>
  <c r="P615" i="17" a="1"/>
  <c r="P615" i="17" s="1"/>
  <c r="P616" i="17" a="1"/>
  <c r="P616" i="17"/>
  <c r="P617" i="17" a="1"/>
  <c r="P617" i="17" s="1"/>
  <c r="P618" i="17" a="1"/>
  <c r="P618" i="17"/>
  <c r="P68" i="17" a="1"/>
  <c r="P68" i="17" s="1"/>
  <c r="P69" i="17" a="1"/>
  <c r="P69" i="17" s="1"/>
  <c r="P70" i="17" a="1"/>
  <c r="P70" i="17" s="1"/>
  <c r="P71" i="17" a="1"/>
  <c r="P71" i="17" s="1"/>
  <c r="P72" i="17" a="1"/>
  <c r="P72" i="17"/>
  <c r="P73" i="17" a="1"/>
  <c r="P73" i="17"/>
  <c r="P127" i="17" a="1"/>
  <c r="P127" i="17" s="1"/>
  <c r="P146" i="17" a="1"/>
  <c r="P146" i="17" s="1"/>
  <c r="P165" i="17" a="1"/>
  <c r="P165" i="17" s="1"/>
  <c r="P184" i="17" a="1"/>
  <c r="P184" i="17" s="1"/>
  <c r="P225" i="17" a="1"/>
  <c r="P225" i="17" s="1"/>
  <c r="P226" i="17" a="1"/>
  <c r="P226" i="17" s="1"/>
  <c r="P227" i="17" a="1"/>
  <c r="P227" i="17"/>
  <c r="P260" i="17" a="1"/>
  <c r="P260" i="17" s="1"/>
  <c r="P279" i="17" a="1"/>
  <c r="P279" i="17" s="1"/>
  <c r="P298" i="17" a="1"/>
  <c r="P298" i="17" s="1"/>
  <c r="P317" i="17" a="1"/>
  <c r="P317" i="17"/>
  <c r="P336" i="17" a="1"/>
  <c r="P336" i="17" s="1"/>
  <c r="P355" i="17" a="1"/>
  <c r="P355" i="17" s="1"/>
  <c r="P374" i="17" a="1"/>
  <c r="P374" i="17" s="1"/>
  <c r="P393" i="17" a="1"/>
  <c r="P393" i="17" s="1"/>
  <c r="P412" i="17" a="1"/>
  <c r="P412" i="17"/>
  <c r="P507" i="17" a="1"/>
  <c r="P507" i="17" s="1"/>
  <c r="P526" i="17" a="1"/>
  <c r="P526" i="17" s="1"/>
  <c r="P545" i="17" a="1"/>
  <c r="P545" i="17" s="1"/>
  <c r="P453" i="17" a="1"/>
  <c r="P453" i="17" s="1"/>
  <c r="P454" i="17" a="1"/>
  <c r="P454" i="17" s="1"/>
  <c r="P455" i="17" a="1"/>
  <c r="P455" i="17" s="1"/>
  <c r="P488" i="17" a="1"/>
  <c r="P488" i="17"/>
  <c r="P678" i="17" a="1"/>
  <c r="P678" i="17" s="1"/>
  <c r="P697" i="17" a="1"/>
  <c r="P697" i="17" s="1"/>
  <c r="P716" i="17" a="1"/>
  <c r="P716" i="17"/>
  <c r="P735" i="17" a="1"/>
  <c r="P735" i="17" s="1"/>
  <c r="P754" i="17" a="1"/>
  <c r="P754" i="17"/>
  <c r="P773" i="17" a="1"/>
  <c r="P773" i="17" s="1"/>
  <c r="P790" i="17" a="1"/>
  <c r="P790" i="17" s="1"/>
  <c r="P825" i="17" a="1"/>
  <c r="P825" i="17"/>
  <c r="P844" i="17" a="1"/>
  <c r="P844" i="17" s="1"/>
  <c r="P863" i="17" a="1"/>
  <c r="P863" i="17" s="1"/>
  <c r="P882" i="17" a="1"/>
  <c r="P882" i="17" s="1"/>
  <c r="P901" i="17" a="1"/>
  <c r="P901" i="17"/>
  <c r="P920" i="17" a="1"/>
  <c r="P920" i="17" s="1"/>
  <c r="P939" i="17" a="1"/>
  <c r="P939" i="17" s="1"/>
  <c r="P958" i="17" a="1"/>
  <c r="P958" i="17" s="1"/>
  <c r="P977" i="17" a="1"/>
  <c r="P977" i="17" s="1"/>
  <c r="P996" i="17" a="1"/>
  <c r="P996" i="17"/>
  <c r="P1015" i="17" a="1"/>
  <c r="P1015" i="17" s="1"/>
  <c r="P1034" i="17" a="1"/>
  <c r="P1034" i="17" s="1"/>
  <c r="P1053" i="17" a="1"/>
  <c r="P1053" i="17" s="1"/>
  <c r="P619" i="17" a="1"/>
  <c r="P619" i="17" s="1"/>
  <c r="P620" i="17" a="1"/>
  <c r="P620" i="17" s="1"/>
  <c r="P621" i="17" a="1"/>
  <c r="P621" i="17"/>
  <c r="P622" i="17" a="1"/>
  <c r="P622" i="17"/>
  <c r="P623" i="17" a="1"/>
  <c r="P623" i="17" s="1"/>
  <c r="P624" i="17" a="1"/>
  <c r="P624" i="17" s="1"/>
  <c r="P74" i="17" a="1"/>
  <c r="P74" i="17" s="1"/>
  <c r="P75" i="17" a="1"/>
  <c r="P75" i="17" s="1"/>
  <c r="P76" i="17" a="1"/>
  <c r="P76" i="17"/>
  <c r="P77" i="17" a="1"/>
  <c r="P77" i="17" s="1"/>
  <c r="P78" i="17" a="1"/>
  <c r="P78" i="17" s="1"/>
  <c r="P79" i="17" a="1"/>
  <c r="P79" i="17"/>
  <c r="P128" i="17" a="1"/>
  <c r="P128" i="17" s="1"/>
  <c r="P147" i="17" a="1"/>
  <c r="P147" i="17" s="1"/>
  <c r="P166" i="17" a="1"/>
  <c r="P166" i="17" s="1"/>
  <c r="P185" i="17" a="1"/>
  <c r="P185" i="17" s="1"/>
  <c r="P228" i="17" a="1"/>
  <c r="P228" i="17"/>
  <c r="P229" i="17" a="1"/>
  <c r="P229" i="17" s="1"/>
  <c r="P230" i="17" a="1"/>
  <c r="P230" i="17"/>
  <c r="P261" i="17" a="1"/>
  <c r="P261" i="17" s="1"/>
  <c r="P280" i="17" a="1"/>
  <c r="P280" i="17"/>
  <c r="P299" i="17" a="1"/>
  <c r="P299" i="17" s="1"/>
  <c r="P318" i="17" a="1"/>
  <c r="P318" i="17" s="1"/>
  <c r="P337" i="17" a="1"/>
  <c r="P337" i="17" s="1"/>
  <c r="P356" i="17" a="1"/>
  <c r="P356" i="17" s="1"/>
  <c r="P375" i="17" a="1"/>
  <c r="P375" i="17" s="1"/>
  <c r="P394" i="17" a="1"/>
  <c r="P394" i="17" s="1"/>
  <c r="P413" i="17" a="1"/>
  <c r="P413" i="17" s="1"/>
  <c r="P508" i="17" a="1"/>
  <c r="P508" i="17" s="1"/>
  <c r="P527" i="17" a="1"/>
  <c r="P527" i="17" s="1"/>
  <c r="P546" i="17" a="1"/>
  <c r="P546" i="17"/>
  <c r="P456" i="17" a="1"/>
  <c r="P456" i="17" s="1"/>
  <c r="P457" i="17" a="1"/>
  <c r="P457" i="17" s="1"/>
  <c r="P458" i="17" a="1"/>
  <c r="P458" i="17" s="1"/>
  <c r="P489" i="17" a="1"/>
  <c r="P489" i="17"/>
  <c r="P679" i="17" a="1"/>
  <c r="P679" i="17"/>
  <c r="P698" i="17" a="1"/>
  <c r="P698" i="17" s="1"/>
  <c r="P717" i="17" a="1"/>
  <c r="P717" i="17" s="1"/>
  <c r="P736" i="17" a="1"/>
  <c r="P736" i="17" s="1"/>
  <c r="P755" i="17" a="1"/>
  <c r="P755" i="17" s="1"/>
  <c r="P774" i="17" a="1"/>
  <c r="P774" i="17"/>
  <c r="P791" i="17" a="1"/>
  <c r="P791" i="17" s="1"/>
  <c r="P826" i="17" a="1"/>
  <c r="P826" i="17"/>
  <c r="P845" i="17" a="1"/>
  <c r="P845" i="17" s="1"/>
  <c r="P864" i="17" a="1"/>
  <c r="P864" i="17" s="1"/>
  <c r="P883" i="17" a="1"/>
  <c r="P883" i="17" s="1"/>
  <c r="P902" i="17" a="1"/>
  <c r="P902" i="17" s="1"/>
  <c r="P921" i="17" a="1"/>
  <c r="P921" i="17" s="1"/>
  <c r="P940" i="17" a="1"/>
  <c r="P940" i="17" s="1"/>
  <c r="P959" i="17" a="1"/>
  <c r="P959" i="17" s="1"/>
  <c r="P978" i="17" a="1"/>
  <c r="P978" i="17"/>
  <c r="P997" i="17" a="1"/>
  <c r="P997" i="17" s="1"/>
  <c r="P1016" i="17" a="1"/>
  <c r="P1016" i="17"/>
  <c r="P1035" i="17" a="1"/>
  <c r="P1035" i="17" s="1"/>
  <c r="P1054" i="17" a="1"/>
  <c r="P1054" i="17"/>
  <c r="P625" i="17" a="1"/>
  <c r="P625" i="17" s="1"/>
  <c r="P626" i="17" a="1"/>
  <c r="P626" i="17" s="1"/>
  <c r="P627" i="17" a="1"/>
  <c r="P627" i="17" s="1"/>
  <c r="P628" i="17" a="1"/>
  <c r="P628" i="17" s="1"/>
  <c r="P629" i="17" a="1"/>
  <c r="P629" i="17"/>
  <c r="P630" i="17" a="1"/>
  <c r="P630" i="17" s="1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/>
  <c r="P129" i="17" a="1"/>
  <c r="P129" i="17" s="1"/>
  <c r="P148" i="17" a="1"/>
  <c r="P148" i="17"/>
  <c r="P167" i="17" a="1"/>
  <c r="P167" i="17" s="1"/>
  <c r="P186" i="17" a="1"/>
  <c r="P186" i="17" s="1"/>
  <c r="P231" i="17" a="1"/>
  <c r="P231" i="17"/>
  <c r="P232" i="17" a="1"/>
  <c r="P232" i="17" s="1"/>
  <c r="P233" i="17" a="1"/>
  <c r="P233" i="17" s="1"/>
  <c r="P262" i="17" a="1"/>
  <c r="P262" i="17"/>
  <c r="P281" i="17" a="1"/>
  <c r="P281" i="17" s="1"/>
  <c r="P300" i="17" a="1"/>
  <c r="P300" i="17" s="1"/>
  <c r="P319" i="17" a="1"/>
  <c r="P319" i="17" s="1"/>
  <c r="P338" i="17" a="1"/>
  <c r="P338" i="17"/>
  <c r="P357" i="17" a="1"/>
  <c r="P357" i="17" s="1"/>
  <c r="P376" i="17" a="1"/>
  <c r="P376" i="17" s="1"/>
  <c r="P395" i="17" a="1"/>
  <c r="P395" i="17" s="1"/>
  <c r="P414" i="17" a="1"/>
  <c r="P414" i="17" s="1"/>
  <c r="P509" i="17" a="1"/>
  <c r="P509" i="17"/>
  <c r="P528" i="17" a="1"/>
  <c r="P528" i="17"/>
  <c r="P547" i="17" a="1"/>
  <c r="P547" i="17" s="1"/>
  <c r="P459" i="17" a="1"/>
  <c r="P459" i="17" s="1"/>
  <c r="P460" i="17" a="1"/>
  <c r="P460" i="17" s="1"/>
  <c r="P461" i="17" a="1"/>
  <c r="P461" i="17" s="1"/>
  <c r="P490" i="17" a="1"/>
  <c r="P490" i="17" s="1"/>
  <c r="P680" i="17" a="1"/>
  <c r="P680" i="17" s="1"/>
  <c r="P699" i="17" a="1"/>
  <c r="P699" i="17" s="1"/>
  <c r="P718" i="17" a="1"/>
  <c r="P718" i="17" s="1"/>
  <c r="P737" i="17" a="1"/>
  <c r="P737" i="17" s="1"/>
  <c r="P756" i="17" a="1"/>
  <c r="P756" i="17" s="1"/>
  <c r="P775" i="17" a="1"/>
  <c r="P775" i="17" s="1"/>
  <c r="P792" i="17" a="1"/>
  <c r="P792" i="17" s="1"/>
  <c r="P804" i="17" a="1"/>
  <c r="P804" i="17" s="1"/>
  <c r="P827" i="17" a="1"/>
  <c r="P827" i="17"/>
  <c r="P846" i="17" a="1"/>
  <c r="P846" i="17" s="1"/>
  <c r="P865" i="17" a="1"/>
  <c r="P865" i="17" s="1"/>
  <c r="P884" i="17" a="1"/>
  <c r="P884" i="17" s="1"/>
  <c r="P903" i="17" a="1"/>
  <c r="P903" i="17" s="1"/>
  <c r="P922" i="17" a="1"/>
  <c r="P922" i="17"/>
  <c r="P941" i="17" a="1"/>
  <c r="P941" i="17" s="1"/>
  <c r="P960" i="17" a="1"/>
  <c r="P960" i="17" s="1"/>
  <c r="P979" i="17" a="1"/>
  <c r="P979" i="17" s="1"/>
  <c r="P998" i="17" a="1"/>
  <c r="P998" i="17" s="1"/>
  <c r="P1017" i="17" a="1"/>
  <c r="P1017" i="17" s="1"/>
  <c r="P1036" i="17" a="1"/>
  <c r="P1036" i="17" s="1"/>
  <c r="P1055" i="17" a="1"/>
  <c r="P1055" i="17" s="1"/>
  <c r="P631" i="17" a="1"/>
  <c r="P631" i="17" s="1"/>
  <c r="P632" i="17" a="1"/>
  <c r="P632" i="17" s="1"/>
  <c r="P633" i="17" a="1"/>
  <c r="P633" i="17" s="1"/>
  <c r="P634" i="17" a="1"/>
  <c r="P634" i="17" s="1"/>
  <c r="P635" i="17" a="1"/>
  <c r="P635" i="17" s="1"/>
  <c r="P636" i="17" a="1"/>
  <c r="P636" i="17"/>
  <c r="P86" i="17" a="1"/>
  <c r="P86" i="17" s="1"/>
  <c r="P87" i="17" a="1"/>
  <c r="P87" i="17" s="1"/>
  <c r="P88" i="17" a="1"/>
  <c r="P88" i="17"/>
  <c r="P89" i="17" a="1"/>
  <c r="P89" i="17" s="1"/>
  <c r="P90" i="17" a="1"/>
  <c r="P90" i="17" s="1"/>
  <c r="P91" i="17" a="1"/>
  <c r="P91" i="17"/>
  <c r="P130" i="17" a="1"/>
  <c r="P130" i="17" s="1"/>
  <c r="P149" i="17" a="1"/>
  <c r="P149" i="17" s="1"/>
  <c r="P168" i="17" a="1"/>
  <c r="P168" i="17" s="1"/>
  <c r="P187" i="17" a="1"/>
  <c r="P187" i="17" s="1"/>
  <c r="P234" i="17" a="1"/>
  <c r="P234" i="17" s="1"/>
  <c r="P235" i="17" a="1"/>
  <c r="P235" i="17" s="1"/>
  <c r="P236" i="17" a="1"/>
  <c r="P236" i="17" s="1"/>
  <c r="P263" i="17" a="1"/>
  <c r="P263" i="17" s="1"/>
  <c r="P282" i="17" a="1"/>
  <c r="P282" i="17"/>
  <c r="P301" i="17" a="1"/>
  <c r="P301" i="17" s="1"/>
  <c r="P320" i="17" a="1"/>
  <c r="P320" i="17" s="1"/>
  <c r="P339" i="17" a="1"/>
  <c r="P339" i="17" s="1"/>
  <c r="P358" i="17" a="1"/>
  <c r="P358" i="17" s="1"/>
  <c r="P377" i="17" a="1"/>
  <c r="P377" i="17"/>
  <c r="P396" i="17" a="1"/>
  <c r="P396" i="17" s="1"/>
  <c r="P415" i="17" a="1"/>
  <c r="P415" i="17"/>
  <c r="P510" i="17" a="1"/>
  <c r="P510" i="17" s="1"/>
  <c r="P529" i="17" a="1"/>
  <c r="P529" i="17" s="1"/>
  <c r="P548" i="17" a="1"/>
  <c r="P548" i="17" s="1"/>
  <c r="P462" i="17" a="1"/>
  <c r="P462" i="17" s="1"/>
  <c r="P463" i="17" a="1"/>
  <c r="P463" i="17" s="1"/>
  <c r="P464" i="17" a="1"/>
  <c r="P464" i="17" s="1"/>
  <c r="P491" i="17" a="1"/>
  <c r="P491" i="17" s="1"/>
  <c r="P681" i="17" a="1"/>
  <c r="P681" i="17" s="1"/>
  <c r="P700" i="17" a="1"/>
  <c r="P700" i="17" s="1"/>
  <c r="P719" i="17" a="1"/>
  <c r="P719" i="17" s="1"/>
  <c r="P738" i="17" a="1"/>
  <c r="P738" i="17" s="1"/>
  <c r="P757" i="17" a="1"/>
  <c r="P757" i="17"/>
  <c r="P776" i="17" a="1"/>
  <c r="P776" i="17" s="1"/>
  <c r="P793" i="17" a="1"/>
  <c r="P793" i="17" s="1"/>
  <c r="P805" i="17" a="1"/>
  <c r="P805" i="17" s="1"/>
  <c r="P828" i="17" a="1"/>
  <c r="P828" i="17"/>
  <c r="P847" i="17" a="1"/>
  <c r="P847" i="17" s="1"/>
  <c r="P866" i="17" a="1"/>
  <c r="P866" i="17"/>
  <c r="P885" i="17" a="1"/>
  <c r="P885" i="17" s="1"/>
  <c r="P904" i="17" a="1"/>
  <c r="P904" i="17" s="1"/>
  <c r="P923" i="17" a="1"/>
  <c r="P923" i="17" s="1"/>
  <c r="P942" i="17" a="1"/>
  <c r="P942" i="17" s="1"/>
  <c r="P961" i="17" a="1"/>
  <c r="P961" i="17" s="1"/>
  <c r="P980" i="17" a="1"/>
  <c r="P980" i="17" s="1"/>
  <c r="P999" i="17" a="1"/>
  <c r="P999" i="17"/>
  <c r="P1018" i="17" a="1"/>
  <c r="P1018" i="17" s="1"/>
  <c r="P1037" i="17" a="1"/>
  <c r="P1037" i="17" s="1"/>
  <c r="P1056" i="17" a="1"/>
  <c r="P1056" i="17" s="1"/>
  <c r="P637" i="17" a="1"/>
  <c r="P637" i="17" s="1"/>
  <c r="P638" i="17" a="1"/>
  <c r="P638" i="17" s="1"/>
  <c r="P639" i="17" a="1"/>
  <c r="P639" i="17" s="1"/>
  <c r="P640" i="17" a="1"/>
  <c r="P640" i="17"/>
  <c r="P641" i="17" a="1"/>
  <c r="P641" i="17" s="1"/>
  <c r="P642" i="17" a="1"/>
  <c r="P642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131" i="17" a="1"/>
  <c r="P131" i="17" s="1"/>
  <c r="P150" i="17" a="1"/>
  <c r="P150" i="17" s="1"/>
  <c r="P169" i="17" a="1"/>
  <c r="P169" i="17" s="1"/>
  <c r="P188" i="17" a="1"/>
  <c r="P188" i="17"/>
  <c r="P237" i="17" a="1"/>
  <c r="P237" i="17" s="1"/>
  <c r="P238" i="17" a="1"/>
  <c r="P238" i="17" s="1"/>
  <c r="P239" i="17" a="1"/>
  <c r="P239" i="17" s="1"/>
  <c r="P264" i="17" a="1"/>
  <c r="P264" i="17"/>
  <c r="P283" i="17" a="1"/>
  <c r="P283" i="17" s="1"/>
  <c r="P302" i="17" a="1"/>
  <c r="P302" i="17"/>
  <c r="P321" i="17" a="1"/>
  <c r="P321" i="17" s="1"/>
  <c r="P340" i="17" a="1"/>
  <c r="P340" i="17" s="1"/>
  <c r="P359" i="17" a="1"/>
  <c r="P359" i="17" s="1"/>
  <c r="P378" i="17" a="1"/>
  <c r="P378" i="17" s="1"/>
  <c r="P397" i="17" a="1"/>
  <c r="P397" i="17" s="1"/>
  <c r="P416" i="17" a="1"/>
  <c r="P416" i="17" s="1"/>
  <c r="P511" i="17" a="1"/>
  <c r="P511" i="17"/>
  <c r="P530" i="17" a="1"/>
  <c r="P530" i="17" s="1"/>
  <c r="P549" i="17" a="1"/>
  <c r="P549" i="17" s="1"/>
  <c r="P465" i="17" a="1"/>
  <c r="P465" i="17" s="1"/>
  <c r="P466" i="17" a="1"/>
  <c r="P466" i="17" s="1"/>
  <c r="P467" i="17" a="1"/>
  <c r="P467" i="17"/>
  <c r="P492" i="17" a="1"/>
  <c r="P492" i="17" s="1"/>
  <c r="P682" i="17" a="1"/>
  <c r="P682" i="17"/>
  <c r="P701" i="17" a="1"/>
  <c r="P701" i="17" s="1"/>
  <c r="P720" i="17" a="1"/>
  <c r="P720" i="17"/>
  <c r="P739" i="17" a="1"/>
  <c r="P739" i="17" s="1"/>
  <c r="P758" i="17" a="1"/>
  <c r="P758" i="17" s="1"/>
  <c r="P777" i="17" a="1"/>
  <c r="P777" i="17" s="1"/>
  <c r="P806" i="17" a="1"/>
  <c r="P806" i="17" s="1"/>
  <c r="P812" i="17" a="1"/>
  <c r="P812" i="17" s="1"/>
  <c r="P829" i="17" a="1"/>
  <c r="P829" i="17" s="1"/>
  <c r="P848" i="17" a="1"/>
  <c r="P848" i="17"/>
  <c r="P867" i="17" a="1"/>
  <c r="P867" i="17" s="1"/>
  <c r="P886" i="17" a="1"/>
  <c r="P886" i="17" s="1"/>
  <c r="P905" i="17" a="1"/>
  <c r="P905" i="17"/>
  <c r="P924" i="17" a="1"/>
  <c r="P924" i="17" s="1"/>
  <c r="P943" i="17" a="1"/>
  <c r="P943" i="17" s="1"/>
  <c r="P962" i="17" a="1"/>
  <c r="P962" i="17" s="1"/>
  <c r="P981" i="17" a="1"/>
  <c r="P981" i="17" s="1"/>
  <c r="P1000" i="17" a="1"/>
  <c r="P1000" i="17" s="1"/>
  <c r="P1019" i="17" a="1"/>
  <c r="P1019" i="17"/>
  <c r="P1038" i="17" a="1"/>
  <c r="P1038" i="17" s="1"/>
  <c r="P1057" i="17" a="1"/>
  <c r="P1057" i="17" s="1"/>
  <c r="P643" i="17" a="1"/>
  <c r="P643" i="17" s="1"/>
  <c r="P644" i="17" a="1"/>
  <c r="P644" i="17" s="1"/>
  <c r="P645" i="17" a="1"/>
  <c r="P645" i="17" s="1"/>
  <c r="P646" i="17" a="1"/>
  <c r="P646" i="17" s="1"/>
  <c r="P647" i="17" a="1"/>
  <c r="P647" i="17"/>
  <c r="P648" i="17" a="1"/>
  <c r="P648" i="17" s="1"/>
  <c r="P98" i="17" a="1"/>
  <c r="P98" i="17" s="1"/>
  <c r="P99" i="17" a="1"/>
  <c r="P99" i="17" s="1"/>
  <c r="P100" i="17" a="1"/>
  <c r="P100" i="17" s="1"/>
  <c r="P101" i="17" a="1"/>
  <c r="P101" i="17"/>
  <c r="P102" i="17" a="1"/>
  <c r="P102" i="17" s="1"/>
  <c r="P103" i="17" a="1"/>
  <c r="P103" i="17"/>
  <c r="P132" i="17" a="1"/>
  <c r="P132" i="17" s="1"/>
  <c r="P151" i="17" a="1"/>
  <c r="P151" i="17" s="1"/>
  <c r="P170" i="17" a="1"/>
  <c r="P170" i="17" s="1"/>
  <c r="P189" i="17" a="1"/>
  <c r="P189" i="17" s="1"/>
  <c r="P240" i="17" a="1"/>
  <c r="P240" i="17" s="1"/>
  <c r="P241" i="17" a="1"/>
  <c r="P241" i="17" s="1"/>
  <c r="P242" i="17" a="1"/>
  <c r="P242" i="17" s="1"/>
  <c r="P265" i="17" a="1"/>
  <c r="P265" i="17" s="1"/>
  <c r="P284" i="17" a="1"/>
  <c r="P284" i="17" s="1"/>
  <c r="P303" i="17" a="1"/>
  <c r="P303" i="17" s="1"/>
  <c r="P322" i="17" a="1"/>
  <c r="P322" i="17" s="1"/>
  <c r="P341" i="17" a="1"/>
  <c r="P341" i="17"/>
  <c r="P360" i="17" a="1"/>
  <c r="P360" i="17" s="1"/>
  <c r="P379" i="17" a="1"/>
  <c r="P379" i="17" s="1"/>
  <c r="P398" i="17" a="1"/>
  <c r="P398" i="17" s="1"/>
  <c r="P417" i="17" a="1"/>
  <c r="P417" i="17"/>
  <c r="P512" i="17" a="1"/>
  <c r="P512" i="17" s="1"/>
  <c r="P531" i="17" a="1"/>
  <c r="P531" i="17"/>
  <c r="P550" i="17" a="1"/>
  <c r="P550" i="17" s="1"/>
  <c r="P468" i="17" a="1"/>
  <c r="P468" i="17" s="1"/>
  <c r="P469" i="17" a="1"/>
  <c r="P469" i="17" s="1"/>
  <c r="P470" i="17" a="1"/>
  <c r="P470" i="17" s="1"/>
  <c r="P493" i="17" a="1"/>
  <c r="P493" i="17" s="1"/>
  <c r="P683" i="17" a="1"/>
  <c r="P683" i="17" s="1"/>
  <c r="P702" i="17" a="1"/>
  <c r="P702" i="17"/>
  <c r="P721" i="17" a="1"/>
  <c r="P721" i="17" s="1"/>
  <c r="P740" i="17" a="1"/>
  <c r="P740" i="17" s="1"/>
  <c r="P759" i="17" a="1"/>
  <c r="P759" i="17" s="1"/>
  <c r="P778" i="17" a="1"/>
  <c r="P778" i="17" s="1"/>
  <c r="P794" i="17" a="1"/>
  <c r="P794" i="17"/>
  <c r="P807" i="17" a="1"/>
  <c r="P807" i="17" s="1"/>
  <c r="P830" i="17" a="1"/>
  <c r="P830" i="17"/>
  <c r="P849" i="17" a="1"/>
  <c r="P849" i="17" s="1"/>
  <c r="P868" i="17" a="1"/>
  <c r="P868" i="17"/>
  <c r="P887" i="17" a="1"/>
  <c r="P887" i="17" s="1"/>
  <c r="P906" i="17" a="1"/>
  <c r="P906" i="17" s="1"/>
  <c r="P925" i="17" a="1"/>
  <c r="P925" i="17" s="1"/>
  <c r="P944" i="17" a="1"/>
  <c r="P944" i="17" s="1"/>
  <c r="P963" i="17" a="1"/>
  <c r="P963" i="17" s="1"/>
  <c r="P982" i="17" a="1"/>
  <c r="P982" i="17" s="1"/>
  <c r="P1001" i="17" a="1"/>
  <c r="P1001" i="17"/>
  <c r="P1020" i="17" a="1"/>
  <c r="P1020" i="17" s="1"/>
  <c r="P1039" i="17" a="1"/>
  <c r="P1039" i="17" s="1"/>
  <c r="P1058" i="17" a="1"/>
  <c r="P1058" i="17"/>
  <c r="P649" i="17" a="1"/>
  <c r="P649" i="17" s="1"/>
  <c r="P650" i="17" a="1"/>
  <c r="P650" i="17" s="1"/>
  <c r="P651" i="17" a="1"/>
  <c r="P651" i="17" s="1"/>
  <c r="P652" i="17" a="1"/>
  <c r="P652" i="17"/>
  <c r="P653" i="17" a="1"/>
  <c r="P653" i="17" s="1"/>
  <c r="P654" i="17" a="1"/>
  <c r="P654" i="17"/>
  <c r="P104" i="17" a="1"/>
  <c r="P104" i="17" s="1"/>
  <c r="P105" i="17" a="1"/>
  <c r="P105" i="17" s="1"/>
  <c r="P106" i="17" a="1"/>
  <c r="P106" i="17"/>
  <c r="P107" i="17" a="1"/>
  <c r="P107" i="17" s="1"/>
  <c r="P108" i="17" a="1"/>
  <c r="P108" i="17" s="1"/>
  <c r="P109" i="17" a="1"/>
  <c r="P109" i="17" s="1"/>
  <c r="P133" i="17" a="1"/>
  <c r="P133" i="17"/>
  <c r="P152" i="17" a="1"/>
  <c r="P152" i="17" s="1"/>
  <c r="P171" i="17" a="1"/>
  <c r="P171" i="17" s="1"/>
  <c r="P190" i="17" a="1"/>
  <c r="P190" i="17" s="1"/>
  <c r="P243" i="17" a="1"/>
  <c r="P243" i="17" s="1"/>
  <c r="P244" i="17" a="1"/>
  <c r="P244" i="17"/>
  <c r="P245" i="17" a="1"/>
  <c r="P245" i="17" s="1"/>
  <c r="P266" i="17" a="1"/>
  <c r="P266" i="17" s="1"/>
  <c r="P285" i="17" a="1"/>
  <c r="P285" i="17" s="1"/>
  <c r="P304" i="17" a="1"/>
  <c r="P304" i="17"/>
  <c r="P323" i="17" a="1"/>
  <c r="P323" i="17" s="1"/>
  <c r="P342" i="17" a="1"/>
  <c r="P342" i="17" s="1"/>
  <c r="P361" i="17" a="1"/>
  <c r="P361" i="17" s="1"/>
  <c r="P380" i="17" a="1"/>
  <c r="P380" i="17" s="1"/>
  <c r="P399" i="17" a="1"/>
  <c r="P399" i="17" s="1"/>
  <c r="P418" i="17" a="1"/>
  <c r="P418" i="17" s="1"/>
  <c r="P513" i="17" a="1"/>
  <c r="P513" i="17"/>
  <c r="P532" i="17" a="1"/>
  <c r="P532" i="17" s="1"/>
  <c r="P551" i="17" a="1"/>
  <c r="P551" i="17" s="1"/>
  <c r="P471" i="17" a="1"/>
  <c r="P471" i="17"/>
  <c r="P472" i="17" a="1"/>
  <c r="P472" i="17" s="1"/>
  <c r="P473" i="17" a="1"/>
  <c r="P473" i="17" s="1"/>
  <c r="P494" i="17" a="1"/>
  <c r="P494" i="17" s="1"/>
  <c r="P684" i="17" a="1"/>
  <c r="P684" i="17"/>
  <c r="P703" i="17" a="1"/>
  <c r="P703" i="17" s="1"/>
  <c r="P722" i="17" a="1"/>
  <c r="P722" i="17"/>
  <c r="P741" i="17" a="1"/>
  <c r="P741" i="17" s="1"/>
  <c r="P760" i="17" a="1"/>
  <c r="P760" i="17" s="1"/>
  <c r="P779" i="17" a="1"/>
  <c r="P779" i="17"/>
  <c r="P795" i="17" a="1"/>
  <c r="P795" i="17" s="1"/>
  <c r="P808" i="17" a="1"/>
  <c r="P808" i="17" s="1"/>
  <c r="P831" i="17" a="1"/>
  <c r="P831" i="17" s="1"/>
  <c r="P850" i="17" a="1"/>
  <c r="P850" i="17" s="1"/>
  <c r="P869" i="17" a="1"/>
  <c r="P869" i="17" s="1"/>
  <c r="P888" i="17" a="1"/>
  <c r="P888" i="17" s="1"/>
  <c r="P907" i="17" a="1"/>
  <c r="P907" i="17" s="1"/>
  <c r="P926" i="17" a="1"/>
  <c r="P926" i="17" s="1"/>
  <c r="P945" i="17" a="1"/>
  <c r="P945" i="17"/>
  <c r="P964" i="17" a="1"/>
  <c r="P964" i="17" s="1"/>
  <c r="P983" i="17" a="1"/>
  <c r="P983" i="17" s="1"/>
  <c r="P1002" i="17" a="1"/>
  <c r="P1002" i="17" s="1"/>
  <c r="P1021" i="17" a="1"/>
  <c r="P1021" i="17"/>
  <c r="P1040" i="17" a="1"/>
  <c r="P1040" i="17" s="1"/>
  <c r="P1059" i="17" a="1"/>
  <c r="P1059" i="17" s="1"/>
  <c r="P655" i="17" a="1"/>
  <c r="P655" i="17" s="1"/>
  <c r="P656" i="17" a="1"/>
  <c r="P656" i="17" s="1"/>
  <c r="P657" i="17" a="1"/>
  <c r="P657" i="17" s="1"/>
  <c r="P658" i="17" a="1"/>
  <c r="P658" i="17" s="1"/>
  <c r="P659" i="17" a="1"/>
  <c r="P659" i="17"/>
  <c r="P660" i="17" a="1"/>
  <c r="P660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/>
  <c r="P134" i="17" a="1"/>
  <c r="P134" i="17" s="1"/>
  <c r="P153" i="17" a="1"/>
  <c r="P153" i="17" s="1"/>
  <c r="P172" i="17" a="1"/>
  <c r="P172" i="17" s="1"/>
  <c r="P191" i="17" a="1"/>
  <c r="P191" i="17" s="1"/>
  <c r="P246" i="17" a="1"/>
  <c r="P246" i="17"/>
  <c r="P247" i="17" a="1"/>
  <c r="P247" i="17" s="1"/>
  <c r="P248" i="17" a="1"/>
  <c r="P248" i="17" s="1"/>
  <c r="P267" i="17" a="1"/>
  <c r="P267" i="17" s="1"/>
  <c r="P286" i="17" a="1"/>
  <c r="P286" i="17" s="1"/>
  <c r="P305" i="17" a="1"/>
  <c r="P305" i="17" s="1"/>
  <c r="P324" i="17" a="1"/>
  <c r="P324" i="17" s="1"/>
  <c r="P343" i="17" a="1"/>
  <c r="P343" i="17" s="1"/>
  <c r="P362" i="17" a="1"/>
  <c r="P362" i="17" s="1"/>
  <c r="P381" i="17" a="1"/>
  <c r="P381" i="17"/>
  <c r="P400" i="17" a="1"/>
  <c r="P400" i="17" s="1"/>
  <c r="P419" i="17" a="1"/>
  <c r="P419" i="17"/>
  <c r="P514" i="17" a="1"/>
  <c r="P514" i="17" s="1"/>
  <c r="P533" i="17" a="1"/>
  <c r="P533" i="17"/>
  <c r="P552" i="17" a="1"/>
  <c r="P552" i="17" s="1"/>
  <c r="P474" i="17" a="1"/>
  <c r="P474" i="17" s="1"/>
  <c r="P475" i="17" a="1"/>
  <c r="P475" i="17" s="1"/>
  <c r="P476" i="17" a="1"/>
  <c r="P476" i="17" s="1"/>
  <c r="P495" i="17" a="1"/>
  <c r="P495" i="17" s="1"/>
  <c r="P685" i="17" a="1"/>
  <c r="P685" i="17" s="1"/>
  <c r="P704" i="17" a="1"/>
  <c r="P704" i="17"/>
  <c r="P723" i="17" a="1"/>
  <c r="P723" i="17" s="1"/>
  <c r="P742" i="17" a="1"/>
  <c r="P742" i="17" s="1"/>
  <c r="P761" i="17" a="1"/>
  <c r="P761" i="17" s="1"/>
  <c r="P780" i="17" a="1"/>
  <c r="P780" i="17" s="1"/>
  <c r="P796" i="17" a="1"/>
  <c r="P796" i="17" s="1"/>
  <c r="P809" i="17" a="1"/>
  <c r="P809" i="17" s="1"/>
  <c r="P813" i="17" a="1"/>
  <c r="P813" i="17"/>
  <c r="P832" i="17" a="1"/>
  <c r="P832" i="17" s="1"/>
  <c r="P851" i="17" a="1"/>
  <c r="P851" i="17" s="1"/>
  <c r="P870" i="17" a="1"/>
  <c r="P870" i="17" s="1"/>
  <c r="P889" i="17" a="1"/>
  <c r="P889" i="17" s="1"/>
  <c r="P908" i="17" a="1"/>
  <c r="P908" i="17"/>
  <c r="P927" i="17" a="1"/>
  <c r="P927" i="17" s="1"/>
  <c r="P946" i="17" a="1"/>
  <c r="P946" i="17" s="1"/>
  <c r="P965" i="17" a="1"/>
  <c r="P965" i="17" s="1"/>
  <c r="P984" i="17" a="1"/>
  <c r="P984" i="17"/>
  <c r="P1003" i="17" a="1"/>
  <c r="P1003" i="17" s="1"/>
  <c r="P1022" i="17" a="1"/>
  <c r="P1022" i="17" s="1"/>
  <c r="P1041" i="17" a="1"/>
  <c r="P1041" i="17" s="1"/>
  <c r="P1060" i="17" a="1"/>
  <c r="P1060" i="17" s="1"/>
  <c r="P661" i="17" a="1"/>
  <c r="P661" i="17" s="1"/>
  <c r="P662" i="17" a="1"/>
  <c r="P662" i="17" s="1"/>
  <c r="P663" i="17" a="1"/>
  <c r="P663" i="17"/>
  <c r="P664" i="17" a="1"/>
  <c r="P664" i="17" s="1"/>
  <c r="P665" i="17" a="1"/>
  <c r="P665" i="17"/>
  <c r="P666" i="17" a="1"/>
  <c r="P666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116" i="17" a="1"/>
  <c r="R116" i="17" s="1"/>
  <c r="R135" i="17" a="1"/>
  <c r="R135" i="17" s="1"/>
  <c r="R154" i="17" a="1"/>
  <c r="R154" i="17" s="1"/>
  <c r="R173" i="17" a="1"/>
  <c r="R173" i="17" s="1"/>
  <c r="R192" i="17" a="1"/>
  <c r="R192" i="17" s="1"/>
  <c r="R193" i="17" a="1"/>
  <c r="R193" i="17" s="1"/>
  <c r="R194" i="17" a="1"/>
  <c r="R194" i="17" s="1"/>
  <c r="R249" i="17" a="1"/>
  <c r="R249" i="17" s="1"/>
  <c r="R268" i="17" a="1"/>
  <c r="R268" i="17" s="1"/>
  <c r="R287" i="17" a="1"/>
  <c r="R287" i="17" s="1"/>
  <c r="R306" i="17" a="1"/>
  <c r="R306" i="17" s="1"/>
  <c r="R325" i="17" a="1"/>
  <c r="R325" i="17" s="1"/>
  <c r="R344" i="17" a="1"/>
  <c r="R344" i="17" s="1"/>
  <c r="R363" i="17" a="1"/>
  <c r="R363" i="17" s="1"/>
  <c r="R382" i="17" a="1"/>
  <c r="R382" i="17" s="1"/>
  <c r="R401" i="17" a="1"/>
  <c r="R401" i="17" s="1"/>
  <c r="R496" i="17" a="1"/>
  <c r="R496" i="17" s="1"/>
  <c r="R515" i="17" a="1"/>
  <c r="R515" i="17" s="1"/>
  <c r="R534" i="17" a="1"/>
  <c r="R534" i="17" s="1"/>
  <c r="R420" i="17" a="1"/>
  <c r="R420" i="17"/>
  <c r="R421" i="17" a="1"/>
  <c r="R421" i="17" s="1"/>
  <c r="R422" i="17" a="1"/>
  <c r="R422" i="17" s="1"/>
  <c r="R477" i="17" a="1"/>
  <c r="R477" i="17" s="1"/>
  <c r="R667" i="17" a="1"/>
  <c r="R667" i="17" s="1"/>
  <c r="R686" i="17" a="1"/>
  <c r="R686" i="17" s="1"/>
  <c r="R705" i="17" a="1"/>
  <c r="R705" i="17" s="1"/>
  <c r="R724" i="17" a="1"/>
  <c r="R724" i="17" s="1"/>
  <c r="R743" i="17" a="1"/>
  <c r="R743" i="17" s="1"/>
  <c r="R762" i="17" a="1"/>
  <c r="R762" i="17" s="1"/>
  <c r="R781" i="17" a="1"/>
  <c r="R781" i="17" s="1"/>
  <c r="R797" i="17" a="1"/>
  <c r="R797" i="17" s="1"/>
  <c r="R814" i="17" a="1"/>
  <c r="R814" i="17" s="1"/>
  <c r="R833" i="17" a="1"/>
  <c r="R833" i="17" s="1"/>
  <c r="R852" i="17" a="1"/>
  <c r="R852" i="17" s="1"/>
  <c r="R871" i="17" a="1"/>
  <c r="R871" i="17" s="1"/>
  <c r="R890" i="17" a="1"/>
  <c r="R890" i="17" s="1"/>
  <c r="R909" i="17" a="1"/>
  <c r="R909" i="17" s="1"/>
  <c r="R928" i="17" a="1"/>
  <c r="R928" i="17" s="1"/>
  <c r="R947" i="17" a="1"/>
  <c r="R947" i="17" s="1"/>
  <c r="R966" i="17" a="1"/>
  <c r="R966" i="17"/>
  <c r="R985" i="17" a="1"/>
  <c r="R985" i="17" s="1"/>
  <c r="R1004" i="17" a="1"/>
  <c r="R1004" i="17" s="1"/>
  <c r="R1023" i="17" a="1"/>
  <c r="R1023" i="17" s="1"/>
  <c r="R1042" i="17" a="1"/>
  <c r="R1042" i="17" s="1"/>
  <c r="R553" i="17" a="1"/>
  <c r="R553" i="17" s="1"/>
  <c r="R554" i="17" a="1"/>
  <c r="R554" i="17" s="1"/>
  <c r="R555" i="17" a="1"/>
  <c r="R555" i="17" s="1"/>
  <c r="R556" i="17" a="1"/>
  <c r="R556" i="17" s="1"/>
  <c r="R557" i="17" a="1"/>
  <c r="R557" i="17" s="1"/>
  <c r="R558" i="17" a="1"/>
  <c r="R558" i="17" s="1"/>
  <c r="R8" i="17" a="1"/>
  <c r="R8" i="17"/>
  <c r="R9" i="17" a="1"/>
  <c r="R9" i="17" s="1"/>
  <c r="R10" i="17" a="1"/>
  <c r="R10" i="17" s="1"/>
  <c r="R11" i="17" a="1"/>
  <c r="R11" i="17" s="1"/>
  <c r="R12" i="17" a="1"/>
  <c r="R12" i="17" s="1"/>
  <c r="R13" i="17" a="1"/>
  <c r="R13" i="17" s="1"/>
  <c r="R117" i="17" a="1"/>
  <c r="R117" i="17" s="1"/>
  <c r="R136" i="17" a="1"/>
  <c r="R136" i="17" s="1"/>
  <c r="R155" i="17" a="1"/>
  <c r="R155" i="17" s="1"/>
  <c r="R174" i="17" a="1"/>
  <c r="R174" i="17" s="1"/>
  <c r="R195" i="17" a="1"/>
  <c r="R195" i="17" s="1"/>
  <c r="R196" i="17" a="1"/>
  <c r="R196" i="17" s="1"/>
  <c r="R197" i="17" a="1"/>
  <c r="R197" i="17" s="1"/>
  <c r="R250" i="17" a="1"/>
  <c r="R250" i="17" s="1"/>
  <c r="R269" i="17" a="1"/>
  <c r="R269" i="17" s="1"/>
  <c r="R288" i="17" a="1"/>
  <c r="R288" i="17" s="1"/>
  <c r="R307" i="17" a="1"/>
  <c r="R307" i="17" s="1"/>
  <c r="R326" i="17" a="1"/>
  <c r="R326" i="17" s="1"/>
  <c r="R345" i="17" a="1"/>
  <c r="R345" i="17" s="1"/>
  <c r="R364" i="17" a="1"/>
  <c r="R364" i="17" s="1"/>
  <c r="R383" i="17" a="1"/>
  <c r="R383" i="17" s="1"/>
  <c r="R402" i="17" a="1"/>
  <c r="R402" i="17" s="1"/>
  <c r="R497" i="17" a="1"/>
  <c r="R497" i="17"/>
  <c r="R516" i="17" a="1"/>
  <c r="R516" i="17" s="1"/>
  <c r="R535" i="17" a="1"/>
  <c r="R535" i="17" s="1"/>
  <c r="R423" i="17" a="1"/>
  <c r="R423" i="17" s="1"/>
  <c r="R424" i="17" a="1"/>
  <c r="R424" i="17" s="1"/>
  <c r="R425" i="17" a="1"/>
  <c r="R425" i="17" s="1"/>
  <c r="R478" i="17" a="1"/>
  <c r="R478" i="17" s="1"/>
  <c r="R668" i="17" a="1"/>
  <c r="R668" i="17" s="1"/>
  <c r="R687" i="17" a="1"/>
  <c r="R687" i="17" s="1"/>
  <c r="R706" i="17" a="1"/>
  <c r="R706" i="17" s="1"/>
  <c r="R725" i="17" a="1"/>
  <c r="R725" i="17" s="1"/>
  <c r="R744" i="17" a="1"/>
  <c r="R744" i="17" s="1"/>
  <c r="R763" i="17" a="1"/>
  <c r="R763" i="17" s="1"/>
  <c r="R782" i="17" a="1"/>
  <c r="R782" i="17" s="1"/>
  <c r="R798" i="17" a="1"/>
  <c r="R798" i="17" s="1"/>
  <c r="R815" i="17" a="1"/>
  <c r="R815" i="17" s="1"/>
  <c r="R834" i="17" a="1"/>
  <c r="R834" i="17" s="1"/>
  <c r="R853" i="17" a="1"/>
  <c r="R853" i="17" s="1"/>
  <c r="R872" i="17" a="1"/>
  <c r="R872" i="17" s="1"/>
  <c r="R891" i="17" a="1"/>
  <c r="R891" i="17" s="1"/>
  <c r="R910" i="17" a="1"/>
  <c r="R910" i="17" s="1"/>
  <c r="R929" i="17" a="1"/>
  <c r="R929" i="17" s="1"/>
  <c r="R948" i="17" a="1"/>
  <c r="R948" i="17" s="1"/>
  <c r="R967" i="17" a="1"/>
  <c r="R967" i="17" s="1"/>
  <c r="R986" i="17" a="1"/>
  <c r="R986" i="17" s="1"/>
  <c r="R1005" i="17" a="1"/>
  <c r="R1005" i="17" s="1"/>
  <c r="R1024" i="17" a="1"/>
  <c r="R1024" i="17" s="1"/>
  <c r="R1043" i="17" a="1"/>
  <c r="R1043" i="17" s="1"/>
  <c r="R559" i="17" a="1"/>
  <c r="R559" i="17" s="1"/>
  <c r="R560" i="17" a="1"/>
  <c r="R560" i="17" s="1"/>
  <c r="R561" i="17" a="1"/>
  <c r="R561" i="17" s="1"/>
  <c r="R562" i="17" a="1"/>
  <c r="R562" i="17" s="1"/>
  <c r="R563" i="17" a="1"/>
  <c r="R563" i="17" s="1"/>
  <c r="R564" i="17" a="1"/>
  <c r="R564" i="17" s="1"/>
  <c r="R14" i="17" a="1"/>
  <c r="R14" i="17" s="1"/>
  <c r="R15" i="17" a="1"/>
  <c r="R15" i="17" s="1"/>
  <c r="R16" i="17" a="1"/>
  <c r="R16" i="17" s="1"/>
  <c r="R17" i="17" a="1"/>
  <c r="R17" i="17" s="1"/>
  <c r="R18" i="17" a="1"/>
  <c r="R18" i="17" s="1"/>
  <c r="R19" i="17" a="1"/>
  <c r="R19" i="17" s="1"/>
  <c r="R118" i="17" a="1"/>
  <c r="R118" i="17" s="1"/>
  <c r="R137" i="17" a="1"/>
  <c r="R137" i="17" s="1"/>
  <c r="R156" i="17" a="1"/>
  <c r="R156" i="17" s="1"/>
  <c r="R175" i="17" a="1"/>
  <c r="R175" i="17" s="1"/>
  <c r="R198" i="17" a="1"/>
  <c r="R198" i="17" s="1"/>
  <c r="R199" i="17" a="1"/>
  <c r="R199" i="17" s="1"/>
  <c r="R200" i="17" a="1"/>
  <c r="R200" i="17" s="1"/>
  <c r="R251" i="17" a="1"/>
  <c r="R251" i="17" s="1"/>
  <c r="R270" i="17" a="1"/>
  <c r="R270" i="17" s="1"/>
  <c r="R289" i="17" a="1"/>
  <c r="R289" i="17" s="1"/>
  <c r="R308" i="17" a="1"/>
  <c r="R308" i="17" s="1"/>
  <c r="R327" i="17" a="1"/>
  <c r="R327" i="17" s="1"/>
  <c r="R346" i="17" a="1"/>
  <c r="R346" i="17" s="1"/>
  <c r="R365" i="17" a="1"/>
  <c r="R365" i="17" s="1"/>
  <c r="R384" i="17" a="1"/>
  <c r="R384" i="17" s="1"/>
  <c r="R403" i="17" a="1"/>
  <c r="R403" i="17" s="1"/>
  <c r="R498" i="17" a="1"/>
  <c r="R498" i="17" s="1"/>
  <c r="R517" i="17" a="1"/>
  <c r="R517" i="17" s="1"/>
  <c r="R536" i="17" a="1"/>
  <c r="R536" i="17" s="1"/>
  <c r="R426" i="17" a="1"/>
  <c r="R426" i="17" s="1"/>
  <c r="R427" i="17" a="1"/>
  <c r="R427" i="17" s="1"/>
  <c r="R428" i="17" a="1"/>
  <c r="R428" i="17" s="1"/>
  <c r="R479" i="17" a="1"/>
  <c r="R479" i="17" s="1"/>
  <c r="R669" i="17" a="1"/>
  <c r="R669" i="17" s="1"/>
  <c r="R688" i="17" a="1"/>
  <c r="R688" i="17" s="1"/>
  <c r="R707" i="17" a="1"/>
  <c r="R707" i="17" s="1"/>
  <c r="R726" i="17" a="1"/>
  <c r="R726" i="17" s="1"/>
  <c r="R745" i="17" a="1"/>
  <c r="R745" i="17" s="1"/>
  <c r="R764" i="17" a="1"/>
  <c r="R764" i="17" s="1"/>
  <c r="R783" i="17" a="1"/>
  <c r="R783" i="17" s="1"/>
  <c r="R799" i="17" a="1"/>
  <c r="R799" i="17" s="1"/>
  <c r="R816" i="17" a="1"/>
  <c r="R816" i="17" s="1"/>
  <c r="R835" i="17" a="1"/>
  <c r="R835" i="17" s="1"/>
  <c r="R854" i="17" a="1"/>
  <c r="R854" i="17"/>
  <c r="R873" i="17" a="1"/>
  <c r="R873" i="17" s="1"/>
  <c r="R892" i="17" a="1"/>
  <c r="R892" i="17" s="1"/>
  <c r="R911" i="17" a="1"/>
  <c r="R911" i="17" s="1"/>
  <c r="R930" i="17" a="1"/>
  <c r="R930" i="17" s="1"/>
  <c r="R949" i="17" a="1"/>
  <c r="R949" i="17" s="1"/>
  <c r="R968" i="17" a="1"/>
  <c r="R968" i="17" s="1"/>
  <c r="R987" i="17" a="1"/>
  <c r="R987" i="17" s="1"/>
  <c r="R1006" i="17" a="1"/>
  <c r="R1006" i="17" s="1"/>
  <c r="R1025" i="17" a="1"/>
  <c r="R1025" i="17"/>
  <c r="R1044" i="17" a="1"/>
  <c r="R1044" i="17" s="1"/>
  <c r="R565" i="17" a="1"/>
  <c r="R565" i="17" s="1"/>
  <c r="R566" i="17" a="1"/>
  <c r="R566" i="17" s="1"/>
  <c r="R567" i="17" a="1"/>
  <c r="R567" i="17" s="1"/>
  <c r="R568" i="17" a="1"/>
  <c r="R568" i="17" s="1"/>
  <c r="R569" i="17" a="1"/>
  <c r="R569" i="17" s="1"/>
  <c r="R570" i="17" a="1"/>
  <c r="R570" i="17" s="1"/>
  <c r="R20" i="17" a="1"/>
  <c r="R20" i="17" s="1"/>
  <c r="R21" i="17" a="1"/>
  <c r="R21" i="17" s="1"/>
  <c r="R22" i="17" a="1"/>
  <c r="R22" i="17" s="1"/>
  <c r="R23" i="17" a="1"/>
  <c r="R23" i="17" s="1"/>
  <c r="R24" i="17" a="1"/>
  <c r="R24" i="17" s="1"/>
  <c r="R25" i="17" a="1"/>
  <c r="R25" i="17" s="1"/>
  <c r="R119" i="17" a="1"/>
  <c r="R119" i="17"/>
  <c r="R138" i="17" a="1"/>
  <c r="R138" i="17" s="1"/>
  <c r="R157" i="17" a="1"/>
  <c r="R157" i="17" s="1"/>
  <c r="R176" i="17" a="1"/>
  <c r="R176" i="17" s="1"/>
  <c r="R201" i="17" a="1"/>
  <c r="R201" i="17" s="1"/>
  <c r="R202" i="17" a="1"/>
  <c r="R202" i="17" s="1"/>
  <c r="R203" i="17" a="1"/>
  <c r="R203" i="17" s="1"/>
  <c r="R252" i="17" a="1"/>
  <c r="R252" i="17" s="1"/>
  <c r="R271" i="17" a="1"/>
  <c r="R271" i="17" s="1"/>
  <c r="R290" i="17" a="1"/>
  <c r="R290" i="17" s="1"/>
  <c r="R309" i="17" a="1"/>
  <c r="R309" i="17" s="1"/>
  <c r="R328" i="17" a="1"/>
  <c r="R328" i="17" s="1"/>
  <c r="R347" i="17" a="1"/>
  <c r="R347" i="17" s="1"/>
  <c r="R366" i="17" a="1"/>
  <c r="R366" i="17" s="1"/>
  <c r="R385" i="17" a="1"/>
  <c r="R385" i="17"/>
  <c r="R404" i="17" a="1"/>
  <c r="R404" i="17" s="1"/>
  <c r="R499" i="17" a="1"/>
  <c r="R499" i="17" s="1"/>
  <c r="R518" i="17" a="1"/>
  <c r="R518" i="17" s="1"/>
  <c r="R537" i="17" a="1"/>
  <c r="R537" i="17"/>
  <c r="R429" i="17" a="1"/>
  <c r="R429" i="17" s="1"/>
  <c r="R430" i="17" a="1"/>
  <c r="R430" i="17" s="1"/>
  <c r="R431" i="17" a="1"/>
  <c r="R431" i="17" s="1"/>
  <c r="R480" i="17" a="1"/>
  <c r="R480" i="17" s="1"/>
  <c r="R670" i="17" a="1"/>
  <c r="R670" i="17" s="1"/>
  <c r="R689" i="17" a="1"/>
  <c r="R689" i="17" s="1"/>
  <c r="R708" i="17" a="1"/>
  <c r="R708" i="17" s="1"/>
  <c r="R727" i="17" a="1"/>
  <c r="R727" i="17" s="1"/>
  <c r="R746" i="17" a="1"/>
  <c r="R746" i="17" s="1"/>
  <c r="R765" i="17" a="1"/>
  <c r="R765" i="17" s="1"/>
  <c r="R784" i="17" a="1"/>
  <c r="R784" i="17" s="1"/>
  <c r="R810" i="17" a="1"/>
  <c r="R810" i="17" s="1"/>
  <c r="R817" i="17" a="1"/>
  <c r="R817" i="17" s="1"/>
  <c r="R836" i="17" a="1"/>
  <c r="R836" i="17" s="1"/>
  <c r="R855" i="17" a="1"/>
  <c r="R855" i="17" s="1"/>
  <c r="R874" i="17" a="1"/>
  <c r="R874" i="17" s="1"/>
  <c r="R893" i="17" a="1"/>
  <c r="R893" i="17" s="1"/>
  <c r="R912" i="17" a="1"/>
  <c r="R912" i="17" s="1"/>
  <c r="R931" i="17" a="1"/>
  <c r="R931" i="17" s="1"/>
  <c r="R950" i="17" a="1"/>
  <c r="R950" i="17" s="1"/>
  <c r="R969" i="17" a="1"/>
  <c r="R969" i="17" s="1"/>
  <c r="R988" i="17" a="1"/>
  <c r="R988" i="17" s="1"/>
  <c r="R1007" i="17" a="1"/>
  <c r="R1007" i="17" s="1"/>
  <c r="R1026" i="17" a="1"/>
  <c r="R1026" i="17" s="1"/>
  <c r="R1045" i="17" a="1"/>
  <c r="R1045" i="17" s="1"/>
  <c r="R571" i="17" a="1"/>
  <c r="R571" i="17" s="1"/>
  <c r="R572" i="17" a="1"/>
  <c r="R572" i="17" s="1"/>
  <c r="R573" i="17" a="1"/>
  <c r="R573" i="17" s="1"/>
  <c r="R574" i="17" a="1"/>
  <c r="R574" i="17" s="1"/>
  <c r="R575" i="17" a="1"/>
  <c r="R575" i="17" s="1"/>
  <c r="R576" i="17" a="1"/>
  <c r="R576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120" i="17" a="1"/>
  <c r="R120" i="17"/>
  <c r="R139" i="17" a="1"/>
  <c r="R139" i="17" s="1"/>
  <c r="R158" i="17" a="1"/>
  <c r="R158" i="17" s="1"/>
  <c r="R177" i="17" a="1"/>
  <c r="R177" i="17" s="1"/>
  <c r="R204" i="17" a="1"/>
  <c r="R204" i="17" s="1"/>
  <c r="R205" i="17" a="1"/>
  <c r="R205" i="17" s="1"/>
  <c r="R206" i="17" a="1"/>
  <c r="R206" i="17" s="1"/>
  <c r="R253" i="17" a="1"/>
  <c r="R253" i="17" s="1"/>
  <c r="R272" i="17" a="1"/>
  <c r="R272" i="17" s="1"/>
  <c r="R291" i="17" a="1"/>
  <c r="R291" i="17" s="1"/>
  <c r="R310" i="17" a="1"/>
  <c r="R310" i="17" s="1"/>
  <c r="R329" i="17" a="1"/>
  <c r="R329" i="17" s="1"/>
  <c r="R348" i="17" a="1"/>
  <c r="R348" i="17" s="1"/>
  <c r="R367" i="17" a="1"/>
  <c r="R367" i="17" s="1"/>
  <c r="R386" i="17" a="1"/>
  <c r="R386" i="17" s="1"/>
  <c r="R405" i="17" a="1"/>
  <c r="R405" i="17" s="1"/>
  <c r="R500" i="17" a="1"/>
  <c r="R500" i="17" s="1"/>
  <c r="R519" i="17" a="1"/>
  <c r="R519" i="17" s="1"/>
  <c r="R538" i="17" a="1"/>
  <c r="R538" i="17" s="1"/>
  <c r="R432" i="17" a="1"/>
  <c r="R432" i="17" s="1"/>
  <c r="R433" i="17" a="1"/>
  <c r="R433" i="17" s="1"/>
  <c r="R434" i="17" a="1"/>
  <c r="R434" i="17" s="1"/>
  <c r="R481" i="17" a="1"/>
  <c r="R481" i="17" s="1"/>
  <c r="R671" i="17" a="1"/>
  <c r="R671" i="17" s="1"/>
  <c r="R690" i="17" a="1"/>
  <c r="R690" i="17" s="1"/>
  <c r="R709" i="17" a="1"/>
  <c r="R709" i="17" s="1"/>
  <c r="R728" i="17" a="1"/>
  <c r="R728" i="17" s="1"/>
  <c r="R747" i="17" a="1"/>
  <c r="R747" i="17" s="1"/>
  <c r="R766" i="17" a="1"/>
  <c r="R766" i="17" s="1"/>
  <c r="R800" i="17" a="1"/>
  <c r="R800" i="17" s="1"/>
  <c r="R818" i="17" a="1"/>
  <c r="R818" i="17" s="1"/>
  <c r="R837" i="17" a="1"/>
  <c r="R837" i="17" s="1"/>
  <c r="R856" i="17" a="1"/>
  <c r="R856" i="17" s="1"/>
  <c r="R875" i="17" a="1"/>
  <c r="R875" i="17" s="1"/>
  <c r="R894" i="17" a="1"/>
  <c r="R894" i="17" s="1"/>
  <c r="R913" i="17" a="1"/>
  <c r="R913" i="17" s="1"/>
  <c r="R932" i="17" a="1"/>
  <c r="R932" i="17" s="1"/>
  <c r="R951" i="17" a="1"/>
  <c r="R951" i="17" s="1"/>
  <c r="R970" i="17" a="1"/>
  <c r="R970" i="17" s="1"/>
  <c r="R989" i="17" a="1"/>
  <c r="R989" i="17" s="1"/>
  <c r="R1008" i="17" a="1"/>
  <c r="R1008" i="17" s="1"/>
  <c r="R1027" i="17" a="1"/>
  <c r="R1027" i="17" s="1"/>
  <c r="R1046" i="17" a="1"/>
  <c r="R1046" i="17" s="1"/>
  <c r="R577" i="17" a="1"/>
  <c r="R577" i="17" s="1"/>
  <c r="R578" i="17" a="1"/>
  <c r="R578" i="17" s="1"/>
  <c r="R579" i="17" a="1"/>
  <c r="R579" i="17" s="1"/>
  <c r="R580" i="17" a="1"/>
  <c r="R580" i="17" s="1"/>
  <c r="R581" i="17" a="1"/>
  <c r="R581" i="17" s="1"/>
  <c r="R582" i="17" a="1"/>
  <c r="R582" i="17" s="1"/>
  <c r="R32" i="17" a="1"/>
  <c r="R32" i="17" s="1"/>
  <c r="R33" i="17" a="1"/>
  <c r="R33" i="17"/>
  <c r="R34" i="17" a="1"/>
  <c r="R34" i="17" s="1"/>
  <c r="R35" i="17" a="1"/>
  <c r="R35" i="17" s="1"/>
  <c r="R36" i="17" a="1"/>
  <c r="R36" i="17" s="1"/>
  <c r="R37" i="17" a="1"/>
  <c r="R37" i="17" s="1"/>
  <c r="R121" i="17" a="1"/>
  <c r="R121" i="17" s="1"/>
  <c r="R140" i="17" a="1"/>
  <c r="R140" i="17" s="1"/>
  <c r="R159" i="17" a="1"/>
  <c r="R159" i="17" s="1"/>
  <c r="R178" i="17" a="1"/>
  <c r="R178" i="17" s="1"/>
  <c r="R207" i="17" a="1"/>
  <c r="R207" i="17" s="1"/>
  <c r="R208" i="17" a="1"/>
  <c r="R208" i="17" s="1"/>
  <c r="R209" i="17" a="1"/>
  <c r="R209" i="17" s="1"/>
  <c r="R254" i="17" a="1"/>
  <c r="R254" i="17" s="1"/>
  <c r="R273" i="17" a="1"/>
  <c r="R273" i="17" s="1"/>
  <c r="R292" i="17" a="1"/>
  <c r="R292" i="17" s="1"/>
  <c r="R311" i="17" a="1"/>
  <c r="R311" i="17" s="1"/>
  <c r="R330" i="17" a="1"/>
  <c r="R330" i="17" s="1"/>
  <c r="R349" i="17" a="1"/>
  <c r="R349" i="17" s="1"/>
  <c r="R368" i="17" a="1"/>
  <c r="R368" i="17" s="1"/>
  <c r="R387" i="17" a="1"/>
  <c r="R387" i="17" s="1"/>
  <c r="R406" i="17" a="1"/>
  <c r="R406" i="17" s="1"/>
  <c r="R501" i="17" a="1"/>
  <c r="R501" i="17" s="1"/>
  <c r="R520" i="17" a="1"/>
  <c r="R520" i="17"/>
  <c r="R539" i="17" a="1"/>
  <c r="R539" i="17"/>
  <c r="R435" i="17" a="1"/>
  <c r="R435" i="17" s="1"/>
  <c r="R436" i="17" a="1"/>
  <c r="R436" i="17" s="1"/>
  <c r="R437" i="17" a="1"/>
  <c r="R437" i="17" s="1"/>
  <c r="R482" i="17" a="1"/>
  <c r="R482" i="17"/>
  <c r="R672" i="17" a="1"/>
  <c r="R672" i="17" s="1"/>
  <c r="R691" i="17" a="1"/>
  <c r="R691" i="17" s="1"/>
  <c r="R710" i="17" a="1"/>
  <c r="R710" i="17" s="1"/>
  <c r="R729" i="17" a="1"/>
  <c r="R729" i="17" s="1"/>
  <c r="R748" i="17" a="1"/>
  <c r="R748" i="17"/>
  <c r="R767" i="17" a="1"/>
  <c r="R767" i="17" s="1"/>
  <c r="R819" i="17" a="1"/>
  <c r="R819" i="17" s="1"/>
  <c r="R838" i="17" a="1"/>
  <c r="R838" i="17" s="1"/>
  <c r="R857" i="17" a="1"/>
  <c r="R857" i="17" s="1"/>
  <c r="R876" i="17" a="1"/>
  <c r="R876" i="17" s="1"/>
  <c r="R895" i="17" a="1"/>
  <c r="R895" i="17" s="1"/>
  <c r="R914" i="17" a="1"/>
  <c r="R914" i="17" s="1"/>
  <c r="R933" i="17" a="1"/>
  <c r="R933" i="17" s="1"/>
  <c r="R952" i="17" a="1"/>
  <c r="R952" i="17" s="1"/>
  <c r="R971" i="17" a="1"/>
  <c r="R971" i="17" s="1"/>
  <c r="R990" i="17" a="1"/>
  <c r="R990" i="17" s="1"/>
  <c r="R1009" i="17" a="1"/>
  <c r="R1009" i="17" s="1"/>
  <c r="R1028" i="17" a="1"/>
  <c r="R1028" i="17" s="1"/>
  <c r="R1047" i="17" a="1"/>
  <c r="R1047" i="17" s="1"/>
  <c r="R583" i="17" a="1"/>
  <c r="R583" i="17" s="1"/>
  <c r="R584" i="17" a="1"/>
  <c r="R584" i="17" s="1"/>
  <c r="R585" i="17" a="1"/>
  <c r="R585" i="17" s="1"/>
  <c r="R586" i="17" a="1"/>
  <c r="R586" i="17" s="1"/>
  <c r="R587" i="17" a="1"/>
  <c r="R587" i="17" s="1"/>
  <c r="R588" i="17" a="1"/>
  <c r="R588" i="17" s="1"/>
  <c r="R38" i="17" a="1"/>
  <c r="R38" i="17" s="1"/>
  <c r="R39" i="17" a="1"/>
  <c r="R39" i="17" s="1"/>
  <c r="R40" i="17" a="1"/>
  <c r="R40" i="17" s="1"/>
  <c r="R41" i="17" a="1"/>
  <c r="R41" i="17" s="1"/>
  <c r="R42" i="17" a="1"/>
  <c r="R42" i="17" s="1"/>
  <c r="R43" i="17" a="1"/>
  <c r="R43" i="17" s="1"/>
  <c r="R122" i="17" a="1"/>
  <c r="R122" i="17"/>
  <c r="R141" i="17" a="1"/>
  <c r="R141" i="17" s="1"/>
  <c r="R160" i="17" a="1"/>
  <c r="R160" i="17" s="1"/>
  <c r="R179" i="17" a="1"/>
  <c r="R179" i="17" s="1"/>
  <c r="R210" i="17" a="1"/>
  <c r="R210" i="17"/>
  <c r="R211" i="17" a="1"/>
  <c r="R211" i="17" s="1"/>
  <c r="R212" i="17" a="1"/>
  <c r="R212" i="17" s="1"/>
  <c r="R255" i="17" a="1"/>
  <c r="R255" i="17" s="1"/>
  <c r="R274" i="17" a="1"/>
  <c r="R274" i="17" s="1"/>
  <c r="R293" i="17" a="1"/>
  <c r="R293" i="17"/>
  <c r="R312" i="17" a="1"/>
  <c r="R312" i="17" s="1"/>
  <c r="R331" i="17" a="1"/>
  <c r="R331" i="17" s="1"/>
  <c r="R350" i="17" a="1"/>
  <c r="R350" i="17" s="1"/>
  <c r="R369" i="17" a="1"/>
  <c r="R369" i="17" s="1"/>
  <c r="R388" i="17" a="1"/>
  <c r="R388" i="17" s="1"/>
  <c r="R407" i="17" a="1"/>
  <c r="R407" i="17" s="1"/>
  <c r="R502" i="17" a="1"/>
  <c r="R502" i="17"/>
  <c r="R521" i="17" a="1"/>
  <c r="R521" i="17" s="1"/>
  <c r="R540" i="17" a="1"/>
  <c r="R540" i="17" s="1"/>
  <c r="R438" i="17" a="1"/>
  <c r="R438" i="17" s="1"/>
  <c r="R439" i="17" a="1"/>
  <c r="R439" i="17" s="1"/>
  <c r="R440" i="17" a="1"/>
  <c r="R440" i="17" s="1"/>
  <c r="R483" i="17" a="1"/>
  <c r="R483" i="17" s="1"/>
  <c r="R673" i="17" a="1"/>
  <c r="R673" i="17" s="1"/>
  <c r="R692" i="17" a="1"/>
  <c r="R692" i="17" s="1"/>
  <c r="R711" i="17" a="1"/>
  <c r="R711" i="17" s="1"/>
  <c r="R730" i="17" a="1"/>
  <c r="R730" i="17" s="1"/>
  <c r="R749" i="17" a="1"/>
  <c r="R749" i="17" s="1"/>
  <c r="R768" i="17" a="1"/>
  <c r="R768" i="17" s="1"/>
  <c r="R785" i="17" a="1"/>
  <c r="R785" i="17" s="1"/>
  <c r="R801" i="17" a="1"/>
  <c r="R801" i="17" s="1"/>
  <c r="R820" i="17" a="1"/>
  <c r="R820" i="17" s="1"/>
  <c r="R839" i="17" a="1"/>
  <c r="R839" i="17"/>
  <c r="R858" i="17" a="1"/>
  <c r="R858" i="17" s="1"/>
  <c r="R877" i="17" a="1"/>
  <c r="R877" i="17" s="1"/>
  <c r="R896" i="17" a="1"/>
  <c r="R896" i="17" s="1"/>
  <c r="R915" i="17" a="1"/>
  <c r="R915" i="17" s="1"/>
  <c r="R934" i="17" a="1"/>
  <c r="R934" i="17"/>
  <c r="R953" i="17" a="1"/>
  <c r="R953" i="17" s="1"/>
  <c r="R972" i="17" a="1"/>
  <c r="R972" i="17" s="1"/>
  <c r="R991" i="17" a="1"/>
  <c r="R991" i="17" s="1"/>
  <c r="R1010" i="17" a="1"/>
  <c r="R1010" i="17" s="1"/>
  <c r="R1029" i="17" a="1"/>
  <c r="R1029" i="17" s="1"/>
  <c r="R1048" i="17" a="1"/>
  <c r="R1048" i="17" s="1"/>
  <c r="R589" i="17" a="1"/>
  <c r="R589" i="17" s="1"/>
  <c r="R590" i="17" a="1"/>
  <c r="R590" i="17" s="1"/>
  <c r="R591" i="17" a="1"/>
  <c r="R591" i="17" s="1"/>
  <c r="R592" i="17" a="1"/>
  <c r="R592" i="17" s="1"/>
  <c r="R593" i="17" a="1"/>
  <c r="R593" i="17" s="1"/>
  <c r="R594" i="17" a="1"/>
  <c r="R594" i="17" s="1"/>
  <c r="R44" i="17" a="1"/>
  <c r="R44" i="17" s="1"/>
  <c r="R45" i="17" a="1"/>
  <c r="R45" i="17" s="1"/>
  <c r="R46" i="17" a="1"/>
  <c r="R46" i="17" s="1"/>
  <c r="R47" i="17" a="1"/>
  <c r="R47" i="17" s="1"/>
  <c r="R48" i="17" a="1"/>
  <c r="R48" i="17" s="1"/>
  <c r="R49" i="17" a="1"/>
  <c r="R49" i="17"/>
  <c r="R123" i="17" a="1"/>
  <c r="R123" i="17" s="1"/>
  <c r="R142" i="17" a="1"/>
  <c r="R142" i="17" s="1"/>
  <c r="R161" i="17" a="1"/>
  <c r="R161" i="17" s="1"/>
  <c r="R180" i="17" a="1"/>
  <c r="R180" i="17" s="1"/>
  <c r="R213" i="17" a="1"/>
  <c r="R213" i="17" s="1"/>
  <c r="R214" i="17" a="1"/>
  <c r="R214" i="17" s="1"/>
  <c r="R215" i="17" a="1"/>
  <c r="R215" i="17" s="1"/>
  <c r="R256" i="17" a="1"/>
  <c r="R256" i="17" s="1"/>
  <c r="R275" i="17" a="1"/>
  <c r="R275" i="17" s="1"/>
  <c r="R294" i="17" a="1"/>
  <c r="R294" i="17" s="1"/>
  <c r="R313" i="17" a="1"/>
  <c r="R313" i="17" s="1"/>
  <c r="R332" i="17" a="1"/>
  <c r="R332" i="17" s="1"/>
  <c r="R351" i="17" a="1"/>
  <c r="R351" i="17" s="1"/>
  <c r="R370" i="17" a="1"/>
  <c r="R370" i="17" s="1"/>
  <c r="R389" i="17" a="1"/>
  <c r="R389" i="17" s="1"/>
  <c r="R408" i="17" a="1"/>
  <c r="R408" i="17" s="1"/>
  <c r="R503" i="17" a="1"/>
  <c r="R503" i="17" s="1"/>
  <c r="R522" i="17" a="1"/>
  <c r="R522" i="17"/>
  <c r="R541" i="17" a="1"/>
  <c r="R541" i="17" s="1"/>
  <c r="R441" i="17" a="1"/>
  <c r="R441" i="17" s="1"/>
  <c r="R442" i="17" a="1"/>
  <c r="R442" i="17" s="1"/>
  <c r="R443" i="17" a="1"/>
  <c r="R443" i="17" s="1"/>
  <c r="R484" i="17" a="1"/>
  <c r="R484" i="17" s="1"/>
  <c r="R674" i="17" a="1"/>
  <c r="R674" i="17" s="1"/>
  <c r="R693" i="17" a="1"/>
  <c r="R693" i="17" s="1"/>
  <c r="R712" i="17" a="1"/>
  <c r="R712" i="17" s="1"/>
  <c r="R731" i="17" a="1"/>
  <c r="R731" i="17" s="1"/>
  <c r="R750" i="17" a="1"/>
  <c r="R750" i="17" s="1"/>
  <c r="R769" i="17" a="1"/>
  <c r="R769" i="17" s="1"/>
  <c r="R786" i="17" a="1"/>
  <c r="R786" i="17" s="1"/>
  <c r="R802" i="17" a="1"/>
  <c r="R802" i="17" s="1"/>
  <c r="R821" i="17" a="1"/>
  <c r="R821" i="17" s="1"/>
  <c r="R840" i="17" a="1"/>
  <c r="R840" i="17" s="1"/>
  <c r="R859" i="17" a="1"/>
  <c r="R859" i="17" s="1"/>
  <c r="R878" i="17" a="1"/>
  <c r="R878" i="17" s="1"/>
  <c r="R897" i="17" a="1"/>
  <c r="R897" i="17"/>
  <c r="R916" i="17" a="1"/>
  <c r="R916" i="17" s="1"/>
  <c r="R935" i="17" a="1"/>
  <c r="R935" i="17" s="1"/>
  <c r="R954" i="17" a="1"/>
  <c r="R954" i="17" s="1"/>
  <c r="R973" i="17" a="1"/>
  <c r="R973" i="17" s="1"/>
  <c r="R992" i="17" a="1"/>
  <c r="R992" i="17"/>
  <c r="R1011" i="17" a="1"/>
  <c r="R1011" i="17" s="1"/>
  <c r="R1030" i="17" a="1"/>
  <c r="R1030" i="17" s="1"/>
  <c r="R1049" i="17" a="1"/>
  <c r="R1049" i="17" s="1"/>
  <c r="R595" i="17" a="1"/>
  <c r="R595" i="17" s="1"/>
  <c r="R596" i="17" a="1"/>
  <c r="R596" i="17" s="1"/>
  <c r="R597" i="17" a="1"/>
  <c r="R597" i="17" s="1"/>
  <c r="R598" i="17" a="1"/>
  <c r="R598" i="17" s="1"/>
  <c r="R599" i="17" a="1"/>
  <c r="R599" i="17" s="1"/>
  <c r="R600" i="17" a="1"/>
  <c r="R600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124" i="17" a="1"/>
  <c r="R124" i="17" s="1"/>
  <c r="R143" i="17" a="1"/>
  <c r="R143" i="17" s="1"/>
  <c r="R162" i="17" a="1"/>
  <c r="R162" i="17" s="1"/>
  <c r="R181" i="17" a="1"/>
  <c r="R181" i="17" s="1"/>
  <c r="R216" i="17" a="1"/>
  <c r="R216" i="17" s="1"/>
  <c r="R217" i="17" a="1"/>
  <c r="R217" i="17" s="1"/>
  <c r="R218" i="17" a="1"/>
  <c r="R218" i="17" s="1"/>
  <c r="R257" i="17" a="1"/>
  <c r="R257" i="17" s="1"/>
  <c r="R276" i="17" a="1"/>
  <c r="R276" i="17" s="1"/>
  <c r="R295" i="17" a="1"/>
  <c r="R295" i="17" s="1"/>
  <c r="R314" i="17" a="1"/>
  <c r="R314" i="17" s="1"/>
  <c r="R333" i="17" a="1"/>
  <c r="R333" i="17" s="1"/>
  <c r="R352" i="17" a="1"/>
  <c r="R352" i="17"/>
  <c r="R371" i="17" a="1"/>
  <c r="R371" i="17" s="1"/>
  <c r="R390" i="17" a="1"/>
  <c r="R390" i="17" s="1"/>
  <c r="R409" i="17" a="1"/>
  <c r="R409" i="17" s="1"/>
  <c r="R504" i="17" a="1"/>
  <c r="R504" i="17" s="1"/>
  <c r="R523" i="17" a="1"/>
  <c r="R523" i="17" s="1"/>
  <c r="R542" i="17" a="1"/>
  <c r="R542" i="17" s="1"/>
  <c r="R444" i="17" a="1"/>
  <c r="R444" i="17" s="1"/>
  <c r="R445" i="17" a="1"/>
  <c r="R445" i="17" s="1"/>
  <c r="R446" i="17" a="1"/>
  <c r="R446" i="17" s="1"/>
  <c r="R485" i="17" a="1"/>
  <c r="R485" i="17" s="1"/>
  <c r="R675" i="17" a="1"/>
  <c r="R675" i="17" s="1"/>
  <c r="R694" i="17" a="1"/>
  <c r="R694" i="17" s="1"/>
  <c r="R713" i="17" a="1"/>
  <c r="R713" i="17"/>
  <c r="R732" i="17" a="1"/>
  <c r="R732" i="17" s="1"/>
  <c r="R751" i="17" a="1"/>
  <c r="R751" i="17" s="1"/>
  <c r="R770" i="17" a="1"/>
  <c r="R770" i="17" s="1"/>
  <c r="R787" i="17" a="1"/>
  <c r="R787" i="17" s="1"/>
  <c r="R822" i="17" a="1"/>
  <c r="R822" i="17" s="1"/>
  <c r="R841" i="17" a="1"/>
  <c r="R841" i="17" s="1"/>
  <c r="R860" i="17" a="1"/>
  <c r="R860" i="17" s="1"/>
  <c r="R879" i="17" a="1"/>
  <c r="R879" i="17" s="1"/>
  <c r="R898" i="17" a="1"/>
  <c r="R898" i="17" s="1"/>
  <c r="R917" i="17" a="1"/>
  <c r="R917" i="17" s="1"/>
  <c r="R936" i="17" a="1"/>
  <c r="R936" i="17" s="1"/>
  <c r="R955" i="17" a="1"/>
  <c r="R955" i="17" s="1"/>
  <c r="R974" i="17" a="1"/>
  <c r="R974" i="17" s="1"/>
  <c r="R993" i="17" a="1"/>
  <c r="R993" i="17" s="1"/>
  <c r="R1012" i="17" a="1"/>
  <c r="R1012" i="17" s="1"/>
  <c r="R1031" i="17" a="1"/>
  <c r="R1031" i="17" s="1"/>
  <c r="R1050" i="17" a="1"/>
  <c r="R1050" i="17" s="1"/>
  <c r="R601" i="17" a="1"/>
  <c r="R601" i="17" s="1"/>
  <c r="R602" i="17" a="1"/>
  <c r="R602" i="17" s="1"/>
  <c r="R603" i="17" a="1"/>
  <c r="R603" i="17" s="1"/>
  <c r="R604" i="17" a="1"/>
  <c r="R604" i="17" s="1"/>
  <c r="R605" i="17" a="1"/>
  <c r="R605" i="17" s="1"/>
  <c r="R606" i="17" a="1"/>
  <c r="R606" i="17"/>
  <c r="R56" i="17" a="1"/>
  <c r="R56" i="17" s="1"/>
  <c r="R57" i="17" a="1"/>
  <c r="R57" i="17" s="1"/>
  <c r="R58" i="17" a="1"/>
  <c r="R58" i="17" s="1"/>
  <c r="R59" i="17" a="1"/>
  <c r="R59" i="17" s="1"/>
  <c r="R60" i="17" a="1"/>
  <c r="R60" i="17"/>
  <c r="R61" i="17" a="1"/>
  <c r="R61" i="17" s="1"/>
  <c r="R125" i="17" a="1"/>
  <c r="R125" i="17" s="1"/>
  <c r="R144" i="17" a="1"/>
  <c r="R144" i="17" s="1"/>
  <c r="R163" i="17" a="1"/>
  <c r="R163" i="17" s="1"/>
  <c r="R182" i="17" a="1"/>
  <c r="R182" i="17" s="1"/>
  <c r="R219" i="17" a="1"/>
  <c r="R219" i="17" s="1"/>
  <c r="R220" i="17" a="1"/>
  <c r="R220" i="17" s="1"/>
  <c r="R221" i="17" a="1"/>
  <c r="R221" i="17" s="1"/>
  <c r="R258" i="17" a="1"/>
  <c r="R258" i="17" s="1"/>
  <c r="R277" i="17" a="1"/>
  <c r="R277" i="17" s="1"/>
  <c r="R296" i="17" a="1"/>
  <c r="R296" i="17" s="1"/>
  <c r="R315" i="17" a="1"/>
  <c r="R315" i="17" s="1"/>
  <c r="R334" i="17" a="1"/>
  <c r="R334" i="17" s="1"/>
  <c r="R353" i="17" a="1"/>
  <c r="R353" i="17" s="1"/>
  <c r="R372" i="17" a="1"/>
  <c r="R372" i="17" s="1"/>
  <c r="R391" i="17" a="1"/>
  <c r="R391" i="17" s="1"/>
  <c r="R410" i="17" a="1"/>
  <c r="R410" i="17" s="1"/>
  <c r="R505" i="17" a="1"/>
  <c r="R505" i="17"/>
  <c r="R524" i="17" a="1"/>
  <c r="R524" i="17" s="1"/>
  <c r="R543" i="17" a="1"/>
  <c r="R543" i="17" s="1"/>
  <c r="R447" i="17" a="1"/>
  <c r="R447" i="17" s="1"/>
  <c r="R448" i="17" a="1"/>
  <c r="R448" i="17" s="1"/>
  <c r="R449" i="17" a="1"/>
  <c r="R449" i="17" s="1"/>
  <c r="R486" i="17" a="1"/>
  <c r="R486" i="17" s="1"/>
  <c r="R676" i="17" a="1"/>
  <c r="R676" i="17" s="1"/>
  <c r="R695" i="17" a="1"/>
  <c r="R695" i="17" s="1"/>
  <c r="R714" i="17" a="1"/>
  <c r="R714" i="17"/>
  <c r="R733" i="17" a="1"/>
  <c r="R733" i="17" s="1"/>
  <c r="R752" i="17" a="1"/>
  <c r="R752" i="17" s="1"/>
  <c r="R771" i="17" a="1"/>
  <c r="R771" i="17" s="1"/>
  <c r="R788" i="17" a="1"/>
  <c r="R788" i="17"/>
  <c r="R803" i="17" a="1"/>
  <c r="R803" i="17" s="1"/>
  <c r="R811" i="17" a="1"/>
  <c r="R811" i="17" s="1"/>
  <c r="R823" i="17" a="1"/>
  <c r="R823" i="17" s="1"/>
  <c r="R842" i="17" a="1"/>
  <c r="R842" i="17" s="1"/>
  <c r="R861" i="17" a="1"/>
  <c r="R861" i="17" s="1"/>
  <c r="R880" i="17" a="1"/>
  <c r="R880" i="17" s="1"/>
  <c r="R899" i="17" a="1"/>
  <c r="R899" i="17" s="1"/>
  <c r="R918" i="17" a="1"/>
  <c r="R918" i="17" s="1"/>
  <c r="R937" i="17" a="1"/>
  <c r="R937" i="17"/>
  <c r="R956" i="17" a="1"/>
  <c r="R956" i="17" s="1"/>
  <c r="R975" i="17" a="1"/>
  <c r="R975" i="17" s="1"/>
  <c r="R994" i="17" a="1"/>
  <c r="R994" i="17" s="1"/>
  <c r="R1013" i="17" a="1"/>
  <c r="R1013" i="17" s="1"/>
  <c r="R1032" i="17" a="1"/>
  <c r="R1032" i="17" s="1"/>
  <c r="R1051" i="17" a="1"/>
  <c r="R1051" i="17" s="1"/>
  <c r="R607" i="17" a="1"/>
  <c r="R607" i="17" s="1"/>
  <c r="R608" i="17" a="1"/>
  <c r="R608" i="17" s="1"/>
  <c r="R609" i="17" a="1"/>
  <c r="R609" i="17" s="1"/>
  <c r="R610" i="17" a="1"/>
  <c r="R610" i="17" s="1"/>
  <c r="R611" i="17" a="1"/>
  <c r="R611" i="17" s="1"/>
  <c r="R612" i="17" a="1"/>
  <c r="R612" i="17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126" i="17" a="1"/>
  <c r="R126" i="17" s="1"/>
  <c r="R145" i="17" a="1"/>
  <c r="R145" i="17" s="1"/>
  <c r="R164" i="17" a="1"/>
  <c r="R164" i="17" s="1"/>
  <c r="R183" i="17" a="1"/>
  <c r="R183" i="17" s="1"/>
  <c r="R222" i="17" a="1"/>
  <c r="R222" i="17"/>
  <c r="R223" i="17" a="1"/>
  <c r="R223" i="17" s="1"/>
  <c r="R224" i="17" a="1"/>
  <c r="R224" i="17" s="1"/>
  <c r="R259" i="17" a="1"/>
  <c r="R259" i="17" s="1"/>
  <c r="R278" i="17" a="1"/>
  <c r="R278" i="17" s="1"/>
  <c r="R297" i="17" a="1"/>
  <c r="R297" i="17" s="1"/>
  <c r="R316" i="17" a="1"/>
  <c r="R316" i="17" s="1"/>
  <c r="R335" i="17" a="1"/>
  <c r="R335" i="17" s="1"/>
  <c r="R354" i="17" a="1"/>
  <c r="R354" i="17" s="1"/>
  <c r="R373" i="17" a="1"/>
  <c r="R373" i="17" s="1"/>
  <c r="R392" i="17" a="1"/>
  <c r="R392" i="17" s="1"/>
  <c r="R411" i="17" a="1"/>
  <c r="R411" i="17" s="1"/>
  <c r="R506" i="17" a="1"/>
  <c r="R506" i="17" s="1"/>
  <c r="R525" i="17" a="1"/>
  <c r="R525" i="17" s="1"/>
  <c r="R544" i="17" a="1"/>
  <c r="R544" i="17"/>
  <c r="R450" i="17" a="1"/>
  <c r="R450" i="17" s="1"/>
  <c r="R451" i="17" a="1"/>
  <c r="R451" i="17" s="1"/>
  <c r="R452" i="17" a="1"/>
  <c r="R452" i="17" s="1"/>
  <c r="R487" i="17" a="1"/>
  <c r="R487" i="17" s="1"/>
  <c r="R677" i="17" a="1"/>
  <c r="R677" i="17" s="1"/>
  <c r="R696" i="17" a="1"/>
  <c r="R696" i="17" s="1"/>
  <c r="R715" i="17" a="1"/>
  <c r="R715" i="17" s="1"/>
  <c r="R734" i="17" a="1"/>
  <c r="R734" i="17" s="1"/>
  <c r="R753" i="17" a="1"/>
  <c r="R753" i="17" s="1"/>
  <c r="R772" i="17" a="1"/>
  <c r="R772" i="17" s="1"/>
  <c r="R789" i="17" a="1"/>
  <c r="R789" i="17" s="1"/>
  <c r="R824" i="17" a="1"/>
  <c r="R824" i="17" s="1"/>
  <c r="R843" i="17" a="1"/>
  <c r="R843" i="17" s="1"/>
  <c r="R862" i="17" a="1"/>
  <c r="R862" i="17" s="1"/>
  <c r="R881" i="17" a="1"/>
  <c r="R881" i="17" s="1"/>
  <c r="R900" i="17" a="1"/>
  <c r="R900" i="17" s="1"/>
  <c r="R919" i="17" a="1"/>
  <c r="R919" i="17" s="1"/>
  <c r="R938" i="17" a="1"/>
  <c r="R938" i="17" s="1"/>
  <c r="R957" i="17" a="1"/>
  <c r="R957" i="17" s="1"/>
  <c r="R976" i="17" a="1"/>
  <c r="R976" i="17" s="1"/>
  <c r="R995" i="17" a="1"/>
  <c r="R995" i="17" s="1"/>
  <c r="R1014" i="17" a="1"/>
  <c r="R1014" i="17" s="1"/>
  <c r="R1033" i="17" a="1"/>
  <c r="R1033" i="17" s="1"/>
  <c r="R1052" i="17" a="1"/>
  <c r="R1052" i="17"/>
  <c r="R613" i="17" a="1"/>
  <c r="R613" i="17" s="1"/>
  <c r="R614" i="17" a="1"/>
  <c r="R614" i="17" s="1"/>
  <c r="R615" i="17" a="1"/>
  <c r="R615" i="17" s="1"/>
  <c r="R616" i="17" a="1"/>
  <c r="R616" i="17" s="1"/>
  <c r="R617" i="17" a="1"/>
  <c r="R617" i="17" s="1"/>
  <c r="R618" i="17" a="1"/>
  <c r="R618" i="17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127" i="17" a="1"/>
  <c r="R127" i="17" s="1"/>
  <c r="R146" i="17" a="1"/>
  <c r="R146" i="17"/>
  <c r="R165" i="17" a="1"/>
  <c r="R165" i="17"/>
  <c r="R184" i="17" a="1"/>
  <c r="R184" i="17" s="1"/>
  <c r="R225" i="17" a="1"/>
  <c r="R225" i="17" s="1"/>
  <c r="R226" i="17" a="1"/>
  <c r="R226" i="17" s="1"/>
  <c r="R227" i="17" a="1"/>
  <c r="R227" i="17" s="1"/>
  <c r="R260" i="17" a="1"/>
  <c r="R260" i="17" s="1"/>
  <c r="R279" i="17" a="1"/>
  <c r="R279" i="17" s="1"/>
  <c r="R298" i="17" a="1"/>
  <c r="R298" i="17"/>
  <c r="R317" i="17" a="1"/>
  <c r="R317" i="17" s="1"/>
  <c r="R336" i="17" a="1"/>
  <c r="R336" i="17"/>
  <c r="R355" i="17" a="1"/>
  <c r="R355" i="17" s="1"/>
  <c r="R374" i="17" a="1"/>
  <c r="R374" i="17" s="1"/>
  <c r="R393" i="17" a="1"/>
  <c r="R393" i="17" s="1"/>
  <c r="R412" i="17" a="1"/>
  <c r="R412" i="17" s="1"/>
  <c r="R507" i="17" a="1"/>
  <c r="R507" i="17" s="1"/>
  <c r="R526" i="17" a="1"/>
  <c r="R526" i="17" s="1"/>
  <c r="R545" i="17" a="1"/>
  <c r="R545" i="17"/>
  <c r="R453" i="17" a="1"/>
  <c r="R453" i="17" s="1"/>
  <c r="R454" i="17" a="1"/>
  <c r="R454" i="17" s="1"/>
  <c r="R455" i="17" a="1"/>
  <c r="R455" i="17" s="1"/>
  <c r="R488" i="17" a="1"/>
  <c r="R488" i="17" s="1"/>
  <c r="R678" i="17" a="1"/>
  <c r="R678" i="17" s="1"/>
  <c r="R697" i="17" a="1"/>
  <c r="R697" i="17" s="1"/>
  <c r="R716" i="17" a="1"/>
  <c r="R716" i="17"/>
  <c r="R735" i="17" a="1"/>
  <c r="R735" i="17"/>
  <c r="R754" i="17" a="1"/>
  <c r="R754" i="17" s="1"/>
  <c r="R773" i="17" a="1"/>
  <c r="R773" i="17" s="1"/>
  <c r="R790" i="17" a="1"/>
  <c r="R790" i="17" s="1"/>
  <c r="R825" i="17" a="1"/>
  <c r="R825" i="17" s="1"/>
  <c r="R844" i="17" a="1"/>
  <c r="R844" i="17" s="1"/>
  <c r="R863" i="17" a="1"/>
  <c r="R863" i="17" s="1"/>
  <c r="R882" i="17" a="1"/>
  <c r="R882" i="17"/>
  <c r="R901" i="17" a="1"/>
  <c r="R901" i="17" s="1"/>
  <c r="R920" i="17" a="1"/>
  <c r="R920" i="17"/>
  <c r="R939" i="17" a="1"/>
  <c r="R939" i="17" s="1"/>
  <c r="R958" i="17" a="1"/>
  <c r="R958" i="17" s="1"/>
  <c r="R977" i="17" a="1"/>
  <c r="R977" i="17" s="1"/>
  <c r="R996" i="17" a="1"/>
  <c r="R996" i="17" s="1"/>
  <c r="R1015" i="17" a="1"/>
  <c r="R1015" i="17" s="1"/>
  <c r="R1034" i="17" a="1"/>
  <c r="R1034" i="17" s="1"/>
  <c r="R1053" i="17" a="1"/>
  <c r="R1053" i="17" s="1"/>
  <c r="R619" i="17" a="1"/>
  <c r="R619" i="17"/>
  <c r="R620" i="17" a="1"/>
  <c r="R620" i="17" s="1"/>
  <c r="R621" i="17" a="1"/>
  <c r="R621" i="17" s="1"/>
  <c r="R622" i="17" a="1"/>
  <c r="R622" i="17" s="1"/>
  <c r="R623" i="17" a="1"/>
  <c r="R623" i="17" s="1"/>
  <c r="R624" i="17" a="1"/>
  <c r="R624" i="17" s="1"/>
  <c r="R74" i="17" a="1"/>
  <c r="R74" i="17" s="1"/>
  <c r="R75" i="17" a="1"/>
  <c r="R75" i="17"/>
  <c r="R76" i="17" a="1"/>
  <c r="R76" i="17" s="1"/>
  <c r="R77" i="17" a="1"/>
  <c r="R77" i="17" s="1"/>
  <c r="R78" i="17" a="1"/>
  <c r="R78" i="17" s="1"/>
  <c r="R79" i="17" a="1"/>
  <c r="R79" i="17" s="1"/>
  <c r="R128" i="17" a="1"/>
  <c r="R128" i="17" s="1"/>
  <c r="R147" i="17" a="1"/>
  <c r="R147" i="17" s="1"/>
  <c r="R166" i="17" a="1"/>
  <c r="R166" i="17" s="1"/>
  <c r="R185" i="17" a="1"/>
  <c r="R185" i="17" s="1"/>
  <c r="R228" i="17" a="1"/>
  <c r="R228" i="17"/>
  <c r="R229" i="17" a="1"/>
  <c r="R229" i="17" s="1"/>
  <c r="R230" i="17" a="1"/>
  <c r="R230" i="17" s="1"/>
  <c r="R261" i="17" a="1"/>
  <c r="R261" i="17" s="1"/>
  <c r="R280" i="17" a="1"/>
  <c r="R280" i="17" s="1"/>
  <c r="R299" i="17" a="1"/>
  <c r="R299" i="17" s="1"/>
  <c r="R318" i="17" a="1"/>
  <c r="R318" i="17"/>
  <c r="R337" i="17" a="1"/>
  <c r="R337" i="17" s="1"/>
  <c r="R356" i="17" a="1"/>
  <c r="R356" i="17"/>
  <c r="R375" i="17" a="1"/>
  <c r="R375" i="17" s="1"/>
  <c r="R394" i="17" a="1"/>
  <c r="R394" i="17" s="1"/>
  <c r="R413" i="17" a="1"/>
  <c r="R413" i="17" s="1"/>
  <c r="R508" i="17" a="1"/>
  <c r="R508" i="17" s="1"/>
  <c r="R527" i="17" a="1"/>
  <c r="R527" i="17" s="1"/>
  <c r="R546" i="17" a="1"/>
  <c r="R546" i="17" s="1"/>
  <c r="R456" i="17" a="1"/>
  <c r="R456" i="17" s="1"/>
  <c r="R457" i="17" a="1"/>
  <c r="R457" i="17" s="1"/>
  <c r="R458" i="17" a="1"/>
  <c r="R458" i="17" s="1"/>
  <c r="R489" i="17" a="1"/>
  <c r="R489" i="17" s="1"/>
  <c r="R679" i="17" a="1"/>
  <c r="R679" i="17" s="1"/>
  <c r="R698" i="17" a="1"/>
  <c r="R698" i="17" s="1"/>
  <c r="R717" i="17" a="1"/>
  <c r="R717" i="17" s="1"/>
  <c r="R736" i="17" a="1"/>
  <c r="R736" i="17" s="1"/>
  <c r="R755" i="17" a="1"/>
  <c r="R755" i="17" s="1"/>
  <c r="R774" i="17" a="1"/>
  <c r="R774" i="17" s="1"/>
  <c r="R791" i="17" a="1"/>
  <c r="R791" i="17" s="1"/>
  <c r="R826" i="17" a="1"/>
  <c r="R826" i="17" s="1"/>
  <c r="R845" i="17" a="1"/>
  <c r="R845" i="17" s="1"/>
  <c r="R864" i="17" a="1"/>
  <c r="R864" i="17" s="1"/>
  <c r="R883" i="17" a="1"/>
  <c r="R883" i="17" s="1"/>
  <c r="R902" i="17" a="1"/>
  <c r="R902" i="17" s="1"/>
  <c r="R921" i="17" a="1"/>
  <c r="R921" i="17" s="1"/>
  <c r="R940" i="17" a="1"/>
  <c r="R940" i="17" s="1"/>
  <c r="R959" i="17" a="1"/>
  <c r="R959" i="17" s="1"/>
  <c r="R978" i="17" a="1"/>
  <c r="R978" i="17" s="1"/>
  <c r="R997" i="17" a="1"/>
  <c r="R997" i="17" s="1"/>
  <c r="R1016" i="17" a="1"/>
  <c r="R1016" i="17" s="1"/>
  <c r="R1035" i="17" a="1"/>
  <c r="R1035" i="17" s="1"/>
  <c r="R1054" i="17" a="1"/>
  <c r="R1054" i="17" s="1"/>
  <c r="R625" i="17" a="1"/>
  <c r="R625" i="17" s="1"/>
  <c r="R626" i="17" a="1"/>
  <c r="R626" i="17" s="1"/>
  <c r="R627" i="17" a="1"/>
  <c r="R627" i="17" s="1"/>
  <c r="R628" i="17" a="1"/>
  <c r="R628" i="17" s="1"/>
  <c r="R629" i="17" a="1"/>
  <c r="R629" i="17" s="1"/>
  <c r="R630" i="17" a="1"/>
  <c r="R630" i="17" s="1"/>
  <c r="R80" i="17" a="1"/>
  <c r="R80" i="17" s="1"/>
  <c r="R81" i="17" a="1"/>
  <c r="R81" i="17"/>
  <c r="R82" i="17" a="1"/>
  <c r="R82" i="17"/>
  <c r="R83" i="17" a="1"/>
  <c r="R83" i="17" s="1"/>
  <c r="R84" i="17" a="1"/>
  <c r="R84" i="17" s="1"/>
  <c r="R85" i="17" a="1"/>
  <c r="R85" i="17" s="1"/>
  <c r="R129" i="17" a="1"/>
  <c r="R129" i="17" s="1"/>
  <c r="R148" i="17" a="1"/>
  <c r="R148" i="17" s="1"/>
  <c r="R167" i="17" a="1"/>
  <c r="R167" i="17" s="1"/>
  <c r="R186" i="17" a="1"/>
  <c r="R186" i="17" s="1"/>
  <c r="R231" i="17" a="1"/>
  <c r="R231" i="17" s="1"/>
  <c r="R232" i="17" a="1"/>
  <c r="R232" i="17" s="1"/>
  <c r="R233" i="17" a="1"/>
  <c r="R233" i="17" s="1"/>
  <c r="R262" i="17" a="1"/>
  <c r="R262" i="17" s="1"/>
  <c r="R281" i="17" a="1"/>
  <c r="R281" i="17" s="1"/>
  <c r="R300" i="17" a="1"/>
  <c r="R300" i="17" s="1"/>
  <c r="R319" i="17" a="1"/>
  <c r="R319" i="17" s="1"/>
  <c r="R338" i="17" a="1"/>
  <c r="R338" i="17" s="1"/>
  <c r="R357" i="17" a="1"/>
  <c r="R357" i="17"/>
  <c r="R376" i="17" a="1"/>
  <c r="R376" i="17"/>
  <c r="R395" i="17" a="1"/>
  <c r="R395" i="17" s="1"/>
  <c r="R414" i="17" a="1"/>
  <c r="R414" i="17" s="1"/>
  <c r="R509" i="17" a="1"/>
  <c r="R509" i="17" s="1"/>
  <c r="R528" i="17" a="1"/>
  <c r="R528" i="17" s="1"/>
  <c r="R547" i="17" a="1"/>
  <c r="R547" i="17" s="1"/>
  <c r="R459" i="17" a="1"/>
  <c r="R459" i="17" s="1"/>
  <c r="R460" i="17" a="1"/>
  <c r="R460" i="17" s="1"/>
  <c r="R461" i="17" a="1"/>
  <c r="R461" i="17" s="1"/>
  <c r="R490" i="17" a="1"/>
  <c r="R490" i="17" s="1"/>
  <c r="R680" i="17" a="1"/>
  <c r="R680" i="17" s="1"/>
  <c r="R699" i="17" a="1"/>
  <c r="R699" i="17" s="1"/>
  <c r="R718" i="17" a="1"/>
  <c r="R718" i="17" s="1"/>
  <c r="R737" i="17" a="1"/>
  <c r="R737" i="17" s="1"/>
  <c r="R756" i="17" a="1"/>
  <c r="R756" i="17"/>
  <c r="R775" i="17" a="1"/>
  <c r="R775" i="17" s="1"/>
  <c r="R792" i="17" a="1"/>
  <c r="R792" i="17" s="1"/>
  <c r="R804" i="17" a="1"/>
  <c r="R804" i="17" s="1"/>
  <c r="R827" i="17" a="1"/>
  <c r="R827" i="17" s="1"/>
  <c r="R846" i="17" a="1"/>
  <c r="R846" i="17" s="1"/>
  <c r="R865" i="17" a="1"/>
  <c r="R865" i="17" s="1"/>
  <c r="R884" i="17" a="1"/>
  <c r="R884" i="17" s="1"/>
  <c r="R903" i="17" a="1"/>
  <c r="R903" i="17" s="1"/>
  <c r="R922" i="17" a="1"/>
  <c r="R922" i="17" s="1"/>
  <c r="R941" i="17" a="1"/>
  <c r="R941" i="17" s="1"/>
  <c r="R960" i="17" a="1"/>
  <c r="R960" i="17" s="1"/>
  <c r="R979" i="17" a="1"/>
  <c r="R979" i="17" s="1"/>
  <c r="R998" i="17" a="1"/>
  <c r="R998" i="17" s="1"/>
  <c r="R1017" i="17" a="1"/>
  <c r="R1017" i="17" s="1"/>
  <c r="R1036" i="17" a="1"/>
  <c r="R1036" i="17" s="1"/>
  <c r="R1055" i="17" a="1"/>
  <c r="R1055" i="17" s="1"/>
  <c r="R631" i="17" a="1"/>
  <c r="R631" i="17" s="1"/>
  <c r="R632" i="17" a="1"/>
  <c r="R632" i="17" s="1"/>
  <c r="R633" i="17" a="1"/>
  <c r="R633" i="17" s="1"/>
  <c r="R634" i="17" a="1"/>
  <c r="R634" i="17" s="1"/>
  <c r="R635" i="17" a="1"/>
  <c r="R635" i="17" s="1"/>
  <c r="R636" i="17" a="1"/>
  <c r="R636" i="17" s="1"/>
  <c r="R86" i="17" a="1"/>
  <c r="R86" i="17" s="1"/>
  <c r="R87" i="17" a="1"/>
  <c r="R87" i="17"/>
  <c r="R88" i="17" a="1"/>
  <c r="R88" i="17" s="1"/>
  <c r="R89" i="17" a="1"/>
  <c r="R89" i="17" s="1"/>
  <c r="R90" i="17" a="1"/>
  <c r="R90" i="17" s="1"/>
  <c r="R91" i="17" a="1"/>
  <c r="R91" i="17" s="1"/>
  <c r="R130" i="17" a="1"/>
  <c r="R130" i="17" s="1"/>
  <c r="R149" i="17" a="1"/>
  <c r="R149" i="17" s="1"/>
  <c r="R168" i="17" a="1"/>
  <c r="R168" i="17" s="1"/>
  <c r="R187" i="17" a="1"/>
  <c r="R187" i="17" s="1"/>
  <c r="R234" i="17" a="1"/>
  <c r="R234" i="17"/>
  <c r="R235" i="17" a="1"/>
  <c r="R235" i="17" s="1"/>
  <c r="R236" i="17" a="1"/>
  <c r="R236" i="17" s="1"/>
  <c r="R263" i="17" a="1"/>
  <c r="R263" i="17" s="1"/>
  <c r="R282" i="17" a="1"/>
  <c r="R282" i="17" s="1"/>
  <c r="R301" i="17" a="1"/>
  <c r="R301" i="17" s="1"/>
  <c r="R320" i="17" a="1"/>
  <c r="R320" i="17" s="1"/>
  <c r="R339" i="17" a="1"/>
  <c r="R339" i="17" s="1"/>
  <c r="R358" i="17" a="1"/>
  <c r="R358" i="17" s="1"/>
  <c r="R377" i="17" a="1"/>
  <c r="R377" i="17" s="1"/>
  <c r="R396" i="17" a="1"/>
  <c r="R396" i="17" s="1"/>
  <c r="R415" i="17" a="1"/>
  <c r="R415" i="17" s="1"/>
  <c r="R510" i="17" a="1"/>
  <c r="R510" i="17" s="1"/>
  <c r="R529" i="17" a="1"/>
  <c r="R529" i="17" s="1"/>
  <c r="R548" i="17" a="1"/>
  <c r="R548" i="17" s="1"/>
  <c r="R462" i="17" a="1"/>
  <c r="R462" i="17" s="1"/>
  <c r="R463" i="17" a="1"/>
  <c r="R463" i="17" s="1"/>
  <c r="R464" i="17" a="1"/>
  <c r="R464" i="17" s="1"/>
  <c r="R491" i="17" a="1"/>
  <c r="R491" i="17" s="1"/>
  <c r="R681" i="17" a="1"/>
  <c r="R681" i="17" s="1"/>
  <c r="R700" i="17" a="1"/>
  <c r="R700" i="17" s="1"/>
  <c r="R719" i="17" a="1"/>
  <c r="R719" i="17" s="1"/>
  <c r="R738" i="17" a="1"/>
  <c r="R738" i="17" s="1"/>
  <c r="R757" i="17" a="1"/>
  <c r="R757" i="17"/>
  <c r="R776" i="17" a="1"/>
  <c r="R776" i="17" s="1"/>
  <c r="R793" i="17" a="1"/>
  <c r="R793" i="17" s="1"/>
  <c r="R805" i="17" a="1"/>
  <c r="R805" i="17" s="1"/>
  <c r="R828" i="17" a="1"/>
  <c r="R828" i="17" s="1"/>
  <c r="R847" i="17" a="1"/>
  <c r="R847" i="17" s="1"/>
  <c r="R866" i="17" a="1"/>
  <c r="R866" i="17" s="1"/>
  <c r="R885" i="17" a="1"/>
  <c r="R885" i="17" s="1"/>
  <c r="R904" i="17" a="1"/>
  <c r="R904" i="17" s="1"/>
  <c r="R923" i="17" a="1"/>
  <c r="R923" i="17" s="1"/>
  <c r="R942" i="17" a="1"/>
  <c r="R942" i="17" s="1"/>
  <c r="R961" i="17" a="1"/>
  <c r="R961" i="17" s="1"/>
  <c r="R980" i="17" a="1"/>
  <c r="R980" i="17" s="1"/>
  <c r="R999" i="17" a="1"/>
  <c r="R999" i="17" s="1"/>
  <c r="R1018" i="17" a="1"/>
  <c r="R1018" i="17" s="1"/>
  <c r="R1037" i="17" a="1"/>
  <c r="R1037" i="17" s="1"/>
  <c r="R1056" i="17" a="1"/>
  <c r="R1056" i="17" s="1"/>
  <c r="R637" i="17" a="1"/>
  <c r="R637" i="17" s="1"/>
  <c r="R638" i="17" a="1"/>
  <c r="R638" i="17" s="1"/>
  <c r="R639" i="17" a="1"/>
  <c r="R639" i="17" s="1"/>
  <c r="R640" i="17" a="1"/>
  <c r="R640" i="17" s="1"/>
  <c r="R641" i="17" a="1"/>
  <c r="R641" i="17" s="1"/>
  <c r="R642" i="17" a="1"/>
  <c r="R642" i="17" s="1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131" i="17" a="1"/>
  <c r="R131" i="17" s="1"/>
  <c r="R150" i="17" a="1"/>
  <c r="R150" i="17" s="1"/>
  <c r="R169" i="17" a="1"/>
  <c r="R169" i="17" s="1"/>
  <c r="R188" i="17" a="1"/>
  <c r="R188" i="17"/>
  <c r="R237" i="17" a="1"/>
  <c r="R237" i="17"/>
  <c r="R238" i="17" a="1"/>
  <c r="R238" i="17" s="1"/>
  <c r="R239" i="17" a="1"/>
  <c r="R239" i="17" s="1"/>
  <c r="R264" i="17" a="1"/>
  <c r="R264" i="17" s="1"/>
  <c r="R283" i="17" a="1"/>
  <c r="R283" i="17" s="1"/>
  <c r="R302" i="17" a="1"/>
  <c r="R302" i="17" s="1"/>
  <c r="R321" i="17" a="1"/>
  <c r="R321" i="17" s="1"/>
  <c r="R340" i="17" a="1"/>
  <c r="R340" i="17" s="1"/>
  <c r="R359" i="17" a="1"/>
  <c r="R359" i="17" s="1"/>
  <c r="R378" i="17" a="1"/>
  <c r="R378" i="17" s="1"/>
  <c r="R397" i="17" a="1"/>
  <c r="R397" i="17" s="1"/>
  <c r="R416" i="17" a="1"/>
  <c r="R416" i="17" s="1"/>
  <c r="R511" i="17" a="1"/>
  <c r="R511" i="17" s="1"/>
  <c r="R530" i="17" a="1"/>
  <c r="R530" i="17" s="1"/>
  <c r="R549" i="17" a="1"/>
  <c r="R549" i="17" s="1"/>
  <c r="R465" i="17" a="1"/>
  <c r="R465" i="17" s="1"/>
  <c r="R466" i="17" a="1"/>
  <c r="R466" i="17"/>
  <c r="R467" i="17" a="1"/>
  <c r="R467" i="17"/>
  <c r="R492" i="17" a="1"/>
  <c r="R492" i="17" s="1"/>
  <c r="R682" i="17" a="1"/>
  <c r="R682" i="17" s="1"/>
  <c r="R701" i="17" a="1"/>
  <c r="R701" i="17" s="1"/>
  <c r="R720" i="17" a="1"/>
  <c r="R720" i="17" s="1"/>
  <c r="R739" i="17" a="1"/>
  <c r="R739" i="17" s="1"/>
  <c r="R758" i="17" a="1"/>
  <c r="R758" i="17" s="1"/>
  <c r="R777" i="17" a="1"/>
  <c r="R777" i="17" s="1"/>
  <c r="R806" i="17" a="1"/>
  <c r="R806" i="17" s="1"/>
  <c r="R812" i="17" a="1"/>
  <c r="R812" i="17" s="1"/>
  <c r="R829" i="17" a="1"/>
  <c r="R829" i="17" s="1"/>
  <c r="R848" i="17" a="1"/>
  <c r="R848" i="17" s="1"/>
  <c r="R867" i="17" a="1"/>
  <c r="R867" i="17" s="1"/>
  <c r="R886" i="17" a="1"/>
  <c r="R886" i="17" s="1"/>
  <c r="R905" i="17" a="1"/>
  <c r="R905" i="17"/>
  <c r="R924" i="17" a="1"/>
  <c r="R924" i="17" s="1"/>
  <c r="R943" i="17" a="1"/>
  <c r="R943" i="17" s="1"/>
  <c r="R962" i="17" a="1"/>
  <c r="R962" i="17" s="1"/>
  <c r="R981" i="17" a="1"/>
  <c r="R981" i="17" s="1"/>
  <c r="R1000" i="17" a="1"/>
  <c r="R1000" i="17" s="1"/>
  <c r="R1019" i="17" a="1"/>
  <c r="R1019" i="17" s="1"/>
  <c r="R1038" i="17" a="1"/>
  <c r="R1038" i="17" s="1"/>
  <c r="R1057" i="17" a="1"/>
  <c r="R1057" i="17" s="1"/>
  <c r="R643" i="17" a="1"/>
  <c r="R643" i="17" s="1"/>
  <c r="R644" i="17" a="1"/>
  <c r="R644" i="17" s="1"/>
  <c r="R645" i="17" a="1"/>
  <c r="R645" i="17" s="1"/>
  <c r="R646" i="17" a="1"/>
  <c r="R646" i="17" s="1"/>
  <c r="R647" i="17" a="1"/>
  <c r="R647" i="17" s="1"/>
  <c r="R648" i="17" a="1"/>
  <c r="R648" i="17" s="1"/>
  <c r="R98" i="17" a="1"/>
  <c r="R98" i="17" s="1"/>
  <c r="R99" i="17" a="1"/>
  <c r="R99" i="17" s="1"/>
  <c r="R100" i="17" a="1"/>
  <c r="R100" i="17"/>
  <c r="R101" i="17" a="1"/>
  <c r="R101" i="17" s="1"/>
  <c r="R102" i="17" a="1"/>
  <c r="R102" i="17" s="1"/>
  <c r="R103" i="17" a="1"/>
  <c r="R103" i="17" s="1"/>
  <c r="R132" i="17" a="1"/>
  <c r="R132" i="17" s="1"/>
  <c r="R151" i="17" a="1"/>
  <c r="R151" i="17" s="1"/>
  <c r="R170" i="17" a="1"/>
  <c r="R170" i="17" s="1"/>
  <c r="R189" i="17" a="1"/>
  <c r="R189" i="17"/>
  <c r="R240" i="17" a="1"/>
  <c r="R240" i="17" s="1"/>
  <c r="R241" i="17" a="1"/>
  <c r="R241" i="17"/>
  <c r="R242" i="17" a="1"/>
  <c r="R242" i="17" s="1"/>
  <c r="R265" i="17" a="1"/>
  <c r="R265" i="17" s="1"/>
  <c r="R284" i="17" a="1"/>
  <c r="R284" i="17" s="1"/>
  <c r="R303" i="17" a="1"/>
  <c r="R303" i="17" s="1"/>
  <c r="R322" i="17" a="1"/>
  <c r="R322" i="17" s="1"/>
  <c r="R341" i="17" a="1"/>
  <c r="R341" i="17"/>
  <c r="R360" i="17" a="1"/>
  <c r="R360" i="17" s="1"/>
  <c r="R379" i="17" a="1"/>
  <c r="R379" i="17" s="1"/>
  <c r="R398" i="17" a="1"/>
  <c r="R398" i="17" s="1"/>
  <c r="R417" i="17" a="1"/>
  <c r="R417" i="17" s="1"/>
  <c r="R512" i="17" a="1"/>
  <c r="R512" i="17" s="1"/>
  <c r="R531" i="17" a="1"/>
  <c r="R531" i="17" s="1"/>
  <c r="R550" i="17" a="1"/>
  <c r="R550" i="17" s="1"/>
  <c r="R468" i="17" a="1"/>
  <c r="R468" i="17" s="1"/>
  <c r="R469" i="17" a="1"/>
  <c r="R469" i="17" s="1"/>
  <c r="R470" i="17" a="1"/>
  <c r="R470" i="17" s="1"/>
  <c r="R493" i="17" a="1"/>
  <c r="R493" i="17" s="1"/>
  <c r="R683" i="17" a="1"/>
  <c r="R683" i="17" s="1"/>
  <c r="R702" i="17" a="1"/>
  <c r="R702" i="17" s="1"/>
  <c r="R721" i="17" a="1"/>
  <c r="R721" i="17" s="1"/>
  <c r="R740" i="17" a="1"/>
  <c r="R740" i="17" s="1"/>
  <c r="R759" i="17" a="1"/>
  <c r="R759" i="17" s="1"/>
  <c r="R778" i="17" a="1"/>
  <c r="R778" i="17"/>
  <c r="R794" i="17" a="1"/>
  <c r="R794" i="17" s="1"/>
  <c r="R807" i="17" a="1"/>
  <c r="R807" i="17" s="1"/>
  <c r="R830" i="17" a="1"/>
  <c r="R830" i="17" s="1"/>
  <c r="R849" i="17" a="1"/>
  <c r="R849" i="17" s="1"/>
  <c r="R868" i="17" a="1"/>
  <c r="R868" i="17" s="1"/>
  <c r="R887" i="17" a="1"/>
  <c r="R887" i="17" s="1"/>
  <c r="R906" i="17" a="1"/>
  <c r="R906" i="17"/>
  <c r="R925" i="17" a="1"/>
  <c r="R925" i="17" s="1"/>
  <c r="R944" i="17" a="1"/>
  <c r="R944" i="17"/>
  <c r="R963" i="17" a="1"/>
  <c r="R963" i="17" s="1"/>
  <c r="R982" i="17" a="1"/>
  <c r="R982" i="17" s="1"/>
  <c r="R1001" i="17" a="1"/>
  <c r="R1001" i="17" s="1"/>
  <c r="R1020" i="17" a="1"/>
  <c r="R1020" i="17" s="1"/>
  <c r="R1039" i="17" a="1"/>
  <c r="R1039" i="17" s="1"/>
  <c r="R1058" i="17" a="1"/>
  <c r="R1058" i="17"/>
  <c r="R649" i="17" a="1"/>
  <c r="R649" i="17" s="1"/>
  <c r="R650" i="17" a="1"/>
  <c r="R650" i="17" s="1"/>
  <c r="R651" i="17" a="1"/>
  <c r="R651" i="17" s="1"/>
  <c r="R652" i="17" a="1"/>
  <c r="R652" i="17" s="1"/>
  <c r="R653" i="17" a="1"/>
  <c r="R653" i="17" s="1"/>
  <c r="R654" i="17" a="1"/>
  <c r="R654" i="17" s="1"/>
  <c r="R104" i="17" a="1"/>
  <c r="R104" i="17" s="1"/>
  <c r="R105" i="17" a="1"/>
  <c r="R105" i="17" s="1"/>
  <c r="R106" i="17" a="1"/>
  <c r="R106" i="17" s="1"/>
  <c r="R107" i="17" a="1"/>
  <c r="R107" i="17" s="1"/>
  <c r="R108" i="17" a="1"/>
  <c r="R108" i="17" s="1"/>
  <c r="R109" i="17" a="1"/>
  <c r="R109" i="17" s="1"/>
  <c r="R133" i="17" a="1"/>
  <c r="R133" i="17" s="1"/>
  <c r="R152" i="17" a="1"/>
  <c r="R152" i="17" s="1"/>
  <c r="R171" i="17" a="1"/>
  <c r="R171" i="17" s="1"/>
  <c r="R190" i="17" a="1"/>
  <c r="R190" i="17" s="1"/>
  <c r="R243" i="17" a="1"/>
  <c r="R243" i="17" s="1"/>
  <c r="R244" i="17" a="1"/>
  <c r="R244" i="17"/>
  <c r="R245" i="17" a="1"/>
  <c r="R245" i="17" s="1"/>
  <c r="R266" i="17" a="1"/>
  <c r="R266" i="17" s="1"/>
  <c r="R285" i="17" a="1"/>
  <c r="R285" i="17" s="1"/>
  <c r="R304" i="17" a="1"/>
  <c r="R304" i="17" s="1"/>
  <c r="R323" i="17" a="1"/>
  <c r="R323" i="17" s="1"/>
  <c r="R342" i="17" a="1"/>
  <c r="R342" i="17" s="1"/>
  <c r="R361" i="17" a="1"/>
  <c r="R361" i="17" s="1"/>
  <c r="R380" i="17" a="1"/>
  <c r="R380" i="17" s="1"/>
  <c r="R399" i="17" a="1"/>
  <c r="R399" i="17" s="1"/>
  <c r="R418" i="17" a="1"/>
  <c r="R418" i="17" s="1"/>
  <c r="R513" i="17" a="1"/>
  <c r="R513" i="17" s="1"/>
  <c r="R532" i="17" a="1"/>
  <c r="R532" i="17" s="1"/>
  <c r="R551" i="17" a="1"/>
  <c r="R551" i="17" s="1"/>
  <c r="R471" i="17" a="1"/>
  <c r="R471" i="17"/>
  <c r="R472" i="17" a="1"/>
  <c r="R472" i="17" s="1"/>
  <c r="R473" i="17" a="1"/>
  <c r="R473" i="17" s="1"/>
  <c r="R494" i="17" a="1"/>
  <c r="R494" i="17" s="1"/>
  <c r="R684" i="17" a="1"/>
  <c r="R684" i="17" s="1"/>
  <c r="R703" i="17" a="1"/>
  <c r="R703" i="17" s="1"/>
  <c r="R722" i="17" a="1"/>
  <c r="R722" i="17" s="1"/>
  <c r="R741" i="17" a="1"/>
  <c r="R741" i="17" s="1"/>
  <c r="R760" i="17" a="1"/>
  <c r="R760" i="17" s="1"/>
  <c r="R779" i="17" a="1"/>
  <c r="R779" i="17" s="1"/>
  <c r="R795" i="17" a="1"/>
  <c r="R795" i="17" s="1"/>
  <c r="R808" i="17" a="1"/>
  <c r="R808" i="17" s="1"/>
  <c r="R831" i="17" a="1"/>
  <c r="R831" i="17" s="1"/>
  <c r="R850" i="17" a="1"/>
  <c r="R850" i="17" s="1"/>
  <c r="R869" i="17" a="1"/>
  <c r="R869" i="17" s="1"/>
  <c r="R888" i="17" a="1"/>
  <c r="R888" i="17" s="1"/>
  <c r="R907" i="17" a="1"/>
  <c r="R907" i="17" s="1"/>
  <c r="R926" i="17" a="1"/>
  <c r="R926" i="17" s="1"/>
  <c r="R945" i="17" a="1"/>
  <c r="R945" i="17" s="1"/>
  <c r="R964" i="17" a="1"/>
  <c r="R964" i="17" s="1"/>
  <c r="R983" i="17" a="1"/>
  <c r="R983" i="17" s="1"/>
  <c r="R1002" i="17" a="1"/>
  <c r="R1002" i="17" s="1"/>
  <c r="R1021" i="17" a="1"/>
  <c r="R1021" i="17" s="1"/>
  <c r="R1040" i="17" a="1"/>
  <c r="R1040" i="17" s="1"/>
  <c r="R1059" i="17" a="1"/>
  <c r="R1059" i="17"/>
  <c r="R655" i="17" a="1"/>
  <c r="R655" i="17" s="1"/>
  <c r="R656" i="17" a="1"/>
  <c r="R656" i="17" s="1"/>
  <c r="R657" i="17" a="1"/>
  <c r="R657" i="17" s="1"/>
  <c r="R658" i="17" a="1"/>
  <c r="R658" i="17" s="1"/>
  <c r="R659" i="17" a="1"/>
  <c r="R659" i="17" s="1"/>
  <c r="R660" i="17" a="1"/>
  <c r="R660" i="17" s="1"/>
  <c r="R110" i="17" a="1"/>
  <c r="R110" i="17" s="1"/>
  <c r="R111" i="17" a="1"/>
  <c r="R111" i="17" s="1"/>
  <c r="R112" i="17" a="1"/>
  <c r="R112" i="17" s="1"/>
  <c r="R113" i="17" a="1"/>
  <c r="R113" i="17" s="1"/>
  <c r="R114" i="17" a="1"/>
  <c r="R114" i="17" s="1"/>
  <c r="R115" i="17" a="1"/>
  <c r="R115" i="17" s="1"/>
  <c r="R134" i="17" a="1"/>
  <c r="R134" i="17" s="1"/>
  <c r="R153" i="17" a="1"/>
  <c r="R153" i="17" s="1"/>
  <c r="R172" i="17" a="1"/>
  <c r="R172" i="17" s="1"/>
  <c r="R191" i="17" a="1"/>
  <c r="R191" i="17" s="1"/>
  <c r="R246" i="17" a="1"/>
  <c r="R246" i="17" s="1"/>
  <c r="R247" i="17" a="1"/>
  <c r="R247" i="17"/>
  <c r="R248" i="17" a="1"/>
  <c r="R248" i="17" s="1"/>
  <c r="R267" i="17" a="1"/>
  <c r="R267" i="17" s="1"/>
  <c r="R286" i="17" a="1"/>
  <c r="R286" i="17" s="1"/>
  <c r="R305" i="17" a="1"/>
  <c r="R305" i="17" s="1"/>
  <c r="R324" i="17" a="1"/>
  <c r="R324" i="17" s="1"/>
  <c r="R343" i="17" a="1"/>
  <c r="R343" i="17" s="1"/>
  <c r="R362" i="17" a="1"/>
  <c r="R362" i="17"/>
  <c r="R381" i="17" a="1"/>
  <c r="R381" i="17" s="1"/>
  <c r="R400" i="17" a="1"/>
  <c r="R400" i="17" s="1"/>
  <c r="R419" i="17" a="1"/>
  <c r="R419" i="17" s="1"/>
  <c r="R514" i="17" a="1"/>
  <c r="R514" i="17" s="1"/>
  <c r="R533" i="17" a="1"/>
  <c r="R533" i="17" s="1"/>
  <c r="R552" i="17" a="1"/>
  <c r="R552" i="17" s="1"/>
  <c r="R474" i="17" a="1"/>
  <c r="R474" i="17"/>
  <c r="R475" i="17" a="1"/>
  <c r="R475" i="17" s="1"/>
  <c r="R476" i="17" a="1"/>
  <c r="R476" i="17" s="1"/>
  <c r="R495" i="17" a="1"/>
  <c r="R495" i="17" s="1"/>
  <c r="R685" i="17" a="1"/>
  <c r="R685" i="17" s="1"/>
  <c r="R704" i="17" a="1"/>
  <c r="R704" i="17" s="1"/>
  <c r="R723" i="17" a="1"/>
  <c r="R723" i="17" s="1"/>
  <c r="R742" i="17" a="1"/>
  <c r="R742" i="17" s="1"/>
  <c r="R761" i="17" a="1"/>
  <c r="R761" i="17" s="1"/>
  <c r="R780" i="17" a="1"/>
  <c r="R780" i="17" s="1"/>
  <c r="R796" i="17" a="1"/>
  <c r="R796" i="17" s="1"/>
  <c r="R809" i="17" a="1"/>
  <c r="R809" i="17" s="1"/>
  <c r="R813" i="17" a="1"/>
  <c r="R813" i="17" s="1"/>
  <c r="R832" i="17" a="1"/>
  <c r="R832" i="17" s="1"/>
  <c r="R851" i="17" a="1"/>
  <c r="R851" i="17" s="1"/>
  <c r="R870" i="17" a="1"/>
  <c r="R870" i="17" s="1"/>
  <c r="R889" i="17" a="1"/>
  <c r="R889" i="17" s="1"/>
  <c r="R908" i="17" a="1"/>
  <c r="R908" i="17" s="1"/>
  <c r="R927" i="17" a="1"/>
  <c r="R927" i="17" s="1"/>
  <c r="R946" i="17" a="1"/>
  <c r="R946" i="17" s="1"/>
  <c r="R965" i="17" a="1"/>
  <c r="R965" i="17" s="1"/>
  <c r="R984" i="17" a="1"/>
  <c r="R984" i="17" s="1"/>
  <c r="R1003" i="17" a="1"/>
  <c r="R1003" i="17" s="1"/>
  <c r="R1022" i="17" a="1"/>
  <c r="R1022" i="17" s="1"/>
  <c r="R1041" i="17" a="1"/>
  <c r="R1041" i="17" s="1"/>
  <c r="R1060" i="17" a="1"/>
  <c r="R1060" i="17" s="1"/>
  <c r="R661" i="17" a="1"/>
  <c r="R661" i="17" s="1"/>
  <c r="R662" i="17" a="1"/>
  <c r="R662" i="17" s="1"/>
  <c r="R663" i="17" a="1"/>
  <c r="R663" i="17" s="1"/>
  <c r="R664" i="17" a="1"/>
  <c r="R664" i="17" s="1"/>
  <c r="R665" i="17" a="1"/>
  <c r="R665" i="17" s="1"/>
  <c r="R666" i="17" a="1"/>
  <c r="R666" i="17" s="1"/>
  <c r="S2" i="17" a="1"/>
  <c r="S2" i="17" s="1"/>
  <c r="S3" i="17" a="1"/>
  <c r="S3" i="17" s="1"/>
  <c r="S4" i="17" a="1"/>
  <c r="S4" i="17"/>
  <c r="S5" i="17" a="1"/>
  <c r="S5" i="17" s="1"/>
  <c r="S6" i="17" a="1"/>
  <c r="S6" i="17" s="1"/>
  <c r="S7" i="17" a="1"/>
  <c r="S7" i="17" s="1"/>
  <c r="S116" i="17" a="1"/>
  <c r="S116" i="17" s="1"/>
  <c r="S135" i="17" a="1"/>
  <c r="S135" i="17" s="1"/>
  <c r="S154" i="17" a="1"/>
  <c r="S154" i="17"/>
  <c r="S173" i="17" a="1"/>
  <c r="S173" i="17" s="1"/>
  <c r="S192" i="17" a="1"/>
  <c r="S192" i="17" s="1"/>
  <c r="S193" i="17" a="1"/>
  <c r="S193" i="17" s="1"/>
  <c r="S194" i="17" a="1"/>
  <c r="S194" i="17" s="1"/>
  <c r="S249" i="17" a="1"/>
  <c r="S249" i="17" s="1"/>
  <c r="S268" i="17" a="1"/>
  <c r="S268" i="17" s="1"/>
  <c r="S287" i="17" a="1"/>
  <c r="S287" i="17" s="1"/>
  <c r="S306" i="17" a="1"/>
  <c r="S306" i="17" s="1"/>
  <c r="S325" i="17" a="1"/>
  <c r="S325" i="17" s="1"/>
  <c r="S344" i="17" a="1"/>
  <c r="S344" i="17" s="1"/>
  <c r="S363" i="17" a="1"/>
  <c r="S363" i="17" s="1"/>
  <c r="S382" i="17" a="1"/>
  <c r="S382" i="17" s="1"/>
  <c r="S401" i="17" a="1"/>
  <c r="S401" i="17" s="1"/>
  <c r="S496" i="17" a="1"/>
  <c r="S496" i="17" s="1"/>
  <c r="S515" i="17" a="1"/>
  <c r="S515" i="17" s="1"/>
  <c r="S534" i="17" a="1"/>
  <c r="S534" i="17" s="1"/>
  <c r="S420" i="17" a="1"/>
  <c r="S420" i="17" s="1"/>
  <c r="S421" i="17" a="1"/>
  <c r="S421" i="17"/>
  <c r="S422" i="17" a="1"/>
  <c r="S422" i="17" s="1"/>
  <c r="S477" i="17" a="1"/>
  <c r="S477" i="17" s="1"/>
  <c r="S667" i="17" a="1"/>
  <c r="S667" i="17" s="1"/>
  <c r="S686" i="17" a="1"/>
  <c r="S686" i="17" s="1"/>
  <c r="S705" i="17" a="1"/>
  <c r="S705" i="17" s="1"/>
  <c r="S724" i="17" a="1"/>
  <c r="S724" i="17" s="1"/>
  <c r="S743" i="17" a="1"/>
  <c r="S743" i="17" s="1"/>
  <c r="S762" i="17" a="1"/>
  <c r="S762" i="17" s="1"/>
  <c r="S781" i="17" a="1"/>
  <c r="S781" i="17" s="1"/>
  <c r="S797" i="17" a="1"/>
  <c r="S797" i="17" s="1"/>
  <c r="S814" i="17" a="1"/>
  <c r="S814" i="17" s="1"/>
  <c r="S833" i="17" a="1"/>
  <c r="S833" i="17" s="1"/>
  <c r="S852" i="17" a="1"/>
  <c r="S852" i="17" s="1"/>
  <c r="S871" i="17" a="1"/>
  <c r="S871" i="17"/>
  <c r="S890" i="17" a="1"/>
  <c r="S890" i="17" s="1"/>
  <c r="S909" i="17" a="1"/>
  <c r="S909" i="17" s="1"/>
  <c r="S928" i="17" a="1"/>
  <c r="S928" i="17" s="1"/>
  <c r="S947" i="17" a="1"/>
  <c r="S947" i="17" s="1"/>
  <c r="S966" i="17" a="1"/>
  <c r="S966" i="17" s="1"/>
  <c r="S985" i="17" a="1"/>
  <c r="S985" i="17" s="1"/>
  <c r="S1004" i="17" a="1"/>
  <c r="S1004" i="17" s="1"/>
  <c r="S1023" i="17" a="1"/>
  <c r="S1023" i="17" s="1"/>
  <c r="S1042" i="17" a="1"/>
  <c r="S1042" i="17" s="1"/>
  <c r="S553" i="17" a="1"/>
  <c r="S553" i="17" s="1"/>
  <c r="S554" i="17" a="1"/>
  <c r="S554" i="17" s="1"/>
  <c r="S555" i="17" a="1"/>
  <c r="S555" i="17" s="1"/>
  <c r="S556" i="17" a="1"/>
  <c r="S556" i="17" s="1"/>
  <c r="S557" i="17" a="1"/>
  <c r="S557" i="17" s="1"/>
  <c r="S558" i="17" a="1"/>
  <c r="S558" i="17" s="1"/>
  <c r="S8" i="17" a="1"/>
  <c r="S8" i="17" s="1"/>
  <c r="S9" i="17" a="1"/>
  <c r="S9" i="17" s="1"/>
  <c r="S10" i="17" a="1"/>
  <c r="S10" i="17"/>
  <c r="S11" i="17" a="1"/>
  <c r="S11" i="17" s="1"/>
  <c r="S12" i="17" a="1"/>
  <c r="S12" i="17" s="1"/>
  <c r="S13" i="17" a="1"/>
  <c r="S13" i="17" s="1"/>
  <c r="S117" i="17" a="1"/>
  <c r="S117" i="17" s="1"/>
  <c r="S136" i="17" a="1"/>
  <c r="S136" i="17" s="1"/>
  <c r="S155" i="17" a="1"/>
  <c r="S155" i="17"/>
  <c r="S174" i="17" a="1"/>
  <c r="S174" i="17" s="1"/>
  <c r="S195" i="17" a="1"/>
  <c r="S195" i="17" s="1"/>
  <c r="S196" i="17" a="1"/>
  <c r="S196" i="17" s="1"/>
  <c r="S197" i="17" a="1"/>
  <c r="S197" i="17" s="1"/>
  <c r="S250" i="17" a="1"/>
  <c r="S250" i="17" s="1"/>
  <c r="S269" i="17" a="1"/>
  <c r="S269" i="17" s="1"/>
  <c r="S288" i="17" a="1"/>
  <c r="S288" i="17" s="1"/>
  <c r="S307" i="17" a="1"/>
  <c r="S307" i="17"/>
  <c r="S326" i="17" a="1"/>
  <c r="S326" i="17"/>
  <c r="S345" i="17" a="1"/>
  <c r="S345" i="17" s="1"/>
  <c r="S364" i="17" a="1"/>
  <c r="S364" i="17" s="1"/>
  <c r="S383" i="17" a="1"/>
  <c r="S383" i="17" s="1"/>
  <c r="S402" i="17" a="1"/>
  <c r="S402" i="17" s="1"/>
  <c r="S497" i="17" a="1"/>
  <c r="S497" i="17" s="1"/>
  <c r="S516" i="17" a="1"/>
  <c r="S516" i="17" s="1"/>
  <c r="S535" i="17" a="1"/>
  <c r="S535" i="17"/>
  <c r="S423" i="17" a="1"/>
  <c r="S423" i="17" s="1"/>
  <c r="S424" i="17" a="1"/>
  <c r="S424" i="17"/>
  <c r="S425" i="17" a="1"/>
  <c r="S425" i="17" s="1"/>
  <c r="S478" i="17" a="1"/>
  <c r="S478" i="17" s="1"/>
  <c r="S668" i="17" a="1"/>
  <c r="S668" i="17" s="1"/>
  <c r="S687" i="17" a="1"/>
  <c r="S687" i="17" s="1"/>
  <c r="S706" i="17" a="1"/>
  <c r="S706" i="17" s="1"/>
  <c r="S725" i="17" a="1"/>
  <c r="S725" i="17" s="1"/>
  <c r="S744" i="17" a="1"/>
  <c r="S744" i="17"/>
  <c r="S763" i="17" a="1"/>
  <c r="S763" i="17"/>
  <c r="S782" i="17" a="1"/>
  <c r="S782" i="17" s="1"/>
  <c r="S798" i="17" a="1"/>
  <c r="S798" i="17" s="1"/>
  <c r="S815" i="17" a="1"/>
  <c r="S815" i="17" s="1"/>
  <c r="S834" i="17" a="1"/>
  <c r="S834" i="17" s="1"/>
  <c r="S853" i="17" a="1"/>
  <c r="S853" i="17" s="1"/>
  <c r="S872" i="17" a="1"/>
  <c r="S872" i="17" s="1"/>
  <c r="S891" i="17" a="1"/>
  <c r="S891" i="17" s="1"/>
  <c r="S910" i="17" a="1"/>
  <c r="S910" i="17" s="1"/>
  <c r="S929" i="17" a="1"/>
  <c r="S929" i="17" s="1"/>
  <c r="S948" i="17" a="1"/>
  <c r="S948" i="17" s="1"/>
  <c r="S967" i="17" a="1"/>
  <c r="S967" i="17" s="1"/>
  <c r="S986" i="17" a="1"/>
  <c r="S986" i="17" s="1"/>
  <c r="S1005" i="17" a="1"/>
  <c r="S1005" i="17" s="1"/>
  <c r="S1024" i="17" a="1"/>
  <c r="S1024" i="17" s="1"/>
  <c r="S1043" i="17" a="1"/>
  <c r="S1043" i="17" s="1"/>
  <c r="S559" i="17" a="1"/>
  <c r="S559" i="17" s="1"/>
  <c r="S560" i="17" a="1"/>
  <c r="S560" i="17" s="1"/>
  <c r="S561" i="17" a="1"/>
  <c r="S561" i="17" s="1"/>
  <c r="S562" i="17" a="1"/>
  <c r="S562" i="17" s="1"/>
  <c r="S563" i="17" a="1"/>
  <c r="S563" i="17" s="1"/>
  <c r="S564" i="17" a="1"/>
  <c r="S564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 s="1"/>
  <c r="S118" i="17" a="1"/>
  <c r="S118" i="17" s="1"/>
  <c r="S137" i="17" a="1"/>
  <c r="S137" i="17" s="1"/>
  <c r="S156" i="17" a="1"/>
  <c r="S156" i="17" s="1"/>
  <c r="S175" i="17" a="1"/>
  <c r="S175" i="17" s="1"/>
  <c r="S198" i="17" a="1"/>
  <c r="S198" i="17" s="1"/>
  <c r="S199" i="17" a="1"/>
  <c r="S199" i="17" s="1"/>
  <c r="S200" i="17" a="1"/>
  <c r="S200" i="17" s="1"/>
  <c r="S251" i="17" a="1"/>
  <c r="S251" i="17" s="1"/>
  <c r="S270" i="17" a="1"/>
  <c r="S270" i="17" s="1"/>
  <c r="S289" i="17" a="1"/>
  <c r="S289" i="17" s="1"/>
  <c r="S308" i="17" a="1"/>
  <c r="S308" i="17" s="1"/>
  <c r="S327" i="17" a="1"/>
  <c r="S327" i="17" s="1"/>
  <c r="S346" i="17" a="1"/>
  <c r="S346" i="17" s="1"/>
  <c r="S365" i="17" a="1"/>
  <c r="S365" i="17" s="1"/>
  <c r="S384" i="17" a="1"/>
  <c r="S384" i="17" s="1"/>
  <c r="S403" i="17" a="1"/>
  <c r="S403" i="17" s="1"/>
  <c r="S498" i="17" a="1"/>
  <c r="S498" i="17" s="1"/>
  <c r="S517" i="17" a="1"/>
  <c r="S517" i="17" s="1"/>
  <c r="S536" i="17" a="1"/>
  <c r="S536" i="17"/>
  <c r="S426" i="17" a="1"/>
  <c r="S426" i="17" s="1"/>
  <c r="S427" i="17" a="1"/>
  <c r="S427" i="17" s="1"/>
  <c r="S428" i="17" a="1"/>
  <c r="S428" i="17" s="1"/>
  <c r="S479" i="17" a="1"/>
  <c r="S479" i="17" s="1"/>
  <c r="S669" i="17" a="1"/>
  <c r="S669" i="17" s="1"/>
  <c r="S688" i="17" a="1"/>
  <c r="S688" i="17" s="1"/>
  <c r="S707" i="17" a="1"/>
  <c r="S707" i="17" s="1"/>
  <c r="S726" i="17" a="1"/>
  <c r="S726" i="17" s="1"/>
  <c r="S745" i="17" a="1"/>
  <c r="S745" i="17"/>
  <c r="S764" i="17" a="1"/>
  <c r="S764" i="17" s="1"/>
  <c r="S783" i="17" a="1"/>
  <c r="S783" i="17" s="1"/>
  <c r="S799" i="17" a="1"/>
  <c r="S799" i="17" s="1"/>
  <c r="S816" i="17" a="1"/>
  <c r="S816" i="17" s="1"/>
  <c r="S835" i="17" a="1"/>
  <c r="S835" i="17" s="1"/>
  <c r="S854" i="17" a="1"/>
  <c r="S854" i="17" s="1"/>
  <c r="S873" i="17" a="1"/>
  <c r="S873" i="17" s="1"/>
  <c r="S892" i="17" a="1"/>
  <c r="S892" i="17" s="1"/>
  <c r="S911" i="17" a="1"/>
  <c r="S911" i="17" s="1"/>
  <c r="S930" i="17" a="1"/>
  <c r="S930" i="17" s="1"/>
  <c r="S949" i="17" a="1"/>
  <c r="S949" i="17" s="1"/>
  <c r="S968" i="17" a="1"/>
  <c r="S968" i="17" s="1"/>
  <c r="S987" i="17" a="1"/>
  <c r="S987" i="17" s="1"/>
  <c r="S1006" i="17" a="1"/>
  <c r="S1006" i="17" s="1"/>
  <c r="S1025" i="17" a="1"/>
  <c r="S1025" i="17" s="1"/>
  <c r="S1044" i="17" a="1"/>
  <c r="S1044" i="17" s="1"/>
  <c r="S565" i="17" a="1"/>
  <c r="S565" i="17" s="1"/>
  <c r="S566" i="17" a="1"/>
  <c r="S566" i="17" s="1"/>
  <c r="S567" i="17" a="1"/>
  <c r="S567" i="17" s="1"/>
  <c r="S568" i="17" a="1"/>
  <c r="S568" i="17" s="1"/>
  <c r="S569" i="17" a="1"/>
  <c r="S569" i="17" s="1"/>
  <c r="S570" i="17" a="1"/>
  <c r="S570" i="17" s="1"/>
  <c r="S20" i="17" a="1"/>
  <c r="S20" i="17"/>
  <c r="S21" i="17" a="1"/>
  <c r="S21" i="17" s="1"/>
  <c r="S22" i="17" a="1"/>
  <c r="S22" i="17" s="1"/>
  <c r="S23" i="17" a="1"/>
  <c r="S23" i="17" s="1"/>
  <c r="S24" i="17" a="1"/>
  <c r="S24" i="17" s="1"/>
  <c r="S25" i="17" a="1"/>
  <c r="S25" i="17" s="1"/>
  <c r="S119" i="17" a="1"/>
  <c r="S119" i="17" s="1"/>
  <c r="S138" i="17" a="1"/>
  <c r="S138" i="17" s="1"/>
  <c r="S157" i="17" a="1"/>
  <c r="S157" i="17" s="1"/>
  <c r="S176" i="17" a="1"/>
  <c r="S176" i="17" s="1"/>
  <c r="S201" i="17" a="1"/>
  <c r="S201" i="17" s="1"/>
  <c r="S202" i="17" a="1"/>
  <c r="S202" i="17" s="1"/>
  <c r="S203" i="17" a="1"/>
  <c r="S203" i="17" s="1"/>
  <c r="S252" i="17" a="1"/>
  <c r="S252" i="17" s="1"/>
  <c r="S271" i="17" a="1"/>
  <c r="S271" i="17" s="1"/>
  <c r="S290" i="17" a="1"/>
  <c r="S290" i="17" s="1"/>
  <c r="S309" i="17" a="1"/>
  <c r="S309" i="17" s="1"/>
  <c r="S328" i="17" a="1"/>
  <c r="S328" i="17" s="1"/>
  <c r="S347" i="17" a="1"/>
  <c r="S347" i="17" s="1"/>
  <c r="S366" i="17" a="1"/>
  <c r="S366" i="17" s="1"/>
  <c r="S385" i="17" a="1"/>
  <c r="S385" i="17" s="1"/>
  <c r="S404" i="17" a="1"/>
  <c r="S404" i="17" s="1"/>
  <c r="S499" i="17" a="1"/>
  <c r="S499" i="17" s="1"/>
  <c r="S518" i="17" a="1"/>
  <c r="S518" i="17" s="1"/>
  <c r="S537" i="17" a="1"/>
  <c r="S537" i="17" s="1"/>
  <c r="S429" i="17" a="1"/>
  <c r="S429" i="17" s="1"/>
  <c r="S430" i="17" a="1"/>
  <c r="S430" i="17" s="1"/>
  <c r="S431" i="17" a="1"/>
  <c r="S431" i="17" s="1"/>
  <c r="S480" i="17" a="1"/>
  <c r="S480" i="17" s="1"/>
  <c r="S670" i="17" a="1"/>
  <c r="S670" i="17" s="1"/>
  <c r="S689" i="17" a="1"/>
  <c r="S689" i="17" s="1"/>
  <c r="S708" i="17" a="1"/>
  <c r="S708" i="17" s="1"/>
  <c r="S727" i="17" a="1"/>
  <c r="S727" i="17" s="1"/>
  <c r="S746" i="17" a="1"/>
  <c r="S746" i="17" s="1"/>
  <c r="S765" i="17" a="1"/>
  <c r="S765" i="17" s="1"/>
  <c r="S784" i="17" a="1"/>
  <c r="S784" i="17" s="1"/>
  <c r="S810" i="17" a="1"/>
  <c r="S810" i="17" s="1"/>
  <c r="S817" i="17" a="1"/>
  <c r="S817" i="17" s="1"/>
  <c r="S836" i="17" a="1"/>
  <c r="S836" i="17" s="1"/>
  <c r="S855" i="17" a="1"/>
  <c r="S855" i="17" s="1"/>
  <c r="S874" i="17" a="1"/>
  <c r="S874" i="17" s="1"/>
  <c r="S893" i="17" a="1"/>
  <c r="S893" i="17"/>
  <c r="S912" i="17" a="1"/>
  <c r="S912" i="17"/>
  <c r="S931" i="17" a="1"/>
  <c r="S931" i="17" s="1"/>
  <c r="S950" i="17" a="1"/>
  <c r="S950" i="17" s="1"/>
  <c r="S969" i="17" a="1"/>
  <c r="S969" i="17" s="1"/>
  <c r="S988" i="17" a="1"/>
  <c r="S988" i="17" s="1"/>
  <c r="S1007" i="17" a="1"/>
  <c r="S1007" i="17" s="1"/>
  <c r="S1026" i="17" a="1"/>
  <c r="S1026" i="17" s="1"/>
  <c r="S1045" i="17" a="1"/>
  <c r="S1045" i="17"/>
  <c r="S571" i="17" a="1"/>
  <c r="S571" i="17" s="1"/>
  <c r="S572" i="17" a="1"/>
  <c r="S572" i="17" s="1"/>
  <c r="S573" i="17" a="1"/>
  <c r="S573" i="17" s="1"/>
  <c r="S574" i="17" a="1"/>
  <c r="S574" i="17" s="1"/>
  <c r="S575" i="17" a="1"/>
  <c r="S575" i="17" s="1"/>
  <c r="S576" i="17" a="1"/>
  <c r="S576" i="17" s="1"/>
  <c r="S26" i="17" a="1"/>
  <c r="S26" i="17"/>
  <c r="S27" i="17" a="1"/>
  <c r="S27" i="17" s="1"/>
  <c r="S28" i="17" a="1"/>
  <c r="S28" i="17"/>
  <c r="S29" i="17" a="1"/>
  <c r="S29" i="17" s="1"/>
  <c r="S30" i="17" a="1"/>
  <c r="S30" i="17" s="1"/>
  <c r="S31" i="17" a="1"/>
  <c r="S31" i="17" s="1"/>
  <c r="S120" i="17" a="1"/>
  <c r="S120" i="17" s="1"/>
  <c r="S139" i="17" a="1"/>
  <c r="S139" i="17" s="1"/>
  <c r="S158" i="17" a="1"/>
  <c r="S158" i="17" s="1"/>
  <c r="S177" i="17" a="1"/>
  <c r="S177" i="17"/>
  <c r="S204" i="17" a="1"/>
  <c r="S204" i="17" s="1"/>
  <c r="S205" i="17" a="1"/>
  <c r="S205" i="17" s="1"/>
  <c r="S206" i="17" a="1"/>
  <c r="S206" i="17" s="1"/>
  <c r="S253" i="17" a="1"/>
  <c r="S253" i="17" s="1"/>
  <c r="S272" i="17" a="1"/>
  <c r="S272" i="17" s="1"/>
  <c r="S291" i="17" a="1"/>
  <c r="S291" i="17" s="1"/>
  <c r="S310" i="17" a="1"/>
  <c r="S310" i="17"/>
  <c r="S329" i="17" a="1"/>
  <c r="S329" i="17" s="1"/>
  <c r="S348" i="17" a="1"/>
  <c r="S348" i="17" s="1"/>
  <c r="S367" i="17" a="1"/>
  <c r="S367" i="17" s="1"/>
  <c r="S386" i="17" a="1"/>
  <c r="S386" i="17" s="1"/>
  <c r="S405" i="17" a="1"/>
  <c r="S405" i="17" s="1"/>
  <c r="S500" i="17" a="1"/>
  <c r="S500" i="17" s="1"/>
  <c r="S519" i="17" a="1"/>
  <c r="S519" i="17" s="1"/>
  <c r="S538" i="17" a="1"/>
  <c r="S538" i="17" s="1"/>
  <c r="S432" i="17" a="1"/>
  <c r="S432" i="17" s="1"/>
  <c r="S433" i="17" a="1"/>
  <c r="S433" i="17" s="1"/>
  <c r="S434" i="17" a="1"/>
  <c r="S434" i="17" s="1"/>
  <c r="S481" i="17" a="1"/>
  <c r="S481" i="17" s="1"/>
  <c r="S671" i="17" a="1"/>
  <c r="S671" i="17" s="1"/>
  <c r="S690" i="17" a="1"/>
  <c r="S690" i="17" s="1"/>
  <c r="S709" i="17" a="1"/>
  <c r="S709" i="17" s="1"/>
  <c r="S728" i="17" a="1"/>
  <c r="S728" i="17" s="1"/>
  <c r="S747" i="17" a="1"/>
  <c r="S747" i="17" s="1"/>
  <c r="S766" i="17" a="1"/>
  <c r="S766" i="17"/>
  <c r="S800" i="17" a="1"/>
  <c r="S800" i="17" s="1"/>
  <c r="S818" i="17" a="1"/>
  <c r="S818" i="17" s="1"/>
  <c r="S837" i="17" a="1"/>
  <c r="S837" i="17" s="1"/>
  <c r="S856" i="17" a="1"/>
  <c r="S856" i="17" s="1"/>
  <c r="S875" i="17" a="1"/>
  <c r="S875" i="17" s="1"/>
  <c r="S894" i="17" a="1"/>
  <c r="S894" i="17"/>
  <c r="S913" i="17" a="1"/>
  <c r="S913" i="17" s="1"/>
  <c r="S932" i="17" a="1"/>
  <c r="S932" i="17" s="1"/>
  <c r="S951" i="17" a="1"/>
  <c r="S951" i="17" s="1"/>
  <c r="S970" i="17" a="1"/>
  <c r="S970" i="17" s="1"/>
  <c r="S989" i="17" a="1"/>
  <c r="S989" i="17" s="1"/>
  <c r="S1008" i="17" a="1"/>
  <c r="S1008" i="17" s="1"/>
  <c r="S1027" i="17" a="1"/>
  <c r="S1027" i="17" s="1"/>
  <c r="S1046" i="17" a="1"/>
  <c r="S1046" i="17" s="1"/>
  <c r="S577" i="17" a="1"/>
  <c r="S577" i="17"/>
  <c r="S578" i="17" a="1"/>
  <c r="S578" i="17" s="1"/>
  <c r="S579" i="17" a="1"/>
  <c r="S579" i="17" s="1"/>
  <c r="S580" i="17" a="1"/>
  <c r="S580" i="17" s="1"/>
  <c r="S581" i="17" a="1"/>
  <c r="S581" i="17" s="1"/>
  <c r="S582" i="17" a="1"/>
  <c r="S582" i="17" s="1"/>
  <c r="S32" i="17" a="1"/>
  <c r="S32" i="17" s="1"/>
  <c r="S33" i="17" a="1"/>
  <c r="S33" i="17" s="1"/>
  <c r="S34" i="17" a="1"/>
  <c r="S34" i="17" s="1"/>
  <c r="S35" i="17" a="1"/>
  <c r="S35" i="17"/>
  <c r="S36" i="17" a="1"/>
  <c r="S36" i="17" s="1"/>
  <c r="S37" i="17" a="1"/>
  <c r="S37" i="17" s="1"/>
  <c r="S121" i="17" a="1"/>
  <c r="S121" i="17" s="1"/>
  <c r="S140" i="17" a="1"/>
  <c r="S140" i="17" s="1"/>
  <c r="S159" i="17" a="1"/>
  <c r="S159" i="17" s="1"/>
  <c r="S178" i="17" a="1"/>
  <c r="S178" i="17" s="1"/>
  <c r="S207" i="17" a="1"/>
  <c r="S207" i="17" s="1"/>
  <c r="S208" i="17" a="1"/>
  <c r="S208" i="17" s="1"/>
  <c r="S209" i="17" a="1"/>
  <c r="S209" i="17" s="1"/>
  <c r="S254" i="17" a="1"/>
  <c r="S254" i="17" s="1"/>
  <c r="S273" i="17" a="1"/>
  <c r="S273" i="17" s="1"/>
  <c r="S292" i="17" a="1"/>
  <c r="S292" i="17" s="1"/>
  <c r="S311" i="17" a="1"/>
  <c r="S311" i="17" s="1"/>
  <c r="S330" i="17" a="1"/>
  <c r="S330" i="17"/>
  <c r="S349" i="17" a="1"/>
  <c r="S349" i="17" s="1"/>
  <c r="S368" i="17" a="1"/>
  <c r="S368" i="17" s="1"/>
  <c r="S387" i="17" a="1"/>
  <c r="S387" i="17" s="1"/>
  <c r="S406" i="17" a="1"/>
  <c r="S406" i="17" s="1"/>
  <c r="S501" i="17" a="1"/>
  <c r="S501" i="17" s="1"/>
  <c r="S520" i="17" a="1"/>
  <c r="S520" i="17" s="1"/>
  <c r="S539" i="17" a="1"/>
  <c r="S539" i="17" s="1"/>
  <c r="S435" i="17" a="1"/>
  <c r="S435" i="17" s="1"/>
  <c r="S436" i="17" a="1"/>
  <c r="S436" i="17"/>
  <c r="S437" i="17" a="1"/>
  <c r="S437" i="17" s="1"/>
  <c r="S482" i="17" a="1"/>
  <c r="S482" i="17" s="1"/>
  <c r="S672" i="17" a="1"/>
  <c r="S672" i="17" s="1"/>
  <c r="S691" i="17" a="1"/>
  <c r="S691" i="17" s="1"/>
  <c r="S710" i="17" a="1"/>
  <c r="S710" i="17" s="1"/>
  <c r="S729" i="17" a="1"/>
  <c r="S729" i="17" s="1"/>
  <c r="S748" i="17" a="1"/>
  <c r="S748" i="17" s="1"/>
  <c r="S767" i="17" a="1"/>
  <c r="S767" i="17" s="1"/>
  <c r="S819" i="17" a="1"/>
  <c r="S819" i="17" s="1"/>
  <c r="S838" i="17" a="1"/>
  <c r="S838" i="17" s="1"/>
  <c r="S857" i="17" a="1"/>
  <c r="S857" i="17" s="1"/>
  <c r="S876" i="17" a="1"/>
  <c r="S876" i="17" s="1"/>
  <c r="S895" i="17" a="1"/>
  <c r="S895" i="17" s="1"/>
  <c r="S914" i="17" a="1"/>
  <c r="S914" i="17" s="1"/>
  <c r="S933" i="17" a="1"/>
  <c r="S933" i="17"/>
  <c r="S952" i="17" a="1"/>
  <c r="S952" i="17" s="1"/>
  <c r="S971" i="17" a="1"/>
  <c r="S971" i="17" s="1"/>
  <c r="S990" i="17" a="1"/>
  <c r="S990" i="17" s="1"/>
  <c r="S1009" i="17" a="1"/>
  <c r="S1009" i="17" s="1"/>
  <c r="S1028" i="17" a="1"/>
  <c r="S1028" i="17" s="1"/>
  <c r="S1047" i="17" a="1"/>
  <c r="S1047" i="17" s="1"/>
  <c r="S583" i="17" a="1"/>
  <c r="S583" i="17" s="1"/>
  <c r="S584" i="17" a="1"/>
  <c r="S584" i="17" s="1"/>
  <c r="S585" i="17" a="1"/>
  <c r="S585" i="17"/>
  <c r="S586" i="17" a="1"/>
  <c r="S586" i="17" s="1"/>
  <c r="S587" i="17" a="1"/>
  <c r="S587" i="17" s="1"/>
  <c r="S588" i="17" a="1"/>
  <c r="S588" i="17" s="1"/>
  <c r="S38" i="17" a="1"/>
  <c r="S38" i="17" s="1"/>
  <c r="S39" i="17" a="1"/>
  <c r="S39" i="17" s="1"/>
  <c r="S40" i="17" a="1"/>
  <c r="S40" i="17" s="1"/>
  <c r="S41" i="17" a="1"/>
  <c r="S41" i="17"/>
  <c r="S42" i="17" a="1"/>
  <c r="S42" i="17" s="1"/>
  <c r="S43" i="17" a="1"/>
  <c r="S43" i="17" s="1"/>
  <c r="S122" i="17" a="1"/>
  <c r="S122" i="17" s="1"/>
  <c r="S141" i="17" a="1"/>
  <c r="S141" i="17" s="1"/>
  <c r="S160" i="17" a="1"/>
  <c r="S160" i="17" s="1"/>
  <c r="S179" i="17" a="1"/>
  <c r="S179" i="17" s="1"/>
  <c r="S210" i="17" a="1"/>
  <c r="S210" i="17" s="1"/>
  <c r="S211" i="17" a="1"/>
  <c r="S211" i="17" s="1"/>
  <c r="S212" i="17" a="1"/>
  <c r="S212" i="17" s="1"/>
  <c r="S255" i="17" a="1"/>
  <c r="S255" i="17"/>
  <c r="S274" i="17" a="1"/>
  <c r="S274" i="17" s="1"/>
  <c r="S293" i="17" a="1"/>
  <c r="S293" i="17" s="1"/>
  <c r="S312" i="17" a="1"/>
  <c r="S312" i="17" s="1"/>
  <c r="S331" i="17" a="1"/>
  <c r="S331" i="17" s="1"/>
  <c r="S350" i="17" a="1"/>
  <c r="S350" i="17" s="1"/>
  <c r="S369" i="17" a="1"/>
  <c r="S369" i="17"/>
  <c r="S388" i="17" a="1"/>
  <c r="S388" i="17" s="1"/>
  <c r="S407" i="17" a="1"/>
  <c r="S407" i="17"/>
  <c r="S502" i="17" a="1"/>
  <c r="S502" i="17" s="1"/>
  <c r="S521" i="17" a="1"/>
  <c r="S521" i="17" s="1"/>
  <c r="S540" i="17" a="1"/>
  <c r="S540" i="17" s="1"/>
  <c r="S438" i="17" a="1"/>
  <c r="S438" i="17" s="1"/>
  <c r="S439" i="17" a="1"/>
  <c r="S439" i="17" s="1"/>
  <c r="S440" i="17" a="1"/>
  <c r="S440" i="17" s="1"/>
  <c r="S483" i="17" a="1"/>
  <c r="S483" i="17"/>
  <c r="S673" i="17" a="1"/>
  <c r="S673" i="17" s="1"/>
  <c r="S692" i="17" a="1"/>
  <c r="S692" i="17" s="1"/>
  <c r="S711" i="17" a="1"/>
  <c r="S711" i="17" s="1"/>
  <c r="S730" i="17" a="1"/>
  <c r="S730" i="17" s="1"/>
  <c r="S749" i="17" a="1"/>
  <c r="S749" i="17" s="1"/>
  <c r="S768" i="17" a="1"/>
  <c r="S768" i="17" s="1"/>
  <c r="S785" i="17" a="1"/>
  <c r="S785" i="17"/>
  <c r="S801" i="17" a="1"/>
  <c r="S801" i="17" s="1"/>
  <c r="S820" i="17" a="1"/>
  <c r="S820" i="17"/>
  <c r="S839" i="17" a="1"/>
  <c r="S839" i="17" s="1"/>
  <c r="S858" i="17" a="1"/>
  <c r="S858" i="17" s="1"/>
  <c r="S877" i="17" a="1"/>
  <c r="S877" i="17" s="1"/>
  <c r="S896" i="17" a="1"/>
  <c r="S896" i="17" s="1"/>
  <c r="S915" i="17" a="1"/>
  <c r="S915" i="17" s="1"/>
  <c r="S934" i="17" a="1"/>
  <c r="S934" i="17" s="1"/>
  <c r="S953" i="17" a="1"/>
  <c r="S953" i="17"/>
  <c r="S972" i="17" a="1"/>
  <c r="S972" i="17" s="1"/>
  <c r="S991" i="17" a="1"/>
  <c r="S991" i="17" s="1"/>
  <c r="S1010" i="17" a="1"/>
  <c r="S1010" i="17" s="1"/>
  <c r="S1029" i="17" a="1"/>
  <c r="S1029" i="17" s="1"/>
  <c r="S1048" i="17" a="1"/>
  <c r="S1048" i="17" s="1"/>
  <c r="S589" i="17" a="1"/>
  <c r="S589" i="17" s="1"/>
  <c r="S590" i="17" a="1"/>
  <c r="S590" i="17"/>
  <c r="S591" i="17" a="1"/>
  <c r="S591" i="17" s="1"/>
  <c r="S592" i="17" a="1"/>
  <c r="S592" i="17"/>
  <c r="S593" i="17" a="1"/>
  <c r="S593" i="17" s="1"/>
  <c r="S594" i="17" a="1"/>
  <c r="S594" i="17" s="1"/>
  <c r="S44" i="17" a="1"/>
  <c r="S44" i="17" s="1"/>
  <c r="S45" i="17" a="1"/>
  <c r="S45" i="17" s="1"/>
  <c r="S46" i="17" a="1"/>
  <c r="S46" i="17" s="1"/>
  <c r="S47" i="17" a="1"/>
  <c r="S47" i="17"/>
  <c r="S48" i="17" a="1"/>
  <c r="S48" i="17" s="1"/>
  <c r="S49" i="17" a="1"/>
  <c r="S49" i="17" s="1"/>
  <c r="S123" i="17" a="1"/>
  <c r="S123" i="17" s="1"/>
  <c r="S142" i="17" a="1"/>
  <c r="S142" i="17" s="1"/>
  <c r="S161" i="17" a="1"/>
  <c r="S161" i="17" s="1"/>
  <c r="S180" i="17" a="1"/>
  <c r="S180" i="17" s="1"/>
  <c r="S213" i="17" a="1"/>
  <c r="S213" i="17" s="1"/>
  <c r="S214" i="17" a="1"/>
  <c r="S214" i="17" s="1"/>
  <c r="S215" i="17" a="1"/>
  <c r="S215" i="17" s="1"/>
  <c r="S256" i="17" a="1"/>
  <c r="S256" i="17"/>
  <c r="S275" i="17" a="1"/>
  <c r="S275" i="17" s="1"/>
  <c r="S294" i="17" a="1"/>
  <c r="S294" i="17" s="1"/>
  <c r="S313" i="17" a="1"/>
  <c r="S313" i="17" s="1"/>
  <c r="S332" i="17" a="1"/>
  <c r="S332" i="17" s="1"/>
  <c r="S351" i="17" a="1"/>
  <c r="S351" i="17" s="1"/>
  <c r="S370" i="17" a="1"/>
  <c r="S370" i="17" s="1"/>
  <c r="S389" i="17" a="1"/>
  <c r="S389" i="17"/>
  <c r="S408" i="17" a="1"/>
  <c r="S408" i="17"/>
  <c r="S503" i="17" a="1"/>
  <c r="S503" i="17" s="1"/>
  <c r="S522" i="17" a="1"/>
  <c r="S522" i="17" s="1"/>
  <c r="S541" i="17" a="1"/>
  <c r="S541" i="17" s="1"/>
  <c r="S441" i="17" a="1"/>
  <c r="S441" i="17" s="1"/>
  <c r="S442" i="17" a="1"/>
  <c r="S442" i="17" s="1"/>
  <c r="S443" i="17" a="1"/>
  <c r="S443" i="17" s="1"/>
  <c r="S484" i="17" a="1"/>
  <c r="S484" i="17" s="1"/>
  <c r="S674" i="17" a="1"/>
  <c r="S674" i="17" s="1"/>
  <c r="S693" i="17" a="1"/>
  <c r="S693" i="17" s="1"/>
  <c r="S712" i="17" a="1"/>
  <c r="S712" i="17" s="1"/>
  <c r="S731" i="17" a="1"/>
  <c r="S731" i="17" s="1"/>
  <c r="S750" i="17" a="1"/>
  <c r="S750" i="17" s="1"/>
  <c r="S769" i="17" a="1"/>
  <c r="S769" i="17" s="1"/>
  <c r="S786" i="17" a="1"/>
  <c r="S786" i="17" s="1"/>
  <c r="S802" i="17" a="1"/>
  <c r="S802" i="17" s="1"/>
  <c r="S821" i="17" a="1"/>
  <c r="S821" i="17" s="1"/>
  <c r="S840" i="17" a="1"/>
  <c r="S840" i="17" s="1"/>
  <c r="S859" i="17" a="1"/>
  <c r="S859" i="17" s="1"/>
  <c r="S878" i="17" a="1"/>
  <c r="S878" i="17" s="1"/>
  <c r="S897" i="17" a="1"/>
  <c r="S897" i="17" s="1"/>
  <c r="S916" i="17" a="1"/>
  <c r="S916" i="17" s="1"/>
  <c r="S935" i="17" a="1"/>
  <c r="S935" i="17" s="1"/>
  <c r="S954" i="17" a="1"/>
  <c r="S954" i="17" s="1"/>
  <c r="S973" i="17" a="1"/>
  <c r="S973" i="17" s="1"/>
  <c r="S992" i="17" a="1"/>
  <c r="S992" i="17" s="1"/>
  <c r="S1011" i="17" a="1"/>
  <c r="S1011" i="17" s="1"/>
  <c r="S1030" i="17" a="1"/>
  <c r="S1030" i="17" s="1"/>
  <c r="S1049" i="17" a="1"/>
  <c r="S1049" i="17" s="1"/>
  <c r="S595" i="17" a="1"/>
  <c r="S595" i="17" s="1"/>
  <c r="S596" i="17" a="1"/>
  <c r="S596" i="17" s="1"/>
  <c r="S597" i="17" a="1"/>
  <c r="S597" i="17" s="1"/>
  <c r="S598" i="17" a="1"/>
  <c r="S598" i="17"/>
  <c r="S599" i="17" a="1"/>
  <c r="S599" i="17" s="1"/>
  <c r="S600" i="17" a="1"/>
  <c r="S600" i="17" s="1"/>
  <c r="S50" i="17" a="1"/>
  <c r="S50" i="17" s="1"/>
  <c r="S51" i="17" a="1"/>
  <c r="S51" i="17" s="1"/>
  <c r="S52" i="17" a="1"/>
  <c r="S52" i="17" s="1"/>
  <c r="S53" i="17" a="1"/>
  <c r="S53" i="17"/>
  <c r="S54" i="17" a="1"/>
  <c r="S54" i="17" s="1"/>
  <c r="S55" i="17" a="1"/>
  <c r="S55" i="17" s="1"/>
  <c r="S124" i="17" a="1"/>
  <c r="S124" i="17" s="1"/>
  <c r="S143" i="17" a="1"/>
  <c r="S143" i="17" s="1"/>
  <c r="S162" i="17" a="1"/>
  <c r="S162" i="17" s="1"/>
  <c r="S181" i="17" a="1"/>
  <c r="S181" i="17" s="1"/>
  <c r="S216" i="17" a="1"/>
  <c r="S216" i="17" s="1"/>
  <c r="S217" i="17" a="1"/>
  <c r="S217" i="17" s="1"/>
  <c r="S218" i="17" a="1"/>
  <c r="S218" i="17" s="1"/>
  <c r="S257" i="17" a="1"/>
  <c r="S257" i="17" s="1"/>
  <c r="S276" i="17" a="1"/>
  <c r="S276" i="17" s="1"/>
  <c r="S295" i="17" a="1"/>
  <c r="S295" i="17" s="1"/>
  <c r="S314" i="17" a="1"/>
  <c r="S314" i="17" s="1"/>
  <c r="S333" i="17" a="1"/>
  <c r="S333" i="17" s="1"/>
  <c r="S352" i="17" a="1"/>
  <c r="S352" i="17" s="1"/>
  <c r="S371" i="17" a="1"/>
  <c r="S371" i="17" s="1"/>
  <c r="S390" i="17" a="1"/>
  <c r="S390" i="17"/>
  <c r="S409" i="17" a="1"/>
  <c r="S409" i="17"/>
  <c r="S504" i="17" a="1"/>
  <c r="S504" i="17" s="1"/>
  <c r="S523" i="17" a="1"/>
  <c r="S523" i="17" s="1"/>
  <c r="S542" i="17" a="1"/>
  <c r="S542" i="17" s="1"/>
  <c r="S444" i="17" a="1"/>
  <c r="S444" i="17" s="1"/>
  <c r="S445" i="17" a="1"/>
  <c r="S445" i="17" s="1"/>
  <c r="S446" i="17" a="1"/>
  <c r="S446" i="17" s="1"/>
  <c r="S485" i="17" a="1"/>
  <c r="S485" i="17"/>
  <c r="S675" i="17" a="1"/>
  <c r="S675" i="17" s="1"/>
  <c r="S694" i="17" a="1"/>
  <c r="S694" i="17" s="1"/>
  <c r="S713" i="17" a="1"/>
  <c r="S713" i="17" s="1"/>
  <c r="S732" i="17" a="1"/>
  <c r="S732" i="17" s="1"/>
  <c r="S751" i="17" a="1"/>
  <c r="S751" i="17" s="1"/>
  <c r="S770" i="17" a="1"/>
  <c r="S770" i="17" s="1"/>
  <c r="S787" i="17" a="1"/>
  <c r="S787" i="17"/>
  <c r="S822" i="17" a="1"/>
  <c r="S822" i="17" s="1"/>
  <c r="S841" i="17" a="1"/>
  <c r="S841" i="17"/>
  <c r="S860" i="17" a="1"/>
  <c r="S860" i="17" s="1"/>
  <c r="S879" i="17" a="1"/>
  <c r="S879" i="17" s="1"/>
  <c r="S898" i="17" a="1"/>
  <c r="S898" i="17" s="1"/>
  <c r="S917" i="17" a="1"/>
  <c r="S917" i="17" s="1"/>
  <c r="S936" i="17" a="1"/>
  <c r="S936" i="17" s="1"/>
  <c r="S955" i="17" a="1"/>
  <c r="S955" i="17" s="1"/>
  <c r="S974" i="17" a="1"/>
  <c r="S974" i="17"/>
  <c r="S993" i="17" a="1"/>
  <c r="S993" i="17" s="1"/>
  <c r="S1012" i="17" a="1"/>
  <c r="S1012" i="17" s="1"/>
  <c r="S1031" i="17" a="1"/>
  <c r="S1031" i="17" s="1"/>
  <c r="S1050" i="17" a="1"/>
  <c r="S1050" i="17" s="1"/>
  <c r="S601" i="17" a="1"/>
  <c r="S601" i="17" s="1"/>
  <c r="S602" i="17" a="1"/>
  <c r="S602" i="17" s="1"/>
  <c r="S603" i="17" a="1"/>
  <c r="S603" i="17"/>
  <c r="S604" i="17" a="1"/>
  <c r="S604" i="17" s="1"/>
  <c r="S605" i="17" a="1"/>
  <c r="S605" i="17"/>
  <c r="S606" i="17" a="1"/>
  <c r="S606" i="17" s="1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/>
  <c r="S125" i="17" a="1"/>
  <c r="S125" i="17" s="1"/>
  <c r="S144" i="17" a="1"/>
  <c r="S144" i="17" s="1"/>
  <c r="S163" i="17" a="1"/>
  <c r="S163" i="17" s="1"/>
  <c r="S182" i="17" a="1"/>
  <c r="S182" i="17" s="1"/>
  <c r="S219" i="17" a="1"/>
  <c r="S219" i="17" s="1"/>
  <c r="S220" i="17" a="1"/>
  <c r="S220" i="17" s="1"/>
  <c r="S221" i="17" a="1"/>
  <c r="S221" i="17" s="1"/>
  <c r="S258" i="17" a="1"/>
  <c r="S258" i="17" s="1"/>
  <c r="S277" i="17" a="1"/>
  <c r="S277" i="17"/>
  <c r="S296" i="17" a="1"/>
  <c r="S296" i="17" s="1"/>
  <c r="S315" i="17" a="1"/>
  <c r="S315" i="17" s="1"/>
  <c r="S334" i="17" a="1"/>
  <c r="S334" i="17" s="1"/>
  <c r="S353" i="17" a="1"/>
  <c r="S353" i="17" s="1"/>
  <c r="S372" i="17" a="1"/>
  <c r="S372" i="17" s="1"/>
  <c r="S391" i="17" a="1"/>
  <c r="S391" i="17" s="1"/>
  <c r="S410" i="17" a="1"/>
  <c r="S410" i="17" s="1"/>
  <c r="S505" i="17" a="1"/>
  <c r="S505" i="17" s="1"/>
  <c r="S524" i="17" a="1"/>
  <c r="S524" i="17" s="1"/>
  <c r="S543" i="17" a="1"/>
  <c r="S543" i="17" s="1"/>
  <c r="S447" i="17" a="1"/>
  <c r="S447" i="17" s="1"/>
  <c r="S448" i="17" a="1"/>
  <c r="S448" i="17" s="1"/>
  <c r="S449" i="17" a="1"/>
  <c r="S449" i="17" s="1"/>
  <c r="S486" i="17" a="1"/>
  <c r="S486" i="17" s="1"/>
  <c r="S676" i="17" a="1"/>
  <c r="S676" i="17"/>
  <c r="S695" i="17" a="1"/>
  <c r="S695" i="17" s="1"/>
  <c r="S714" i="17" a="1"/>
  <c r="S714" i="17" s="1"/>
  <c r="S733" i="17" a="1"/>
  <c r="S733" i="17" s="1"/>
  <c r="S752" i="17" a="1"/>
  <c r="S752" i="17" s="1"/>
  <c r="S771" i="17" a="1"/>
  <c r="S771" i="17" s="1"/>
  <c r="S788" i="17" a="1"/>
  <c r="S788" i="17" s="1"/>
  <c r="S803" i="17" a="1"/>
  <c r="S803" i="17" s="1"/>
  <c r="S811" i="17" a="1"/>
  <c r="S811" i="17" s="1"/>
  <c r="S823" i="17" a="1"/>
  <c r="S823" i="17"/>
  <c r="S842" i="17" a="1"/>
  <c r="S842" i="17" s="1"/>
  <c r="S861" i="17" a="1"/>
  <c r="S861" i="17" s="1"/>
  <c r="S880" i="17" a="1"/>
  <c r="S880" i="17" s="1"/>
  <c r="S899" i="17" a="1"/>
  <c r="S899" i="17" s="1"/>
  <c r="S918" i="17" a="1"/>
  <c r="S918" i="17" s="1"/>
  <c r="S937" i="17" a="1"/>
  <c r="S937" i="17" s="1"/>
  <c r="S956" i="17" a="1"/>
  <c r="S956" i="17" s="1"/>
  <c r="S975" i="17" a="1"/>
  <c r="S975" i="17"/>
  <c r="S994" i="17" a="1"/>
  <c r="S994" i="17" s="1"/>
  <c r="S1013" i="17" a="1"/>
  <c r="S1013" i="17" s="1"/>
  <c r="S1032" i="17" a="1"/>
  <c r="S1032" i="17" s="1"/>
  <c r="S1051" i="17" a="1"/>
  <c r="S1051" i="17" s="1"/>
  <c r="S607" i="17" a="1"/>
  <c r="S607" i="17" s="1"/>
  <c r="S608" i="17" a="1"/>
  <c r="S608" i="17"/>
  <c r="S609" i="17" a="1"/>
  <c r="S609" i="17" s="1"/>
  <c r="S610" i="17" a="1"/>
  <c r="S610" i="17" s="1"/>
  <c r="S611" i="17" a="1"/>
  <c r="S611" i="17" s="1"/>
  <c r="S612" i="17" a="1"/>
  <c r="S612" i="17" s="1"/>
  <c r="S62" i="17" a="1"/>
  <c r="S62" i="17" s="1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126" i="17" a="1"/>
  <c r="S126" i="17" s="1"/>
  <c r="S145" i="17" a="1"/>
  <c r="S145" i="17" s="1"/>
  <c r="S164" i="17" a="1"/>
  <c r="S164" i="17" s="1"/>
  <c r="S183" i="17" a="1"/>
  <c r="S183" i="17" s="1"/>
  <c r="S222" i="17" a="1"/>
  <c r="S222" i="17" s="1"/>
  <c r="S223" i="17" a="1"/>
  <c r="S223" i="17" s="1"/>
  <c r="S224" i="17" a="1"/>
  <c r="S224" i="17" s="1"/>
  <c r="S259" i="17" a="1"/>
  <c r="S259" i="17" s="1"/>
  <c r="S278" i="17" a="1"/>
  <c r="S278" i="17" s="1"/>
  <c r="S297" i="17" a="1"/>
  <c r="S297" i="17" s="1"/>
  <c r="S316" i="17" a="1"/>
  <c r="S316" i="17" s="1"/>
  <c r="S335" i="17" a="1"/>
  <c r="S335" i="17" s="1"/>
  <c r="S354" i="17" a="1"/>
  <c r="S354" i="17" s="1"/>
  <c r="S373" i="17" a="1"/>
  <c r="S373" i="17" s="1"/>
  <c r="S392" i="17" a="1"/>
  <c r="S392" i="17" s="1"/>
  <c r="S411" i="17" a="1"/>
  <c r="S411" i="17"/>
  <c r="S506" i="17" a="1"/>
  <c r="S506" i="17" s="1"/>
  <c r="S525" i="17" a="1"/>
  <c r="S525" i="17"/>
  <c r="S544" i="17" a="1"/>
  <c r="S544" i="17" s="1"/>
  <c r="S450" i="17" a="1"/>
  <c r="S450" i="17" s="1"/>
  <c r="S451" i="17" a="1"/>
  <c r="S451" i="17" s="1"/>
  <c r="S452" i="17" a="1"/>
  <c r="S452" i="17"/>
  <c r="S487" i="17" a="1"/>
  <c r="S487" i="17" s="1"/>
  <c r="S677" i="17" a="1"/>
  <c r="S677" i="17" s="1"/>
  <c r="S696" i="17" a="1"/>
  <c r="S696" i="17" s="1"/>
  <c r="S715" i="17" a="1"/>
  <c r="S715" i="17" s="1"/>
  <c r="S734" i="17" a="1"/>
  <c r="S734" i="17"/>
  <c r="S753" i="17" a="1"/>
  <c r="S753" i="17" s="1"/>
  <c r="S772" i="17" a="1"/>
  <c r="S772" i="17" s="1"/>
  <c r="S789" i="17" a="1"/>
  <c r="S789" i="17" s="1"/>
  <c r="S824" i="17" a="1"/>
  <c r="S824" i="17" s="1"/>
  <c r="S843" i="17" a="1"/>
  <c r="S843" i="17" s="1"/>
  <c r="S862" i="17" a="1"/>
  <c r="S862" i="17" s="1"/>
  <c r="S881" i="17" a="1"/>
  <c r="S881" i="17" s="1"/>
  <c r="S900" i="17" a="1"/>
  <c r="S900" i="17" s="1"/>
  <c r="S919" i="17" a="1"/>
  <c r="S919" i="17" s="1"/>
  <c r="S938" i="17" a="1"/>
  <c r="S938" i="17" s="1"/>
  <c r="S957" i="17" a="1"/>
  <c r="S957" i="17" s="1"/>
  <c r="S976" i="17" a="1"/>
  <c r="S976" i="17"/>
  <c r="S995" i="17" a="1"/>
  <c r="S995" i="17" s="1"/>
  <c r="S1014" i="17" a="1"/>
  <c r="S1014" i="17" s="1"/>
  <c r="S1033" i="17" a="1"/>
  <c r="S1033" i="17" s="1"/>
  <c r="S1052" i="17" a="1"/>
  <c r="S1052" i="17" s="1"/>
  <c r="S613" i="17" a="1"/>
  <c r="S613" i="17" s="1"/>
  <c r="S614" i="17" a="1"/>
  <c r="S614" i="17" s="1"/>
  <c r="S615" i="17" a="1"/>
  <c r="S615" i="17" s="1"/>
  <c r="S616" i="17" a="1"/>
  <c r="S616" i="17" s="1"/>
  <c r="S617" i="17" a="1"/>
  <c r="S617" i="17"/>
  <c r="S618" i="17" a="1"/>
  <c r="S618" i="17" s="1"/>
  <c r="S68" i="17" a="1"/>
  <c r="S68" i="17" s="1"/>
  <c r="S69" i="17" a="1"/>
  <c r="S69" i="17" s="1"/>
  <c r="S70" i="17" a="1"/>
  <c r="S70" i="17" s="1"/>
  <c r="S71" i="17" a="1"/>
  <c r="S71" i="17" s="1"/>
  <c r="S72" i="17" a="1"/>
  <c r="S72" i="17" s="1"/>
  <c r="S73" i="17" a="1"/>
  <c r="S73" i="17" s="1"/>
  <c r="S127" i="17" a="1"/>
  <c r="S127" i="17" s="1"/>
  <c r="S146" i="17" a="1"/>
  <c r="S146" i="17" s="1"/>
  <c r="S165" i="17" a="1"/>
  <c r="S165" i="17" s="1"/>
  <c r="S184" i="17" a="1"/>
  <c r="S184" i="17"/>
  <c r="S225" i="17" a="1"/>
  <c r="S225" i="17" s="1"/>
  <c r="S226" i="17" a="1"/>
  <c r="S226" i="17" s="1"/>
  <c r="S227" i="17" a="1"/>
  <c r="S227" i="17" s="1"/>
  <c r="S260" i="17" a="1"/>
  <c r="S260" i="17"/>
  <c r="S279" i="17" a="1"/>
  <c r="S279" i="17" s="1"/>
  <c r="S298" i="17" a="1"/>
  <c r="S298" i="17" s="1"/>
  <c r="S317" i="17" a="1"/>
  <c r="S317" i="17" s="1"/>
  <c r="S336" i="17" a="1"/>
  <c r="S336" i="17" s="1"/>
  <c r="S355" i="17" a="1"/>
  <c r="S355" i="17" s="1"/>
  <c r="S374" i="17" a="1"/>
  <c r="S374" i="17" s="1"/>
  <c r="S393" i="17" a="1"/>
  <c r="S393" i="17" s="1"/>
  <c r="S412" i="17" a="1"/>
  <c r="S412" i="17" s="1"/>
  <c r="S507" i="17" a="1"/>
  <c r="S507" i="17" s="1"/>
  <c r="S526" i="17" a="1"/>
  <c r="S526" i="17" s="1"/>
  <c r="S545" i="17" a="1"/>
  <c r="S545" i="17" s="1"/>
  <c r="S453" i="17" a="1"/>
  <c r="S453" i="17" s="1"/>
  <c r="S454" i="17" a="1"/>
  <c r="S454" i="17" s="1"/>
  <c r="S455" i="17" a="1"/>
  <c r="S455" i="17" s="1"/>
  <c r="S488" i="17" a="1"/>
  <c r="S488" i="17" s="1"/>
  <c r="S678" i="17" a="1"/>
  <c r="S678" i="17"/>
  <c r="S697" i="17" a="1"/>
  <c r="S697" i="17" s="1"/>
  <c r="S716" i="17" a="1"/>
  <c r="S716" i="17" s="1"/>
  <c r="S735" i="17" a="1"/>
  <c r="S735" i="17" s="1"/>
  <c r="S754" i="17" a="1"/>
  <c r="S754" i="17" s="1"/>
  <c r="S773" i="17" a="1"/>
  <c r="S773" i="17" s="1"/>
  <c r="S790" i="17" a="1"/>
  <c r="S790" i="17" s="1"/>
  <c r="S825" i="17" a="1"/>
  <c r="S825" i="17" s="1"/>
  <c r="S844" i="17" a="1"/>
  <c r="S844" i="17" s="1"/>
  <c r="S863" i="17" a="1"/>
  <c r="S863" i="17" s="1"/>
  <c r="S882" i="17" a="1"/>
  <c r="S882" i="17" s="1"/>
  <c r="S901" i="17" a="1"/>
  <c r="S901" i="17" s="1"/>
  <c r="S920" i="17" a="1"/>
  <c r="S920" i="17"/>
  <c r="S939" i="17" a="1"/>
  <c r="S939" i="17" s="1"/>
  <c r="S958" i="17" a="1"/>
  <c r="S958" i="17" s="1"/>
  <c r="S977" i="17" a="1"/>
  <c r="S977" i="17" s="1"/>
  <c r="S996" i="17" a="1"/>
  <c r="S996" i="17" s="1"/>
  <c r="S1015" i="17" a="1"/>
  <c r="S1015" i="17" s="1"/>
  <c r="S1034" i="17" a="1"/>
  <c r="S1034" i="17" s="1"/>
  <c r="S1053" i="17" a="1"/>
  <c r="S1053" i="17" s="1"/>
  <c r="S619" i="17" a="1"/>
  <c r="S619" i="17"/>
  <c r="S620" i="17" a="1"/>
  <c r="S620" i="17" s="1"/>
  <c r="S621" i="17" a="1"/>
  <c r="S621" i="17" s="1"/>
  <c r="S622" i="17" a="1"/>
  <c r="S622" i="17" s="1"/>
  <c r="S623" i="17" a="1"/>
  <c r="S623" i="17" s="1"/>
  <c r="S624" i="17" a="1"/>
  <c r="S624" i="17" s="1"/>
  <c r="S74" i="17" a="1"/>
  <c r="S74" i="17" s="1"/>
  <c r="S75" i="17" a="1"/>
  <c r="S75" i="17" s="1"/>
  <c r="S76" i="17" a="1"/>
  <c r="S76" i="17" s="1"/>
  <c r="S77" i="17" a="1"/>
  <c r="S77" i="17"/>
  <c r="S78" i="17" a="1"/>
  <c r="S78" i="17" s="1"/>
  <c r="S79" i="17" a="1"/>
  <c r="S79" i="17" s="1"/>
  <c r="S128" i="17" a="1"/>
  <c r="S128" i="17" s="1"/>
  <c r="S147" i="17" a="1"/>
  <c r="S147" i="17"/>
  <c r="S166" i="17" a="1"/>
  <c r="S166" i="17" s="1"/>
  <c r="S185" i="17" a="1"/>
  <c r="S185" i="17" s="1"/>
  <c r="S228" i="17" a="1"/>
  <c r="S228" i="17" s="1"/>
  <c r="S229" i="17" a="1"/>
  <c r="S229" i="17" s="1"/>
  <c r="S230" i="17" a="1"/>
  <c r="S230" i="17" s="1"/>
  <c r="S261" i="17" a="1"/>
  <c r="S261" i="17" s="1"/>
  <c r="S280" i="17" a="1"/>
  <c r="S280" i="17" s="1"/>
  <c r="S299" i="17" a="1"/>
  <c r="S299" i="17" s="1"/>
  <c r="S318" i="17" a="1"/>
  <c r="S318" i="17" s="1"/>
  <c r="S337" i="17" a="1"/>
  <c r="S337" i="17" s="1"/>
  <c r="S356" i="17" a="1"/>
  <c r="S356" i="17"/>
  <c r="S375" i="17" a="1"/>
  <c r="S375" i="17" s="1"/>
  <c r="S394" i="17" a="1"/>
  <c r="S394" i="17" s="1"/>
  <c r="S413" i="17" a="1"/>
  <c r="S413" i="17" s="1"/>
  <c r="S508" i="17" a="1"/>
  <c r="S508" i="17" s="1"/>
  <c r="S527" i="17" a="1"/>
  <c r="S527" i="17" s="1"/>
  <c r="S546" i="17" a="1"/>
  <c r="S546" i="17" s="1"/>
  <c r="S456" i="17" a="1"/>
  <c r="S456" i="17" s="1"/>
  <c r="S457" i="17" a="1"/>
  <c r="S457" i="17" s="1"/>
  <c r="S458" i="17" a="1"/>
  <c r="S458" i="17"/>
  <c r="S489" i="17" a="1"/>
  <c r="S489" i="17" s="1"/>
  <c r="S679" i="17" a="1"/>
  <c r="S679" i="17"/>
  <c r="S698" i="17" a="1"/>
  <c r="S698" i="17" s="1"/>
  <c r="S717" i="17" a="1"/>
  <c r="S717" i="17" s="1"/>
  <c r="S736" i="17" a="1"/>
  <c r="S736" i="17" s="1"/>
  <c r="S755" i="17" a="1"/>
  <c r="S755" i="17" s="1"/>
  <c r="S774" i="17" a="1"/>
  <c r="S774" i="17" s="1"/>
  <c r="S791" i="17" a="1"/>
  <c r="S791" i="17" s="1"/>
  <c r="S826" i="17" a="1"/>
  <c r="S826" i="17" s="1"/>
  <c r="S845" i="17" a="1"/>
  <c r="S845" i="17" s="1"/>
  <c r="S864" i="17" a="1"/>
  <c r="S864" i="17"/>
  <c r="S883" i="17" a="1"/>
  <c r="S883" i="17" s="1"/>
  <c r="S902" i="17" a="1"/>
  <c r="S902" i="17" s="1"/>
  <c r="S921" i="17" a="1"/>
  <c r="S921" i="17"/>
  <c r="S940" i="17" a="1"/>
  <c r="S940" i="17"/>
  <c r="S959" i="17" a="1"/>
  <c r="S959" i="17" s="1"/>
  <c r="S978" i="17" a="1"/>
  <c r="S978" i="17" s="1"/>
  <c r="S997" i="17" a="1"/>
  <c r="S997" i="17" s="1"/>
  <c r="S1016" i="17" a="1"/>
  <c r="S1016" i="17" s="1"/>
  <c r="S1035" i="17" a="1"/>
  <c r="S1035" i="17"/>
  <c r="S1054" i="17" a="1"/>
  <c r="S1054" i="17" s="1"/>
  <c r="S625" i="17" a="1"/>
  <c r="S625" i="17" s="1"/>
  <c r="S626" i="17" a="1"/>
  <c r="S626" i="17"/>
  <c r="S627" i="17" a="1"/>
  <c r="S627" i="17" s="1"/>
  <c r="S628" i="17" a="1"/>
  <c r="S628" i="17" s="1"/>
  <c r="S629" i="17" a="1"/>
  <c r="S629" i="17" s="1"/>
  <c r="S630" i="17" a="1"/>
  <c r="S630" i="17" s="1"/>
  <c r="S80" i="17" a="1"/>
  <c r="S80" i="17" s="1"/>
  <c r="S81" i="17" a="1"/>
  <c r="S81" i="17" s="1"/>
  <c r="S82" i="17" a="1"/>
  <c r="S82" i="17" s="1"/>
  <c r="S83" i="17" a="1"/>
  <c r="S83" i="17" s="1"/>
  <c r="S84" i="17" a="1"/>
  <c r="S84" i="17"/>
  <c r="S85" i="17" a="1"/>
  <c r="S85" i="17" s="1"/>
  <c r="S129" i="17" a="1"/>
  <c r="S129" i="17"/>
  <c r="S148" i="17" a="1"/>
  <c r="S148" i="17" s="1"/>
  <c r="S167" i="17" a="1"/>
  <c r="S167" i="17"/>
  <c r="S186" i="17" a="1"/>
  <c r="S186" i="17" s="1"/>
  <c r="S231" i="17" a="1"/>
  <c r="S231" i="17"/>
  <c r="S232" i="17" a="1"/>
  <c r="S232" i="17" s="1"/>
  <c r="S233" i="17" a="1"/>
  <c r="S233" i="17" s="1"/>
  <c r="S262" i="17" a="1"/>
  <c r="S262" i="17" s="1"/>
  <c r="S281" i="17" a="1"/>
  <c r="S281" i="17" s="1"/>
  <c r="S300" i="17" a="1"/>
  <c r="S300" i="17" s="1"/>
  <c r="S319" i="17" a="1"/>
  <c r="S319" i="17" s="1"/>
  <c r="S338" i="17" a="1"/>
  <c r="S338" i="17" s="1"/>
  <c r="S357" i="17" a="1"/>
  <c r="S357" i="17"/>
  <c r="S376" i="17" a="1"/>
  <c r="S376" i="17" s="1"/>
  <c r="S395" i="17" a="1"/>
  <c r="S395" i="17" s="1"/>
  <c r="S414" i="17" a="1"/>
  <c r="S414" i="17" s="1"/>
  <c r="S509" i="17" a="1"/>
  <c r="S509" i="17"/>
  <c r="S528" i="17" a="1"/>
  <c r="S528" i="17" s="1"/>
  <c r="S547" i="17" a="1"/>
  <c r="S547" i="17"/>
  <c r="S459" i="17" a="1"/>
  <c r="S459" i="17" s="1"/>
  <c r="S460" i="17" a="1"/>
  <c r="S460" i="17" s="1"/>
  <c r="S461" i="17" a="1"/>
  <c r="S461" i="17" s="1"/>
  <c r="S490" i="17" a="1"/>
  <c r="S490" i="17" s="1"/>
  <c r="S680" i="17" a="1"/>
  <c r="S680" i="17" s="1"/>
  <c r="S699" i="17" a="1"/>
  <c r="S699" i="17" s="1"/>
  <c r="S718" i="17" a="1"/>
  <c r="S718" i="17" s="1"/>
  <c r="S737" i="17" a="1"/>
  <c r="S737" i="17" s="1"/>
  <c r="S756" i="17" a="1"/>
  <c r="S756" i="17" s="1"/>
  <c r="S775" i="17" a="1"/>
  <c r="S775" i="17" s="1"/>
  <c r="S792" i="17" a="1"/>
  <c r="S792" i="17" s="1"/>
  <c r="S804" i="17" a="1"/>
  <c r="S804" i="17" s="1"/>
  <c r="S827" i="17" a="1"/>
  <c r="S827" i="17" s="1"/>
  <c r="S846" i="17" a="1"/>
  <c r="S846" i="17"/>
  <c r="S865" i="17" a="1"/>
  <c r="S865" i="17" s="1"/>
  <c r="S884" i="17" a="1"/>
  <c r="S884" i="17" s="1"/>
  <c r="S903" i="17" a="1"/>
  <c r="S903" i="17" s="1"/>
  <c r="S922" i="17" a="1"/>
  <c r="S922" i="17" s="1"/>
  <c r="S941" i="17" a="1"/>
  <c r="S941" i="17" s="1"/>
  <c r="S960" i="17" a="1"/>
  <c r="S960" i="17" s="1"/>
  <c r="S979" i="17" a="1"/>
  <c r="S979" i="17" s="1"/>
  <c r="S998" i="17" a="1"/>
  <c r="S998" i="17" s="1"/>
  <c r="S1017" i="17" a="1"/>
  <c r="S1017" i="17" s="1"/>
  <c r="S1036" i="17" a="1"/>
  <c r="S1036" i="17" s="1"/>
  <c r="S1055" i="17" a="1"/>
  <c r="S1055" i="17" s="1"/>
  <c r="S631" i="17" a="1"/>
  <c r="S631" i="17" s="1"/>
  <c r="S632" i="17" a="1"/>
  <c r="S632" i="17" s="1"/>
  <c r="S633" i="17" a="1"/>
  <c r="S633" i="17" s="1"/>
  <c r="S634" i="17" a="1"/>
  <c r="S634" i="17" s="1"/>
  <c r="S635" i="17" a="1"/>
  <c r="S635" i="17" s="1"/>
  <c r="S636" i="17" a="1"/>
  <c r="S636" i="17" s="1"/>
  <c r="S86" i="17" a="1"/>
  <c r="S86" i="17" s="1"/>
  <c r="S87" i="17" a="1"/>
  <c r="S87" i="17" s="1"/>
  <c r="S88" i="17" a="1"/>
  <c r="S88" i="17" s="1"/>
  <c r="S89" i="17" a="1"/>
  <c r="S89" i="17"/>
  <c r="S90" i="17" a="1"/>
  <c r="S90" i="17"/>
  <c r="S91" i="17" a="1"/>
  <c r="S91" i="17" s="1"/>
  <c r="S130" i="17" a="1"/>
  <c r="S130" i="17" s="1"/>
  <c r="S149" i="17" a="1"/>
  <c r="S149" i="17" s="1"/>
  <c r="S168" i="17" a="1"/>
  <c r="S168" i="17" s="1"/>
  <c r="S187" i="17" a="1"/>
  <c r="S187" i="17" s="1"/>
  <c r="S234" i="17" a="1"/>
  <c r="S234" i="17" s="1"/>
  <c r="S235" i="17" a="1"/>
  <c r="S235" i="17" s="1"/>
  <c r="S236" i="17" a="1"/>
  <c r="S236" i="17"/>
  <c r="S263" i="17" a="1"/>
  <c r="S263" i="17" s="1"/>
  <c r="S282" i="17" a="1"/>
  <c r="S282" i="17" s="1"/>
  <c r="S301" i="17" a="1"/>
  <c r="S301" i="17" s="1"/>
  <c r="S320" i="17" a="1"/>
  <c r="S320" i="17" s="1"/>
  <c r="S339" i="17" a="1"/>
  <c r="S339" i="17" s="1"/>
  <c r="S358" i="17" a="1"/>
  <c r="S358" i="17" s="1"/>
  <c r="S377" i="17" a="1"/>
  <c r="S377" i="17" s="1"/>
  <c r="S396" i="17" a="1"/>
  <c r="S396" i="17" s="1"/>
  <c r="S415" i="17" a="1"/>
  <c r="S415" i="17" s="1"/>
  <c r="S510" i="17" a="1"/>
  <c r="S510" i="17" s="1"/>
  <c r="S529" i="17" a="1"/>
  <c r="S529" i="17"/>
  <c r="S548" i="17" a="1"/>
  <c r="S548" i="17" s="1"/>
  <c r="S462" i="17" a="1"/>
  <c r="S462" i="17" s="1"/>
  <c r="S463" i="17" a="1"/>
  <c r="S463" i="17" s="1"/>
  <c r="S464" i="17" a="1"/>
  <c r="S464" i="17" s="1"/>
  <c r="S491" i="17" a="1"/>
  <c r="S491" i="17" s="1"/>
  <c r="S681" i="17" a="1"/>
  <c r="S681" i="17" s="1"/>
  <c r="S700" i="17" a="1"/>
  <c r="S700" i="17"/>
  <c r="S719" i="17" a="1"/>
  <c r="S719" i="17" s="1"/>
  <c r="S738" i="17" a="1"/>
  <c r="S738" i="17" s="1"/>
  <c r="S757" i="17" a="1"/>
  <c r="S757" i="17" s="1"/>
  <c r="S776" i="17" a="1"/>
  <c r="S776" i="17" s="1"/>
  <c r="S793" i="17" a="1"/>
  <c r="S793" i="17"/>
  <c r="S805" i="17" a="1"/>
  <c r="S805" i="17" s="1"/>
  <c r="S828" i="17" a="1"/>
  <c r="S828" i="17" s="1"/>
  <c r="S847" i="17" a="1"/>
  <c r="S847" i="17" s="1"/>
  <c r="S866" i="17" a="1"/>
  <c r="S866" i="17"/>
  <c r="S885" i="17" a="1"/>
  <c r="S885" i="17" s="1"/>
  <c r="S904" i="17" a="1"/>
  <c r="S904" i="17" s="1"/>
  <c r="S923" i="17" a="1"/>
  <c r="S923" i="17" s="1"/>
  <c r="S942" i="17" a="1"/>
  <c r="S942" i="17" s="1"/>
  <c r="S961" i="17" a="1"/>
  <c r="S961" i="17"/>
  <c r="S980" i="17" a="1"/>
  <c r="S980" i="17" s="1"/>
  <c r="S999" i="17" a="1"/>
  <c r="S999" i="17"/>
  <c r="S1018" i="17" a="1"/>
  <c r="S1018" i="17" s="1"/>
  <c r="S1037" i="17" a="1"/>
  <c r="S1037" i="17" s="1"/>
  <c r="S1056" i="17" a="1"/>
  <c r="S1056" i="17" s="1"/>
  <c r="S637" i="17" a="1"/>
  <c r="S637" i="17" s="1"/>
  <c r="S638" i="17" a="1"/>
  <c r="S638" i="17" s="1"/>
  <c r="S639" i="17" a="1"/>
  <c r="S639" i="17" s="1"/>
  <c r="S640" i="17" a="1"/>
  <c r="S640" i="17" s="1"/>
  <c r="S641" i="17" a="1"/>
  <c r="S641" i="17" s="1"/>
  <c r="S642" i="17" a="1"/>
  <c r="S642" i="17"/>
  <c r="S92" i="17" a="1"/>
  <c r="S92" i="17" s="1"/>
  <c r="S93" i="17" a="1"/>
  <c r="S93" i="17" s="1"/>
  <c r="S94" i="17" a="1"/>
  <c r="S94" i="17" s="1"/>
  <c r="S95" i="17" a="1"/>
  <c r="S95" i="17"/>
  <c r="S96" i="17" a="1"/>
  <c r="S96" i="17" s="1"/>
  <c r="S97" i="17" a="1"/>
  <c r="S97" i="17" s="1"/>
  <c r="S131" i="17" a="1"/>
  <c r="S131" i="17" s="1"/>
  <c r="S150" i="17" a="1"/>
  <c r="S150" i="17" s="1"/>
  <c r="S169" i="17" a="1"/>
  <c r="S169" i="17"/>
  <c r="S188" i="17" a="1"/>
  <c r="S188" i="17" s="1"/>
  <c r="S237" i="17" a="1"/>
  <c r="S237" i="17" s="1"/>
  <c r="S238" i="17" a="1"/>
  <c r="S238" i="17" s="1"/>
  <c r="S239" i="17" a="1"/>
  <c r="S239" i="17"/>
  <c r="S264" i="17" a="1"/>
  <c r="S264" i="17" s="1"/>
  <c r="S283" i="17" a="1"/>
  <c r="S283" i="17" s="1"/>
  <c r="S302" i="17" a="1"/>
  <c r="S302" i="17" s="1"/>
  <c r="S321" i="17" a="1"/>
  <c r="S321" i="17" s="1"/>
  <c r="S340" i="17" a="1"/>
  <c r="S340" i="17" s="1"/>
  <c r="S359" i="17" a="1"/>
  <c r="S359" i="17" s="1"/>
  <c r="S378" i="17" a="1"/>
  <c r="S378" i="17" s="1"/>
  <c r="S397" i="17" a="1"/>
  <c r="S397" i="17" s="1"/>
  <c r="S416" i="17" a="1"/>
  <c r="S416" i="17" s="1"/>
  <c r="S511" i="17" a="1"/>
  <c r="S511" i="17"/>
  <c r="S530" i="17" a="1"/>
  <c r="S530" i="17" s="1"/>
  <c r="S549" i="17" a="1"/>
  <c r="S549" i="17"/>
  <c r="S465" i="17" a="1"/>
  <c r="S465" i="17" s="1"/>
  <c r="S466" i="17" a="1"/>
  <c r="S466" i="17"/>
  <c r="S467" i="17" a="1"/>
  <c r="S467" i="17" s="1"/>
  <c r="S492" i="17" a="1"/>
  <c r="S492" i="17" s="1"/>
  <c r="S682" i="17" a="1"/>
  <c r="S682" i="17" s="1"/>
  <c r="S701" i="17" a="1"/>
  <c r="S701" i="17" s="1"/>
  <c r="S720" i="17" a="1"/>
  <c r="S720" i="17" s="1"/>
  <c r="S739" i="17" a="1"/>
  <c r="S739" i="17" s="1"/>
  <c r="S758" i="17" a="1"/>
  <c r="S758" i="17" s="1"/>
  <c r="S777" i="17" a="1"/>
  <c r="S777" i="17" s="1"/>
  <c r="S806" i="17" a="1"/>
  <c r="S806" i="17" s="1"/>
  <c r="S812" i="17" a="1"/>
  <c r="S812" i="17" s="1"/>
  <c r="S829" i="17" a="1"/>
  <c r="S829" i="17" s="1"/>
  <c r="S848" i="17" a="1"/>
  <c r="S848" i="17"/>
  <c r="S867" i="17" a="1"/>
  <c r="S867" i="17" s="1"/>
  <c r="S886" i="17" a="1"/>
  <c r="S886" i="17" s="1"/>
  <c r="S905" i="17" a="1"/>
  <c r="S905" i="17" s="1"/>
  <c r="S924" i="17" a="1"/>
  <c r="S924" i="17" s="1"/>
  <c r="S943" i="17" a="1"/>
  <c r="S943" i="17"/>
  <c r="S962" i="17" a="1"/>
  <c r="S962" i="17" s="1"/>
  <c r="S981" i="17" a="1"/>
  <c r="S981" i="17" s="1"/>
  <c r="S1000" i="17" a="1"/>
  <c r="S1000" i="17" s="1"/>
  <c r="S1019" i="17" a="1"/>
  <c r="S1019" i="17"/>
  <c r="S1038" i="17" a="1"/>
  <c r="S1038" i="17" s="1"/>
  <c r="S1057" i="17" a="1"/>
  <c r="S1057" i="17" s="1"/>
  <c r="S643" i="17" a="1"/>
  <c r="S643" i="17" s="1"/>
  <c r="S644" i="17" a="1"/>
  <c r="S644" i="17" s="1"/>
  <c r="S645" i="17" a="1"/>
  <c r="S645" i="17"/>
  <c r="S646" i="17" a="1"/>
  <c r="S646" i="17" s="1"/>
  <c r="S647" i="17" a="1"/>
  <c r="S647" i="17" s="1"/>
  <c r="S648" i="17" a="1"/>
  <c r="S648" i="17" s="1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 s="1"/>
  <c r="S132" i="17" a="1"/>
  <c r="S132" i="17" s="1"/>
  <c r="S151" i="17" a="1"/>
  <c r="S151" i="17" s="1"/>
  <c r="S170" i="17" a="1"/>
  <c r="S170" i="17" s="1"/>
  <c r="S189" i="17" a="1"/>
  <c r="S189" i="17" s="1"/>
  <c r="S240" i="17" a="1"/>
  <c r="S240" i="17" s="1"/>
  <c r="S241" i="17" a="1"/>
  <c r="S241" i="17" s="1"/>
  <c r="S242" i="17" a="1"/>
  <c r="S242" i="17" s="1"/>
  <c r="S265" i="17" a="1"/>
  <c r="S265" i="17" s="1"/>
  <c r="S284" i="17" a="1"/>
  <c r="S284" i="17" s="1"/>
  <c r="S303" i="17" a="1"/>
  <c r="S303" i="17" s="1"/>
  <c r="S322" i="17" a="1"/>
  <c r="S322" i="17" s="1"/>
  <c r="S341" i="17" a="1"/>
  <c r="S341" i="17" s="1"/>
  <c r="S360" i="17" a="1"/>
  <c r="S360" i="17" s="1"/>
  <c r="S379" i="17" a="1"/>
  <c r="S379" i="17"/>
  <c r="S398" i="17" a="1"/>
  <c r="S398" i="17"/>
  <c r="S417" i="17" a="1"/>
  <c r="S417" i="17" s="1"/>
  <c r="S512" i="17" a="1"/>
  <c r="S512" i="17" s="1"/>
  <c r="S531" i="17" a="1"/>
  <c r="S531" i="17" s="1"/>
  <c r="S550" i="17" a="1"/>
  <c r="S550" i="17" s="1"/>
  <c r="S468" i="17" a="1"/>
  <c r="S468" i="17" s="1"/>
  <c r="S469" i="17" a="1"/>
  <c r="S469" i="17" s="1"/>
  <c r="S470" i="17" a="1"/>
  <c r="S470" i="17" s="1"/>
  <c r="S493" i="17" a="1"/>
  <c r="S493" i="17"/>
  <c r="S683" i="17" a="1"/>
  <c r="S683" i="17" s="1"/>
  <c r="S702" i="17" a="1"/>
  <c r="S702" i="17" s="1"/>
  <c r="S721" i="17" a="1"/>
  <c r="S721" i="17" s="1"/>
  <c r="S740" i="17" a="1"/>
  <c r="S740" i="17" s="1"/>
  <c r="S759" i="17" a="1"/>
  <c r="S759" i="17" s="1"/>
  <c r="S778" i="17" a="1"/>
  <c r="S778" i="17" s="1"/>
  <c r="S794" i="17" a="1"/>
  <c r="S794" i="17" s="1"/>
  <c r="S807" i="17" a="1"/>
  <c r="S807" i="17" s="1"/>
  <c r="S830" i="17" a="1"/>
  <c r="S830" i="17" s="1"/>
  <c r="S849" i="17" a="1"/>
  <c r="S849" i="17" s="1"/>
  <c r="S868" i="17" a="1"/>
  <c r="S868" i="17" s="1"/>
  <c r="S887" i="17" a="1"/>
  <c r="S887" i="17" s="1"/>
  <c r="S906" i="17" a="1"/>
  <c r="S906" i="17" s="1"/>
  <c r="S925" i="17" a="1"/>
  <c r="S925" i="17"/>
  <c r="S944" i="17" a="1"/>
  <c r="S944" i="17" s="1"/>
  <c r="S963" i="17" a="1"/>
  <c r="S963" i="17" s="1"/>
  <c r="S982" i="17" a="1"/>
  <c r="S982" i="17" s="1"/>
  <c r="S1001" i="17" a="1"/>
  <c r="S1001" i="17"/>
  <c r="S1020" i="17" a="1"/>
  <c r="S1020" i="17" s="1"/>
  <c r="S1039" i="17" a="1"/>
  <c r="S1039" i="17"/>
  <c r="S1058" i="17" a="1"/>
  <c r="S1058" i="17" s="1"/>
  <c r="S649" i="17" a="1"/>
  <c r="S649" i="17" s="1"/>
  <c r="S650" i="17" a="1"/>
  <c r="S650" i="17" s="1"/>
  <c r="S651" i="17" a="1"/>
  <c r="S651" i="17" s="1"/>
  <c r="S652" i="17" a="1"/>
  <c r="S652" i="17" s="1"/>
  <c r="S653" i="17" a="1"/>
  <c r="S653" i="17" s="1"/>
  <c r="S654" i="17" a="1"/>
  <c r="S654" i="17" s="1"/>
  <c r="S104" i="17" a="1"/>
  <c r="S104" i="17" s="1"/>
  <c r="S105" i="17" a="1"/>
  <c r="S105" i="17" s="1"/>
  <c r="S106" i="17" a="1"/>
  <c r="S106" i="17" s="1"/>
  <c r="S107" i="17" a="1"/>
  <c r="S107" i="17" s="1"/>
  <c r="S108" i="17" a="1"/>
  <c r="S108" i="17" s="1"/>
  <c r="S109" i="17" a="1"/>
  <c r="S109" i="17" s="1"/>
  <c r="S133" i="17" a="1"/>
  <c r="S133" i="17" s="1"/>
  <c r="S152" i="17" a="1"/>
  <c r="S152" i="17" s="1"/>
  <c r="S171" i="17" a="1"/>
  <c r="S171" i="17" s="1"/>
  <c r="S190" i="17" a="1"/>
  <c r="S190" i="17" s="1"/>
  <c r="S243" i="17" a="1"/>
  <c r="S243" i="17" s="1"/>
  <c r="S244" i="17" a="1"/>
  <c r="S244" i="17" s="1"/>
  <c r="S245" i="17" a="1"/>
  <c r="S245" i="17" s="1"/>
  <c r="S266" i="17" a="1"/>
  <c r="S266" i="17" s="1"/>
  <c r="S285" i="17" a="1"/>
  <c r="S285" i="17" s="1"/>
  <c r="S304" i="17" a="1"/>
  <c r="S304" i="17"/>
  <c r="S323" i="17" a="1"/>
  <c r="S323" i="17" s="1"/>
  <c r="S342" i="17" a="1"/>
  <c r="S342" i="17" s="1"/>
  <c r="S361" i="17" a="1"/>
  <c r="S361" i="17" s="1"/>
  <c r="S380" i="17" a="1"/>
  <c r="S380" i="17"/>
  <c r="S399" i="17" a="1"/>
  <c r="S399" i="17" s="1"/>
  <c r="S418" i="17" a="1"/>
  <c r="S418" i="17" s="1"/>
  <c r="S513" i="17" a="1"/>
  <c r="S513" i="17" s="1"/>
  <c r="S532" i="17" a="1"/>
  <c r="S532" i="17" s="1"/>
  <c r="S551" i="17" a="1"/>
  <c r="S551" i="17"/>
  <c r="S471" i="17" a="1"/>
  <c r="S471" i="17" s="1"/>
  <c r="S472" i="17" a="1"/>
  <c r="S472" i="17" s="1"/>
  <c r="S473" i="17" a="1"/>
  <c r="S473" i="17"/>
  <c r="S494" i="17" a="1"/>
  <c r="S494" i="17" s="1"/>
  <c r="S684" i="17" a="1"/>
  <c r="S684" i="17" s="1"/>
  <c r="S703" i="17" a="1"/>
  <c r="S703" i="17" s="1"/>
  <c r="S722" i="17" a="1"/>
  <c r="S722" i="17" s="1"/>
  <c r="S741" i="17" a="1"/>
  <c r="S741" i="17" s="1"/>
  <c r="S760" i="17" a="1"/>
  <c r="S760" i="17" s="1"/>
  <c r="S779" i="17" a="1"/>
  <c r="S779" i="17" s="1"/>
  <c r="S795" i="17" a="1"/>
  <c r="S795" i="17" s="1"/>
  <c r="S808" i="17" a="1"/>
  <c r="S808" i="17"/>
  <c r="S831" i="17" a="1"/>
  <c r="S831" i="17" s="1"/>
  <c r="S850" i="17" a="1"/>
  <c r="S850" i="17"/>
  <c r="S869" i="17" a="1"/>
  <c r="S869" i="17" s="1"/>
  <c r="S888" i="17" a="1"/>
  <c r="S888" i="17"/>
  <c r="S907" i="17" a="1"/>
  <c r="S907" i="17" s="1"/>
  <c r="S926" i="17" a="1"/>
  <c r="S926" i="17"/>
  <c r="S945" i="17" a="1"/>
  <c r="S945" i="17" s="1"/>
  <c r="S964" i="17" a="1"/>
  <c r="S964" i="17" s="1"/>
  <c r="S983" i="17" a="1"/>
  <c r="S983" i="17" s="1"/>
  <c r="S1002" i="17" a="1"/>
  <c r="S1002" i="17" s="1"/>
  <c r="S1021" i="17" a="1"/>
  <c r="S1021" i="17" s="1"/>
  <c r="S1040" i="17" a="1"/>
  <c r="S1040" i="17" s="1"/>
  <c r="S1059" i="17" a="1"/>
  <c r="S1059" i="17" s="1"/>
  <c r="S655" i="17" a="1"/>
  <c r="S655" i="17" s="1"/>
  <c r="S656" i="17" a="1"/>
  <c r="S656" i="17" s="1"/>
  <c r="S657" i="17" a="1"/>
  <c r="S657" i="17" s="1"/>
  <c r="S658" i="17" a="1"/>
  <c r="S658" i="17" s="1"/>
  <c r="S659" i="17" a="1"/>
  <c r="S659" i="17" s="1"/>
  <c r="S660" i="17" a="1"/>
  <c r="S660" i="17" s="1"/>
  <c r="S110" i="17" a="1"/>
  <c r="S110" i="17" s="1"/>
  <c r="S111" i="17" a="1"/>
  <c r="S111" i="17" s="1"/>
  <c r="S112" i="17" a="1"/>
  <c r="S112" i="17" s="1"/>
  <c r="S113" i="17" a="1"/>
  <c r="S113" i="17"/>
  <c r="S114" i="17" a="1"/>
  <c r="S114" i="17" s="1"/>
  <c r="S115" i="17" a="1"/>
  <c r="S115" i="17" s="1"/>
  <c r="S134" i="17" a="1"/>
  <c r="S134" i="17" s="1"/>
  <c r="S153" i="17" a="1"/>
  <c r="S153" i="17"/>
  <c r="S172" i="17" a="1"/>
  <c r="S172" i="17" s="1"/>
  <c r="S191" i="17" a="1"/>
  <c r="S191" i="17" s="1"/>
  <c r="S246" i="17" a="1"/>
  <c r="S246" i="17" s="1"/>
  <c r="S247" i="17" a="1"/>
  <c r="S247" i="17" s="1"/>
  <c r="S248" i="17" a="1"/>
  <c r="S248" i="17"/>
  <c r="S267" i="17" a="1"/>
  <c r="S267" i="17" s="1"/>
  <c r="S286" i="17" a="1"/>
  <c r="S286" i="17" s="1"/>
  <c r="S305" i="17" a="1"/>
  <c r="S305" i="17" s="1"/>
  <c r="S324" i="17" a="1"/>
  <c r="S324" i="17" s="1"/>
  <c r="S343" i="17" a="1"/>
  <c r="S343" i="17" s="1"/>
  <c r="S362" i="17" a="1"/>
  <c r="S362" i="17" s="1"/>
  <c r="S381" i="17" a="1"/>
  <c r="S381" i="17" s="1"/>
  <c r="S400" i="17" a="1"/>
  <c r="S400" i="17" s="1"/>
  <c r="S419" i="17" a="1"/>
  <c r="S419" i="17" s="1"/>
  <c r="S514" i="17" a="1"/>
  <c r="S514" i="17" s="1"/>
  <c r="S533" i="17" a="1"/>
  <c r="S533" i="17"/>
  <c r="S552" i="17" a="1"/>
  <c r="S552" i="17" s="1"/>
  <c r="S474" i="17" a="1"/>
  <c r="S474" i="17" s="1"/>
  <c r="S475" i="17" a="1"/>
  <c r="S475" i="17" s="1"/>
  <c r="S476" i="17" a="1"/>
  <c r="S476" i="17" s="1"/>
  <c r="S495" i="17" a="1"/>
  <c r="S495" i="17" s="1"/>
  <c r="S685" i="17" a="1"/>
  <c r="S685" i="17" s="1"/>
  <c r="S704" i="17" a="1"/>
  <c r="S704" i="17" s="1"/>
  <c r="S723" i="17" a="1"/>
  <c r="S723" i="17" s="1"/>
  <c r="S742" i="17" a="1"/>
  <c r="S742" i="17"/>
  <c r="S761" i="17" a="1"/>
  <c r="S761" i="17" s="1"/>
  <c r="S780" i="17" a="1"/>
  <c r="S780" i="17" s="1"/>
  <c r="S796" i="17" a="1"/>
  <c r="S796" i="17" s="1"/>
  <c r="S809" i="17" a="1"/>
  <c r="S809" i="17"/>
  <c r="S813" i="17" a="1"/>
  <c r="S813" i="17" s="1"/>
  <c r="S832" i="17" a="1"/>
  <c r="S832" i="17" s="1"/>
  <c r="S851" i="17" a="1"/>
  <c r="S851" i="17" s="1"/>
  <c r="S870" i="17" a="1"/>
  <c r="S870" i="17" s="1"/>
  <c r="S889" i="17" a="1"/>
  <c r="S889" i="17" s="1"/>
  <c r="S908" i="17" a="1"/>
  <c r="S908" i="17" s="1"/>
  <c r="S927" i="17" a="1"/>
  <c r="S927" i="17" s="1"/>
  <c r="S946" i="17" a="1"/>
  <c r="S946" i="17" s="1"/>
  <c r="S965" i="17" a="1"/>
  <c r="S965" i="17" s="1"/>
  <c r="S984" i="17" a="1"/>
  <c r="S984" i="17" s="1"/>
  <c r="S1003" i="17" a="1"/>
  <c r="S1003" i="17" s="1"/>
  <c r="S1022" i="17" a="1"/>
  <c r="S1022" i="17"/>
  <c r="S1041" i="17" a="1"/>
  <c r="S1041" i="17" s="1"/>
  <c r="S1060" i="17" a="1"/>
  <c r="S1060" i="17"/>
  <c r="S661" i="17" a="1"/>
  <c r="S661" i="17" s="1"/>
  <c r="S662" i="17" a="1"/>
  <c r="S662" i="17" s="1"/>
  <c r="S663" i="17" a="1"/>
  <c r="S663" i="17" s="1"/>
  <c r="S664" i="17" a="1"/>
  <c r="S664" i="17" s="1"/>
  <c r="S665" i="17" a="1"/>
  <c r="S665" i="17" s="1"/>
  <c r="S666" i="17" a="1"/>
  <c r="S666" i="17" s="1"/>
  <c r="T2" i="17" a="1"/>
  <c r="T2" i="17" s="1"/>
  <c r="T3" i="17" a="1"/>
  <c r="T3" i="17"/>
  <c r="T4" i="17" a="1"/>
  <c r="T4" i="17" s="1"/>
  <c r="T5" i="17" a="1"/>
  <c r="T5" i="17" s="1"/>
  <c r="T6" i="17" a="1"/>
  <c r="T6" i="17" s="1"/>
  <c r="T7" i="17" a="1"/>
  <c r="T7" i="17"/>
  <c r="T116" i="17" a="1"/>
  <c r="T116" i="17" s="1"/>
  <c r="T135" i="17" a="1"/>
  <c r="T135" i="17"/>
  <c r="T154" i="17" a="1"/>
  <c r="T154" i="17" s="1"/>
  <c r="T173" i="17" a="1"/>
  <c r="T173" i="17" s="1"/>
  <c r="T192" i="17" a="1"/>
  <c r="T192" i="17"/>
  <c r="T193" i="17" a="1"/>
  <c r="T193" i="17" s="1"/>
  <c r="T194" i="17" a="1"/>
  <c r="T194" i="17" s="1"/>
  <c r="T249" i="17" a="1"/>
  <c r="T249" i="17" s="1"/>
  <c r="T268" i="17" a="1"/>
  <c r="T268" i="17" s="1"/>
  <c r="T287" i="17" a="1"/>
  <c r="T287" i="17" s="1"/>
  <c r="T306" i="17" a="1"/>
  <c r="T306" i="17" s="1"/>
  <c r="T325" i="17" a="1"/>
  <c r="T325" i="17" s="1"/>
  <c r="T344" i="17" a="1"/>
  <c r="T344" i="17" s="1"/>
  <c r="T363" i="17" a="1"/>
  <c r="T363" i="17"/>
  <c r="T382" i="17" a="1"/>
  <c r="T382" i="17" s="1"/>
  <c r="T401" i="17" a="1"/>
  <c r="T401" i="17" s="1"/>
  <c r="T496" i="17" a="1"/>
  <c r="T496" i="17" s="1"/>
  <c r="T515" i="17" a="1"/>
  <c r="T515" i="17" s="1"/>
  <c r="T534" i="17" a="1"/>
  <c r="T534" i="17" s="1"/>
  <c r="T420" i="17" a="1"/>
  <c r="T420" i="17" s="1"/>
  <c r="T421" i="17" a="1"/>
  <c r="T421" i="17" s="1"/>
  <c r="T422" i="17" a="1"/>
  <c r="T422" i="17" s="1"/>
  <c r="T477" i="17" a="1"/>
  <c r="T477" i="17" s="1"/>
  <c r="T667" i="17" a="1"/>
  <c r="T667" i="17" s="1"/>
  <c r="T686" i="17" a="1"/>
  <c r="T686" i="17" s="1"/>
  <c r="T705" i="17" a="1"/>
  <c r="T705" i="17" s="1"/>
  <c r="T724" i="17" a="1"/>
  <c r="T724" i="17" s="1"/>
  <c r="T743" i="17" a="1"/>
  <c r="T743" i="17" s="1"/>
  <c r="T762" i="17" a="1"/>
  <c r="T762" i="17"/>
  <c r="T781" i="17" a="1"/>
  <c r="T781" i="17" s="1"/>
  <c r="T797" i="17" a="1"/>
  <c r="T797" i="17" s="1"/>
  <c r="T814" i="17" a="1"/>
  <c r="T814" i="17" s="1"/>
  <c r="T833" i="17" a="1"/>
  <c r="T833" i="17" s="1"/>
  <c r="T852" i="17" a="1"/>
  <c r="T852" i="17" s="1"/>
  <c r="T871" i="17" a="1"/>
  <c r="T871" i="17" s="1"/>
  <c r="T890" i="17" a="1"/>
  <c r="T890" i="17" s="1"/>
  <c r="T909" i="17" a="1"/>
  <c r="T909" i="17"/>
  <c r="T928" i="17" a="1"/>
  <c r="T928" i="17"/>
  <c r="T947" i="17" a="1"/>
  <c r="T947" i="17" s="1"/>
  <c r="T966" i="17" a="1"/>
  <c r="T966" i="17" s="1"/>
  <c r="T985" i="17" a="1"/>
  <c r="T985" i="17" s="1"/>
  <c r="T1004" i="17" a="1"/>
  <c r="T1004" i="17" s="1"/>
  <c r="T1023" i="17" a="1"/>
  <c r="T1023" i="17" s="1"/>
  <c r="T1042" i="17" a="1"/>
  <c r="T1042" i="17" s="1"/>
  <c r="T553" i="17" a="1"/>
  <c r="T553" i="17" s="1"/>
  <c r="T554" i="17" a="1"/>
  <c r="T554" i="17"/>
  <c r="T555" i="17" a="1"/>
  <c r="T555" i="17" s="1"/>
  <c r="T556" i="17" a="1"/>
  <c r="T556" i="17"/>
  <c r="T557" i="17" a="1"/>
  <c r="T557" i="17" s="1"/>
  <c r="T558" i="17" a="1"/>
  <c r="T558" i="17" s="1"/>
  <c r="T8" i="17" a="1"/>
  <c r="T8" i="17" s="1"/>
  <c r="T9" i="17" a="1"/>
  <c r="T9" i="17" s="1"/>
  <c r="T10" i="17" a="1"/>
  <c r="T10" i="17" s="1"/>
  <c r="T11" i="17" a="1"/>
  <c r="T11" i="17" s="1"/>
  <c r="T12" i="17" a="1"/>
  <c r="T12" i="17" s="1"/>
  <c r="T13" i="17" a="1"/>
  <c r="T13" i="17" s="1"/>
  <c r="T117" i="17" a="1"/>
  <c r="T117" i="17" s="1"/>
  <c r="T136" i="17" a="1"/>
  <c r="T136" i="17" s="1"/>
  <c r="T155" i="17" a="1"/>
  <c r="T155" i="17" s="1"/>
  <c r="T174" i="17" a="1"/>
  <c r="T174" i="17"/>
  <c r="T195" i="17" a="1"/>
  <c r="T195" i="17" s="1"/>
  <c r="T196" i="17" a="1"/>
  <c r="T196" i="17" s="1"/>
  <c r="T197" i="17" a="1"/>
  <c r="T197" i="17" s="1"/>
  <c r="T250" i="17" a="1"/>
  <c r="T250" i="17"/>
  <c r="T269" i="17" a="1"/>
  <c r="T269" i="17" s="1"/>
  <c r="T288" i="17" a="1"/>
  <c r="T288" i="17"/>
  <c r="T307" i="17" a="1"/>
  <c r="T307" i="17" s="1"/>
  <c r="T326" i="17" a="1"/>
  <c r="T326" i="17" s="1"/>
  <c r="T345" i="17" a="1"/>
  <c r="T345" i="17" s="1"/>
  <c r="T364" i="17" a="1"/>
  <c r="T364" i="17" s="1"/>
  <c r="T383" i="17" a="1"/>
  <c r="T383" i="17" s="1"/>
  <c r="T402" i="17" a="1"/>
  <c r="T402" i="17" s="1"/>
  <c r="T497" i="17" a="1"/>
  <c r="T497" i="17"/>
  <c r="T516" i="17" a="1"/>
  <c r="T516" i="17" s="1"/>
  <c r="T535" i="17" a="1"/>
  <c r="T535" i="17" s="1"/>
  <c r="T423" i="17" a="1"/>
  <c r="T423" i="17" s="1"/>
  <c r="T424" i="17" a="1"/>
  <c r="T424" i="17" s="1"/>
  <c r="T425" i="17" a="1"/>
  <c r="T425" i="17" s="1"/>
  <c r="T478" i="17" a="1"/>
  <c r="T478" i="17" s="1"/>
  <c r="T668" i="17" a="1"/>
  <c r="T668" i="17" s="1"/>
  <c r="T687" i="17" a="1"/>
  <c r="T687" i="17" s="1"/>
  <c r="T706" i="17" a="1"/>
  <c r="T706" i="17" s="1"/>
  <c r="T725" i="17" a="1"/>
  <c r="T725" i="17" s="1"/>
  <c r="T744" i="17" a="1"/>
  <c r="T744" i="17" s="1"/>
  <c r="T763" i="17" a="1"/>
  <c r="T763" i="17" s="1"/>
  <c r="T782" i="17" a="1"/>
  <c r="T782" i="17" s="1"/>
  <c r="T798" i="17" a="1"/>
  <c r="T798" i="17" s="1"/>
  <c r="T815" i="17" a="1"/>
  <c r="T815" i="17" s="1"/>
  <c r="T834" i="17" a="1"/>
  <c r="T834" i="17"/>
  <c r="T853" i="17" a="1"/>
  <c r="T853" i="17" s="1"/>
  <c r="T872" i="17" a="1"/>
  <c r="T872" i="17" s="1"/>
  <c r="T891" i="17" a="1"/>
  <c r="T891" i="17" s="1"/>
  <c r="T910" i="17" a="1"/>
  <c r="T910" i="17"/>
  <c r="T929" i="17" a="1"/>
  <c r="T929" i="17" s="1"/>
  <c r="T948" i="17" a="1"/>
  <c r="T948" i="17" s="1"/>
  <c r="T967" i="17" a="1"/>
  <c r="T967" i="17" s="1"/>
  <c r="T986" i="17" a="1"/>
  <c r="T986" i="17" s="1"/>
  <c r="T1005" i="17" a="1"/>
  <c r="T1005" i="17"/>
  <c r="T1024" i="17" a="1"/>
  <c r="T1024" i="17" s="1"/>
  <c r="T1043" i="17" a="1"/>
  <c r="T1043" i="17" s="1"/>
  <c r="T559" i="17" a="1"/>
  <c r="T559" i="17" s="1"/>
  <c r="T560" i="17" a="1"/>
  <c r="T560" i="17" s="1"/>
  <c r="T561" i="17" a="1"/>
  <c r="T561" i="17" s="1"/>
  <c r="T562" i="17" a="1"/>
  <c r="T562" i="17" s="1"/>
  <c r="T563" i="17" a="1"/>
  <c r="T563" i="17" s="1"/>
  <c r="T564" i="17" a="1"/>
  <c r="T564" i="17" s="1"/>
  <c r="T14" i="17" a="1"/>
  <c r="T14" i="17" s="1"/>
  <c r="T15" i="17" a="1"/>
  <c r="T15" i="17" s="1"/>
  <c r="T16" i="17" a="1"/>
  <c r="T16" i="17" s="1"/>
  <c r="T17" i="17" a="1"/>
  <c r="T17" i="17"/>
  <c r="T18" i="17" a="1"/>
  <c r="T18" i="17" s="1"/>
  <c r="T19" i="17" a="1"/>
  <c r="T19" i="17"/>
  <c r="T118" i="17" a="1"/>
  <c r="T118" i="17" s="1"/>
  <c r="T137" i="17" a="1"/>
  <c r="T137" i="17"/>
  <c r="T156" i="17" a="1"/>
  <c r="T156" i="17" s="1"/>
  <c r="T175" i="17" a="1"/>
  <c r="T175" i="17"/>
  <c r="T198" i="17" a="1"/>
  <c r="T198" i="17" s="1"/>
  <c r="T199" i="17" a="1"/>
  <c r="T199" i="17" s="1"/>
  <c r="T200" i="17" a="1"/>
  <c r="T200" i="17" s="1"/>
  <c r="T251" i="17" a="1"/>
  <c r="T251" i="17" s="1"/>
  <c r="T270" i="17" a="1"/>
  <c r="T270" i="17" s="1"/>
  <c r="T289" i="17" a="1"/>
  <c r="T289" i="17" s="1"/>
  <c r="T308" i="17" a="1"/>
  <c r="T308" i="17" s="1"/>
  <c r="T327" i="17" a="1"/>
  <c r="T327" i="17" s="1"/>
  <c r="T346" i="17" a="1"/>
  <c r="T346" i="17" s="1"/>
  <c r="T365" i="17" a="1"/>
  <c r="T365" i="17" s="1"/>
  <c r="T384" i="17" a="1"/>
  <c r="T384" i="17" s="1"/>
  <c r="T403" i="17" a="1"/>
  <c r="T403" i="17" s="1"/>
  <c r="T498" i="17" a="1"/>
  <c r="T498" i="17" s="1"/>
  <c r="T517" i="17" a="1"/>
  <c r="T517" i="17" s="1"/>
  <c r="T536" i="17" a="1"/>
  <c r="T536" i="17" s="1"/>
  <c r="T426" i="17" a="1"/>
  <c r="T426" i="17" s="1"/>
  <c r="T427" i="17" a="1"/>
  <c r="T427" i="17"/>
  <c r="T428" i="17" a="1"/>
  <c r="T428" i="17" s="1"/>
  <c r="T479" i="17" a="1"/>
  <c r="T479" i="17" s="1"/>
  <c r="T669" i="17" a="1"/>
  <c r="T669" i="17" s="1"/>
  <c r="T688" i="17" a="1"/>
  <c r="T688" i="17"/>
  <c r="T707" i="17" a="1"/>
  <c r="T707" i="17" s="1"/>
  <c r="T726" i="17" a="1"/>
  <c r="T726" i="17" s="1"/>
  <c r="T745" i="17" a="1"/>
  <c r="T745" i="17" s="1"/>
  <c r="T764" i="17" a="1"/>
  <c r="T764" i="17" s="1"/>
  <c r="T783" i="17" a="1"/>
  <c r="T783" i="17"/>
  <c r="T799" i="17" a="1"/>
  <c r="T799" i="17" s="1"/>
  <c r="T816" i="17" a="1"/>
  <c r="T816" i="17" s="1"/>
  <c r="T835" i="17" a="1"/>
  <c r="T835" i="17" s="1"/>
  <c r="T854" i="17" a="1"/>
  <c r="T854" i="17" s="1"/>
  <c r="T873" i="17" a="1"/>
  <c r="T873" i="17" s="1"/>
  <c r="T892" i="17" a="1"/>
  <c r="T892" i="17" s="1"/>
  <c r="T911" i="17" a="1"/>
  <c r="T911" i="17" s="1"/>
  <c r="T930" i="17" a="1"/>
  <c r="T930" i="17" s="1"/>
  <c r="T949" i="17" a="1"/>
  <c r="T949" i="17" s="1"/>
  <c r="T968" i="17" a="1"/>
  <c r="T968" i="17" s="1"/>
  <c r="T987" i="17" a="1"/>
  <c r="T987" i="17" s="1"/>
  <c r="T1006" i="17" a="1"/>
  <c r="T1006" i="17" s="1"/>
  <c r="T1025" i="17" a="1"/>
  <c r="T1025" i="17" s="1"/>
  <c r="T1044" i="17" a="1"/>
  <c r="T1044" i="17" s="1"/>
  <c r="T565" i="17" a="1"/>
  <c r="T565" i="17" s="1"/>
  <c r="T566" i="17" a="1"/>
  <c r="T566" i="17" s="1"/>
  <c r="T567" i="17" a="1"/>
  <c r="T567" i="17" s="1"/>
  <c r="T568" i="17" a="1"/>
  <c r="T568" i="17" s="1"/>
  <c r="T569" i="17" a="1"/>
  <c r="T569" i="17" s="1"/>
  <c r="T570" i="17" a="1"/>
  <c r="T570" i="17" s="1"/>
  <c r="T20" i="17" a="1"/>
  <c r="T20" i="17" s="1"/>
  <c r="T21" i="17" a="1"/>
  <c r="T21" i="17" s="1"/>
  <c r="T22" i="17" a="1"/>
  <c r="T22" i="17"/>
  <c r="T23" i="17" a="1"/>
  <c r="T23" i="17" s="1"/>
  <c r="T24" i="17" a="1"/>
  <c r="T24" i="17" s="1"/>
  <c r="T25" i="17" a="1"/>
  <c r="T25" i="17" s="1"/>
  <c r="T119" i="17" a="1"/>
  <c r="T119" i="17" s="1"/>
  <c r="T138" i="17" a="1"/>
  <c r="T138" i="17" s="1"/>
  <c r="T157" i="17" a="1"/>
  <c r="T157" i="17" s="1"/>
  <c r="T176" i="17" a="1"/>
  <c r="T176" i="17" s="1"/>
  <c r="T201" i="17" a="1"/>
  <c r="T201" i="17" s="1"/>
  <c r="T202" i="17" a="1"/>
  <c r="T202" i="17"/>
  <c r="T203" i="17" a="1"/>
  <c r="T203" i="17" s="1"/>
  <c r="T252" i="17" a="1"/>
  <c r="T252" i="17" s="1"/>
  <c r="T271" i="17" a="1"/>
  <c r="T271" i="17" s="1"/>
  <c r="T290" i="17" a="1"/>
  <c r="T290" i="17"/>
  <c r="T309" i="17" a="1"/>
  <c r="T309" i="17" s="1"/>
  <c r="T328" i="17" a="1"/>
  <c r="T328" i="17"/>
  <c r="T347" i="17" a="1"/>
  <c r="T347" i="17" s="1"/>
  <c r="T366" i="17" a="1"/>
  <c r="T366" i="17" s="1"/>
  <c r="T385" i="17" a="1"/>
  <c r="T385" i="17" s="1"/>
  <c r="T404" i="17" a="1"/>
  <c r="T404" i="17" s="1"/>
  <c r="T499" i="17" a="1"/>
  <c r="T499" i="17" s="1"/>
  <c r="T518" i="17" a="1"/>
  <c r="T518" i="17" s="1"/>
  <c r="T537" i="17" a="1"/>
  <c r="T537" i="17" s="1"/>
  <c r="T429" i="17" a="1"/>
  <c r="T429" i="17" s="1"/>
  <c r="T430" i="17" a="1"/>
  <c r="T430" i="17" s="1"/>
  <c r="T431" i="17" a="1"/>
  <c r="T431" i="17" s="1"/>
  <c r="T480" i="17" a="1"/>
  <c r="T480" i="17" s="1"/>
  <c r="T670" i="17" a="1"/>
  <c r="T670" i="17"/>
  <c r="T689" i="17" a="1"/>
  <c r="T689" i="17" s="1"/>
  <c r="T708" i="17" a="1"/>
  <c r="T708" i="17" s="1"/>
  <c r="T727" i="17" a="1"/>
  <c r="T727" i="17" s="1"/>
  <c r="T746" i="17" a="1"/>
  <c r="T746" i="17" s="1"/>
  <c r="T765" i="17" a="1"/>
  <c r="T765" i="17" s="1"/>
  <c r="T784" i="17" a="1"/>
  <c r="T784" i="17" s="1"/>
  <c r="T810" i="17" a="1"/>
  <c r="T810" i="17" s="1"/>
  <c r="T817" i="17" a="1"/>
  <c r="T817" i="17" s="1"/>
  <c r="T836" i="17" a="1"/>
  <c r="T836" i="17"/>
  <c r="T855" i="17" a="1"/>
  <c r="T855" i="17" s="1"/>
  <c r="T874" i="17" a="1"/>
  <c r="T874" i="17" s="1"/>
  <c r="T893" i="17" a="1"/>
  <c r="T893" i="17" s="1"/>
  <c r="T912" i="17" a="1"/>
  <c r="T912" i="17" s="1"/>
  <c r="T931" i="17" a="1"/>
  <c r="T931" i="17" s="1"/>
  <c r="T950" i="17" a="1"/>
  <c r="T950" i="17" s="1"/>
  <c r="T969" i="17" a="1"/>
  <c r="T969" i="17"/>
  <c r="T988" i="17" a="1"/>
  <c r="T988" i="17" s="1"/>
  <c r="T1007" i="17" a="1"/>
  <c r="T1007" i="17"/>
  <c r="T1026" i="17" a="1"/>
  <c r="T1026" i="17" s="1"/>
  <c r="T1045" i="17" a="1"/>
  <c r="T1045" i="17" s="1"/>
  <c r="T571" i="17" a="1"/>
  <c r="T571" i="17" s="1"/>
  <c r="T572" i="17" a="1"/>
  <c r="T572" i="17" s="1"/>
  <c r="T573" i="17" a="1"/>
  <c r="T573" i="17" s="1"/>
  <c r="T574" i="17" a="1"/>
  <c r="T574" i="17" s="1"/>
  <c r="T575" i="17" a="1"/>
  <c r="T575" i="17" s="1"/>
  <c r="T576" i="17" a="1"/>
  <c r="T576" i="17" s="1"/>
  <c r="T26" i="17" a="1"/>
  <c r="T26" i="17" s="1"/>
  <c r="T27" i="17" a="1"/>
  <c r="T27" i="17" s="1"/>
  <c r="T28" i="17" a="1"/>
  <c r="T28" i="17" s="1"/>
  <c r="T29" i="17" a="1"/>
  <c r="T29" i="17" s="1"/>
  <c r="T30" i="17" a="1"/>
  <c r="T30" i="17" s="1"/>
  <c r="T31" i="17" a="1"/>
  <c r="T31" i="17" s="1"/>
  <c r="T120" i="17" a="1"/>
  <c r="T120" i="17" s="1"/>
  <c r="T139" i="17" a="1"/>
  <c r="T139" i="17" s="1"/>
  <c r="T158" i="17" a="1"/>
  <c r="T158" i="17" s="1"/>
  <c r="T177" i="17" a="1"/>
  <c r="T177" i="17" s="1"/>
  <c r="T204" i="17" a="1"/>
  <c r="T204" i="17"/>
  <c r="T205" i="17" a="1"/>
  <c r="T205" i="17"/>
  <c r="T206" i="17" a="1"/>
  <c r="T206" i="17" s="1"/>
  <c r="T253" i="17" a="1"/>
  <c r="T253" i="17" s="1"/>
  <c r="T272" i="17" a="1"/>
  <c r="T272" i="17"/>
  <c r="T291" i="17" a="1"/>
  <c r="T291" i="17" s="1"/>
  <c r="T310" i="17" a="1"/>
  <c r="T310" i="17" s="1"/>
  <c r="T329" i="17" a="1"/>
  <c r="T329" i="17" s="1"/>
  <c r="T348" i="17" a="1"/>
  <c r="T348" i="17" s="1"/>
  <c r="T367" i="17" a="1"/>
  <c r="T367" i="17" s="1"/>
  <c r="T386" i="17" a="1"/>
  <c r="T386" i="17" s="1"/>
  <c r="T405" i="17" a="1"/>
  <c r="T405" i="17" s="1"/>
  <c r="T500" i="17" a="1"/>
  <c r="T500" i="17" s="1"/>
  <c r="T519" i="17" a="1"/>
  <c r="T519" i="17" s="1"/>
  <c r="T538" i="17" a="1"/>
  <c r="T538" i="17" s="1"/>
  <c r="T432" i="17" a="1"/>
  <c r="T432" i="17" s="1"/>
  <c r="T433" i="17" a="1"/>
  <c r="T433" i="17" s="1"/>
  <c r="T434" i="17" a="1"/>
  <c r="T434" i="17" s="1"/>
  <c r="T481" i="17" a="1"/>
  <c r="T481" i="17" s="1"/>
  <c r="T671" i="17" a="1"/>
  <c r="T671" i="17" s="1"/>
  <c r="T690" i="17" a="1"/>
  <c r="T690" i="17" s="1"/>
  <c r="T709" i="17" a="1"/>
  <c r="T709" i="17" s="1"/>
  <c r="T728" i="17" a="1"/>
  <c r="T728" i="17" s="1"/>
  <c r="T747" i="17" a="1"/>
  <c r="T747" i="17" s="1"/>
  <c r="T766" i="17" a="1"/>
  <c r="T766" i="17" s="1"/>
  <c r="T800" i="17" a="1"/>
  <c r="T800" i="17" s="1"/>
  <c r="T818" i="17" a="1"/>
  <c r="T818" i="17" s="1"/>
  <c r="T837" i="17" a="1"/>
  <c r="T837" i="17" s="1"/>
  <c r="T856" i="17" a="1"/>
  <c r="T856" i="17" s="1"/>
  <c r="T875" i="17" a="1"/>
  <c r="T875" i="17"/>
  <c r="T894" i="17" a="1"/>
  <c r="T894" i="17" s="1"/>
  <c r="T913" i="17" a="1"/>
  <c r="T913" i="17" s="1"/>
  <c r="T932" i="17" a="1"/>
  <c r="T932" i="17"/>
  <c r="T951" i="17" a="1"/>
  <c r="T951" i="17"/>
  <c r="T970" i="17" a="1"/>
  <c r="T970" i="17" s="1"/>
  <c r="T989" i="17" a="1"/>
  <c r="T989" i="17" s="1"/>
  <c r="T1008" i="17" a="1"/>
  <c r="T1008" i="17" s="1"/>
  <c r="T1027" i="17" a="1"/>
  <c r="T1027" i="17" s="1"/>
  <c r="T1046" i="17" a="1"/>
  <c r="T1046" i="17" s="1"/>
  <c r="T577" i="17" a="1"/>
  <c r="T577" i="17" s="1"/>
  <c r="T578" i="17" a="1"/>
  <c r="T578" i="17" s="1"/>
  <c r="T579" i="17" a="1"/>
  <c r="T579" i="17" s="1"/>
  <c r="T580" i="17" a="1"/>
  <c r="T580" i="17" s="1"/>
  <c r="T581" i="17" a="1"/>
  <c r="T581" i="17" s="1"/>
  <c r="T582" i="17" a="1"/>
  <c r="T582" i="17" s="1"/>
  <c r="T32" i="17" a="1"/>
  <c r="T32" i="17" s="1"/>
  <c r="T33" i="17" a="1"/>
  <c r="T33" i="17" s="1"/>
  <c r="T34" i="17" a="1"/>
  <c r="T34" i="17" s="1"/>
  <c r="T35" i="17" a="1"/>
  <c r="T35" i="17" s="1"/>
  <c r="T36" i="17" a="1"/>
  <c r="T36" i="17" s="1"/>
  <c r="T37" i="17" a="1"/>
  <c r="T37" i="17" s="1"/>
  <c r="T121" i="17" a="1"/>
  <c r="T121" i="17" s="1"/>
  <c r="T140" i="17" a="1"/>
  <c r="T140" i="17" s="1"/>
  <c r="T159" i="17" a="1"/>
  <c r="T159" i="17" s="1"/>
  <c r="T178" i="17" a="1"/>
  <c r="T178" i="17" s="1"/>
  <c r="T207" i="17" a="1"/>
  <c r="T207" i="17" s="1"/>
  <c r="T208" i="17" a="1"/>
  <c r="T208" i="17"/>
  <c r="T209" i="17" a="1"/>
  <c r="T209" i="17" s="1"/>
  <c r="T254" i="17" a="1"/>
  <c r="T254" i="17" s="1"/>
  <c r="T273" i="17" a="1"/>
  <c r="T273" i="17" s="1"/>
  <c r="T292" i="17" a="1"/>
  <c r="T292" i="17" s="1"/>
  <c r="T311" i="17" a="1"/>
  <c r="T311" i="17" s="1"/>
  <c r="T330" i="17" a="1"/>
  <c r="T330" i="17" s="1"/>
  <c r="T349" i="17" a="1"/>
  <c r="T349" i="17" s="1"/>
  <c r="T368" i="17" a="1"/>
  <c r="T368" i="17" s="1"/>
  <c r="T387" i="17" a="1"/>
  <c r="T387" i="17" s="1"/>
  <c r="T406" i="17" a="1"/>
  <c r="T406" i="17" s="1"/>
  <c r="T501" i="17" a="1"/>
  <c r="T501" i="17" s="1"/>
  <c r="T520" i="17" a="1"/>
  <c r="T520" i="17" s="1"/>
  <c r="T539" i="17" a="1"/>
  <c r="T539" i="17" s="1"/>
  <c r="T435" i="17" a="1"/>
  <c r="T435" i="17" s="1"/>
  <c r="T436" i="17" a="1"/>
  <c r="T436" i="17" s="1"/>
  <c r="T437" i="17" a="1"/>
  <c r="T437" i="17" s="1"/>
  <c r="T482" i="17" a="1"/>
  <c r="T482" i="17" s="1"/>
  <c r="T672" i="17" a="1"/>
  <c r="T672" i="17" s="1"/>
  <c r="T691" i="17" a="1"/>
  <c r="T691" i="17" s="1"/>
  <c r="T710" i="17" a="1"/>
  <c r="T710" i="17" s="1"/>
  <c r="T729" i="17" a="1"/>
  <c r="T729" i="17" s="1"/>
  <c r="T748" i="17" a="1"/>
  <c r="T748" i="17" s="1"/>
  <c r="T767" i="17" a="1"/>
  <c r="T767" i="17" s="1"/>
  <c r="T819" i="17" a="1"/>
  <c r="T819" i="17" s="1"/>
  <c r="T838" i="17" a="1"/>
  <c r="T838" i="17" s="1"/>
  <c r="T857" i="17" a="1"/>
  <c r="T857" i="17" s="1"/>
  <c r="T876" i="17" a="1"/>
  <c r="T876" i="17" s="1"/>
  <c r="T895" i="17" a="1"/>
  <c r="T895" i="17"/>
  <c r="T914" i="17" a="1"/>
  <c r="T914" i="17" s="1"/>
  <c r="T933" i="17" a="1"/>
  <c r="T933" i="17" s="1"/>
  <c r="T952" i="17" a="1"/>
  <c r="T952" i="17" s="1"/>
  <c r="T971" i="17" a="1"/>
  <c r="T971" i="17" s="1"/>
  <c r="T990" i="17" a="1"/>
  <c r="T990" i="17" s="1"/>
  <c r="T1009" i="17" a="1"/>
  <c r="T1009" i="17" s="1"/>
  <c r="T1028" i="17" a="1"/>
  <c r="T1028" i="17" s="1"/>
  <c r="T1047" i="17" a="1"/>
  <c r="T1047" i="17" s="1"/>
  <c r="T583" i="17" a="1"/>
  <c r="T583" i="17"/>
  <c r="T584" i="17" a="1"/>
  <c r="T584" i="17" s="1"/>
  <c r="T585" i="17" a="1"/>
  <c r="T585" i="17" s="1"/>
  <c r="T586" i="17" a="1"/>
  <c r="T586" i="17" s="1"/>
  <c r="T587" i="17" a="1"/>
  <c r="T587" i="17" s="1"/>
  <c r="T588" i="17" a="1"/>
  <c r="T588" i="17" s="1"/>
  <c r="T38" i="17" a="1"/>
  <c r="T38" i="17" s="1"/>
  <c r="T39" i="17" a="1"/>
  <c r="T39" i="17"/>
  <c r="T40" i="17" a="1"/>
  <c r="T40" i="17" s="1"/>
  <c r="T41" i="17" a="1"/>
  <c r="T41" i="17" s="1"/>
  <c r="T42" i="17" a="1"/>
  <c r="T42" i="17" s="1"/>
  <c r="T43" i="17" a="1"/>
  <c r="T43" i="17" s="1"/>
  <c r="T122" i="17" a="1"/>
  <c r="T122" i="17" s="1"/>
  <c r="T141" i="17" a="1"/>
  <c r="T141" i="17" s="1"/>
  <c r="T160" i="17" a="1"/>
  <c r="T160" i="17"/>
  <c r="T179" i="17" a="1"/>
  <c r="T179" i="17" s="1"/>
  <c r="T210" i="17" a="1"/>
  <c r="T210" i="17"/>
  <c r="T211" i="17" a="1"/>
  <c r="T211" i="17" s="1"/>
  <c r="T212" i="17" a="1"/>
  <c r="T212" i="17" s="1"/>
  <c r="T255" i="17" a="1"/>
  <c r="T255" i="17" s="1"/>
  <c r="T274" i="17" a="1"/>
  <c r="T274" i="17" s="1"/>
  <c r="T293" i="17" a="1"/>
  <c r="T293" i="17" s="1"/>
  <c r="T312" i="17" a="1"/>
  <c r="T312" i="17" s="1"/>
  <c r="T331" i="17" a="1"/>
  <c r="T331" i="17" s="1"/>
  <c r="T350" i="17" a="1"/>
  <c r="T350" i="17" s="1"/>
  <c r="T369" i="17" a="1"/>
  <c r="T369" i="17" s="1"/>
  <c r="T388" i="17" a="1"/>
  <c r="T388" i="17" s="1"/>
  <c r="T407" i="17" a="1"/>
  <c r="T407" i="17" s="1"/>
  <c r="T502" i="17" a="1"/>
  <c r="T502" i="17" s="1"/>
  <c r="T521" i="17" a="1"/>
  <c r="T521" i="17" s="1"/>
  <c r="T540" i="17" a="1"/>
  <c r="T540" i="17"/>
  <c r="T438" i="17" a="1"/>
  <c r="T438" i="17" s="1"/>
  <c r="T439" i="17" a="1"/>
  <c r="T439" i="17" s="1"/>
  <c r="T440" i="17" a="1"/>
  <c r="T440" i="17" s="1"/>
  <c r="T483" i="17" a="1"/>
  <c r="T483" i="17" s="1"/>
  <c r="T673" i="17" a="1"/>
  <c r="T673" i="17" s="1"/>
  <c r="T692" i="17" a="1"/>
  <c r="T692" i="17" s="1"/>
  <c r="T711" i="17" a="1"/>
  <c r="T711" i="17" s="1"/>
  <c r="T730" i="17" a="1"/>
  <c r="T730" i="17" s="1"/>
  <c r="T749" i="17" a="1"/>
  <c r="T749" i="17" s="1"/>
  <c r="T768" i="17" a="1"/>
  <c r="T768" i="17" s="1"/>
  <c r="T785" i="17" a="1"/>
  <c r="T785" i="17" s="1"/>
  <c r="T801" i="17" a="1"/>
  <c r="T801" i="17" s="1"/>
  <c r="T820" i="17" a="1"/>
  <c r="T820" i="17" s="1"/>
  <c r="T839" i="17" a="1"/>
  <c r="T839" i="17" s="1"/>
  <c r="T858" i="17" a="1"/>
  <c r="T858" i="17" s="1"/>
  <c r="T877" i="17" a="1"/>
  <c r="T877" i="17" s="1"/>
  <c r="T896" i="17" a="1"/>
  <c r="T896" i="17" s="1"/>
  <c r="T915" i="17" a="1"/>
  <c r="T915" i="17" s="1"/>
  <c r="T934" i="17" a="1"/>
  <c r="T934" i="17" s="1"/>
  <c r="T953" i="17" a="1"/>
  <c r="T953" i="17"/>
  <c r="T972" i="17" a="1"/>
  <c r="T972" i="17" s="1"/>
  <c r="T991" i="17" a="1"/>
  <c r="T991" i="17" s="1"/>
  <c r="T1010" i="17" a="1"/>
  <c r="T1010" i="17" s="1"/>
  <c r="T1029" i="17" a="1"/>
  <c r="T1029" i="17" s="1"/>
  <c r="T1048" i="17" a="1"/>
  <c r="T1048" i="17" s="1"/>
  <c r="T589" i="17" a="1"/>
  <c r="T589" i="17" s="1"/>
  <c r="T590" i="17" a="1"/>
  <c r="T590" i="17" s="1"/>
  <c r="T591" i="17" a="1"/>
  <c r="T591" i="17" s="1"/>
  <c r="T592" i="17" a="1"/>
  <c r="T592" i="17"/>
  <c r="T593" i="17" a="1"/>
  <c r="T593" i="17" s="1"/>
  <c r="T594" i="17" a="1"/>
  <c r="T594" i="17" s="1"/>
  <c r="T44" i="17" a="1"/>
  <c r="T44" i="17" s="1"/>
  <c r="T45" i="17" a="1"/>
  <c r="T45" i="17" s="1"/>
  <c r="T46" i="17" a="1"/>
  <c r="T46" i="17" s="1"/>
  <c r="T47" i="17" a="1"/>
  <c r="T47" i="17" s="1"/>
  <c r="T48" i="17" a="1"/>
  <c r="T48" i="17" s="1"/>
  <c r="T49" i="17" a="1"/>
  <c r="T49" i="17" s="1"/>
  <c r="T123" i="17" a="1"/>
  <c r="T123" i="17" s="1"/>
  <c r="T142" i="17" a="1"/>
  <c r="T142" i="17" s="1"/>
  <c r="T161" i="17" a="1"/>
  <c r="T161" i="17" s="1"/>
  <c r="T180" i="17" a="1"/>
  <c r="T180" i="17" s="1"/>
  <c r="T213" i="17" a="1"/>
  <c r="T213" i="17" s="1"/>
  <c r="T214" i="17" a="1"/>
  <c r="T214" i="17" s="1"/>
  <c r="T215" i="17" a="1"/>
  <c r="T215" i="17" s="1"/>
  <c r="T256" i="17" a="1"/>
  <c r="T256" i="17" s="1"/>
  <c r="T275" i="17" a="1"/>
  <c r="T275" i="17" s="1"/>
  <c r="T294" i="17" a="1"/>
  <c r="T294" i="17" s="1"/>
  <c r="T313" i="17" a="1"/>
  <c r="T313" i="17"/>
  <c r="T332" i="17" a="1"/>
  <c r="T332" i="17" s="1"/>
  <c r="T351" i="17" a="1"/>
  <c r="T351" i="17" s="1"/>
  <c r="T370" i="17" a="1"/>
  <c r="T370" i="17" s="1"/>
  <c r="T389" i="17" a="1"/>
  <c r="T389" i="17" s="1"/>
  <c r="T408" i="17" a="1"/>
  <c r="T408" i="17" s="1"/>
  <c r="T503" i="17" a="1"/>
  <c r="T503" i="17" s="1"/>
  <c r="T522" i="17" a="1"/>
  <c r="T522" i="17" s="1"/>
  <c r="T541" i="17" a="1"/>
  <c r="T541" i="17" s="1"/>
  <c r="T441" i="17" a="1"/>
  <c r="T441" i="17"/>
  <c r="T442" i="17" a="1"/>
  <c r="T442" i="17" s="1"/>
  <c r="T443" i="17" a="1"/>
  <c r="T443" i="17" s="1"/>
  <c r="T484" i="17" a="1"/>
  <c r="T484" i="17" s="1"/>
  <c r="T674" i="17" a="1"/>
  <c r="T674" i="17" s="1"/>
  <c r="T693" i="17" a="1"/>
  <c r="T693" i="17" s="1"/>
  <c r="T712" i="17" a="1"/>
  <c r="T712" i="17" s="1"/>
  <c r="T731" i="17" a="1"/>
  <c r="T731" i="17" s="1"/>
  <c r="T750" i="17" a="1"/>
  <c r="T750" i="17" s="1"/>
  <c r="T769" i="17" a="1"/>
  <c r="T769" i="17" s="1"/>
  <c r="T786" i="17" a="1"/>
  <c r="T786" i="17" s="1"/>
  <c r="T802" i="17" a="1"/>
  <c r="T802" i="17" s="1"/>
  <c r="T821" i="17" a="1"/>
  <c r="T821" i="17" s="1"/>
  <c r="T840" i="17" a="1"/>
  <c r="T840" i="17" s="1"/>
  <c r="T859" i="17" a="1"/>
  <c r="T859" i="17" s="1"/>
  <c r="T878" i="17" a="1"/>
  <c r="T878" i="17" s="1"/>
  <c r="T897" i="17" a="1"/>
  <c r="T897" i="17" s="1"/>
  <c r="T916" i="17" a="1"/>
  <c r="T916" i="17" s="1"/>
  <c r="T935" i="17" a="1"/>
  <c r="T935" i="17" s="1"/>
  <c r="T954" i="17" a="1"/>
  <c r="T954" i="17" s="1"/>
  <c r="T973" i="17" a="1"/>
  <c r="T973" i="17" s="1"/>
  <c r="T992" i="17" a="1"/>
  <c r="T992" i="17" s="1"/>
  <c r="T1011" i="17" a="1"/>
  <c r="T1011" i="17" s="1"/>
  <c r="T1030" i="17" a="1"/>
  <c r="T1030" i="17" s="1"/>
  <c r="T1049" i="17" a="1"/>
  <c r="T1049" i="17" s="1"/>
  <c r="T595" i="17" a="1"/>
  <c r="T595" i="17" s="1"/>
  <c r="T596" i="17" a="1"/>
  <c r="T596" i="17" s="1"/>
  <c r="T597" i="17" a="1"/>
  <c r="T597" i="17" s="1"/>
  <c r="T598" i="17" a="1"/>
  <c r="T598" i="17" s="1"/>
  <c r="T599" i="17" a="1"/>
  <c r="T599" i="17" s="1"/>
  <c r="T600" i="17" a="1"/>
  <c r="T600" i="17" s="1"/>
  <c r="T50" i="17" a="1"/>
  <c r="T50" i="17" s="1"/>
  <c r="T51" i="17" a="1"/>
  <c r="T51" i="17" s="1"/>
  <c r="T52" i="17" a="1"/>
  <c r="T52" i="17" s="1"/>
  <c r="T53" i="17" a="1"/>
  <c r="T53" i="17" s="1"/>
  <c r="T54" i="17" a="1"/>
  <c r="T54" i="17" s="1"/>
  <c r="T55" i="17" a="1"/>
  <c r="T55" i="17" s="1"/>
  <c r="T124" i="17" a="1"/>
  <c r="T124" i="17" s="1"/>
  <c r="T143" i="17" a="1"/>
  <c r="T143" i="17" s="1"/>
  <c r="T162" i="17" a="1"/>
  <c r="T162" i="17"/>
  <c r="T181" i="17" a="1"/>
  <c r="T181" i="17" s="1"/>
  <c r="T216" i="17" a="1"/>
  <c r="T216" i="17" s="1"/>
  <c r="T217" i="17" a="1"/>
  <c r="T217" i="17" s="1"/>
  <c r="T218" i="17" a="1"/>
  <c r="T218" i="17" s="1"/>
  <c r="T257" i="17" a="1"/>
  <c r="T257" i="17"/>
  <c r="T276" i="17" a="1"/>
  <c r="T276" i="17"/>
  <c r="T295" i="17" a="1"/>
  <c r="T295" i="17" s="1"/>
  <c r="T314" i="17" a="1"/>
  <c r="T314" i="17" s="1"/>
  <c r="T333" i="17" a="1"/>
  <c r="T333" i="17"/>
  <c r="T352" i="17" a="1"/>
  <c r="T352" i="17" s="1"/>
  <c r="T371" i="17" a="1"/>
  <c r="T371" i="17" s="1"/>
  <c r="T390" i="17" a="1"/>
  <c r="T390" i="17" s="1"/>
  <c r="T409" i="17" a="1"/>
  <c r="T409" i="17" s="1"/>
  <c r="T504" i="17" a="1"/>
  <c r="T504" i="17" s="1"/>
  <c r="T523" i="17" a="1"/>
  <c r="T523" i="17" s="1"/>
  <c r="T542" i="17" a="1"/>
  <c r="T542" i="17" s="1"/>
  <c r="T444" i="17" a="1"/>
  <c r="T444" i="17" s="1"/>
  <c r="T445" i="17" a="1"/>
  <c r="T445" i="17"/>
  <c r="T446" i="17" a="1"/>
  <c r="T446" i="17" s="1"/>
  <c r="T485" i="17" a="1"/>
  <c r="T485" i="17" s="1"/>
  <c r="T675" i="17" a="1"/>
  <c r="T675" i="17" s="1"/>
  <c r="T694" i="17" a="1"/>
  <c r="T694" i="17" s="1"/>
  <c r="T713" i="17" a="1"/>
  <c r="T713" i="17" s="1"/>
  <c r="T732" i="17" a="1"/>
  <c r="T732" i="17" s="1"/>
  <c r="T751" i="17" a="1"/>
  <c r="T751" i="17" s="1"/>
  <c r="T770" i="17" a="1"/>
  <c r="T770" i="17" s="1"/>
  <c r="T787" i="17" a="1"/>
  <c r="T787" i="17" s="1"/>
  <c r="T822" i="17" a="1"/>
  <c r="T822" i="17" s="1"/>
  <c r="T841" i="17" a="1"/>
  <c r="T841" i="17" s="1"/>
  <c r="T860" i="17" a="1"/>
  <c r="T860" i="17" s="1"/>
  <c r="T879" i="17" a="1"/>
  <c r="T879" i="17" s="1"/>
  <c r="T898" i="17" a="1"/>
  <c r="T898" i="17" s="1"/>
  <c r="T917" i="17" a="1"/>
  <c r="T917" i="17" s="1"/>
  <c r="T936" i="17" a="1"/>
  <c r="T936" i="17" s="1"/>
  <c r="T955" i="17" a="1"/>
  <c r="T955" i="17" s="1"/>
  <c r="T974" i="17" a="1"/>
  <c r="T974" i="17" s="1"/>
  <c r="T993" i="17" a="1"/>
  <c r="T993" i="17" s="1"/>
  <c r="T1012" i="17" a="1"/>
  <c r="T1012" i="17" s="1"/>
  <c r="T1031" i="17" a="1"/>
  <c r="T1031" i="17" s="1"/>
  <c r="T1050" i="17" a="1"/>
  <c r="T1050" i="17" s="1"/>
  <c r="T601" i="17" a="1"/>
  <c r="T601" i="17"/>
  <c r="T602" i="17" a="1"/>
  <c r="T602" i="17" s="1"/>
  <c r="T603" i="17" a="1"/>
  <c r="T603" i="17" s="1"/>
  <c r="T604" i="17" a="1"/>
  <c r="T604" i="17" s="1"/>
  <c r="T605" i="17" a="1"/>
  <c r="T605" i="17" s="1"/>
  <c r="T606" i="17" a="1"/>
  <c r="T606" i="17" s="1"/>
  <c r="T56" i="17" a="1"/>
  <c r="T56" i="17" s="1"/>
  <c r="T57" i="17" a="1"/>
  <c r="T57" i="17" s="1"/>
  <c r="T58" i="17" a="1"/>
  <c r="T58" i="17" s="1"/>
  <c r="T59" i="17" a="1"/>
  <c r="T59" i="17"/>
  <c r="T60" i="17" a="1"/>
  <c r="T60" i="17" s="1"/>
  <c r="T61" i="17" a="1"/>
  <c r="T61" i="17" s="1"/>
  <c r="T125" i="17" a="1"/>
  <c r="T125" i="17" s="1"/>
  <c r="T144" i="17" a="1"/>
  <c r="T144" i="17" s="1"/>
  <c r="T163" i="17" a="1"/>
  <c r="T163" i="17" s="1"/>
  <c r="T182" i="17" a="1"/>
  <c r="T182" i="17"/>
  <c r="T219" i="17" a="1"/>
  <c r="T219" i="17" s="1"/>
  <c r="T220" i="17" a="1"/>
  <c r="T220" i="17" s="1"/>
  <c r="T221" i="17" a="1"/>
  <c r="T221" i="17" s="1"/>
  <c r="T258" i="17" a="1"/>
  <c r="T258" i="17" s="1"/>
  <c r="T277" i="17" a="1"/>
  <c r="T277" i="17"/>
  <c r="T296" i="17" a="1"/>
  <c r="T296" i="17" s="1"/>
  <c r="T315" i="17" a="1"/>
  <c r="T315" i="17" s="1"/>
  <c r="T334" i="17" a="1"/>
  <c r="T334" i="17" s="1"/>
  <c r="T353" i="17" a="1"/>
  <c r="T353" i="17" s="1"/>
  <c r="T372" i="17" a="1"/>
  <c r="T372" i="17" s="1"/>
  <c r="T391" i="17" a="1"/>
  <c r="T391" i="17" s="1"/>
  <c r="T410" i="17" a="1"/>
  <c r="T410" i="17" s="1"/>
  <c r="T505" i="17" a="1"/>
  <c r="T505" i="17" s="1"/>
  <c r="T524" i="17" a="1"/>
  <c r="T524" i="17" s="1"/>
  <c r="T543" i="17" a="1"/>
  <c r="T543" i="17" s="1"/>
  <c r="T447" i="17" a="1"/>
  <c r="T447" i="17" s="1"/>
  <c r="T448" i="17" a="1"/>
  <c r="T448" i="17" s="1"/>
  <c r="T449" i="17" a="1"/>
  <c r="T449" i="17" s="1"/>
  <c r="T486" i="17" a="1"/>
  <c r="T486" i="17" s="1"/>
  <c r="T676" i="17" a="1"/>
  <c r="T676" i="17"/>
  <c r="T695" i="17" a="1"/>
  <c r="T695" i="17" s="1"/>
  <c r="T714" i="17" a="1"/>
  <c r="T714" i="17" s="1"/>
  <c r="T733" i="17" a="1"/>
  <c r="T733" i="17" s="1"/>
  <c r="T752" i="17" a="1"/>
  <c r="T752" i="17" s="1"/>
  <c r="T771" i="17" a="1"/>
  <c r="T771" i="17" s="1"/>
  <c r="T788" i="17" a="1"/>
  <c r="T788" i="17" s="1"/>
  <c r="T803" i="17" a="1"/>
  <c r="T803" i="17" s="1"/>
  <c r="T811" i="17" a="1"/>
  <c r="T811" i="17" s="1"/>
  <c r="T823" i="17" a="1"/>
  <c r="T823" i="17" s="1"/>
  <c r="T842" i="17" a="1"/>
  <c r="T842" i="17" s="1"/>
  <c r="T861" i="17" a="1"/>
  <c r="T861" i="17" s="1"/>
  <c r="T880" i="17" a="1"/>
  <c r="T880" i="17" s="1"/>
  <c r="T899" i="17" a="1"/>
  <c r="T899" i="17" s="1"/>
  <c r="T918" i="17" a="1"/>
  <c r="T918" i="17" s="1"/>
  <c r="T937" i="17" a="1"/>
  <c r="T937" i="17" s="1"/>
  <c r="T956" i="17" a="1"/>
  <c r="T956" i="17" s="1"/>
  <c r="T975" i="17" a="1"/>
  <c r="T975" i="17" s="1"/>
  <c r="T994" i="17" a="1"/>
  <c r="T994" i="17" s="1"/>
  <c r="T1013" i="17" a="1"/>
  <c r="T1013" i="17" s="1"/>
  <c r="T1032" i="17" a="1"/>
  <c r="T1032" i="17" s="1"/>
  <c r="T1051" i="17" a="1"/>
  <c r="T1051" i="17" s="1"/>
  <c r="T607" i="17" a="1"/>
  <c r="T607" i="17" s="1"/>
  <c r="T608" i="17" a="1"/>
  <c r="T608" i="17" s="1"/>
  <c r="T609" i="17" a="1"/>
  <c r="T609" i="17" s="1"/>
  <c r="T610" i="17" a="1"/>
  <c r="T610" i="17" s="1"/>
  <c r="T611" i="17" a="1"/>
  <c r="T611" i="17" s="1"/>
  <c r="T612" i="17" a="1"/>
  <c r="T612" i="17" s="1"/>
  <c r="T62" i="17" a="1"/>
  <c r="T62" i="17" s="1"/>
  <c r="T63" i="17" a="1"/>
  <c r="T63" i="17" s="1"/>
  <c r="T64" i="17" a="1"/>
  <c r="T64" i="17" s="1"/>
  <c r="T65" i="17" a="1"/>
  <c r="T65" i="17" s="1"/>
  <c r="T66" i="17" a="1"/>
  <c r="T66" i="17" s="1"/>
  <c r="T67" i="17" a="1"/>
  <c r="T67" i="17" s="1"/>
  <c r="T126" i="17" a="1"/>
  <c r="T126" i="17" s="1"/>
  <c r="T145" i="17" a="1"/>
  <c r="T145" i="17" s="1"/>
  <c r="T164" i="17" a="1"/>
  <c r="T164" i="17" s="1"/>
  <c r="T183" i="17" a="1"/>
  <c r="T183" i="17" s="1"/>
  <c r="T222" i="17" a="1"/>
  <c r="T222" i="17" s="1"/>
  <c r="T223" i="17" a="1"/>
  <c r="T223" i="17" s="1"/>
  <c r="T224" i="17" a="1"/>
  <c r="T224" i="17" s="1"/>
  <c r="T259" i="17" a="1"/>
  <c r="T259" i="17" s="1"/>
  <c r="T278" i="17" a="1"/>
  <c r="T278" i="17" s="1"/>
  <c r="T297" i="17" a="1"/>
  <c r="T297" i="17" s="1"/>
  <c r="T316" i="17" a="1"/>
  <c r="T316" i="17" s="1"/>
  <c r="T335" i="17" a="1"/>
  <c r="T335" i="17" s="1"/>
  <c r="T354" i="17" a="1"/>
  <c r="T354" i="17" s="1"/>
  <c r="T373" i="17" a="1"/>
  <c r="T373" i="17" s="1"/>
  <c r="T392" i="17" a="1"/>
  <c r="T392" i="17" s="1"/>
  <c r="T411" i="17" a="1"/>
  <c r="T411" i="17" s="1"/>
  <c r="T506" i="17" a="1"/>
  <c r="T506" i="17" s="1"/>
  <c r="T525" i="17" a="1"/>
  <c r="T525" i="17" s="1"/>
  <c r="T544" i="17" a="1"/>
  <c r="T544" i="17" s="1"/>
  <c r="T450" i="17" a="1"/>
  <c r="T450" i="17" s="1"/>
  <c r="T451" i="17" a="1"/>
  <c r="T451" i="17" s="1"/>
  <c r="T452" i="17" a="1"/>
  <c r="T452" i="17" s="1"/>
  <c r="T487" i="17" a="1"/>
  <c r="T487" i="17" s="1"/>
  <c r="T677" i="17" a="1"/>
  <c r="T677" i="17" s="1"/>
  <c r="T696" i="17" a="1"/>
  <c r="T696" i="17" s="1"/>
  <c r="T715" i="17" a="1"/>
  <c r="T715" i="17" s="1"/>
  <c r="T734" i="17" a="1"/>
  <c r="T734" i="17" s="1"/>
  <c r="T753" i="17" a="1"/>
  <c r="T753" i="17" s="1"/>
  <c r="T772" i="17" a="1"/>
  <c r="T772" i="17" s="1"/>
  <c r="T789" i="17" a="1"/>
  <c r="T789" i="17" s="1"/>
  <c r="T824" i="17" a="1"/>
  <c r="T824" i="17" s="1"/>
  <c r="T843" i="17" a="1"/>
  <c r="T843" i="17" s="1"/>
  <c r="T862" i="17" a="1"/>
  <c r="T862" i="17" s="1"/>
  <c r="T881" i="17" a="1"/>
  <c r="T881" i="17" s="1"/>
  <c r="T900" i="17" a="1"/>
  <c r="T900" i="17" s="1"/>
  <c r="T919" i="17" a="1"/>
  <c r="T919" i="17" s="1"/>
  <c r="T938" i="17" a="1"/>
  <c r="T938" i="17" s="1"/>
  <c r="T957" i="17" a="1"/>
  <c r="T957" i="17" s="1"/>
  <c r="T976" i="17" a="1"/>
  <c r="T976" i="17" s="1"/>
  <c r="T995" i="17" a="1"/>
  <c r="T995" i="17" s="1"/>
  <c r="T1014" i="17" a="1"/>
  <c r="T1014" i="17" s="1"/>
  <c r="T1033" i="17" a="1"/>
  <c r="T1033" i="17" s="1"/>
  <c r="T1052" i="17" a="1"/>
  <c r="T1052" i="17" s="1"/>
  <c r="T613" i="17" a="1"/>
  <c r="T613" i="17" s="1"/>
  <c r="T614" i="17" a="1"/>
  <c r="T614" i="17" s="1"/>
  <c r="T615" i="17" a="1"/>
  <c r="T615" i="17" s="1"/>
  <c r="T616" i="17" a="1"/>
  <c r="T616" i="17" s="1"/>
  <c r="T617" i="17" a="1"/>
  <c r="T617" i="17" s="1"/>
  <c r="T618" i="17" a="1"/>
  <c r="T618" i="17" s="1"/>
  <c r="T68" i="17" a="1"/>
  <c r="T68" i="17" s="1"/>
  <c r="T69" i="17" a="1"/>
  <c r="T69" i="17"/>
  <c r="T70" i="17" a="1"/>
  <c r="T70" i="17" s="1"/>
  <c r="T71" i="17" a="1"/>
  <c r="T71" i="17" s="1"/>
  <c r="T72" i="17" a="1"/>
  <c r="T72" i="17" s="1"/>
  <c r="T73" i="17" a="1"/>
  <c r="T73" i="17" s="1"/>
  <c r="T127" i="17" a="1"/>
  <c r="T127" i="17" s="1"/>
  <c r="T146" i="17" a="1"/>
  <c r="T146" i="17" s="1"/>
  <c r="T165" i="17" a="1"/>
  <c r="T165" i="17" s="1"/>
  <c r="T184" i="17" a="1"/>
  <c r="T184" i="17" s="1"/>
  <c r="T225" i="17" a="1"/>
  <c r="T225" i="17" s="1"/>
  <c r="T226" i="17" a="1"/>
  <c r="T226" i="17" s="1"/>
  <c r="T227" i="17" a="1"/>
  <c r="T227" i="17" s="1"/>
  <c r="T260" i="17" a="1"/>
  <c r="T260" i="17" s="1"/>
  <c r="T279" i="17" a="1"/>
  <c r="T279" i="17" s="1"/>
  <c r="T298" i="17" a="1"/>
  <c r="T298" i="17" s="1"/>
  <c r="T317" i="17" a="1"/>
  <c r="T317" i="17" s="1"/>
  <c r="T336" i="17" a="1"/>
  <c r="T336" i="17"/>
  <c r="T355" i="17" a="1"/>
  <c r="T355" i="17" s="1"/>
  <c r="T374" i="17" a="1"/>
  <c r="T374" i="17" s="1"/>
  <c r="T393" i="17" a="1"/>
  <c r="T393" i="17" s="1"/>
  <c r="T412" i="17" a="1"/>
  <c r="T412" i="17" s="1"/>
  <c r="T507" i="17" a="1"/>
  <c r="T507" i="17" s="1"/>
  <c r="T526" i="17" a="1"/>
  <c r="T526" i="17" s="1"/>
  <c r="T545" i="17" a="1"/>
  <c r="T545" i="17" s="1"/>
  <c r="T453" i="17" a="1"/>
  <c r="T453" i="17" s="1"/>
  <c r="T454" i="17" a="1"/>
  <c r="T454" i="17" s="1"/>
  <c r="T455" i="17" a="1"/>
  <c r="T455" i="17" s="1"/>
  <c r="T488" i="17" a="1"/>
  <c r="T488" i="17" s="1"/>
  <c r="T678" i="17" a="1"/>
  <c r="T678" i="17" s="1"/>
  <c r="T697" i="17" a="1"/>
  <c r="T697" i="17" s="1"/>
  <c r="T716" i="17" a="1"/>
  <c r="T716" i="17" s="1"/>
  <c r="T735" i="17" a="1"/>
  <c r="T735" i="17" s="1"/>
  <c r="T754" i="17" a="1"/>
  <c r="T754" i="17" s="1"/>
  <c r="T773" i="17" a="1"/>
  <c r="T773" i="17" s="1"/>
  <c r="T790" i="17" a="1"/>
  <c r="T790" i="17" s="1"/>
  <c r="T825" i="17" a="1"/>
  <c r="T825" i="17" s="1"/>
  <c r="T844" i="17" a="1"/>
  <c r="T844" i="17" s="1"/>
  <c r="T863" i="17" a="1"/>
  <c r="T863" i="17" s="1"/>
  <c r="T882" i="17" a="1"/>
  <c r="T882" i="17" s="1"/>
  <c r="T901" i="17" a="1"/>
  <c r="T901" i="17" s="1"/>
  <c r="T920" i="17" a="1"/>
  <c r="T920" i="17" s="1"/>
  <c r="T939" i="17" a="1"/>
  <c r="T939" i="17" s="1"/>
  <c r="T958" i="17" a="1"/>
  <c r="T958" i="17" s="1"/>
  <c r="T977" i="17" a="1"/>
  <c r="T977" i="17" s="1"/>
  <c r="T996" i="17" a="1"/>
  <c r="T996" i="17" s="1"/>
  <c r="T1015" i="17" a="1"/>
  <c r="T1015" i="17" s="1"/>
  <c r="T1034" i="17" a="1"/>
  <c r="T1034" i="17" s="1"/>
  <c r="T1053" i="17" a="1"/>
  <c r="T1053" i="17" s="1"/>
  <c r="T619" i="17" a="1"/>
  <c r="T619" i="17" s="1"/>
  <c r="T620" i="17" a="1"/>
  <c r="T620" i="17" s="1"/>
  <c r="T621" i="17" a="1"/>
  <c r="T621" i="17" s="1"/>
  <c r="T622" i="17" a="1"/>
  <c r="T622" i="17" s="1"/>
  <c r="T623" i="17" a="1"/>
  <c r="T623" i="17" s="1"/>
  <c r="T624" i="17" a="1"/>
  <c r="T624" i="17" s="1"/>
  <c r="T74" i="17" a="1"/>
  <c r="T74" i="17" s="1"/>
  <c r="T75" i="17" a="1"/>
  <c r="T75" i="17" s="1"/>
  <c r="T76" i="17" a="1"/>
  <c r="T76" i="17" s="1"/>
  <c r="T77" i="17" a="1"/>
  <c r="T77" i="17" s="1"/>
  <c r="T78" i="17" a="1"/>
  <c r="T78" i="17" s="1"/>
  <c r="T79" i="17" a="1"/>
  <c r="T79" i="17" s="1"/>
  <c r="T128" i="17" a="1"/>
  <c r="T128" i="17" s="1"/>
  <c r="T147" i="17" a="1"/>
  <c r="T147" i="17" s="1"/>
  <c r="T166" i="17" a="1"/>
  <c r="T166" i="17" s="1"/>
  <c r="T185" i="17" a="1"/>
  <c r="T185" i="17" s="1"/>
  <c r="T228" i="17" a="1"/>
  <c r="T228" i="17" s="1"/>
  <c r="T229" i="17" a="1"/>
  <c r="T229" i="17" s="1"/>
  <c r="T230" i="17" a="1"/>
  <c r="T230" i="17" s="1"/>
  <c r="T261" i="17" a="1"/>
  <c r="T261" i="17" s="1"/>
  <c r="T280" i="17" a="1"/>
  <c r="T280" i="17" s="1"/>
  <c r="T299" i="17" a="1"/>
  <c r="T299" i="17" s="1"/>
  <c r="T318" i="17" a="1"/>
  <c r="T318" i="17" s="1"/>
  <c r="T337" i="17" a="1"/>
  <c r="T337" i="17" s="1"/>
  <c r="T356" i="17" a="1"/>
  <c r="T356" i="17" s="1"/>
  <c r="T375" i="17" a="1"/>
  <c r="T375" i="17" s="1"/>
  <c r="T394" i="17" a="1"/>
  <c r="T394" i="17" s="1"/>
  <c r="T413" i="17" a="1"/>
  <c r="T413" i="17" s="1"/>
  <c r="T508" i="17" a="1"/>
  <c r="T508" i="17" s="1"/>
  <c r="T527" i="17" a="1"/>
  <c r="T527" i="17" s="1"/>
  <c r="T546" i="17" a="1"/>
  <c r="T546" i="17" s="1"/>
  <c r="T456" i="17" a="1"/>
  <c r="T456" i="17" s="1"/>
  <c r="T457" i="17" a="1"/>
  <c r="T457" i="17" s="1"/>
  <c r="T458" i="17" a="1"/>
  <c r="T458" i="17" s="1"/>
  <c r="T489" i="17" a="1"/>
  <c r="T489" i="17" s="1"/>
  <c r="T679" i="17" a="1"/>
  <c r="T679" i="17" s="1"/>
  <c r="T698" i="17" a="1"/>
  <c r="T698" i="17" s="1"/>
  <c r="T717" i="17" a="1"/>
  <c r="T717" i="17" s="1"/>
  <c r="T736" i="17" a="1"/>
  <c r="T736" i="17" s="1"/>
  <c r="T755" i="17" a="1"/>
  <c r="T755" i="17" s="1"/>
  <c r="T774" i="17" a="1"/>
  <c r="T774" i="17" s="1"/>
  <c r="T791" i="17" a="1"/>
  <c r="T791" i="17" s="1"/>
  <c r="T826" i="17" a="1"/>
  <c r="T826" i="17" s="1"/>
  <c r="T845" i="17" a="1"/>
  <c r="T845" i="17" s="1"/>
  <c r="T864" i="17" a="1"/>
  <c r="T864" i="17" s="1"/>
  <c r="T883" i="17" a="1"/>
  <c r="T883" i="17" s="1"/>
  <c r="T902" i="17" a="1"/>
  <c r="T902" i="17" s="1"/>
  <c r="T921" i="17" a="1"/>
  <c r="T921" i="17" s="1"/>
  <c r="T940" i="17" a="1"/>
  <c r="T940" i="17" s="1"/>
  <c r="T959" i="17" a="1"/>
  <c r="T959" i="17" s="1"/>
  <c r="T978" i="17" a="1"/>
  <c r="T978" i="17" s="1"/>
  <c r="T997" i="17" a="1"/>
  <c r="T997" i="17" s="1"/>
  <c r="T1016" i="17" a="1"/>
  <c r="T1016" i="17" s="1"/>
  <c r="T1035" i="17" a="1"/>
  <c r="T1035" i="17" s="1"/>
  <c r="T1054" i="17" a="1"/>
  <c r="T1054" i="17" s="1"/>
  <c r="T625" i="17" a="1"/>
  <c r="T625" i="17" s="1"/>
  <c r="T626" i="17" a="1"/>
  <c r="T626" i="17" s="1"/>
  <c r="T627" i="17" a="1"/>
  <c r="T627" i="17"/>
  <c r="T628" i="17" a="1"/>
  <c r="T628" i="17" s="1"/>
  <c r="T629" i="17" a="1"/>
  <c r="T629" i="17" s="1"/>
  <c r="T630" i="17" a="1"/>
  <c r="T630" i="17" s="1"/>
  <c r="T80" i="17" a="1"/>
  <c r="T80" i="17" s="1"/>
  <c r="T81" i="17" a="1"/>
  <c r="T81" i="17" s="1"/>
  <c r="T82" i="17" a="1"/>
  <c r="T82" i="17" s="1"/>
  <c r="T83" i="17" a="1"/>
  <c r="T83" i="17"/>
  <c r="T84" i="17" a="1"/>
  <c r="T84" i="17" s="1"/>
  <c r="T85" i="17" a="1"/>
  <c r="T85" i="17" s="1"/>
  <c r="T129" i="17" a="1"/>
  <c r="T129" i="17" s="1"/>
  <c r="T148" i="17" a="1"/>
  <c r="T148" i="17" s="1"/>
  <c r="T167" i="17" a="1"/>
  <c r="T167" i="17" s="1"/>
  <c r="T186" i="17" a="1"/>
  <c r="T186" i="17" s="1"/>
  <c r="T231" i="17" a="1"/>
  <c r="T231" i="17" s="1"/>
  <c r="T232" i="17" a="1"/>
  <c r="T232" i="17" s="1"/>
  <c r="T233" i="17" a="1"/>
  <c r="T233" i="17" s="1"/>
  <c r="T262" i="17" a="1"/>
  <c r="T262" i="17" s="1"/>
  <c r="T281" i="17" a="1"/>
  <c r="T281" i="17" s="1"/>
  <c r="T300" i="17" a="1"/>
  <c r="T300" i="17" s="1"/>
  <c r="T319" i="17" a="1"/>
  <c r="T319" i="17" s="1"/>
  <c r="T338" i="17" a="1"/>
  <c r="T338" i="17" s="1"/>
  <c r="T357" i="17" a="1"/>
  <c r="T357" i="17" s="1"/>
  <c r="T376" i="17" a="1"/>
  <c r="T376" i="17"/>
  <c r="T395" i="17" a="1"/>
  <c r="T395" i="17" s="1"/>
  <c r="T414" i="17" a="1"/>
  <c r="T414" i="17" s="1"/>
  <c r="T509" i="17" a="1"/>
  <c r="T509" i="17" s="1"/>
  <c r="T528" i="17" a="1"/>
  <c r="T528" i="17" s="1"/>
  <c r="T547" i="17" a="1"/>
  <c r="T547" i="17" s="1"/>
  <c r="T459" i="17" a="1"/>
  <c r="T459" i="17" s="1"/>
  <c r="T460" i="17" a="1"/>
  <c r="T460" i="17"/>
  <c r="T461" i="17" a="1"/>
  <c r="T461" i="17" s="1"/>
  <c r="T490" i="17" a="1"/>
  <c r="T490" i="17" s="1"/>
  <c r="T680" i="17" a="1"/>
  <c r="T680" i="17" s="1"/>
  <c r="T699" i="17" a="1"/>
  <c r="T699" i="17" s="1"/>
  <c r="T718" i="17" a="1"/>
  <c r="T718" i="17" s="1"/>
  <c r="T737" i="17" a="1"/>
  <c r="T737" i="17" s="1"/>
  <c r="T756" i="17" a="1"/>
  <c r="T756" i="17" s="1"/>
  <c r="T775" i="17" a="1"/>
  <c r="T775" i="17" s="1"/>
  <c r="T792" i="17" a="1"/>
  <c r="T792" i="17" s="1"/>
  <c r="T804" i="17" a="1"/>
  <c r="T804" i="17" s="1"/>
  <c r="T827" i="17" a="1"/>
  <c r="T827" i="17" s="1"/>
  <c r="T846" i="17" a="1"/>
  <c r="T846" i="17" s="1"/>
  <c r="T865" i="17" a="1"/>
  <c r="T865" i="17" s="1"/>
  <c r="T884" i="17" a="1"/>
  <c r="T884" i="17" s="1"/>
  <c r="T903" i="17" a="1"/>
  <c r="T903" i="17" s="1"/>
  <c r="T922" i="17" a="1"/>
  <c r="T922" i="17" s="1"/>
  <c r="T941" i="17" a="1"/>
  <c r="T941" i="17" s="1"/>
  <c r="T960" i="17" a="1"/>
  <c r="T960" i="17" s="1"/>
  <c r="T979" i="17" a="1"/>
  <c r="T979" i="17" s="1"/>
  <c r="T998" i="17" a="1"/>
  <c r="T998" i="17" s="1"/>
  <c r="T1017" i="17" a="1"/>
  <c r="T1017" i="17" s="1"/>
  <c r="T1036" i="17" a="1"/>
  <c r="T1036" i="17" s="1"/>
  <c r="T1055" i="17" a="1"/>
  <c r="T1055" i="17" s="1"/>
  <c r="T631" i="17" a="1"/>
  <c r="T631" i="17" s="1"/>
  <c r="T632" i="17" a="1"/>
  <c r="T632" i="17"/>
  <c r="T633" i="17" a="1"/>
  <c r="T633" i="17" s="1"/>
  <c r="T634" i="17" a="1"/>
  <c r="T634" i="17" s="1"/>
  <c r="T635" i="17" a="1"/>
  <c r="T635" i="17" s="1"/>
  <c r="T636" i="17" a="1"/>
  <c r="T636" i="17" s="1"/>
  <c r="T86" i="17" a="1"/>
  <c r="T86" i="17" s="1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130" i="17" a="1"/>
  <c r="T130" i="17" s="1"/>
  <c r="T149" i="17" a="1"/>
  <c r="T149" i="17" s="1"/>
  <c r="T168" i="17" a="1"/>
  <c r="T168" i="17" s="1"/>
  <c r="T187" i="17" a="1"/>
  <c r="T187" i="17" s="1"/>
  <c r="T234" i="17" a="1"/>
  <c r="T234" i="17" s="1"/>
  <c r="T235" i="17" a="1"/>
  <c r="T235" i="17" s="1"/>
  <c r="T236" i="17" a="1"/>
  <c r="T236" i="17" s="1"/>
  <c r="T263" i="17" a="1"/>
  <c r="T263" i="17" s="1"/>
  <c r="T282" i="17" a="1"/>
  <c r="T282" i="17" s="1"/>
  <c r="T301" i="17" a="1"/>
  <c r="T301" i="17" s="1"/>
  <c r="T320" i="17" a="1"/>
  <c r="T320" i="17" s="1"/>
  <c r="T339" i="17" a="1"/>
  <c r="T339" i="17" s="1"/>
  <c r="T358" i="17" a="1"/>
  <c r="T358" i="17" s="1"/>
  <c r="T377" i="17" a="1"/>
  <c r="T377" i="17" s="1"/>
  <c r="T396" i="17" a="1"/>
  <c r="T396" i="17" s="1"/>
  <c r="T415" i="17" a="1"/>
  <c r="T415" i="17" s="1"/>
  <c r="T510" i="17" a="1"/>
  <c r="T510" i="17" s="1"/>
  <c r="T529" i="17" a="1"/>
  <c r="T529" i="17" s="1"/>
  <c r="T548" i="17" a="1"/>
  <c r="T548" i="17" s="1"/>
  <c r="T462" i="17" a="1"/>
  <c r="T462" i="17" s="1"/>
  <c r="T463" i="17" a="1"/>
  <c r="T463" i="17" s="1"/>
  <c r="T464" i="17" a="1"/>
  <c r="T464" i="17"/>
  <c r="T491" i="17" a="1"/>
  <c r="T491" i="17" s="1"/>
  <c r="T681" i="17" a="1"/>
  <c r="T681" i="17" s="1"/>
  <c r="T700" i="17" a="1"/>
  <c r="T700" i="17" s="1"/>
  <c r="T719" i="17" a="1"/>
  <c r="T719" i="17" s="1"/>
  <c r="T738" i="17" a="1"/>
  <c r="T738" i="17" s="1"/>
  <c r="T757" i="17" a="1"/>
  <c r="T757" i="17" s="1"/>
  <c r="T776" i="17" a="1"/>
  <c r="T776" i="17"/>
  <c r="T793" i="17" a="1"/>
  <c r="T793" i="17" s="1"/>
  <c r="T805" i="17" a="1"/>
  <c r="T805" i="17" s="1"/>
  <c r="T828" i="17" a="1"/>
  <c r="T828" i="17" s="1"/>
  <c r="T847" i="17" a="1"/>
  <c r="T847" i="17" s="1"/>
  <c r="T866" i="17" a="1"/>
  <c r="T866" i="17" s="1"/>
  <c r="T885" i="17" a="1"/>
  <c r="T885" i="17" s="1"/>
  <c r="T904" i="17" a="1"/>
  <c r="T904" i="17" s="1"/>
  <c r="T923" i="17" a="1"/>
  <c r="T923" i="17" s="1"/>
  <c r="T942" i="17" a="1"/>
  <c r="T942" i="17" s="1"/>
  <c r="T961" i="17" a="1"/>
  <c r="T961" i="17" s="1"/>
  <c r="T980" i="17" a="1"/>
  <c r="T980" i="17" s="1"/>
  <c r="T999" i="17" a="1"/>
  <c r="T999" i="17" s="1"/>
  <c r="T1018" i="17" a="1"/>
  <c r="T1018" i="17" s="1"/>
  <c r="T1037" i="17" a="1"/>
  <c r="T1037" i="17" s="1"/>
  <c r="T1056" i="17" a="1"/>
  <c r="T1056" i="17" s="1"/>
  <c r="T637" i="17" a="1"/>
  <c r="T637" i="17" s="1"/>
  <c r="T638" i="17" a="1"/>
  <c r="T638" i="17" s="1"/>
  <c r="T639" i="17" a="1"/>
  <c r="T639" i="17" s="1"/>
  <c r="T640" i="17" a="1"/>
  <c r="T640" i="17" s="1"/>
  <c r="T641" i="17" a="1"/>
  <c r="T641" i="17" s="1"/>
  <c r="T642" i="17" a="1"/>
  <c r="T642" i="17" s="1"/>
  <c r="T92" i="17" a="1"/>
  <c r="T92" i="17" s="1"/>
  <c r="T93" i="17" a="1"/>
  <c r="T93" i="17" s="1"/>
  <c r="T94" i="17" a="1"/>
  <c r="T94" i="17" s="1"/>
  <c r="T95" i="17" a="1"/>
  <c r="T95" i="17" s="1"/>
  <c r="T96" i="17" a="1"/>
  <c r="T96" i="17" s="1"/>
  <c r="T97" i="17" a="1"/>
  <c r="T97" i="17" s="1"/>
  <c r="T131" i="17" a="1"/>
  <c r="T131" i="17" s="1"/>
  <c r="T150" i="17" a="1"/>
  <c r="T150" i="17" s="1"/>
  <c r="T169" i="17" a="1"/>
  <c r="T169" i="17" s="1"/>
  <c r="T188" i="17" a="1"/>
  <c r="T188" i="17" s="1"/>
  <c r="T237" i="17" a="1"/>
  <c r="T237" i="17" s="1"/>
  <c r="T238" i="17" a="1"/>
  <c r="T238" i="17" s="1"/>
  <c r="T239" i="17" a="1"/>
  <c r="T239" i="17" s="1"/>
  <c r="T264" i="17" a="1"/>
  <c r="T264" i="17" s="1"/>
  <c r="T283" i="17" a="1"/>
  <c r="T283" i="17" s="1"/>
  <c r="T302" i="17" a="1"/>
  <c r="T302" i="17" s="1"/>
  <c r="T321" i="17" a="1"/>
  <c r="T321" i="17" s="1"/>
  <c r="T340" i="17" a="1"/>
  <c r="T340" i="17" s="1"/>
  <c r="T359" i="17" a="1"/>
  <c r="T359" i="17" s="1"/>
  <c r="T378" i="17" a="1"/>
  <c r="T378" i="17" s="1"/>
  <c r="T397" i="17" a="1"/>
  <c r="T397" i="17" s="1"/>
  <c r="T416" i="17" a="1"/>
  <c r="T416" i="17" s="1"/>
  <c r="T511" i="17" a="1"/>
  <c r="T511" i="17" s="1"/>
  <c r="T530" i="17" a="1"/>
  <c r="T530" i="17" s="1"/>
  <c r="T549" i="17" a="1"/>
  <c r="T549" i="17" s="1"/>
  <c r="T465" i="17" a="1"/>
  <c r="T465" i="17" s="1"/>
  <c r="T466" i="17" a="1"/>
  <c r="T466" i="17" s="1"/>
  <c r="T467" i="17" a="1"/>
  <c r="T467" i="17" s="1"/>
  <c r="T492" i="17" a="1"/>
  <c r="T492" i="17" s="1"/>
  <c r="T682" i="17" a="1"/>
  <c r="T682" i="17" s="1"/>
  <c r="T701" i="17" a="1"/>
  <c r="T701" i="17" s="1"/>
  <c r="T720" i="17" a="1"/>
  <c r="T720" i="17" s="1"/>
  <c r="T739" i="17" a="1"/>
  <c r="T739" i="17" s="1"/>
  <c r="T758" i="17" a="1"/>
  <c r="T758" i="17" s="1"/>
  <c r="T777" i="17" a="1"/>
  <c r="T777" i="17" s="1"/>
  <c r="T806" i="17" a="1"/>
  <c r="T806" i="17"/>
  <c r="T812" i="17" a="1"/>
  <c r="T812" i="17" s="1"/>
  <c r="T829" i="17" a="1"/>
  <c r="T829" i="17" s="1"/>
  <c r="T848" i="17" a="1"/>
  <c r="T848" i="17" s="1"/>
  <c r="T867" i="17" a="1"/>
  <c r="T867" i="17" s="1"/>
  <c r="T886" i="17" a="1"/>
  <c r="T886" i="17" s="1"/>
  <c r="T905" i="17" a="1"/>
  <c r="T905" i="17" s="1"/>
  <c r="T924" i="17" a="1"/>
  <c r="T924" i="17"/>
  <c r="T943" i="17" a="1"/>
  <c r="T943" i="17" s="1"/>
  <c r="T962" i="17" a="1"/>
  <c r="T962" i="17" s="1"/>
  <c r="T981" i="17" a="1"/>
  <c r="T981" i="17" s="1"/>
  <c r="T1000" i="17" a="1"/>
  <c r="T1000" i="17" s="1"/>
  <c r="T1019" i="17" a="1"/>
  <c r="T1019" i="17" s="1"/>
  <c r="T1038" i="17" a="1"/>
  <c r="T1038" i="17" s="1"/>
  <c r="T1057" i="17" a="1"/>
  <c r="T1057" i="17" s="1"/>
  <c r="T643" i="17" a="1"/>
  <c r="T643" i="17" s="1"/>
  <c r="T644" i="17" a="1"/>
  <c r="T644" i="17" s="1"/>
  <c r="T645" i="17" a="1"/>
  <c r="T645" i="17" s="1"/>
  <c r="T646" i="17" a="1"/>
  <c r="T646" i="17" s="1"/>
  <c r="T647" i="17" a="1"/>
  <c r="T647" i="17" s="1"/>
  <c r="T648" i="17" a="1"/>
  <c r="T648" i="17" s="1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 s="1"/>
  <c r="T132" i="17" a="1"/>
  <c r="T132" i="17" s="1"/>
  <c r="T151" i="17" a="1"/>
  <c r="T151" i="17" s="1"/>
  <c r="T170" i="17" a="1"/>
  <c r="T170" i="17" s="1"/>
  <c r="T189" i="17" a="1"/>
  <c r="T189" i="17" s="1"/>
  <c r="T240" i="17" a="1"/>
  <c r="T240" i="17" s="1"/>
  <c r="T241" i="17" a="1"/>
  <c r="T241" i="17" s="1"/>
  <c r="T242" i="17" a="1"/>
  <c r="T242" i="17" s="1"/>
  <c r="T265" i="17" a="1"/>
  <c r="T265" i="17" s="1"/>
  <c r="T284" i="17" a="1"/>
  <c r="T284" i="17" s="1"/>
  <c r="T303" i="17" a="1"/>
  <c r="T303" i="17" s="1"/>
  <c r="T322" i="17" a="1"/>
  <c r="T322" i="17" s="1"/>
  <c r="T341" i="17" a="1"/>
  <c r="T341" i="17" s="1"/>
  <c r="T360" i="17" a="1"/>
  <c r="T360" i="17" s="1"/>
  <c r="T379" i="17" a="1"/>
  <c r="T379" i="17" s="1"/>
  <c r="T398" i="17" a="1"/>
  <c r="T398" i="17" s="1"/>
  <c r="T417" i="17" a="1"/>
  <c r="T417" i="17" s="1"/>
  <c r="T512" i="17" a="1"/>
  <c r="T512" i="17" s="1"/>
  <c r="T531" i="17" a="1"/>
  <c r="T531" i="17" s="1"/>
  <c r="T550" i="17" a="1"/>
  <c r="T550" i="17" s="1"/>
  <c r="T468" i="17" a="1"/>
  <c r="T468" i="17" s="1"/>
  <c r="T469" i="17" a="1"/>
  <c r="T469" i="17" s="1"/>
  <c r="T470" i="17" a="1"/>
  <c r="T470" i="17" s="1"/>
  <c r="T493" i="17" a="1"/>
  <c r="T493" i="17" s="1"/>
  <c r="T683" i="17" a="1"/>
  <c r="T683" i="17" s="1"/>
  <c r="T702" i="17" a="1"/>
  <c r="T702" i="17" s="1"/>
  <c r="T721" i="17" a="1"/>
  <c r="T721" i="17" s="1"/>
  <c r="T740" i="17" a="1"/>
  <c r="T740" i="17" s="1"/>
  <c r="T759" i="17" a="1"/>
  <c r="T759" i="17" s="1"/>
  <c r="T778" i="17" a="1"/>
  <c r="T778" i="17" s="1"/>
  <c r="T794" i="17" a="1"/>
  <c r="T794" i="17" s="1"/>
  <c r="T807" i="17" a="1"/>
  <c r="T807" i="17" s="1"/>
  <c r="T830" i="17" a="1"/>
  <c r="T830" i="17" s="1"/>
  <c r="T849" i="17" a="1"/>
  <c r="T849" i="17" s="1"/>
  <c r="T868" i="17" a="1"/>
  <c r="T868" i="17" s="1"/>
  <c r="T887" i="17" a="1"/>
  <c r="T887" i="17" s="1"/>
  <c r="T906" i="17" a="1"/>
  <c r="T906" i="17" s="1"/>
  <c r="T925" i="17" a="1"/>
  <c r="T925" i="17" s="1"/>
  <c r="T944" i="17" a="1"/>
  <c r="T944" i="17"/>
  <c r="T963" i="17" a="1"/>
  <c r="T963" i="17" s="1"/>
  <c r="T982" i="17" a="1"/>
  <c r="T982" i="17" s="1"/>
  <c r="T1001" i="17" a="1"/>
  <c r="T1001" i="17" s="1"/>
  <c r="T1020" i="17" a="1"/>
  <c r="T1020" i="17" s="1"/>
  <c r="T1039" i="17" a="1"/>
  <c r="T1039" i="17" s="1"/>
  <c r="T1058" i="17" a="1"/>
  <c r="T1058" i="17" s="1"/>
  <c r="T649" i="17" a="1"/>
  <c r="T649" i="17"/>
  <c r="T650" i="17" a="1"/>
  <c r="T650" i="17" s="1"/>
  <c r="T651" i="17" a="1"/>
  <c r="T651" i="17" s="1"/>
  <c r="T652" i="17" a="1"/>
  <c r="T652" i="17" s="1"/>
  <c r="T653" i="17" a="1"/>
  <c r="T653" i="17" s="1"/>
  <c r="T654" i="17" a="1"/>
  <c r="T654" i="17" s="1"/>
  <c r="T104" i="17" a="1"/>
  <c r="T104" i="17" s="1"/>
  <c r="T105" i="17" a="1"/>
  <c r="T105" i="17" s="1"/>
  <c r="T106" i="17" a="1"/>
  <c r="T106" i="17" s="1"/>
  <c r="T107" i="17" a="1"/>
  <c r="T107" i="17" s="1"/>
  <c r="T108" i="17" a="1"/>
  <c r="T108" i="17" s="1"/>
  <c r="T109" i="17" a="1"/>
  <c r="T109" i="17" s="1"/>
  <c r="T133" i="17" a="1"/>
  <c r="T133" i="17" s="1"/>
  <c r="T152" i="17" a="1"/>
  <c r="T152" i="17" s="1"/>
  <c r="T171" i="17" a="1"/>
  <c r="T171" i="17" s="1"/>
  <c r="T190" i="17" a="1"/>
  <c r="T190" i="17" s="1"/>
  <c r="T243" i="17" a="1"/>
  <c r="T243" i="17" s="1"/>
  <c r="T244" i="17" a="1"/>
  <c r="T244" i="17" s="1"/>
  <c r="T245" i="17" a="1"/>
  <c r="T245" i="17" s="1"/>
  <c r="T266" i="17" a="1"/>
  <c r="T266" i="17" s="1"/>
  <c r="T285" i="17" a="1"/>
  <c r="T285" i="17" s="1"/>
  <c r="T304" i="17" a="1"/>
  <c r="T304" i="17" s="1"/>
  <c r="T323" i="17" a="1"/>
  <c r="T323" i="17" s="1"/>
  <c r="T342" i="17" a="1"/>
  <c r="T342" i="17" s="1"/>
  <c r="T361" i="17" a="1"/>
  <c r="T361" i="17" s="1"/>
  <c r="T380" i="17" a="1"/>
  <c r="T380" i="17" s="1"/>
  <c r="T399" i="17" a="1"/>
  <c r="T399" i="17" s="1"/>
  <c r="T418" i="17" a="1"/>
  <c r="T418" i="17" s="1"/>
  <c r="T513" i="17" a="1"/>
  <c r="T513" i="17" s="1"/>
  <c r="T532" i="17" a="1"/>
  <c r="T532" i="17" s="1"/>
  <c r="T551" i="17" a="1"/>
  <c r="T551" i="17" s="1"/>
  <c r="T471" i="17" a="1"/>
  <c r="T471" i="17" s="1"/>
  <c r="T472" i="17" a="1"/>
  <c r="T472" i="17" s="1"/>
  <c r="T473" i="17" a="1"/>
  <c r="T473" i="17" s="1"/>
  <c r="T494" i="17" a="1"/>
  <c r="T494" i="17" s="1"/>
  <c r="T684" i="17" a="1"/>
  <c r="T684" i="17" s="1"/>
  <c r="T703" i="17" a="1"/>
  <c r="T703" i="17" s="1"/>
  <c r="T722" i="17" a="1"/>
  <c r="T722" i="17" s="1"/>
  <c r="T741" i="17" a="1"/>
  <c r="T741" i="17" s="1"/>
  <c r="T760" i="17" a="1"/>
  <c r="T760" i="17" s="1"/>
  <c r="T779" i="17" a="1"/>
  <c r="T779" i="17" s="1"/>
  <c r="T795" i="17" a="1"/>
  <c r="T795" i="17" s="1"/>
  <c r="T808" i="17" a="1"/>
  <c r="T808" i="17" s="1"/>
  <c r="T831" i="17" a="1"/>
  <c r="T831" i="17" s="1"/>
  <c r="T850" i="17" a="1"/>
  <c r="T850" i="17" s="1"/>
  <c r="T869" i="17" a="1"/>
  <c r="T869" i="17" s="1"/>
  <c r="T888" i="17" a="1"/>
  <c r="T888" i="17" s="1"/>
  <c r="T907" i="17" a="1"/>
  <c r="T907" i="17" s="1"/>
  <c r="T926" i="17" a="1"/>
  <c r="T926" i="17" s="1"/>
  <c r="T945" i="17" a="1"/>
  <c r="T945" i="17" s="1"/>
  <c r="T964" i="17" a="1"/>
  <c r="T964" i="17" s="1"/>
  <c r="T983" i="17" a="1"/>
  <c r="T983" i="17" s="1"/>
  <c r="T1002" i="17" a="1"/>
  <c r="T1002" i="17" s="1"/>
  <c r="T1021" i="17" a="1"/>
  <c r="T1021" i="17" s="1"/>
  <c r="T1040" i="17" a="1"/>
  <c r="T1040" i="17" s="1"/>
  <c r="T1059" i="17" a="1"/>
  <c r="T1059" i="17" s="1"/>
  <c r="T655" i="17" a="1"/>
  <c r="T655" i="17" s="1"/>
  <c r="T656" i="17" a="1"/>
  <c r="T656" i="17"/>
  <c r="T657" i="17" a="1"/>
  <c r="T657" i="17" s="1"/>
  <c r="T658" i="17" a="1"/>
  <c r="T658" i="17" s="1"/>
  <c r="T659" i="17" a="1"/>
  <c r="T659" i="17" s="1"/>
  <c r="T660" i="17" a="1"/>
  <c r="T660" i="17" s="1"/>
  <c r="T110" i="17" a="1"/>
  <c r="T110" i="17" s="1"/>
  <c r="T111" i="17" a="1"/>
  <c r="T111" i="17" s="1"/>
  <c r="T112" i="17" a="1"/>
  <c r="T112" i="17"/>
  <c r="T113" i="17" a="1"/>
  <c r="T113" i="17" s="1"/>
  <c r="T114" i="17" a="1"/>
  <c r="T114" i="17" s="1"/>
  <c r="T115" i="17" a="1"/>
  <c r="T115" i="17" s="1"/>
  <c r="T134" i="17" a="1"/>
  <c r="T134" i="17" s="1"/>
  <c r="T153" i="17" a="1"/>
  <c r="T153" i="17" s="1"/>
  <c r="T172" i="17" a="1"/>
  <c r="T172" i="17" s="1"/>
  <c r="T191" i="17" a="1"/>
  <c r="T191" i="17" s="1"/>
  <c r="T246" i="17" a="1"/>
  <c r="T246" i="17" s="1"/>
  <c r="T247" i="17" a="1"/>
  <c r="T247" i="17" s="1"/>
  <c r="T248" i="17" a="1"/>
  <c r="T248" i="17" s="1"/>
  <c r="T267" i="17" a="1"/>
  <c r="T267" i="17" s="1"/>
  <c r="T286" i="17" a="1"/>
  <c r="T286" i="17" s="1"/>
  <c r="T305" i="17" a="1"/>
  <c r="T305" i="17" s="1"/>
  <c r="T324" i="17" a="1"/>
  <c r="T324" i="17" s="1"/>
  <c r="T343" i="17" a="1"/>
  <c r="T343" i="17" s="1"/>
  <c r="T362" i="17" a="1"/>
  <c r="T362" i="17" s="1"/>
  <c r="T381" i="17" a="1"/>
  <c r="T381" i="17" s="1"/>
  <c r="T400" i="17" a="1"/>
  <c r="T400" i="17" s="1"/>
  <c r="T419" i="17" a="1"/>
  <c r="T419" i="17" s="1"/>
  <c r="T514" i="17" a="1"/>
  <c r="T514" i="17" s="1"/>
  <c r="T533" i="17" a="1"/>
  <c r="T533" i="17" s="1"/>
  <c r="T552" i="17" a="1"/>
  <c r="T552" i="17" s="1"/>
  <c r="T474" i="17" a="1"/>
  <c r="T474" i="17" s="1"/>
  <c r="T475" i="17" a="1"/>
  <c r="T475" i="17" s="1"/>
  <c r="T476" i="17" a="1"/>
  <c r="T476" i="17" s="1"/>
  <c r="T495" i="17" a="1"/>
  <c r="T495" i="17" s="1"/>
  <c r="T685" i="17" a="1"/>
  <c r="T685" i="17" s="1"/>
  <c r="T704" i="17" a="1"/>
  <c r="T704" i="17" s="1"/>
  <c r="T723" i="17" a="1"/>
  <c r="T723" i="17" s="1"/>
  <c r="T742" i="17" a="1"/>
  <c r="T742" i="17" s="1"/>
  <c r="T761" i="17" a="1"/>
  <c r="T761" i="17" s="1"/>
  <c r="T780" i="17" a="1"/>
  <c r="T780" i="17" s="1"/>
  <c r="T796" i="17" a="1"/>
  <c r="T796" i="17" s="1"/>
  <c r="T809" i="17" a="1"/>
  <c r="T809" i="17" s="1"/>
  <c r="T813" i="17" a="1"/>
  <c r="T813" i="17" s="1"/>
  <c r="T832" i="17" a="1"/>
  <c r="T832" i="17" s="1"/>
  <c r="T851" i="17" a="1"/>
  <c r="T851" i="17" s="1"/>
  <c r="T870" i="17" a="1"/>
  <c r="T870" i="17" s="1"/>
  <c r="T889" i="17" a="1"/>
  <c r="T889" i="17" s="1"/>
  <c r="T908" i="17" a="1"/>
  <c r="T908" i="17" s="1"/>
  <c r="T927" i="17" a="1"/>
  <c r="T927" i="17" s="1"/>
  <c r="T946" i="17" a="1"/>
  <c r="T946" i="17" s="1"/>
  <c r="T965" i="17" a="1"/>
  <c r="T965" i="17" s="1"/>
  <c r="T984" i="17" a="1"/>
  <c r="T984" i="17" s="1"/>
  <c r="T1003" i="17" a="1"/>
  <c r="T1003" i="17" s="1"/>
  <c r="T1022" i="17" a="1"/>
  <c r="T1022" i="17" s="1"/>
  <c r="T1041" i="17" a="1"/>
  <c r="T1041" i="17" s="1"/>
  <c r="T1060" i="17" a="1"/>
  <c r="T1060" i="17" s="1"/>
  <c r="T661" i="17" a="1"/>
  <c r="T661" i="17" s="1"/>
  <c r="T662" i="17" a="1"/>
  <c r="T662" i="17" s="1"/>
  <c r="T663" i="17" a="1"/>
  <c r="T663" i="17" s="1"/>
  <c r="T664" i="17" a="1"/>
  <c r="T664" i="17" s="1"/>
  <c r="T665" i="17" a="1"/>
  <c r="T665" i="17" s="1"/>
  <c r="T666" i="17" a="1"/>
  <c r="T666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116" i="17" a="1"/>
  <c r="U116" i="17" s="1"/>
  <c r="U135" i="17" a="1"/>
  <c r="U135" i="17" s="1"/>
  <c r="U154" i="17" a="1"/>
  <c r="U154" i="17" s="1"/>
  <c r="U173" i="17" a="1"/>
  <c r="U173" i="17" s="1"/>
  <c r="U192" i="17" a="1"/>
  <c r="U192" i="17" s="1"/>
  <c r="U193" i="17" a="1"/>
  <c r="U193" i="17" s="1"/>
  <c r="U194" i="17" a="1"/>
  <c r="U194" i="17" s="1"/>
  <c r="U249" i="17" a="1"/>
  <c r="U249" i="17" s="1"/>
  <c r="U268" i="17" a="1"/>
  <c r="U268" i="17" s="1"/>
  <c r="U287" i="17" a="1"/>
  <c r="U287" i="17" s="1"/>
  <c r="U306" i="17" a="1"/>
  <c r="U306" i="17" s="1"/>
  <c r="U325" i="17" a="1"/>
  <c r="U325" i="17" s="1"/>
  <c r="U344" i="17" a="1"/>
  <c r="U344" i="17" s="1"/>
  <c r="U363" i="17" a="1"/>
  <c r="U363" i="17" s="1"/>
  <c r="U382" i="17" a="1"/>
  <c r="U382" i="17" s="1"/>
  <c r="U401" i="17" a="1"/>
  <c r="U401" i="17" s="1"/>
  <c r="U496" i="17" a="1"/>
  <c r="U496" i="17" s="1"/>
  <c r="U515" i="17" a="1"/>
  <c r="U515" i="17" s="1"/>
  <c r="U534" i="17" a="1"/>
  <c r="U534" i="17" s="1"/>
  <c r="U420" i="17" a="1"/>
  <c r="U420" i="17" s="1"/>
  <c r="U421" i="17" a="1"/>
  <c r="U421" i="17" s="1"/>
  <c r="U422" i="17" a="1"/>
  <c r="U422" i="17" s="1"/>
  <c r="U477" i="17" a="1"/>
  <c r="U477" i="17" s="1"/>
  <c r="U667" i="17" a="1"/>
  <c r="U667" i="17" s="1"/>
  <c r="U686" i="17" a="1"/>
  <c r="U686" i="17" s="1"/>
  <c r="U705" i="17" a="1"/>
  <c r="U705" i="17" s="1"/>
  <c r="U724" i="17" a="1"/>
  <c r="U724" i="17" s="1"/>
  <c r="U743" i="17" a="1"/>
  <c r="U743" i="17" s="1"/>
  <c r="U762" i="17" a="1"/>
  <c r="U762" i="17" s="1"/>
  <c r="U781" i="17" a="1"/>
  <c r="U781" i="17" s="1"/>
  <c r="U797" i="17" a="1"/>
  <c r="U797" i="17" s="1"/>
  <c r="U814" i="17" a="1"/>
  <c r="U814" i="17" s="1"/>
  <c r="U833" i="17" a="1"/>
  <c r="U833" i="17" s="1"/>
  <c r="U852" i="17" a="1"/>
  <c r="U852" i="17" s="1"/>
  <c r="U871" i="17" a="1"/>
  <c r="U871" i="17" s="1"/>
  <c r="U890" i="17" a="1"/>
  <c r="U890" i="17" s="1"/>
  <c r="U909" i="17" a="1"/>
  <c r="U909" i="17" s="1"/>
  <c r="U928" i="17" a="1"/>
  <c r="U928" i="17" s="1"/>
  <c r="U947" i="17" a="1"/>
  <c r="U947" i="17" s="1"/>
  <c r="U966" i="17" a="1"/>
  <c r="U966" i="17" s="1"/>
  <c r="U985" i="17" a="1"/>
  <c r="U985" i="17" s="1"/>
  <c r="U1004" i="17" a="1"/>
  <c r="U1004" i="17" s="1"/>
  <c r="U1023" i="17" a="1"/>
  <c r="U1023" i="17" s="1"/>
  <c r="U1042" i="17" a="1"/>
  <c r="U1042" i="17" s="1"/>
  <c r="U553" i="17" a="1"/>
  <c r="U553" i="17" s="1"/>
  <c r="U554" i="17" a="1"/>
  <c r="U554" i="17" s="1"/>
  <c r="U555" i="17" a="1"/>
  <c r="U555" i="17" s="1"/>
  <c r="U556" i="17" a="1"/>
  <c r="U556" i="17" s="1"/>
  <c r="U557" i="17" a="1"/>
  <c r="U557" i="17" s="1"/>
  <c r="U558" i="17" a="1"/>
  <c r="U558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117" i="17" a="1"/>
  <c r="U117" i="17" s="1"/>
  <c r="U136" i="17" a="1"/>
  <c r="U136" i="17" s="1"/>
  <c r="U155" i="17" a="1"/>
  <c r="U155" i="17" s="1"/>
  <c r="U174" i="17" a="1"/>
  <c r="U174" i="17" s="1"/>
  <c r="U195" i="17" a="1"/>
  <c r="U195" i="17" s="1"/>
  <c r="U196" i="17" a="1"/>
  <c r="U196" i="17" s="1"/>
  <c r="U197" i="17" a="1"/>
  <c r="U197" i="17" s="1"/>
  <c r="U250" i="17" a="1"/>
  <c r="U250" i="17" s="1"/>
  <c r="U269" i="17" a="1"/>
  <c r="U269" i="17" s="1"/>
  <c r="U288" i="17" a="1"/>
  <c r="U288" i="17" s="1"/>
  <c r="U307" i="17" a="1"/>
  <c r="U307" i="17" s="1"/>
  <c r="U326" i="17" a="1"/>
  <c r="U326" i="17" s="1"/>
  <c r="U345" i="17" a="1"/>
  <c r="U345" i="17" s="1"/>
  <c r="U364" i="17" a="1"/>
  <c r="U364" i="17" s="1"/>
  <c r="U383" i="17" a="1"/>
  <c r="U383" i="17" s="1"/>
  <c r="U402" i="17" a="1"/>
  <c r="U402" i="17" s="1"/>
  <c r="U497" i="17" a="1"/>
  <c r="U497" i="17" s="1"/>
  <c r="U516" i="17" a="1"/>
  <c r="U516" i="17" s="1"/>
  <c r="U535" i="17" a="1"/>
  <c r="U535" i="17" s="1"/>
  <c r="U423" i="17" a="1"/>
  <c r="U423" i="17" s="1"/>
  <c r="U424" i="17" a="1"/>
  <c r="U424" i="17" s="1"/>
  <c r="U425" i="17" a="1"/>
  <c r="U425" i="17" s="1"/>
  <c r="U478" i="17" a="1"/>
  <c r="U478" i="17" s="1"/>
  <c r="U668" i="17" a="1"/>
  <c r="U668" i="17" s="1"/>
  <c r="U687" i="17" a="1"/>
  <c r="U687" i="17" s="1"/>
  <c r="U706" i="17" a="1"/>
  <c r="U706" i="17" s="1"/>
  <c r="U725" i="17" a="1"/>
  <c r="U725" i="17" s="1"/>
  <c r="U744" i="17" a="1"/>
  <c r="U744" i="17" s="1"/>
  <c r="U763" i="17" a="1"/>
  <c r="U763" i="17" s="1"/>
  <c r="U782" i="17" a="1"/>
  <c r="U782" i="17" s="1"/>
  <c r="U798" i="17" a="1"/>
  <c r="U798" i="17" s="1"/>
  <c r="U815" i="17" a="1"/>
  <c r="U815" i="17" s="1"/>
  <c r="U834" i="17" a="1"/>
  <c r="U834" i="17" s="1"/>
  <c r="U853" i="17" a="1"/>
  <c r="U853" i="17" s="1"/>
  <c r="U872" i="17" a="1"/>
  <c r="U872" i="17" s="1"/>
  <c r="U891" i="17" a="1"/>
  <c r="U891" i="17" s="1"/>
  <c r="U910" i="17" a="1"/>
  <c r="U910" i="17" s="1"/>
  <c r="U929" i="17" a="1"/>
  <c r="U929" i="17" s="1"/>
  <c r="U948" i="17" a="1"/>
  <c r="U948" i="17" s="1"/>
  <c r="U967" i="17" a="1"/>
  <c r="U967" i="17" s="1"/>
  <c r="U986" i="17" a="1"/>
  <c r="U986" i="17" s="1"/>
  <c r="U1005" i="17" a="1"/>
  <c r="U1005" i="17" s="1"/>
  <c r="U1024" i="17" a="1"/>
  <c r="U1024" i="17" s="1"/>
  <c r="U1043" i="17" a="1"/>
  <c r="U1043" i="17" s="1"/>
  <c r="U559" i="17" a="1"/>
  <c r="U559" i="17" s="1"/>
  <c r="U560" i="17" a="1"/>
  <c r="U560" i="17" s="1"/>
  <c r="U561" i="17" a="1"/>
  <c r="U561" i="17" s="1"/>
  <c r="U562" i="17" a="1"/>
  <c r="U562" i="17" s="1"/>
  <c r="U563" i="17" a="1"/>
  <c r="U563" i="17" s="1"/>
  <c r="U564" i="17" a="1"/>
  <c r="U564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U19" i="17" a="1"/>
  <c r="U19" i="17" s="1"/>
  <c r="U118" i="17" a="1"/>
  <c r="U118" i="17" s="1"/>
  <c r="U137" i="17" a="1"/>
  <c r="U137" i="17" s="1"/>
  <c r="U156" i="17" a="1"/>
  <c r="U156" i="17" s="1"/>
  <c r="U175" i="17" a="1"/>
  <c r="U175" i="17" s="1"/>
  <c r="U198" i="17" a="1"/>
  <c r="U198" i="17" s="1"/>
  <c r="U199" i="17" a="1"/>
  <c r="U199" i="17" s="1"/>
  <c r="U200" i="17" a="1"/>
  <c r="U200" i="17" s="1"/>
  <c r="U251" i="17" a="1"/>
  <c r="U251" i="17" s="1"/>
  <c r="U270" i="17" a="1"/>
  <c r="U270" i="17" s="1"/>
  <c r="U289" i="17" a="1"/>
  <c r="U289" i="17" s="1"/>
  <c r="U308" i="17" a="1"/>
  <c r="U308" i="17" s="1"/>
  <c r="U327" i="17" a="1"/>
  <c r="U327" i="17" s="1"/>
  <c r="U346" i="17" a="1"/>
  <c r="U346" i="17" s="1"/>
  <c r="U365" i="17" a="1"/>
  <c r="U365" i="17" s="1"/>
  <c r="U384" i="17" a="1"/>
  <c r="U384" i="17" s="1"/>
  <c r="U403" i="17" a="1"/>
  <c r="U403" i="17" s="1"/>
  <c r="U498" i="17" a="1"/>
  <c r="U498" i="17" s="1"/>
  <c r="U517" i="17" a="1"/>
  <c r="U517" i="17" s="1"/>
  <c r="U536" i="17" a="1"/>
  <c r="U536" i="17" s="1"/>
  <c r="U426" i="17" a="1"/>
  <c r="U426" i="17" s="1"/>
  <c r="U427" i="17" a="1"/>
  <c r="U427" i="17" s="1"/>
  <c r="U428" i="17" a="1"/>
  <c r="U428" i="17" s="1"/>
  <c r="U479" i="17" a="1"/>
  <c r="U479" i="17" s="1"/>
  <c r="U669" i="17" a="1"/>
  <c r="U669" i="17" s="1"/>
  <c r="U688" i="17" a="1"/>
  <c r="U688" i="17" s="1"/>
  <c r="U707" i="17" a="1"/>
  <c r="U707" i="17" s="1"/>
  <c r="U726" i="17" a="1"/>
  <c r="U726" i="17" s="1"/>
  <c r="U745" i="17" a="1"/>
  <c r="U745" i="17" s="1"/>
  <c r="U764" i="17" a="1"/>
  <c r="U764" i="17" s="1"/>
  <c r="U783" i="17" a="1"/>
  <c r="U783" i="17" s="1"/>
  <c r="U799" i="17" a="1"/>
  <c r="U799" i="17" s="1"/>
  <c r="U816" i="17" a="1"/>
  <c r="U816" i="17" s="1"/>
  <c r="U835" i="17" a="1"/>
  <c r="U835" i="17" s="1"/>
  <c r="U854" i="17" a="1"/>
  <c r="U854" i="17" s="1"/>
  <c r="U873" i="17" a="1"/>
  <c r="U873" i="17" s="1"/>
  <c r="U892" i="17" a="1"/>
  <c r="U892" i="17" s="1"/>
  <c r="U911" i="17" a="1"/>
  <c r="U911" i="17" s="1"/>
  <c r="U930" i="17" a="1"/>
  <c r="U930" i="17" s="1"/>
  <c r="U949" i="17" a="1"/>
  <c r="U949" i="17" s="1"/>
  <c r="U968" i="17" a="1"/>
  <c r="U968" i="17" s="1"/>
  <c r="U987" i="17" a="1"/>
  <c r="U987" i="17" s="1"/>
  <c r="U1006" i="17" a="1"/>
  <c r="U1006" i="17" s="1"/>
  <c r="U1025" i="17" a="1"/>
  <c r="U1025" i="17" s="1"/>
  <c r="U1044" i="17" a="1"/>
  <c r="U1044" i="17" s="1"/>
  <c r="U565" i="17" a="1"/>
  <c r="U565" i="17" s="1"/>
  <c r="U566" i="17" a="1"/>
  <c r="U566" i="17" s="1"/>
  <c r="U567" i="17" a="1"/>
  <c r="U567" i="17" s="1"/>
  <c r="U568" i="17" a="1"/>
  <c r="U568" i="17" s="1"/>
  <c r="U569" i="17" a="1"/>
  <c r="U569" i="17" s="1"/>
  <c r="U570" i="17" a="1"/>
  <c r="U570" i="17" s="1"/>
  <c r="U20" i="17" a="1"/>
  <c r="U20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 s="1"/>
  <c r="U119" i="17" a="1"/>
  <c r="U119" i="17" s="1"/>
  <c r="U138" i="17" a="1"/>
  <c r="U138" i="17" s="1"/>
  <c r="U157" i="17" a="1"/>
  <c r="U157" i="17" s="1"/>
  <c r="U176" i="17" a="1"/>
  <c r="U176" i="17" s="1"/>
  <c r="U201" i="17" a="1"/>
  <c r="U201" i="17" s="1"/>
  <c r="U202" i="17" a="1"/>
  <c r="U202" i="17" s="1"/>
  <c r="U203" i="17" a="1"/>
  <c r="U203" i="17" s="1"/>
  <c r="U252" i="17" a="1"/>
  <c r="U252" i="17" s="1"/>
  <c r="U271" i="17" a="1"/>
  <c r="U271" i="17" s="1"/>
  <c r="U290" i="17" a="1"/>
  <c r="U290" i="17" s="1"/>
  <c r="U309" i="17" a="1"/>
  <c r="U309" i="17" s="1"/>
  <c r="U328" i="17" a="1"/>
  <c r="U328" i="17" s="1"/>
  <c r="U347" i="17" a="1"/>
  <c r="U347" i="17" s="1"/>
  <c r="U366" i="17" a="1"/>
  <c r="U366" i="17" s="1"/>
  <c r="U385" i="17" a="1"/>
  <c r="U385" i="17" s="1"/>
  <c r="U404" i="17" a="1"/>
  <c r="U404" i="17" s="1"/>
  <c r="U499" i="17" a="1"/>
  <c r="U499" i="17" s="1"/>
  <c r="U518" i="17" a="1"/>
  <c r="U518" i="17" s="1"/>
  <c r="U537" i="17" a="1"/>
  <c r="U537" i="17" s="1"/>
  <c r="U429" i="17" a="1"/>
  <c r="U429" i="17" s="1"/>
  <c r="U430" i="17" a="1"/>
  <c r="U430" i="17" s="1"/>
  <c r="U431" i="17" a="1"/>
  <c r="U431" i="17" s="1"/>
  <c r="U480" i="17" a="1"/>
  <c r="U480" i="17" s="1"/>
  <c r="U670" i="17" a="1"/>
  <c r="U670" i="17" s="1"/>
  <c r="U689" i="17" a="1"/>
  <c r="U689" i="17" s="1"/>
  <c r="U708" i="17" a="1"/>
  <c r="U708" i="17" s="1"/>
  <c r="U727" i="17" a="1"/>
  <c r="U727" i="17" s="1"/>
  <c r="U746" i="17" a="1"/>
  <c r="U746" i="17" s="1"/>
  <c r="U765" i="17" a="1"/>
  <c r="U765" i="17" s="1"/>
  <c r="U784" i="17" a="1"/>
  <c r="U784" i="17" s="1"/>
  <c r="U810" i="17" a="1"/>
  <c r="U810" i="17" s="1"/>
  <c r="U817" i="17" a="1"/>
  <c r="U817" i="17" s="1"/>
  <c r="U836" i="17" a="1"/>
  <c r="U836" i="17" s="1"/>
  <c r="U855" i="17" a="1"/>
  <c r="U855" i="17" s="1"/>
  <c r="U874" i="17" a="1"/>
  <c r="U874" i="17" s="1"/>
  <c r="U893" i="17" a="1"/>
  <c r="U893" i="17" s="1"/>
  <c r="U912" i="17" a="1"/>
  <c r="U912" i="17" s="1"/>
  <c r="U931" i="17" a="1"/>
  <c r="U931" i="17" s="1"/>
  <c r="U950" i="17" a="1"/>
  <c r="U950" i="17" s="1"/>
  <c r="U969" i="17" a="1"/>
  <c r="U969" i="17" s="1"/>
  <c r="U988" i="17" a="1"/>
  <c r="U988" i="17" s="1"/>
  <c r="U1007" i="17" a="1"/>
  <c r="U1007" i="17" s="1"/>
  <c r="U1026" i="17" a="1"/>
  <c r="U1026" i="17" s="1"/>
  <c r="U1045" i="17" a="1"/>
  <c r="U1045" i="17" s="1"/>
  <c r="U571" i="17" a="1"/>
  <c r="U571" i="17" s="1"/>
  <c r="U572" i="17" a="1"/>
  <c r="U572" i="17" s="1"/>
  <c r="U573" i="17" a="1"/>
  <c r="U573" i="17" s="1"/>
  <c r="U574" i="17" a="1"/>
  <c r="U574" i="17" s="1"/>
  <c r="U575" i="17" a="1"/>
  <c r="U575" i="17" s="1"/>
  <c r="U576" i="17" a="1"/>
  <c r="U576" i="17" s="1"/>
  <c r="U26" i="17" a="1"/>
  <c r="U26" i="17" s="1"/>
  <c r="U27" i="17" a="1"/>
  <c r="U27" i="17" s="1"/>
  <c r="U28" i="17" a="1"/>
  <c r="U28" i="17" s="1"/>
  <c r="U29" i="17" a="1"/>
  <c r="U29" i="17" s="1"/>
  <c r="U30" i="17" a="1"/>
  <c r="U30" i="17" s="1"/>
  <c r="U31" i="17" a="1"/>
  <c r="U31" i="17" s="1"/>
  <c r="U120" i="17" a="1"/>
  <c r="U120" i="17" s="1"/>
  <c r="U139" i="17" a="1"/>
  <c r="U139" i="17" s="1"/>
  <c r="U158" i="17" a="1"/>
  <c r="U158" i="17" s="1"/>
  <c r="U177" i="17" a="1"/>
  <c r="U177" i="17" s="1"/>
  <c r="U204" i="17" a="1"/>
  <c r="U204" i="17"/>
  <c r="U205" i="17" a="1"/>
  <c r="U205" i="17"/>
  <c r="U206" i="17" a="1"/>
  <c r="U206" i="17" s="1"/>
  <c r="U253" i="17" a="1"/>
  <c r="U253" i="17" s="1"/>
  <c r="U272" i="17" a="1"/>
  <c r="U272" i="17" s="1"/>
  <c r="U291" i="17" a="1"/>
  <c r="U291" i="17" s="1"/>
  <c r="U310" i="17" a="1"/>
  <c r="U310" i="17" s="1"/>
  <c r="U329" i="17" a="1"/>
  <c r="U329" i="17" s="1"/>
  <c r="U348" i="17" a="1"/>
  <c r="U348" i="17" s="1"/>
  <c r="U367" i="17" a="1"/>
  <c r="U367" i="17" s="1"/>
  <c r="U386" i="17" a="1"/>
  <c r="U386" i="17" s="1"/>
  <c r="U405" i="17" a="1"/>
  <c r="U405" i="17" s="1"/>
  <c r="U500" i="17" a="1"/>
  <c r="U500" i="17" s="1"/>
  <c r="U519" i="17" a="1"/>
  <c r="U519" i="17" s="1"/>
  <c r="U538" i="17" a="1"/>
  <c r="U538" i="17" s="1"/>
  <c r="U432" i="17" a="1"/>
  <c r="U432" i="17" s="1"/>
  <c r="U433" i="17" a="1"/>
  <c r="U433" i="17" s="1"/>
  <c r="U434" i="17" a="1"/>
  <c r="U434" i="17"/>
  <c r="U481" i="17" a="1"/>
  <c r="U481" i="17" s="1"/>
  <c r="U671" i="17" a="1"/>
  <c r="U671" i="17" s="1"/>
  <c r="U690" i="17" a="1"/>
  <c r="U690" i="17" s="1"/>
  <c r="U709" i="17" a="1"/>
  <c r="U709" i="17" s="1"/>
  <c r="U728" i="17" a="1"/>
  <c r="U728" i="17" s="1"/>
  <c r="U747" i="17" a="1"/>
  <c r="U747" i="17" s="1"/>
  <c r="U766" i="17" a="1"/>
  <c r="U766" i="17" s="1"/>
  <c r="U800" i="17" a="1"/>
  <c r="U800" i="17" s="1"/>
  <c r="U818" i="17" a="1"/>
  <c r="U818" i="17" s="1"/>
  <c r="U837" i="17" a="1"/>
  <c r="U837" i="17" s="1"/>
  <c r="U856" i="17" a="1"/>
  <c r="U856" i="17" s="1"/>
  <c r="U875" i="17" a="1"/>
  <c r="U875" i="17" s="1"/>
  <c r="U894" i="17" a="1"/>
  <c r="U894" i="17" s="1"/>
  <c r="U913" i="17" a="1"/>
  <c r="U913" i="17" s="1"/>
  <c r="U932" i="17" a="1"/>
  <c r="U932" i="17" s="1"/>
  <c r="U951" i="17" a="1"/>
  <c r="U951" i="17"/>
  <c r="U970" i="17" a="1"/>
  <c r="U970" i="17" s="1"/>
  <c r="U989" i="17" a="1"/>
  <c r="U989" i="17" s="1"/>
  <c r="U1008" i="17" a="1"/>
  <c r="U1008" i="17" s="1"/>
  <c r="U1027" i="17" a="1"/>
  <c r="U1027" i="17" s="1"/>
  <c r="U1046" i="17" a="1"/>
  <c r="U1046" i="17" s="1"/>
  <c r="U577" i="17" a="1"/>
  <c r="U577" i="17" s="1"/>
  <c r="U578" i="17" a="1"/>
  <c r="U578" i="17"/>
  <c r="U579" i="17" a="1"/>
  <c r="U579" i="17" s="1"/>
  <c r="U580" i="17" a="1"/>
  <c r="U580" i="17" s="1"/>
  <c r="U581" i="17" a="1"/>
  <c r="U581" i="17" s="1"/>
  <c r="U582" i="17" a="1"/>
  <c r="U582" i="17" s="1"/>
  <c r="U32" i="17" a="1"/>
  <c r="U32" i="17" s="1"/>
  <c r="U33" i="17" a="1"/>
  <c r="U33" i="17" s="1"/>
  <c r="U34" i="17" a="1"/>
  <c r="U34" i="17" s="1"/>
  <c r="U35" i="17" a="1"/>
  <c r="U35" i="17" s="1"/>
  <c r="U36" i="17" a="1"/>
  <c r="U36" i="17" s="1"/>
  <c r="U37" i="17" a="1"/>
  <c r="U37" i="17" s="1"/>
  <c r="U121" i="17" a="1"/>
  <c r="U121" i="17" s="1"/>
  <c r="U140" i="17" a="1"/>
  <c r="U140" i="17" s="1"/>
  <c r="U159" i="17" a="1"/>
  <c r="U159" i="17" s="1"/>
  <c r="U178" i="17" a="1"/>
  <c r="U178" i="17" s="1"/>
  <c r="U207" i="17" a="1"/>
  <c r="U207" i="17" s="1"/>
  <c r="U208" i="17" a="1"/>
  <c r="U208" i="17"/>
  <c r="U209" i="17" a="1"/>
  <c r="U209" i="17" s="1"/>
  <c r="U254" i="17" a="1"/>
  <c r="U254" i="17" s="1"/>
  <c r="U273" i="17" a="1"/>
  <c r="U273" i="17" s="1"/>
  <c r="U292" i="17" a="1"/>
  <c r="U292" i="17" s="1"/>
  <c r="U311" i="17" a="1"/>
  <c r="U311" i="17" s="1"/>
  <c r="U330" i="17" a="1"/>
  <c r="U330" i="17" s="1"/>
  <c r="U349" i="17" a="1"/>
  <c r="U349" i="17"/>
  <c r="U368" i="17" a="1"/>
  <c r="U368" i="17" s="1"/>
  <c r="U387" i="17" a="1"/>
  <c r="U387" i="17"/>
  <c r="U406" i="17" a="1"/>
  <c r="U406" i="17" s="1"/>
  <c r="U501" i="17" a="1"/>
  <c r="U501" i="17" s="1"/>
  <c r="U520" i="17" a="1"/>
  <c r="U520" i="17" s="1"/>
  <c r="U539" i="17" a="1"/>
  <c r="U539" i="17" s="1"/>
  <c r="U435" i="17" a="1"/>
  <c r="U435" i="17" s="1"/>
  <c r="U436" i="17" a="1"/>
  <c r="U436" i="17" s="1"/>
  <c r="U437" i="17" a="1"/>
  <c r="U437" i="17"/>
  <c r="U482" i="17" a="1"/>
  <c r="U482" i="17" s="1"/>
  <c r="U672" i="17" a="1"/>
  <c r="U672" i="17" s="1"/>
  <c r="U691" i="17" a="1"/>
  <c r="U691" i="17" s="1"/>
  <c r="U710" i="17" a="1"/>
  <c r="U710" i="17" s="1"/>
  <c r="U729" i="17" a="1"/>
  <c r="U729" i="17" s="1"/>
  <c r="U748" i="17" a="1"/>
  <c r="U748" i="17" s="1"/>
  <c r="U767" i="17" a="1"/>
  <c r="U767" i="17" s="1"/>
  <c r="U819" i="17" a="1"/>
  <c r="U819" i="17" s="1"/>
  <c r="U838" i="17" a="1"/>
  <c r="U838" i="17" s="1"/>
  <c r="U857" i="17" a="1"/>
  <c r="U857" i="17" s="1"/>
  <c r="U876" i="17" a="1"/>
  <c r="U876" i="17" s="1"/>
  <c r="U895" i="17" a="1"/>
  <c r="U895" i="17" s="1"/>
  <c r="U914" i="17" a="1"/>
  <c r="U914" i="17" s="1"/>
  <c r="U933" i="17" a="1"/>
  <c r="U933" i="17" s="1"/>
  <c r="U952" i="17" a="1"/>
  <c r="U952" i="17" s="1"/>
  <c r="U971" i="17" a="1"/>
  <c r="U971" i="17"/>
  <c r="U990" i="17" a="1"/>
  <c r="U990" i="17" s="1"/>
  <c r="U1009" i="17" a="1"/>
  <c r="U1009" i="17" s="1"/>
  <c r="U1028" i="17" a="1"/>
  <c r="U1028" i="17" s="1"/>
  <c r="U1047" i="17" a="1"/>
  <c r="U1047" i="17" s="1"/>
  <c r="U583" i="17" a="1"/>
  <c r="U583" i="17" s="1"/>
  <c r="U584" i="17" a="1"/>
  <c r="U584" i="17" s="1"/>
  <c r="U585" i="17" a="1"/>
  <c r="U585" i="17"/>
  <c r="U586" i="17" a="1"/>
  <c r="U586" i="17" s="1"/>
  <c r="U587" i="17" a="1"/>
  <c r="U587" i="17"/>
  <c r="U588" i="17" a="1"/>
  <c r="U588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 s="1"/>
  <c r="U43" i="17" a="1"/>
  <c r="U43" i="17"/>
  <c r="U122" i="17" a="1"/>
  <c r="U122" i="17" s="1"/>
  <c r="U141" i="17" a="1"/>
  <c r="U141" i="17" s="1"/>
  <c r="U160" i="17" a="1"/>
  <c r="U160" i="17" s="1"/>
  <c r="U179" i="17" a="1"/>
  <c r="U179" i="17" s="1"/>
  <c r="U210" i="17" a="1"/>
  <c r="U210" i="17" s="1"/>
  <c r="U211" i="17" a="1"/>
  <c r="U211" i="17" s="1"/>
  <c r="U212" i="17" a="1"/>
  <c r="U212" i="17" s="1"/>
  <c r="U255" i="17" a="1"/>
  <c r="U255" i="17" s="1"/>
  <c r="U274" i="17" a="1"/>
  <c r="U274" i="17" s="1"/>
  <c r="U293" i="17" a="1"/>
  <c r="U293" i="17" s="1"/>
  <c r="U312" i="17" a="1"/>
  <c r="U312" i="17" s="1"/>
  <c r="U331" i="17" a="1"/>
  <c r="U331" i="17" s="1"/>
  <c r="U350" i="17" a="1"/>
  <c r="U350" i="17" s="1"/>
  <c r="U369" i="17" a="1"/>
  <c r="U369" i="17" s="1"/>
  <c r="U388" i="17" a="1"/>
  <c r="U388" i="17" s="1"/>
  <c r="U407" i="17" a="1"/>
  <c r="U407" i="17" s="1"/>
  <c r="U502" i="17" a="1"/>
  <c r="U502" i="17" s="1"/>
  <c r="U521" i="17" a="1"/>
  <c r="U521" i="17" s="1"/>
  <c r="U540" i="17" a="1"/>
  <c r="U540" i="17" s="1"/>
  <c r="U438" i="17" a="1"/>
  <c r="U438" i="17" s="1"/>
  <c r="U439" i="17" a="1"/>
  <c r="U439" i="17" s="1"/>
  <c r="U440" i="17" a="1"/>
  <c r="U440" i="17" s="1"/>
  <c r="U483" i="17" a="1"/>
  <c r="U483" i="17" s="1"/>
  <c r="U673" i="17" a="1"/>
  <c r="U673" i="17" s="1"/>
  <c r="U692" i="17" a="1"/>
  <c r="U692" i="17"/>
  <c r="U711" i="17" a="1"/>
  <c r="U711" i="17" s="1"/>
  <c r="U730" i="17" a="1"/>
  <c r="U730" i="17" s="1"/>
  <c r="U749" i="17" a="1"/>
  <c r="U749" i="17" s="1"/>
  <c r="U768" i="17" a="1"/>
  <c r="U768" i="17" s="1"/>
  <c r="U785" i="17" a="1"/>
  <c r="U785" i="17" s="1"/>
  <c r="U801" i="17" a="1"/>
  <c r="U801" i="17" s="1"/>
  <c r="U820" i="17" a="1"/>
  <c r="U820" i="17"/>
  <c r="U839" i="17" a="1"/>
  <c r="U839" i="17" s="1"/>
  <c r="U858" i="17" a="1"/>
  <c r="U858" i="17" s="1"/>
  <c r="U877" i="17" a="1"/>
  <c r="U877" i="17" s="1"/>
  <c r="U896" i="17" a="1"/>
  <c r="U896" i="17" s="1"/>
  <c r="U915" i="17" a="1"/>
  <c r="U915" i="17" s="1"/>
  <c r="U934" i="17" a="1"/>
  <c r="U934" i="17" s="1"/>
  <c r="U953" i="17" a="1"/>
  <c r="U953" i="17" s="1"/>
  <c r="U972" i="17" a="1"/>
  <c r="U972" i="17" s="1"/>
  <c r="U991" i="17" a="1"/>
  <c r="U991" i="17" s="1"/>
  <c r="U1010" i="17" a="1"/>
  <c r="U1010" i="17" s="1"/>
  <c r="U1029" i="17" a="1"/>
  <c r="U1029" i="17" s="1"/>
  <c r="U1048" i="17" a="1"/>
  <c r="U1048" i="17" s="1"/>
  <c r="U589" i="17" a="1"/>
  <c r="U589" i="17" s="1"/>
  <c r="U590" i="17" a="1"/>
  <c r="U590" i="17" s="1"/>
  <c r="U591" i="17" a="1"/>
  <c r="U591" i="17"/>
  <c r="U592" i="17" a="1"/>
  <c r="U592" i="17" s="1"/>
  <c r="U593" i="17" a="1"/>
  <c r="U593" i="17" s="1"/>
  <c r="U594" i="17" a="1"/>
  <c r="U594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 s="1"/>
  <c r="U49" i="17" a="1"/>
  <c r="U49" i="17" s="1"/>
  <c r="U123" i="17" a="1"/>
  <c r="U123" i="17" s="1"/>
  <c r="U142" i="17" a="1"/>
  <c r="U142" i="17" s="1"/>
  <c r="U161" i="17" a="1"/>
  <c r="U161" i="17" s="1"/>
  <c r="U180" i="17" a="1"/>
  <c r="U180" i="17" s="1"/>
  <c r="U213" i="17" a="1"/>
  <c r="U213" i="17" s="1"/>
  <c r="U214" i="17" a="1"/>
  <c r="U214" i="17" s="1"/>
  <c r="U215" i="17" a="1"/>
  <c r="U215" i="17" s="1"/>
  <c r="U256" i="17" a="1"/>
  <c r="U256" i="17" s="1"/>
  <c r="U275" i="17" a="1"/>
  <c r="U275" i="17" s="1"/>
  <c r="U294" i="17" a="1"/>
  <c r="U294" i="17" s="1"/>
  <c r="U313" i="17" a="1"/>
  <c r="U313" i="17" s="1"/>
  <c r="U332" i="17" a="1"/>
  <c r="U332" i="17" s="1"/>
  <c r="U351" i="17" a="1"/>
  <c r="U351" i="17" s="1"/>
  <c r="U370" i="17" a="1"/>
  <c r="U370" i="17" s="1"/>
  <c r="U389" i="17" a="1"/>
  <c r="U389" i="17" s="1"/>
  <c r="U408" i="17" a="1"/>
  <c r="U408" i="17" s="1"/>
  <c r="U503" i="17" a="1"/>
  <c r="U503" i="17"/>
  <c r="U522" i="17" a="1"/>
  <c r="U522" i="17" s="1"/>
  <c r="U541" i="17" a="1"/>
  <c r="U541" i="17" s="1"/>
  <c r="U441" i="17" a="1"/>
  <c r="U441" i="17"/>
  <c r="U442" i="17" a="1"/>
  <c r="U442" i="17" s="1"/>
  <c r="U443" i="17" a="1"/>
  <c r="U443" i="17" s="1"/>
  <c r="U484" i="17" a="1"/>
  <c r="U484" i="17" s="1"/>
  <c r="U674" i="17" a="1"/>
  <c r="U674" i="17" s="1"/>
  <c r="U693" i="17" a="1"/>
  <c r="U693" i="17" s="1"/>
  <c r="U712" i="17" a="1"/>
  <c r="U712" i="17" s="1"/>
  <c r="U731" i="17" a="1"/>
  <c r="U731" i="17" s="1"/>
  <c r="U750" i="17" a="1"/>
  <c r="U750" i="17" s="1"/>
  <c r="U769" i="17" a="1"/>
  <c r="U769" i="17" s="1"/>
  <c r="U786" i="17" a="1"/>
  <c r="U786" i="17" s="1"/>
  <c r="U802" i="17" a="1"/>
  <c r="U802" i="17" s="1"/>
  <c r="U821" i="17" a="1"/>
  <c r="U821" i="17"/>
  <c r="U840" i="17" a="1"/>
  <c r="U840" i="17" s="1"/>
  <c r="U859" i="17" a="1"/>
  <c r="U859" i="17" s="1"/>
  <c r="U878" i="17" a="1"/>
  <c r="U878" i="17" s="1"/>
  <c r="U897" i="17" a="1"/>
  <c r="U897" i="17" s="1"/>
  <c r="U916" i="17" a="1"/>
  <c r="U916" i="17" s="1"/>
  <c r="U935" i="17" a="1"/>
  <c r="U935" i="17" s="1"/>
  <c r="U954" i="17" a="1"/>
  <c r="U954" i="17" s="1"/>
  <c r="U973" i="17" a="1"/>
  <c r="U973" i="17" s="1"/>
  <c r="U992" i="17" a="1"/>
  <c r="U992" i="17" s="1"/>
  <c r="U1011" i="17" a="1"/>
  <c r="U1011" i="17" s="1"/>
  <c r="U1030" i="17" a="1"/>
  <c r="U1030" i="17" s="1"/>
  <c r="U1049" i="17" a="1"/>
  <c r="U1049" i="17" s="1"/>
  <c r="U595" i="17" a="1"/>
  <c r="U595" i="17" s="1"/>
  <c r="U596" i="17" a="1"/>
  <c r="U596" i="17" s="1"/>
  <c r="U597" i="17" a="1"/>
  <c r="U597" i="17" s="1"/>
  <c r="U598" i="17" a="1"/>
  <c r="U598" i="17" s="1"/>
  <c r="U599" i="17" a="1"/>
  <c r="U599" i="17"/>
  <c r="U600" i="17" a="1"/>
  <c r="U600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 s="1"/>
  <c r="U55" i="17" a="1"/>
  <c r="U55" i="17"/>
  <c r="U124" i="17" a="1"/>
  <c r="U124" i="17" s="1"/>
  <c r="U143" i="17" a="1"/>
  <c r="U143" i="17" s="1"/>
  <c r="U162" i="17" a="1"/>
  <c r="U162" i="17" s="1"/>
  <c r="U181" i="17" a="1"/>
  <c r="U181" i="17" s="1"/>
  <c r="U216" i="17" a="1"/>
  <c r="U216" i="17" s="1"/>
  <c r="U217" i="17" a="1"/>
  <c r="U217" i="17" s="1"/>
  <c r="U218" i="17" a="1"/>
  <c r="U218" i="17" s="1"/>
  <c r="U257" i="17" a="1"/>
  <c r="U257" i="17" s="1"/>
  <c r="U276" i="17" a="1"/>
  <c r="U276" i="17" s="1"/>
  <c r="U295" i="17" a="1"/>
  <c r="U295" i="17" s="1"/>
  <c r="U314" i="17" a="1"/>
  <c r="U314" i="17" s="1"/>
  <c r="U333" i="17" a="1"/>
  <c r="U333" i="17" s="1"/>
  <c r="U352" i="17" a="1"/>
  <c r="U352" i="17" s="1"/>
  <c r="U371" i="17" a="1"/>
  <c r="U371" i="17" s="1"/>
  <c r="U390" i="17" a="1"/>
  <c r="U390" i="17" s="1"/>
  <c r="U409" i="17" a="1"/>
  <c r="U409" i="17"/>
  <c r="U504" i="17" a="1"/>
  <c r="U504" i="17" s="1"/>
  <c r="U523" i="17" a="1"/>
  <c r="U523" i="17" s="1"/>
  <c r="U542" i="17" a="1"/>
  <c r="U542" i="17" s="1"/>
  <c r="U444" i="17" a="1"/>
  <c r="U444" i="17" s="1"/>
  <c r="U445" i="17" a="1"/>
  <c r="U445" i="17" s="1"/>
  <c r="U446" i="17" a="1"/>
  <c r="U446" i="17" s="1"/>
  <c r="U485" i="17" a="1"/>
  <c r="U485" i="17" s="1"/>
  <c r="U675" i="17" a="1"/>
  <c r="U675" i="17" s="1"/>
  <c r="U694" i="17" a="1"/>
  <c r="U694" i="17" s="1"/>
  <c r="U713" i="17" a="1"/>
  <c r="U713" i="17" s="1"/>
  <c r="U732" i="17" a="1"/>
  <c r="U732" i="17"/>
  <c r="U751" i="17" a="1"/>
  <c r="U751" i="17" s="1"/>
  <c r="U770" i="17" a="1"/>
  <c r="U770" i="17"/>
  <c r="U787" i="17" a="1"/>
  <c r="U787" i="17" s="1"/>
  <c r="U822" i="17" a="1"/>
  <c r="U822" i="17" s="1"/>
  <c r="U841" i="17" a="1"/>
  <c r="U841" i="17" s="1"/>
  <c r="U860" i="17" a="1"/>
  <c r="U860" i="17" s="1"/>
  <c r="U879" i="17" a="1"/>
  <c r="U879" i="17" s="1"/>
  <c r="U898" i="17" a="1"/>
  <c r="U898" i="17" s="1"/>
  <c r="U917" i="17" a="1"/>
  <c r="U917" i="17" s="1"/>
  <c r="U936" i="17" a="1"/>
  <c r="U936" i="17" s="1"/>
  <c r="U955" i="17" a="1"/>
  <c r="U955" i="17" s="1"/>
  <c r="U974" i="17" a="1"/>
  <c r="U974" i="17" s="1"/>
  <c r="U993" i="17" a="1"/>
  <c r="U993" i="17" s="1"/>
  <c r="U1012" i="17" a="1"/>
  <c r="U1012" i="17" s="1"/>
  <c r="U1031" i="17" a="1"/>
  <c r="U1031" i="17" s="1"/>
  <c r="U1050" i="17" a="1"/>
  <c r="U1050" i="17" s="1"/>
  <c r="U601" i="17" a="1"/>
  <c r="U601" i="17" s="1"/>
  <c r="U602" i="17" a="1"/>
  <c r="U602" i="17" s="1"/>
  <c r="U603" i="17" a="1"/>
  <c r="U603" i="17" s="1"/>
  <c r="U604" i="17" a="1"/>
  <c r="U604" i="17"/>
  <c r="U605" i="17" a="1"/>
  <c r="U605" i="17" s="1"/>
  <c r="U606" i="17" a="1"/>
  <c r="U606" i="17" s="1"/>
  <c r="U56" i="17" a="1"/>
  <c r="U56" i="17" s="1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125" i="17" a="1"/>
  <c r="U125" i="17" s="1"/>
  <c r="U144" i="17" a="1"/>
  <c r="U144" i="17" s="1"/>
  <c r="U163" i="17" a="1"/>
  <c r="U163" i="17" s="1"/>
  <c r="U182" i="17" a="1"/>
  <c r="U182" i="17"/>
  <c r="U219" i="17" a="1"/>
  <c r="U219" i="17" s="1"/>
  <c r="U220" i="17" a="1"/>
  <c r="U220" i="17" s="1"/>
  <c r="U221" i="17" a="1"/>
  <c r="U221" i="17" s="1"/>
  <c r="U258" i="17" a="1"/>
  <c r="U258" i="17" s="1"/>
  <c r="U277" i="17" a="1"/>
  <c r="U277" i="17" s="1"/>
  <c r="U296" i="17" a="1"/>
  <c r="U296" i="17" s="1"/>
  <c r="U315" i="17" a="1"/>
  <c r="U315" i="17" s="1"/>
  <c r="U334" i="17" a="1"/>
  <c r="U334" i="17"/>
  <c r="U353" i="17" a="1"/>
  <c r="U353" i="17" s="1"/>
  <c r="U372" i="17" a="1"/>
  <c r="U372" i="17" s="1"/>
  <c r="U391" i="17" a="1"/>
  <c r="U391" i="17" s="1"/>
  <c r="U410" i="17" a="1"/>
  <c r="U410" i="17" s="1"/>
  <c r="U505" i="17" a="1"/>
  <c r="U505" i="17" s="1"/>
  <c r="U524" i="17" a="1"/>
  <c r="U524" i="17" s="1"/>
  <c r="U543" i="17" a="1"/>
  <c r="U543" i="17" s="1"/>
  <c r="U447" i="17" a="1"/>
  <c r="U447" i="17" s="1"/>
  <c r="U448" i="17" a="1"/>
  <c r="U448" i="17" s="1"/>
  <c r="U449" i="17" a="1"/>
  <c r="U449" i="17" s="1"/>
  <c r="U486" i="17" a="1"/>
  <c r="U486" i="17" s="1"/>
  <c r="U676" i="17" a="1"/>
  <c r="U676" i="17" s="1"/>
  <c r="U695" i="17" a="1"/>
  <c r="U695" i="17" s="1"/>
  <c r="U714" i="17" a="1"/>
  <c r="U714" i="17" s="1"/>
  <c r="U733" i="17" a="1"/>
  <c r="U733" i="17" s="1"/>
  <c r="U752" i="17" a="1"/>
  <c r="U752" i="17" s="1"/>
  <c r="U771" i="17" a="1"/>
  <c r="U771" i="17" s="1"/>
  <c r="U788" i="17" a="1"/>
  <c r="U788" i="17" s="1"/>
  <c r="U803" i="17" a="1"/>
  <c r="U803" i="17" s="1"/>
  <c r="U811" i="17" a="1"/>
  <c r="U811" i="17" s="1"/>
  <c r="U823" i="17" a="1"/>
  <c r="U823" i="17" s="1"/>
  <c r="U842" i="17" a="1"/>
  <c r="U842" i="17" s="1"/>
  <c r="U861" i="17" a="1"/>
  <c r="U861" i="17" s="1"/>
  <c r="U880" i="17" a="1"/>
  <c r="U880" i="17" s="1"/>
  <c r="U899" i="17" a="1"/>
  <c r="U899" i="17" s="1"/>
  <c r="U918" i="17" a="1"/>
  <c r="U918" i="17" s="1"/>
  <c r="U937" i="17" a="1"/>
  <c r="U937" i="17" s="1"/>
  <c r="U956" i="17" a="1"/>
  <c r="U956" i="17" s="1"/>
  <c r="U975" i="17" a="1"/>
  <c r="U975" i="17" s="1"/>
  <c r="U994" i="17" a="1"/>
  <c r="U994" i="17" s="1"/>
  <c r="U1013" i="17" a="1"/>
  <c r="U1013" i="17" s="1"/>
  <c r="U1032" i="17" a="1"/>
  <c r="U1032" i="17" s="1"/>
  <c r="U1051" i="17" a="1"/>
  <c r="U1051" i="17" s="1"/>
  <c r="U607" i="17" a="1"/>
  <c r="U607" i="17" s="1"/>
  <c r="U608" i="17" a="1"/>
  <c r="U608" i="17" s="1"/>
  <c r="U609" i="17" a="1"/>
  <c r="U609" i="17" s="1"/>
  <c r="U610" i="17" a="1"/>
  <c r="U610" i="17" s="1"/>
  <c r="U611" i="17" a="1"/>
  <c r="U611" i="17" s="1"/>
  <c r="U612" i="17" a="1"/>
  <c r="U612" i="17" s="1"/>
  <c r="U62" i="17" a="1"/>
  <c r="U62" i="17" s="1"/>
  <c r="U63" i="17" a="1"/>
  <c r="U63" i="17"/>
  <c r="U64" i="17" a="1"/>
  <c r="U64" i="17" s="1"/>
  <c r="U65" i="17" a="1"/>
  <c r="U65" i="17" s="1"/>
  <c r="U66" i="17" a="1"/>
  <c r="U66" i="17" s="1"/>
  <c r="U67" i="17" a="1"/>
  <c r="U67" i="17" s="1"/>
  <c r="U126" i="17" a="1"/>
  <c r="U126" i="17" s="1"/>
  <c r="U145" i="17" a="1"/>
  <c r="U145" i="17" s="1"/>
  <c r="U164" i="17" a="1"/>
  <c r="U164" i="17" s="1"/>
  <c r="U183" i="17" a="1"/>
  <c r="U183" i="17" s="1"/>
  <c r="U222" i="17" a="1"/>
  <c r="U222" i="17" s="1"/>
  <c r="U223" i="17" a="1"/>
  <c r="U223" i="17" s="1"/>
  <c r="U224" i="17" a="1"/>
  <c r="U224" i="17" s="1"/>
  <c r="U259" i="17" a="1"/>
  <c r="U259" i="17" s="1"/>
  <c r="U278" i="17" a="1"/>
  <c r="U278" i="17" s="1"/>
  <c r="U297" i="17" a="1"/>
  <c r="U297" i="17"/>
  <c r="U316" i="17" a="1"/>
  <c r="U316" i="17" s="1"/>
  <c r="U335" i="17" a="1"/>
  <c r="U335" i="17" s="1"/>
  <c r="U354" i="17" a="1"/>
  <c r="U354" i="17" s="1"/>
  <c r="U373" i="17" a="1"/>
  <c r="U373" i="17" s="1"/>
  <c r="U392" i="17" a="1"/>
  <c r="U392" i="17" s="1"/>
  <c r="U411" i="17" a="1"/>
  <c r="U411" i="17" s="1"/>
  <c r="U506" i="17" a="1"/>
  <c r="U506" i="17" s="1"/>
  <c r="U525" i="17" a="1"/>
  <c r="U525" i="17" s="1"/>
  <c r="U544" i="17" a="1"/>
  <c r="U544" i="17" s="1"/>
  <c r="U450" i="17" a="1"/>
  <c r="U450" i="17" s="1"/>
  <c r="U451" i="17" a="1"/>
  <c r="U451" i="17" s="1"/>
  <c r="U452" i="17" a="1"/>
  <c r="U452" i="17" s="1"/>
  <c r="U487" i="17" a="1"/>
  <c r="U487" i="17" s="1"/>
  <c r="U677" i="17" a="1"/>
  <c r="U677" i="17" s="1"/>
  <c r="U696" i="17" a="1"/>
  <c r="U696" i="17" s="1"/>
  <c r="U715" i="17" a="1"/>
  <c r="U715" i="17" s="1"/>
  <c r="U734" i="17" a="1"/>
  <c r="U734" i="17" s="1"/>
  <c r="U753" i="17" a="1"/>
  <c r="U753" i="17" s="1"/>
  <c r="U772" i="17" a="1"/>
  <c r="U772" i="17" s="1"/>
  <c r="U789" i="17" a="1"/>
  <c r="U789" i="17" s="1"/>
  <c r="U824" i="17" a="1"/>
  <c r="U824" i="17" s="1"/>
  <c r="U843" i="17" a="1"/>
  <c r="U843" i="17" s="1"/>
  <c r="U862" i="17" a="1"/>
  <c r="U862" i="17" s="1"/>
  <c r="U881" i="17" a="1"/>
  <c r="U881" i="17" s="1"/>
  <c r="U900" i="17" a="1"/>
  <c r="U900" i="17" s="1"/>
  <c r="U919" i="17" a="1"/>
  <c r="U919" i="17" s="1"/>
  <c r="U938" i="17" a="1"/>
  <c r="U938" i="17" s="1"/>
  <c r="U957" i="17" a="1"/>
  <c r="U957" i="17" s="1"/>
  <c r="U976" i="17" a="1"/>
  <c r="U976" i="17" s="1"/>
  <c r="U995" i="17" a="1"/>
  <c r="U995" i="17"/>
  <c r="U1014" i="17" a="1"/>
  <c r="U1014" i="17" s="1"/>
  <c r="U1033" i="17" a="1"/>
  <c r="U1033" i="17" s="1"/>
  <c r="U1052" i="17" a="1"/>
  <c r="U1052" i="17" s="1"/>
  <c r="U613" i="17" a="1"/>
  <c r="U613" i="17" s="1"/>
  <c r="U614" i="17" a="1"/>
  <c r="U614" i="17" s="1"/>
  <c r="U615" i="17" a="1"/>
  <c r="U615" i="17" s="1"/>
  <c r="U616" i="17" a="1"/>
  <c r="U616" i="17" s="1"/>
  <c r="U617" i="17" a="1"/>
  <c r="U617" i="17" s="1"/>
  <c r="U618" i="17" a="1"/>
  <c r="U618" i="17" s="1"/>
  <c r="U68" i="17" a="1"/>
  <c r="U68" i="17" s="1"/>
  <c r="U69" i="17" a="1"/>
  <c r="U69" i="17" s="1"/>
  <c r="U70" i="17" a="1"/>
  <c r="U70" i="17" s="1"/>
  <c r="U71" i="17" a="1"/>
  <c r="U71" i="17" s="1"/>
  <c r="U72" i="17" a="1"/>
  <c r="U72" i="17" s="1"/>
  <c r="U73" i="17" a="1"/>
  <c r="U73" i="17" s="1"/>
  <c r="U127" i="17" a="1"/>
  <c r="U127" i="17" s="1"/>
  <c r="U146" i="17" a="1"/>
  <c r="U146" i="17" s="1"/>
  <c r="U165" i="17" a="1"/>
  <c r="U165" i="17" s="1"/>
  <c r="U184" i="17" a="1"/>
  <c r="U184" i="17" s="1"/>
  <c r="U225" i="17" a="1"/>
  <c r="U225" i="17"/>
  <c r="U226" i="17" a="1"/>
  <c r="U226" i="17" s="1"/>
  <c r="U227" i="17" a="1"/>
  <c r="U227" i="17" s="1"/>
  <c r="U260" i="17" a="1"/>
  <c r="U260" i="17" s="1"/>
  <c r="U279" i="17" a="1"/>
  <c r="U279" i="17" s="1"/>
  <c r="U298" i="17" a="1"/>
  <c r="U298" i="17" s="1"/>
  <c r="U317" i="17" a="1"/>
  <c r="U317" i="17"/>
  <c r="U336" i="17" a="1"/>
  <c r="U336" i="17" s="1"/>
  <c r="U355" i="17" a="1"/>
  <c r="U355" i="17" s="1"/>
  <c r="U374" i="17" a="1"/>
  <c r="U374" i="17" s="1"/>
  <c r="U393" i="17" a="1"/>
  <c r="U393" i="17" s="1"/>
  <c r="U412" i="17" a="1"/>
  <c r="U412" i="17" s="1"/>
  <c r="U507" i="17" a="1"/>
  <c r="U507" i="17" s="1"/>
  <c r="U526" i="17" a="1"/>
  <c r="U526" i="17" s="1"/>
  <c r="U545" i="17" a="1"/>
  <c r="U545" i="17" s="1"/>
  <c r="U453" i="17" a="1"/>
  <c r="U453" i="17" s="1"/>
  <c r="U454" i="17" a="1"/>
  <c r="U454" i="17" s="1"/>
  <c r="U455" i="17" a="1"/>
  <c r="U455" i="17" s="1"/>
  <c r="U488" i="17" a="1"/>
  <c r="U488" i="17" s="1"/>
  <c r="U678" i="17" a="1"/>
  <c r="U678" i="17" s="1"/>
  <c r="U697" i="17" a="1"/>
  <c r="U697" i="17" s="1"/>
  <c r="U716" i="17" a="1"/>
  <c r="U716" i="17" s="1"/>
  <c r="U735" i="17" a="1"/>
  <c r="U735" i="17" s="1"/>
  <c r="U754" i="17" a="1"/>
  <c r="U754" i="17" s="1"/>
  <c r="U773" i="17" a="1"/>
  <c r="U773" i="17" s="1"/>
  <c r="U790" i="17" a="1"/>
  <c r="U790" i="17" s="1"/>
  <c r="U825" i="17" a="1"/>
  <c r="U825" i="17" s="1"/>
  <c r="U844" i="17" a="1"/>
  <c r="U844" i="17" s="1"/>
  <c r="U863" i="17" a="1"/>
  <c r="U863" i="17" s="1"/>
  <c r="U882" i="17" a="1"/>
  <c r="U882" i="17" s="1"/>
  <c r="U901" i="17" a="1"/>
  <c r="U901" i="17" s="1"/>
  <c r="U920" i="17" a="1"/>
  <c r="U920" i="17" s="1"/>
  <c r="U939" i="17" a="1"/>
  <c r="U939" i="17" s="1"/>
  <c r="U958" i="17" a="1"/>
  <c r="U958" i="17" s="1"/>
  <c r="U977" i="17" a="1"/>
  <c r="U977" i="17" s="1"/>
  <c r="U996" i="17" a="1"/>
  <c r="U996" i="17" s="1"/>
  <c r="U1015" i="17" a="1"/>
  <c r="U1015" i="17" s="1"/>
  <c r="U1034" i="17" a="1"/>
  <c r="U1034" i="17" s="1"/>
  <c r="U1053" i="17" a="1"/>
  <c r="U1053" i="17"/>
  <c r="U619" i="17" a="1"/>
  <c r="U619" i="17" s="1"/>
  <c r="U620" i="17" a="1"/>
  <c r="U620" i="17" s="1"/>
  <c r="U621" i="17" a="1"/>
  <c r="U621" i="17" s="1"/>
  <c r="U622" i="17" a="1"/>
  <c r="U622" i="17" s="1"/>
  <c r="U623" i="17" a="1"/>
  <c r="U623" i="17" s="1"/>
  <c r="U624" i="17" a="1"/>
  <c r="U624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128" i="17" a="1"/>
  <c r="U128" i="17" s="1"/>
  <c r="U147" i="17" a="1"/>
  <c r="U147" i="17" s="1"/>
  <c r="U166" i="17" a="1"/>
  <c r="U166" i="17" s="1"/>
  <c r="U185" i="17" a="1"/>
  <c r="U185" i="17" s="1"/>
  <c r="U228" i="17" a="1"/>
  <c r="U228" i="17" s="1"/>
  <c r="U229" i="17" a="1"/>
  <c r="U229" i="17" s="1"/>
  <c r="U230" i="17" a="1"/>
  <c r="U230" i="17" s="1"/>
  <c r="U261" i="17" a="1"/>
  <c r="U261" i="17" s="1"/>
  <c r="U280" i="17" a="1"/>
  <c r="U280" i="17" s="1"/>
  <c r="U299" i="17" a="1"/>
  <c r="U299" i="17" s="1"/>
  <c r="U318" i="17" a="1"/>
  <c r="U318" i="17" s="1"/>
  <c r="U337" i="17" a="1"/>
  <c r="U337" i="17" s="1"/>
  <c r="U356" i="17" a="1"/>
  <c r="U356" i="17" s="1"/>
  <c r="U375" i="17" a="1"/>
  <c r="U375" i="17" s="1"/>
  <c r="U394" i="17" a="1"/>
  <c r="U394" i="17" s="1"/>
  <c r="U413" i="17" a="1"/>
  <c r="U413" i="17" s="1"/>
  <c r="U508" i="17" a="1"/>
  <c r="U508" i="17" s="1"/>
  <c r="U527" i="17" a="1"/>
  <c r="U527" i="17" s="1"/>
  <c r="U546" i="17" a="1"/>
  <c r="U546" i="17" s="1"/>
  <c r="U456" i="17" a="1"/>
  <c r="U456" i="17" s="1"/>
  <c r="U457" i="17" a="1"/>
  <c r="U457" i="17" s="1"/>
  <c r="U458" i="17" a="1"/>
  <c r="U458" i="17" s="1"/>
  <c r="U489" i="17" a="1"/>
  <c r="U489" i="17" s="1"/>
  <c r="U679" i="17" a="1"/>
  <c r="U679" i="17" s="1"/>
  <c r="U698" i="17" a="1"/>
  <c r="U698" i="17" s="1"/>
  <c r="U717" i="17" a="1"/>
  <c r="U717" i="17" s="1"/>
  <c r="U736" i="17" a="1"/>
  <c r="U736" i="17" s="1"/>
  <c r="U755" i="17" a="1"/>
  <c r="U755" i="17" s="1"/>
  <c r="U774" i="17" a="1"/>
  <c r="U774" i="17"/>
  <c r="U791" i="17" a="1"/>
  <c r="U791" i="17" s="1"/>
  <c r="U826" i="17" a="1"/>
  <c r="U826" i="17" s="1"/>
  <c r="U845" i="17" a="1"/>
  <c r="U845" i="17" s="1"/>
  <c r="U864" i="17" a="1"/>
  <c r="U864" i="17" s="1"/>
  <c r="U883" i="17" a="1"/>
  <c r="U883" i="17" s="1"/>
  <c r="U902" i="17" a="1"/>
  <c r="U902" i="17" s="1"/>
  <c r="U921" i="17" a="1"/>
  <c r="U921" i="17" s="1"/>
  <c r="U940" i="17" a="1"/>
  <c r="U940" i="17" s="1"/>
  <c r="U959" i="17" a="1"/>
  <c r="U959" i="17" s="1"/>
  <c r="U978" i="17" a="1"/>
  <c r="U978" i="17" s="1"/>
  <c r="U997" i="17" a="1"/>
  <c r="U997" i="17" s="1"/>
  <c r="U1016" i="17" a="1"/>
  <c r="U1016" i="17" s="1"/>
  <c r="U1035" i="17" a="1"/>
  <c r="U1035" i="17" s="1"/>
  <c r="U1054" i="17" a="1"/>
  <c r="U1054" i="17" s="1"/>
  <c r="U625" i="17" a="1"/>
  <c r="U625" i="17" s="1"/>
  <c r="U626" i="17" a="1"/>
  <c r="U626" i="17" s="1"/>
  <c r="U627" i="17" a="1"/>
  <c r="U627" i="17" s="1"/>
  <c r="U628" i="17" a="1"/>
  <c r="U628" i="17" s="1"/>
  <c r="U629" i="17" a="1"/>
  <c r="U629" i="17" s="1"/>
  <c r="U630" i="17" a="1"/>
  <c r="U630" i="17" s="1"/>
  <c r="U80" i="17" a="1"/>
  <c r="U80" i="17" s="1"/>
  <c r="U81" i="17" a="1"/>
  <c r="U81" i="17" s="1"/>
  <c r="U82" i="17" a="1"/>
  <c r="U82" i="17" s="1"/>
  <c r="U83" i="17" a="1"/>
  <c r="U83" i="17" s="1"/>
  <c r="U84" i="17" a="1"/>
  <c r="U84" i="17" s="1"/>
  <c r="U85" i="17" a="1"/>
  <c r="U85" i="17" s="1"/>
  <c r="U129" i="17" a="1"/>
  <c r="U129" i="17" s="1"/>
  <c r="U148" i="17" a="1"/>
  <c r="U148" i="17" s="1"/>
  <c r="U167" i="17" a="1"/>
  <c r="U167" i="17" s="1"/>
  <c r="U186" i="17" a="1"/>
  <c r="U186" i="17" s="1"/>
  <c r="U231" i="17" a="1"/>
  <c r="U231" i="17" s="1"/>
  <c r="U232" i="17" a="1"/>
  <c r="U232" i="17" s="1"/>
  <c r="U233" i="17" a="1"/>
  <c r="U233" i="17" s="1"/>
  <c r="U262" i="17" a="1"/>
  <c r="U262" i="17" s="1"/>
  <c r="U281" i="17" a="1"/>
  <c r="U281" i="17" s="1"/>
  <c r="U300" i="17" a="1"/>
  <c r="U300" i="17" s="1"/>
  <c r="U319" i="17" a="1"/>
  <c r="U319" i="17" s="1"/>
  <c r="U338" i="17" a="1"/>
  <c r="U338" i="17" s="1"/>
  <c r="U357" i="17" a="1"/>
  <c r="U357" i="17" s="1"/>
  <c r="U376" i="17" a="1"/>
  <c r="U376" i="17" s="1"/>
  <c r="U395" i="17" a="1"/>
  <c r="U395" i="17" s="1"/>
  <c r="U414" i="17" a="1"/>
  <c r="U414" i="17" s="1"/>
  <c r="U509" i="17" a="1"/>
  <c r="U509" i="17" s="1"/>
  <c r="U528" i="17" a="1"/>
  <c r="U528" i="17" s="1"/>
  <c r="U547" i="17" a="1"/>
  <c r="U547" i="17" s="1"/>
  <c r="U459" i="17" a="1"/>
  <c r="U459" i="17" s="1"/>
  <c r="U460" i="17" a="1"/>
  <c r="U460" i="17" s="1"/>
  <c r="U461" i="17" a="1"/>
  <c r="U461" i="17" s="1"/>
  <c r="U490" i="17" a="1"/>
  <c r="U490" i="17" s="1"/>
  <c r="U680" i="17" a="1"/>
  <c r="U680" i="17" s="1"/>
  <c r="U699" i="17" a="1"/>
  <c r="U699" i="17" s="1"/>
  <c r="U718" i="17" a="1"/>
  <c r="U718" i="17" s="1"/>
  <c r="U737" i="17" a="1"/>
  <c r="U737" i="17" s="1"/>
  <c r="U756" i="17" a="1"/>
  <c r="U756" i="17" s="1"/>
  <c r="U775" i="17" a="1"/>
  <c r="U775" i="17" s="1"/>
  <c r="U792" i="17" a="1"/>
  <c r="U792" i="17" s="1"/>
  <c r="U804" i="17" a="1"/>
  <c r="U804" i="17" s="1"/>
  <c r="U827" i="17" a="1"/>
  <c r="U827" i="17" s="1"/>
  <c r="U846" i="17" a="1"/>
  <c r="U846" i="17" s="1"/>
  <c r="U865" i="17" a="1"/>
  <c r="U865" i="17" s="1"/>
  <c r="U884" i="17" a="1"/>
  <c r="U884" i="17" s="1"/>
  <c r="U903" i="17" a="1"/>
  <c r="U903" i="17" s="1"/>
  <c r="U922" i="17" a="1"/>
  <c r="U922" i="17" s="1"/>
  <c r="U941" i="17" a="1"/>
  <c r="U941" i="17"/>
  <c r="U960" i="17" a="1"/>
  <c r="U960" i="17" s="1"/>
  <c r="U979" i="17" a="1"/>
  <c r="U979" i="17" s="1"/>
  <c r="U998" i="17" a="1"/>
  <c r="U998" i="17" s="1"/>
  <c r="U1017" i="17" a="1"/>
  <c r="U1017" i="17" s="1"/>
  <c r="U1036" i="17" a="1"/>
  <c r="U1036" i="17" s="1"/>
  <c r="U1055" i="17" a="1"/>
  <c r="U1055" i="17" s="1"/>
  <c r="U631" i="17" a="1"/>
  <c r="U631" i="17" s="1"/>
  <c r="U632" i="17" a="1"/>
  <c r="U632" i="17" s="1"/>
  <c r="U633" i="17" a="1"/>
  <c r="U633" i="17" s="1"/>
  <c r="U634" i="17" a="1"/>
  <c r="U634" i="17" s="1"/>
  <c r="U635" i="17" a="1"/>
  <c r="U635" i="17" s="1"/>
  <c r="U636" i="17" a="1"/>
  <c r="U636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130" i="17" a="1"/>
  <c r="U130" i="17" s="1"/>
  <c r="U149" i="17" a="1"/>
  <c r="U149" i="17" s="1"/>
  <c r="U168" i="17" a="1"/>
  <c r="U168" i="17" s="1"/>
  <c r="U187" i="17" a="1"/>
  <c r="U187" i="17" s="1"/>
  <c r="U234" i="17" a="1"/>
  <c r="U234" i="17" s="1"/>
  <c r="U235" i="17" a="1"/>
  <c r="U235" i="17" s="1"/>
  <c r="U236" i="17" a="1"/>
  <c r="U236" i="17" s="1"/>
  <c r="U263" i="17" a="1"/>
  <c r="U263" i="17" s="1"/>
  <c r="U282" i="17" a="1"/>
  <c r="U282" i="17" s="1"/>
  <c r="U301" i="17" a="1"/>
  <c r="U301" i="17" s="1"/>
  <c r="U320" i="17" a="1"/>
  <c r="U320" i="17" s="1"/>
  <c r="U339" i="17" a="1"/>
  <c r="U339" i="17" s="1"/>
  <c r="U358" i="17" a="1"/>
  <c r="U358" i="17" s="1"/>
  <c r="U377" i="17" a="1"/>
  <c r="U377" i="17" s="1"/>
  <c r="U396" i="17" a="1"/>
  <c r="U396" i="17" s="1"/>
  <c r="U415" i="17" a="1"/>
  <c r="U415" i="17" s="1"/>
  <c r="U510" i="17" a="1"/>
  <c r="U510" i="17" s="1"/>
  <c r="U529" i="17" a="1"/>
  <c r="U529" i="17" s="1"/>
  <c r="U548" i="17" a="1"/>
  <c r="U548" i="17" s="1"/>
  <c r="U462" i="17" a="1"/>
  <c r="U462" i="17" s="1"/>
  <c r="U463" i="17" a="1"/>
  <c r="U463" i="17" s="1"/>
  <c r="U464" i="17" a="1"/>
  <c r="U464" i="17" s="1"/>
  <c r="U491" i="17" a="1"/>
  <c r="U491" i="17" s="1"/>
  <c r="U681" i="17" a="1"/>
  <c r="U681" i="17" s="1"/>
  <c r="U700" i="17" a="1"/>
  <c r="U700" i="17" s="1"/>
  <c r="U719" i="17" a="1"/>
  <c r="U719" i="17" s="1"/>
  <c r="U738" i="17" a="1"/>
  <c r="U738" i="17" s="1"/>
  <c r="U757" i="17" a="1"/>
  <c r="U757" i="17" s="1"/>
  <c r="U776" i="17" a="1"/>
  <c r="U776" i="17" s="1"/>
  <c r="U793" i="17" a="1"/>
  <c r="U793" i="17" s="1"/>
  <c r="U805" i="17" a="1"/>
  <c r="U805" i="17"/>
  <c r="U828" i="17" a="1"/>
  <c r="U828" i="17" s="1"/>
  <c r="U847" i="17" a="1"/>
  <c r="U847" i="17" s="1"/>
  <c r="U866" i="17" a="1"/>
  <c r="U866" i="17" s="1"/>
  <c r="U885" i="17" a="1"/>
  <c r="U885" i="17" s="1"/>
  <c r="U904" i="17" a="1"/>
  <c r="U904" i="17" s="1"/>
  <c r="U923" i="17" a="1"/>
  <c r="U923" i="17" s="1"/>
  <c r="U942" i="17" a="1"/>
  <c r="U942" i="17" s="1"/>
  <c r="U961" i="17" a="1"/>
  <c r="U961" i="17" s="1"/>
  <c r="U980" i="17" a="1"/>
  <c r="U980" i="17" s="1"/>
  <c r="U999" i="17" a="1"/>
  <c r="U999" i="17" s="1"/>
  <c r="U1018" i="17" a="1"/>
  <c r="U1018" i="17" s="1"/>
  <c r="U1037" i="17" a="1"/>
  <c r="U1037" i="17" s="1"/>
  <c r="U1056" i="17" a="1"/>
  <c r="U1056" i="17" s="1"/>
  <c r="U637" i="17" a="1"/>
  <c r="U637" i="17"/>
  <c r="U638" i="17" a="1"/>
  <c r="U638" i="17" s="1"/>
  <c r="U639" i="17" a="1"/>
  <c r="U639" i="17" s="1"/>
  <c r="U640" i="17" a="1"/>
  <c r="U640" i="17" s="1"/>
  <c r="U641" i="17" a="1"/>
  <c r="U641" i="17" s="1"/>
  <c r="U642" i="17" a="1"/>
  <c r="U642" i="17" s="1"/>
  <c r="U92" i="17" a="1"/>
  <c r="U92" i="17" s="1"/>
  <c r="U93" i="17" a="1"/>
  <c r="U93" i="17" s="1"/>
  <c r="U94" i="17" a="1"/>
  <c r="U94" i="17" s="1"/>
  <c r="U95" i="17" a="1"/>
  <c r="U95" i="17" s="1"/>
  <c r="U96" i="17" a="1"/>
  <c r="U96" i="17" s="1"/>
  <c r="U97" i="17" a="1"/>
  <c r="U97" i="17" s="1"/>
  <c r="U131" i="17" a="1"/>
  <c r="U131" i="17" s="1"/>
  <c r="U150" i="17" a="1"/>
  <c r="U150" i="17" s="1"/>
  <c r="U169" i="17" a="1"/>
  <c r="U169" i="17" s="1"/>
  <c r="U188" i="17" a="1"/>
  <c r="U188" i="17" s="1"/>
  <c r="U237" i="17" a="1"/>
  <c r="U237" i="17" s="1"/>
  <c r="U238" i="17" a="1"/>
  <c r="U238" i="17" s="1"/>
  <c r="U239" i="17" a="1"/>
  <c r="U239" i="17" s="1"/>
  <c r="U264" i="17" a="1"/>
  <c r="U264" i="17" s="1"/>
  <c r="U283" i="17" a="1"/>
  <c r="U283" i="17" s="1"/>
  <c r="U302" i="17" a="1"/>
  <c r="U302" i="17" s="1"/>
  <c r="U321" i="17" a="1"/>
  <c r="U321" i="17" s="1"/>
  <c r="U340" i="17" a="1"/>
  <c r="U340" i="17" s="1"/>
  <c r="U359" i="17" a="1"/>
  <c r="U359" i="17" s="1"/>
  <c r="U378" i="17" a="1"/>
  <c r="U378" i="17" s="1"/>
  <c r="U397" i="17" a="1"/>
  <c r="U397" i="17" s="1"/>
  <c r="U416" i="17" a="1"/>
  <c r="U416" i="17" s="1"/>
  <c r="U511" i="17" a="1"/>
  <c r="U511" i="17" s="1"/>
  <c r="U530" i="17" a="1"/>
  <c r="U530" i="17" s="1"/>
  <c r="U549" i="17" a="1"/>
  <c r="U549" i="17"/>
  <c r="U465" i="17" a="1"/>
  <c r="U465" i="17" s="1"/>
  <c r="U466" i="17" a="1"/>
  <c r="U466" i="17" s="1"/>
  <c r="U467" i="17" a="1"/>
  <c r="U467" i="17" s="1"/>
  <c r="U492" i="17" a="1"/>
  <c r="U492" i="17" s="1"/>
  <c r="U682" i="17" a="1"/>
  <c r="U682" i="17" s="1"/>
  <c r="U701" i="17" a="1"/>
  <c r="U701" i="17" s="1"/>
  <c r="U720" i="17" a="1"/>
  <c r="U720" i="17" s="1"/>
  <c r="U739" i="17" a="1"/>
  <c r="U739" i="17" s="1"/>
  <c r="U758" i="17" a="1"/>
  <c r="U758" i="17" s="1"/>
  <c r="U777" i="17" a="1"/>
  <c r="U777" i="17" s="1"/>
  <c r="U806" i="17" a="1"/>
  <c r="U806" i="17" s="1"/>
  <c r="U812" i="17" a="1"/>
  <c r="U812" i="17" s="1"/>
  <c r="U829" i="17" a="1"/>
  <c r="U829" i="17" s="1"/>
  <c r="U848" i="17" a="1"/>
  <c r="U848" i="17" s="1"/>
  <c r="U867" i="17" a="1"/>
  <c r="U867" i="17" s="1"/>
  <c r="U886" i="17" a="1"/>
  <c r="U886" i="17" s="1"/>
  <c r="U905" i="17" a="1"/>
  <c r="U905" i="17" s="1"/>
  <c r="U924" i="17" a="1"/>
  <c r="U924" i="17" s="1"/>
  <c r="U943" i="17" a="1"/>
  <c r="U943" i="17" s="1"/>
  <c r="U962" i="17" a="1"/>
  <c r="U962" i="17" s="1"/>
  <c r="U981" i="17" a="1"/>
  <c r="U981" i="17" s="1"/>
  <c r="U1000" i="17" a="1"/>
  <c r="U1000" i="17" s="1"/>
  <c r="U1019" i="17" a="1"/>
  <c r="U1019" i="17" s="1"/>
  <c r="U1038" i="17" a="1"/>
  <c r="U1038" i="17" s="1"/>
  <c r="U1057" i="17" a="1"/>
  <c r="U1057" i="17" s="1"/>
  <c r="U643" i="17" a="1"/>
  <c r="U643" i="17" s="1"/>
  <c r="U644" i="17" a="1"/>
  <c r="U644" i="17" s="1"/>
  <c r="U645" i="17" a="1"/>
  <c r="U645" i="17" s="1"/>
  <c r="U646" i="17" a="1"/>
  <c r="U646" i="17" s="1"/>
  <c r="U647" i="17" a="1"/>
  <c r="U647" i="17" s="1"/>
  <c r="U648" i="17" a="1"/>
  <c r="U648" i="17" s="1"/>
  <c r="U98" i="17" a="1"/>
  <c r="U98" i="17" s="1"/>
  <c r="U99" i="17" a="1"/>
  <c r="U99" i="17" s="1"/>
  <c r="U100" i="17" a="1"/>
  <c r="U100" i="17" s="1"/>
  <c r="U101" i="17" a="1"/>
  <c r="U101" i="17" s="1"/>
  <c r="U102" i="17" a="1"/>
  <c r="U102" i="17" s="1"/>
  <c r="U103" i="17" a="1"/>
  <c r="U103" i="17" s="1"/>
  <c r="U132" i="17" a="1"/>
  <c r="U132" i="17" s="1"/>
  <c r="U151" i="17" a="1"/>
  <c r="U151" i="17" s="1"/>
  <c r="U170" i="17" a="1"/>
  <c r="U170" i="17" s="1"/>
  <c r="U189" i="17" a="1"/>
  <c r="U189" i="17" s="1"/>
  <c r="U240" i="17" a="1"/>
  <c r="U240" i="17" s="1"/>
  <c r="U241" i="17" a="1"/>
  <c r="U241" i="17" s="1"/>
  <c r="U242" i="17" a="1"/>
  <c r="U242" i="17" s="1"/>
  <c r="U265" i="17" a="1"/>
  <c r="U265" i="17" s="1"/>
  <c r="U284" i="17" a="1"/>
  <c r="U284" i="17" s="1"/>
  <c r="U303" i="17" a="1"/>
  <c r="U303" i="17" s="1"/>
  <c r="U322" i="17" a="1"/>
  <c r="U322" i="17" s="1"/>
  <c r="U341" i="17" a="1"/>
  <c r="U341" i="17" s="1"/>
  <c r="U360" i="17" a="1"/>
  <c r="U360" i="17" s="1"/>
  <c r="U379" i="17" a="1"/>
  <c r="U379" i="17" s="1"/>
  <c r="U398" i="17" a="1"/>
  <c r="U398" i="17" s="1"/>
  <c r="U417" i="17" a="1"/>
  <c r="U417" i="17" s="1"/>
  <c r="U512" i="17" a="1"/>
  <c r="U512" i="17" s="1"/>
  <c r="U531" i="17" a="1"/>
  <c r="U531" i="17" s="1"/>
  <c r="U550" i="17" a="1"/>
  <c r="U550" i="17" s="1"/>
  <c r="U468" i="17" a="1"/>
  <c r="U468" i="17" s="1"/>
  <c r="U469" i="17" a="1"/>
  <c r="U469" i="17"/>
  <c r="U470" i="17" a="1"/>
  <c r="U470" i="17" s="1"/>
  <c r="U493" i="17" a="1"/>
  <c r="U493" i="17" s="1"/>
  <c r="U683" i="17" a="1"/>
  <c r="U683" i="17" s="1"/>
  <c r="U702" i="17" a="1"/>
  <c r="U702" i="17" s="1"/>
  <c r="U721" i="17" a="1"/>
  <c r="U721" i="17" s="1"/>
  <c r="U740" i="17" a="1"/>
  <c r="U740" i="17" s="1"/>
  <c r="U759" i="17" a="1"/>
  <c r="U759" i="17" s="1"/>
  <c r="U778" i="17" a="1"/>
  <c r="U778" i="17" s="1"/>
  <c r="U794" i="17" a="1"/>
  <c r="U794" i="17" s="1"/>
  <c r="U807" i="17" a="1"/>
  <c r="U807" i="17" s="1"/>
  <c r="U830" i="17" a="1"/>
  <c r="U830" i="17" s="1"/>
  <c r="U849" i="17" a="1"/>
  <c r="U849" i="17" s="1"/>
  <c r="U868" i="17" a="1"/>
  <c r="U868" i="17" s="1"/>
  <c r="U887" i="17" a="1"/>
  <c r="U887" i="17" s="1"/>
  <c r="U906" i="17" a="1"/>
  <c r="U906" i="17" s="1"/>
  <c r="U925" i="17" a="1"/>
  <c r="U925" i="17" s="1"/>
  <c r="U944" i="17" a="1"/>
  <c r="U944" i="17" s="1"/>
  <c r="U963" i="17" a="1"/>
  <c r="U963" i="17" s="1"/>
  <c r="U982" i="17" a="1"/>
  <c r="U982" i="17" s="1"/>
  <c r="U1001" i="17" a="1"/>
  <c r="U1001" i="17" s="1"/>
  <c r="U1020" i="17" a="1"/>
  <c r="U1020" i="17" s="1"/>
  <c r="U1039" i="17" a="1"/>
  <c r="U1039" i="17" s="1"/>
  <c r="U1058" i="17" a="1"/>
  <c r="U1058" i="17" s="1"/>
  <c r="U649" i="17" a="1"/>
  <c r="U649" i="17" s="1"/>
  <c r="U650" i="17" a="1"/>
  <c r="U650" i="17" s="1"/>
  <c r="U651" i="17" a="1"/>
  <c r="U651" i="17" s="1"/>
  <c r="U652" i="17" a="1"/>
  <c r="U652" i="17" s="1"/>
  <c r="U653" i="17" a="1"/>
  <c r="U653" i="17" s="1"/>
  <c r="U654" i="17" a="1"/>
  <c r="U654" i="17" s="1"/>
  <c r="U104" i="17" a="1"/>
  <c r="U104" i="17" s="1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133" i="17" a="1"/>
  <c r="U133" i="17" s="1"/>
  <c r="U152" i="17" a="1"/>
  <c r="U152" i="17" s="1"/>
  <c r="U171" i="17" a="1"/>
  <c r="U171" i="17" s="1"/>
  <c r="U190" i="17" a="1"/>
  <c r="U190" i="17" s="1"/>
  <c r="U243" i="17" a="1"/>
  <c r="U243" i="17" s="1"/>
  <c r="U244" i="17" a="1"/>
  <c r="U244" i="17" s="1"/>
  <c r="U245" i="17" a="1"/>
  <c r="U245" i="17" s="1"/>
  <c r="U266" i="17" a="1"/>
  <c r="U266" i="17" s="1"/>
  <c r="U285" i="17" a="1"/>
  <c r="U285" i="17" s="1"/>
  <c r="U304" i="17" a="1"/>
  <c r="U304" i="17" s="1"/>
  <c r="U323" i="17" a="1"/>
  <c r="U323" i="17" s="1"/>
  <c r="U342" i="17" a="1"/>
  <c r="U342" i="17" s="1"/>
  <c r="U361" i="17" a="1"/>
  <c r="U361" i="17" s="1"/>
  <c r="U380" i="17" a="1"/>
  <c r="U380" i="17" s="1"/>
  <c r="U399" i="17" a="1"/>
  <c r="U399" i="17" s="1"/>
  <c r="U418" i="17" a="1"/>
  <c r="U418" i="17" s="1"/>
  <c r="U513" i="17" a="1"/>
  <c r="U513" i="17" s="1"/>
  <c r="U532" i="17" a="1"/>
  <c r="U532" i="17" s="1"/>
  <c r="U551" i="17" a="1"/>
  <c r="U551" i="17" s="1"/>
  <c r="U471" i="17" a="1"/>
  <c r="U471" i="17" s="1"/>
  <c r="U472" i="17" a="1"/>
  <c r="U472" i="17" s="1"/>
  <c r="U473" i="17" a="1"/>
  <c r="U473" i="17" s="1"/>
  <c r="U494" i="17" a="1"/>
  <c r="U494" i="17" s="1"/>
  <c r="U684" i="17" a="1"/>
  <c r="U684" i="17" s="1"/>
  <c r="U703" i="17" a="1"/>
  <c r="U703" i="17" s="1"/>
  <c r="U722" i="17" a="1"/>
  <c r="U722" i="17" s="1"/>
  <c r="U741" i="17" a="1"/>
  <c r="U741" i="17" s="1"/>
  <c r="U760" i="17" a="1"/>
  <c r="U760" i="17" s="1"/>
  <c r="U779" i="17" a="1"/>
  <c r="U779" i="17" s="1"/>
  <c r="U795" i="17" a="1"/>
  <c r="U795" i="17" s="1"/>
  <c r="U808" i="17" a="1"/>
  <c r="U808" i="17" s="1"/>
  <c r="U831" i="17" a="1"/>
  <c r="U831" i="17" s="1"/>
  <c r="U850" i="17" a="1"/>
  <c r="U850" i="17" s="1"/>
  <c r="U869" i="17" a="1"/>
  <c r="U869" i="17" s="1"/>
  <c r="U888" i="17" a="1"/>
  <c r="U888" i="17" s="1"/>
  <c r="U907" i="17" a="1"/>
  <c r="U907" i="17" s="1"/>
  <c r="U926" i="17" a="1"/>
  <c r="U926" i="17" s="1"/>
  <c r="U945" i="17" a="1"/>
  <c r="U945" i="17" s="1"/>
  <c r="U964" i="17" a="1"/>
  <c r="U964" i="17" s="1"/>
  <c r="U983" i="17" a="1"/>
  <c r="U983" i="17" s="1"/>
  <c r="U1002" i="17" a="1"/>
  <c r="U1002" i="17" s="1"/>
  <c r="U1021" i="17" a="1"/>
  <c r="U1021" i="17" s="1"/>
  <c r="U1040" i="17" a="1"/>
  <c r="U1040" i="17" s="1"/>
  <c r="U1059" i="17" a="1"/>
  <c r="U1059" i="17" s="1"/>
  <c r="U655" i="17" a="1"/>
  <c r="U655" i="17" s="1"/>
  <c r="U656" i="17" a="1"/>
  <c r="U656" i="17" s="1"/>
  <c r="U657" i="17" a="1"/>
  <c r="U657" i="17"/>
  <c r="U658" i="17" a="1"/>
  <c r="U658" i="17" s="1"/>
  <c r="U659" i="17" a="1"/>
  <c r="U659" i="17" s="1"/>
  <c r="U660" i="17" a="1"/>
  <c r="U660" i="17" s="1"/>
  <c r="U110" i="17" a="1"/>
  <c r="U110" i="17" s="1"/>
  <c r="U111" i="17" a="1"/>
  <c r="U111" i="17" s="1"/>
  <c r="U112" i="17" a="1"/>
  <c r="U112" i="17" s="1"/>
  <c r="U113" i="17" a="1"/>
  <c r="U113" i="17" s="1"/>
  <c r="U114" i="17" a="1"/>
  <c r="U114" i="17" s="1"/>
  <c r="U115" i="17" a="1"/>
  <c r="U115" i="17" s="1"/>
  <c r="U134" i="17" a="1"/>
  <c r="U134" i="17" s="1"/>
  <c r="U153" i="17" a="1"/>
  <c r="U153" i="17" s="1"/>
  <c r="U172" i="17" a="1"/>
  <c r="U172" i="17" s="1"/>
  <c r="U191" i="17" a="1"/>
  <c r="U191" i="17" s="1"/>
  <c r="U246" i="17" a="1"/>
  <c r="U246" i="17" s="1"/>
  <c r="U247" i="17" a="1"/>
  <c r="U247" i="17" s="1"/>
  <c r="U248" i="17" a="1"/>
  <c r="U248" i="17" s="1"/>
  <c r="U267" i="17" a="1"/>
  <c r="U267" i="17" s="1"/>
  <c r="U286" i="17" a="1"/>
  <c r="U286" i="17" s="1"/>
  <c r="U305" i="17" a="1"/>
  <c r="U305" i="17" s="1"/>
  <c r="U324" i="17" a="1"/>
  <c r="U324" i="17" s="1"/>
  <c r="U343" i="17" a="1"/>
  <c r="U343" i="17" s="1"/>
  <c r="U362" i="17" a="1"/>
  <c r="U362" i="17" s="1"/>
  <c r="U381" i="17" a="1"/>
  <c r="U381" i="17" s="1"/>
  <c r="U400" i="17" a="1"/>
  <c r="U400" i="17" s="1"/>
  <c r="U419" i="17" a="1"/>
  <c r="U419" i="17" s="1"/>
  <c r="U514" i="17" a="1"/>
  <c r="U514" i="17" s="1"/>
  <c r="U533" i="17" a="1"/>
  <c r="U533" i="17" s="1"/>
  <c r="U552" i="17" a="1"/>
  <c r="U552" i="17" s="1"/>
  <c r="U474" i="17" a="1"/>
  <c r="U474" i="17" s="1"/>
  <c r="U475" i="17" a="1"/>
  <c r="U475" i="17" s="1"/>
  <c r="U476" i="17" a="1"/>
  <c r="U476" i="17" s="1"/>
  <c r="U495" i="17" a="1"/>
  <c r="U495" i="17" s="1"/>
  <c r="U685" i="17" a="1"/>
  <c r="U685" i="17" s="1"/>
  <c r="U704" i="17" a="1"/>
  <c r="U704" i="17" s="1"/>
  <c r="U723" i="17" a="1"/>
  <c r="U723" i="17" s="1"/>
  <c r="U742" i="17" a="1"/>
  <c r="U742" i="17" s="1"/>
  <c r="U761" i="17" a="1"/>
  <c r="U761" i="17" s="1"/>
  <c r="U780" i="17" a="1"/>
  <c r="U780" i="17" s="1"/>
  <c r="U796" i="17" a="1"/>
  <c r="U796" i="17" s="1"/>
  <c r="U809" i="17" a="1"/>
  <c r="U809" i="17" s="1"/>
  <c r="U813" i="17" a="1"/>
  <c r="U813" i="17" s="1"/>
  <c r="U832" i="17" a="1"/>
  <c r="U832" i="17" s="1"/>
  <c r="U851" i="17" a="1"/>
  <c r="U851" i="17" s="1"/>
  <c r="U870" i="17" a="1"/>
  <c r="U870" i="17" s="1"/>
  <c r="U889" i="17" a="1"/>
  <c r="U889" i="17" s="1"/>
  <c r="U908" i="17" a="1"/>
  <c r="U908" i="17" s="1"/>
  <c r="U927" i="17" a="1"/>
  <c r="U927" i="17" s="1"/>
  <c r="U946" i="17" a="1"/>
  <c r="U946" i="17" s="1"/>
  <c r="U965" i="17" a="1"/>
  <c r="U965" i="17" s="1"/>
  <c r="U984" i="17" a="1"/>
  <c r="U984" i="17" s="1"/>
  <c r="U1003" i="17" a="1"/>
  <c r="U1003" i="17" s="1"/>
  <c r="U1022" i="17" a="1"/>
  <c r="U1022" i="17" s="1"/>
  <c r="U1041" i="17" a="1"/>
  <c r="U1041" i="17" s="1"/>
  <c r="U1060" i="17" a="1"/>
  <c r="U1060" i="17" s="1"/>
  <c r="U661" i="17" a="1"/>
  <c r="U661" i="17" s="1"/>
  <c r="U662" i="17" a="1"/>
  <c r="U662" i="17" s="1"/>
  <c r="U663" i="17" a="1"/>
  <c r="U663" i="17" s="1"/>
  <c r="U664" i="17" a="1"/>
  <c r="U664" i="17" s="1"/>
  <c r="U665" i="17" a="1"/>
  <c r="U665" i="17" s="1"/>
  <c r="U666" i="17" a="1"/>
  <c r="U666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116" i="17" a="1"/>
  <c r="V116" i="17" s="1"/>
  <c r="V135" i="17" a="1"/>
  <c r="V135" i="17"/>
  <c r="V154" i="17" a="1"/>
  <c r="V154" i="17" s="1"/>
  <c r="V173" i="17" a="1"/>
  <c r="V173" i="17" s="1"/>
  <c r="V192" i="17" a="1"/>
  <c r="V192" i="17" s="1"/>
  <c r="V193" i="17" a="1"/>
  <c r="V193" i="17" s="1"/>
  <c r="V194" i="17" a="1"/>
  <c r="V194" i="17" s="1"/>
  <c r="V249" i="17" a="1"/>
  <c r="V249" i="17" s="1"/>
  <c r="V268" i="17" a="1"/>
  <c r="V268" i="17" s="1"/>
  <c r="V287" i="17" a="1"/>
  <c r="V287" i="17" s="1"/>
  <c r="V306" i="17" a="1"/>
  <c r="V306" i="17" s="1"/>
  <c r="V325" i="17" a="1"/>
  <c r="V325" i="17" s="1"/>
  <c r="V344" i="17" a="1"/>
  <c r="V344" i="17" s="1"/>
  <c r="V363" i="17" a="1"/>
  <c r="V363" i="17" s="1"/>
  <c r="V382" i="17" a="1"/>
  <c r="V382" i="17" s="1"/>
  <c r="V401" i="17" a="1"/>
  <c r="V401" i="17" s="1"/>
  <c r="V496" i="17" a="1"/>
  <c r="V496" i="17" s="1"/>
  <c r="V515" i="17" a="1"/>
  <c r="V515" i="17" s="1"/>
  <c r="V534" i="17" a="1"/>
  <c r="V534" i="17" s="1"/>
  <c r="V420" i="17" a="1"/>
  <c r="V420" i="17" s="1"/>
  <c r="V421" i="17" a="1"/>
  <c r="V421" i="17" s="1"/>
  <c r="V422" i="17" a="1"/>
  <c r="V422" i="17" s="1"/>
  <c r="V477" i="17" a="1"/>
  <c r="V477" i="17" s="1"/>
  <c r="V667" i="17" a="1"/>
  <c r="V667" i="17" s="1"/>
  <c r="V686" i="17" a="1"/>
  <c r="V686" i="17"/>
  <c r="V705" i="17" a="1"/>
  <c r="V705" i="17" s="1"/>
  <c r="V724" i="17" a="1"/>
  <c r="V724" i="17" s="1"/>
  <c r="V743" i="17" a="1"/>
  <c r="V743" i="17" s="1"/>
  <c r="V762" i="17" a="1"/>
  <c r="V762" i="17" s="1"/>
  <c r="V781" i="17" a="1"/>
  <c r="V781" i="17" s="1"/>
  <c r="V797" i="17" a="1"/>
  <c r="V797" i="17" s="1"/>
  <c r="V814" i="17" a="1"/>
  <c r="V814" i="17" s="1"/>
  <c r="V833" i="17" a="1"/>
  <c r="V833" i="17" s="1"/>
  <c r="V852" i="17" a="1"/>
  <c r="V852" i="17" s="1"/>
  <c r="V871" i="17" a="1"/>
  <c r="V871" i="17" s="1"/>
  <c r="V890" i="17" a="1"/>
  <c r="V890" i="17" s="1"/>
  <c r="V909" i="17" a="1"/>
  <c r="V909" i="17" s="1"/>
  <c r="V928" i="17" a="1"/>
  <c r="V928" i="17" s="1"/>
  <c r="V947" i="17" a="1"/>
  <c r="V947" i="17" s="1"/>
  <c r="V966" i="17" a="1"/>
  <c r="V966" i="17" s="1"/>
  <c r="V985" i="17" a="1"/>
  <c r="V985" i="17" s="1"/>
  <c r="V1004" i="17" a="1"/>
  <c r="V1004" i="17" s="1"/>
  <c r="V1023" i="17" a="1"/>
  <c r="V1023" i="17" s="1"/>
  <c r="V1042" i="17" a="1"/>
  <c r="V1042" i="17" s="1"/>
  <c r="V553" i="17" a="1"/>
  <c r="V553" i="17" s="1"/>
  <c r="V554" i="17" a="1"/>
  <c r="V554" i="17" s="1"/>
  <c r="V555" i="17" a="1"/>
  <c r="V555" i="17" s="1"/>
  <c r="V556" i="17" a="1"/>
  <c r="V556" i="17" s="1"/>
  <c r="V557" i="17" a="1"/>
  <c r="V557" i="17" s="1"/>
  <c r="V558" i="17" a="1"/>
  <c r="V558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117" i="17" a="1"/>
  <c r="V117" i="17" s="1"/>
  <c r="V136" i="17" a="1"/>
  <c r="V136" i="17" s="1"/>
  <c r="V155" i="17" a="1"/>
  <c r="V155" i="17" s="1"/>
  <c r="V174" i="17" a="1"/>
  <c r="V174" i="17" s="1"/>
  <c r="V195" i="17" a="1"/>
  <c r="V195" i="17" s="1"/>
  <c r="V196" i="17" a="1"/>
  <c r="V196" i="17" s="1"/>
  <c r="V197" i="17" a="1"/>
  <c r="V197" i="17" s="1"/>
  <c r="V250" i="17" a="1"/>
  <c r="V250" i="17" s="1"/>
  <c r="V269" i="17" a="1"/>
  <c r="V269" i="17" s="1"/>
  <c r="V288" i="17" a="1"/>
  <c r="V288" i="17" s="1"/>
  <c r="V307" i="17" a="1"/>
  <c r="V307" i="17" s="1"/>
  <c r="V326" i="17" a="1"/>
  <c r="V326" i="17" s="1"/>
  <c r="V345" i="17" a="1"/>
  <c r="V345" i="17" s="1"/>
  <c r="V364" i="17" a="1"/>
  <c r="V364" i="17" s="1"/>
  <c r="V383" i="17" a="1"/>
  <c r="V383" i="17" s="1"/>
  <c r="V402" i="17" a="1"/>
  <c r="V402" i="17" s="1"/>
  <c r="V497" i="17" a="1"/>
  <c r="V497" i="17" s="1"/>
  <c r="V516" i="17" a="1"/>
  <c r="V516" i="17" s="1"/>
  <c r="V535" i="17" a="1"/>
  <c r="V535" i="17" s="1"/>
  <c r="V423" i="17" a="1"/>
  <c r="V423" i="17" s="1"/>
  <c r="V424" i="17" a="1"/>
  <c r="V424" i="17" s="1"/>
  <c r="V425" i="17" a="1"/>
  <c r="V425" i="17" s="1"/>
  <c r="V478" i="17" a="1"/>
  <c r="V478" i="17" s="1"/>
  <c r="V668" i="17" a="1"/>
  <c r="V668" i="17" s="1"/>
  <c r="V687" i="17" a="1"/>
  <c r="V687" i="17" s="1"/>
  <c r="V706" i="17" a="1"/>
  <c r="V706" i="17" s="1"/>
  <c r="V725" i="17" a="1"/>
  <c r="V725" i="17" s="1"/>
  <c r="V744" i="17" a="1"/>
  <c r="V744" i="17" s="1"/>
  <c r="V763" i="17" a="1"/>
  <c r="V763" i="17"/>
  <c r="V782" i="17" a="1"/>
  <c r="V782" i="17" s="1"/>
  <c r="V798" i="17" a="1"/>
  <c r="V798" i="17" s="1"/>
  <c r="V815" i="17" a="1"/>
  <c r="V815" i="17"/>
  <c r="V834" i="17" a="1"/>
  <c r="V834" i="17" s="1"/>
  <c r="V853" i="17" a="1"/>
  <c r="V853" i="17" s="1"/>
  <c r="V872" i="17" a="1"/>
  <c r="V872" i="17" s="1"/>
  <c r="V891" i="17" a="1"/>
  <c r="V891" i="17" s="1"/>
  <c r="V910" i="17" a="1"/>
  <c r="V910" i="17" s="1"/>
  <c r="V929" i="17" a="1"/>
  <c r="V929" i="17" s="1"/>
  <c r="V948" i="17" a="1"/>
  <c r="V948" i="17" s="1"/>
  <c r="V967" i="17" a="1"/>
  <c r="V967" i="17" s="1"/>
  <c r="V986" i="17" a="1"/>
  <c r="V986" i="17" s="1"/>
  <c r="V1005" i="17" a="1"/>
  <c r="V1005" i="17" s="1"/>
  <c r="V1024" i="17" a="1"/>
  <c r="V1024" i="17" s="1"/>
  <c r="V1043" i="17" a="1"/>
  <c r="V1043" i="17" s="1"/>
  <c r="V559" i="17" a="1"/>
  <c r="V559" i="17" s="1"/>
  <c r="V560" i="17" a="1"/>
  <c r="V560" i="17" s="1"/>
  <c r="V561" i="17" a="1"/>
  <c r="V561" i="17" s="1"/>
  <c r="V562" i="17" a="1"/>
  <c r="V562" i="17"/>
  <c r="V563" i="17" a="1"/>
  <c r="V563" i="17" s="1"/>
  <c r="V564" i="17" a="1"/>
  <c r="V564" i="17" s="1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118" i="17" a="1"/>
  <c r="V118" i="17" s="1"/>
  <c r="V137" i="17" a="1"/>
  <c r="V137" i="17"/>
  <c r="V156" i="17" a="1"/>
  <c r="V156" i="17" s="1"/>
  <c r="V175" i="17" a="1"/>
  <c r="V175" i="17" s="1"/>
  <c r="V198" i="17" a="1"/>
  <c r="V198" i="17" s="1"/>
  <c r="V199" i="17" a="1"/>
  <c r="V199" i="17" s="1"/>
  <c r="V200" i="17" a="1"/>
  <c r="V200" i="17" s="1"/>
  <c r="V251" i="17" a="1"/>
  <c r="V251" i="17" s="1"/>
  <c r="V270" i="17" a="1"/>
  <c r="V270" i="17" s="1"/>
  <c r="V289" i="17" a="1"/>
  <c r="V289" i="17" s="1"/>
  <c r="V308" i="17" a="1"/>
  <c r="V308" i="17" s="1"/>
  <c r="V327" i="17" a="1"/>
  <c r="V327" i="17" s="1"/>
  <c r="V346" i="17" a="1"/>
  <c r="V346" i="17" s="1"/>
  <c r="V365" i="17" a="1"/>
  <c r="V365" i="17" s="1"/>
  <c r="V384" i="17" a="1"/>
  <c r="V384" i="17" s="1"/>
  <c r="V403" i="17" a="1"/>
  <c r="V403" i="17" s="1"/>
  <c r="V498" i="17" a="1"/>
  <c r="V498" i="17" s="1"/>
  <c r="V517" i="17" a="1"/>
  <c r="V517" i="17" s="1"/>
  <c r="V536" i="17" a="1"/>
  <c r="V536" i="17" s="1"/>
  <c r="V426" i="17" a="1"/>
  <c r="V426" i="17" s="1"/>
  <c r="V427" i="17" a="1"/>
  <c r="V427" i="17" s="1"/>
  <c r="V428" i="17" a="1"/>
  <c r="V428" i="17" s="1"/>
  <c r="V479" i="17" a="1"/>
  <c r="V479" i="17" s="1"/>
  <c r="V669" i="17" a="1"/>
  <c r="V669" i="17" s="1"/>
  <c r="V688" i="17" a="1"/>
  <c r="V688" i="17" s="1"/>
  <c r="V707" i="17" a="1"/>
  <c r="V707" i="17" s="1"/>
  <c r="V726" i="17" a="1"/>
  <c r="V726" i="17" s="1"/>
  <c r="V745" i="17" a="1"/>
  <c r="V745" i="17"/>
  <c r="V764" i="17" a="1"/>
  <c r="V764" i="17" s="1"/>
  <c r="V783" i="17" a="1"/>
  <c r="V783" i="17" s="1"/>
  <c r="V799" i="17" a="1"/>
  <c r="V799" i="17" s="1"/>
  <c r="V816" i="17" a="1"/>
  <c r="V816" i="17" s="1"/>
  <c r="V835" i="17" a="1"/>
  <c r="V835" i="17" s="1"/>
  <c r="V854" i="17" a="1"/>
  <c r="V854" i="17" s="1"/>
  <c r="V873" i="17" a="1"/>
  <c r="V873" i="17" s="1"/>
  <c r="V892" i="17" a="1"/>
  <c r="V892" i="17" s="1"/>
  <c r="V911" i="17" a="1"/>
  <c r="V911" i="17" s="1"/>
  <c r="V930" i="17" a="1"/>
  <c r="V930" i="17" s="1"/>
  <c r="V949" i="17" a="1"/>
  <c r="V949" i="17" s="1"/>
  <c r="V968" i="17" a="1"/>
  <c r="V968" i="17" s="1"/>
  <c r="V987" i="17" a="1"/>
  <c r="V987" i="17" s="1"/>
  <c r="V1006" i="17" a="1"/>
  <c r="V1006" i="17" s="1"/>
  <c r="V1025" i="17" a="1"/>
  <c r="V1025" i="17" s="1"/>
  <c r="V1044" i="17" a="1"/>
  <c r="V1044" i="17" s="1"/>
  <c r="V565" i="17" a="1"/>
  <c r="V565" i="17" s="1"/>
  <c r="V566" i="17" a="1"/>
  <c r="V566" i="17" s="1"/>
  <c r="V567" i="17" a="1"/>
  <c r="V567" i="17" s="1"/>
  <c r="V568" i="17" a="1"/>
  <c r="V568" i="17" s="1"/>
  <c r="V569" i="17" a="1"/>
  <c r="V569" i="17" s="1"/>
  <c r="V570" i="17" a="1"/>
  <c r="V570" i="17" s="1"/>
  <c r="V20" i="17" a="1"/>
  <c r="V20" i="17" s="1"/>
  <c r="V21" i="17" a="1"/>
  <c r="V21" i="17" s="1"/>
  <c r="V22" i="17" a="1"/>
  <c r="V22" i="17" s="1"/>
  <c r="V23" i="17" a="1"/>
  <c r="V23" i="17" s="1"/>
  <c r="V24" i="17" a="1"/>
  <c r="V24" i="17" s="1"/>
  <c r="V25" i="17" a="1"/>
  <c r="V25" i="17" s="1"/>
  <c r="V119" i="17" a="1"/>
  <c r="V119" i="17" s="1"/>
  <c r="V138" i="17" a="1"/>
  <c r="V138" i="17"/>
  <c r="V157" i="17" a="1"/>
  <c r="V157" i="17" s="1"/>
  <c r="V176" i="17" a="1"/>
  <c r="V176" i="17" s="1"/>
  <c r="V201" i="17" a="1"/>
  <c r="V201" i="17" s="1"/>
  <c r="V202" i="17" a="1"/>
  <c r="V202" i="17" s="1"/>
  <c r="V203" i="17" a="1"/>
  <c r="V203" i="17" s="1"/>
  <c r="V252" i="17" a="1"/>
  <c r="V252" i="17" s="1"/>
  <c r="V271" i="17" a="1"/>
  <c r="V271" i="17" s="1"/>
  <c r="V290" i="17" a="1"/>
  <c r="V290" i="17" s="1"/>
  <c r="V309" i="17" a="1"/>
  <c r="V309" i="17" s="1"/>
  <c r="V328" i="17" a="1"/>
  <c r="V328" i="17" s="1"/>
  <c r="V347" i="17" a="1"/>
  <c r="V347" i="17" s="1"/>
  <c r="V366" i="17" a="1"/>
  <c r="V366" i="17" s="1"/>
  <c r="V385" i="17" a="1"/>
  <c r="V385" i="17" s="1"/>
  <c r="V404" i="17" a="1"/>
  <c r="V404" i="17" s="1"/>
  <c r="V499" i="17" a="1"/>
  <c r="V499" i="17" s="1"/>
  <c r="V518" i="17" a="1"/>
  <c r="V518" i="17" s="1"/>
  <c r="V537" i="17" a="1"/>
  <c r="V537" i="17" s="1"/>
  <c r="V429" i="17" a="1"/>
  <c r="V429" i="17" s="1"/>
  <c r="V430" i="17" a="1"/>
  <c r="V430" i="17" s="1"/>
  <c r="V431" i="17" a="1"/>
  <c r="V431" i="17" s="1"/>
  <c r="V480" i="17" a="1"/>
  <c r="V480" i="17" s="1"/>
  <c r="V670" i="17" a="1"/>
  <c r="V670" i="17" s="1"/>
  <c r="V689" i="17" a="1"/>
  <c r="V689" i="17" s="1"/>
  <c r="V708" i="17" a="1"/>
  <c r="V708" i="17"/>
  <c r="V727" i="17" a="1"/>
  <c r="V727" i="17" s="1"/>
  <c r="V746" i="17" a="1"/>
  <c r="V746" i="17" s="1"/>
  <c r="V765" i="17" a="1"/>
  <c r="V765" i="17" s="1"/>
  <c r="V784" i="17" a="1"/>
  <c r="V784" i="17" s="1"/>
  <c r="V810" i="17" a="1"/>
  <c r="V810" i="17" s="1"/>
  <c r="V817" i="17" a="1"/>
  <c r="V817" i="17" s="1"/>
  <c r="V836" i="17" a="1"/>
  <c r="V836" i="17" s="1"/>
  <c r="V855" i="17" a="1"/>
  <c r="V855" i="17" s="1"/>
  <c r="V874" i="17" a="1"/>
  <c r="V874" i="17" s="1"/>
  <c r="V893" i="17" a="1"/>
  <c r="V893" i="17" s="1"/>
  <c r="V912" i="17" a="1"/>
  <c r="V912" i="17" s="1"/>
  <c r="V931" i="17" a="1"/>
  <c r="V931" i="17" s="1"/>
  <c r="V950" i="17" a="1"/>
  <c r="V950" i="17" s="1"/>
  <c r="V969" i="17" a="1"/>
  <c r="V969" i="17" s="1"/>
  <c r="V988" i="17" a="1"/>
  <c r="V988" i="17" s="1"/>
  <c r="V1007" i="17" a="1"/>
  <c r="V1007" i="17" s="1"/>
  <c r="V1026" i="17" a="1"/>
  <c r="V1026" i="17" s="1"/>
  <c r="V1045" i="17" a="1"/>
  <c r="V1045" i="17" s="1"/>
  <c r="V571" i="17" a="1"/>
  <c r="V571" i="17" s="1"/>
  <c r="V572" i="17" a="1"/>
  <c r="V572" i="17" s="1"/>
  <c r="V573" i="17" a="1"/>
  <c r="V573" i="17" s="1"/>
  <c r="V574" i="17" a="1"/>
  <c r="V574" i="17" s="1"/>
  <c r="V575" i="17" a="1"/>
  <c r="V575" i="17" s="1"/>
  <c r="V576" i="17" a="1"/>
  <c r="V576" i="17" s="1"/>
  <c r="V26" i="17" a="1"/>
  <c r="V26" i="17" s="1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120" i="17" a="1"/>
  <c r="V120" i="17" s="1"/>
  <c r="V139" i="17" a="1"/>
  <c r="V139" i="17"/>
  <c r="V158" i="17" a="1"/>
  <c r="V158" i="17" s="1"/>
  <c r="V177" i="17" a="1"/>
  <c r="V177" i="17" s="1"/>
  <c r="V204" i="17" a="1"/>
  <c r="V204" i="17" s="1"/>
  <c r="V205" i="17" a="1"/>
  <c r="V205" i="17" s="1"/>
  <c r="V206" i="17" a="1"/>
  <c r="V206" i="17" s="1"/>
  <c r="V253" i="17" a="1"/>
  <c r="V253" i="17" s="1"/>
  <c r="V272" i="17" a="1"/>
  <c r="V272" i="17" s="1"/>
  <c r="V291" i="17" a="1"/>
  <c r="V291" i="17" s="1"/>
  <c r="V310" i="17" a="1"/>
  <c r="V310" i="17" s="1"/>
  <c r="V329" i="17" a="1"/>
  <c r="V329" i="17" s="1"/>
  <c r="V348" i="17" a="1"/>
  <c r="V348" i="17" s="1"/>
  <c r="V367" i="17" a="1"/>
  <c r="V367" i="17" s="1"/>
  <c r="V386" i="17" a="1"/>
  <c r="V386" i="17" s="1"/>
  <c r="V405" i="17" a="1"/>
  <c r="V405" i="17" s="1"/>
  <c r="V500" i="17" a="1"/>
  <c r="V500" i="17" s="1"/>
  <c r="V519" i="17" a="1"/>
  <c r="V519" i="17" s="1"/>
  <c r="V538" i="17" a="1"/>
  <c r="V538" i="17" s="1"/>
  <c r="V432" i="17" a="1"/>
  <c r="V432" i="17" s="1"/>
  <c r="V433" i="17" a="1"/>
  <c r="V433" i="17" s="1"/>
  <c r="V434" i="17" a="1"/>
  <c r="V434" i="17" s="1"/>
  <c r="V481" i="17" a="1"/>
  <c r="V481" i="17" s="1"/>
  <c r="V671" i="17" a="1"/>
  <c r="V671" i="17" s="1"/>
  <c r="V690" i="17" a="1"/>
  <c r="V690" i="17" s="1"/>
  <c r="V709" i="17" a="1"/>
  <c r="V709" i="17" s="1"/>
  <c r="V728" i="17" a="1"/>
  <c r="V728" i="17" s="1"/>
  <c r="V747" i="17" a="1"/>
  <c r="V747" i="17" s="1"/>
  <c r="V766" i="17" a="1"/>
  <c r="V766" i="17" s="1"/>
  <c r="V800" i="17" a="1"/>
  <c r="V800" i="17" s="1"/>
  <c r="V818" i="17" a="1"/>
  <c r="V818" i="17" s="1"/>
  <c r="V837" i="17" a="1"/>
  <c r="V837" i="17"/>
  <c r="V856" i="17" a="1"/>
  <c r="V856" i="17" s="1"/>
  <c r="V875" i="17" a="1"/>
  <c r="V875" i="17" s="1"/>
  <c r="V894" i="17" a="1"/>
  <c r="V894" i="17" s="1"/>
  <c r="V913" i="17" a="1"/>
  <c r="V913" i="17" s="1"/>
  <c r="V932" i="17" a="1"/>
  <c r="V932" i="17" s="1"/>
  <c r="V951" i="17" a="1"/>
  <c r="V951" i="17" s="1"/>
  <c r="V970" i="17" a="1"/>
  <c r="V970" i="17" s="1"/>
  <c r="V989" i="17" a="1"/>
  <c r="V989" i="17" s="1"/>
  <c r="V1008" i="17" a="1"/>
  <c r="V1008" i="17" s="1"/>
  <c r="V1027" i="17" a="1"/>
  <c r="V1027" i="17" s="1"/>
  <c r="V1046" i="17" a="1"/>
  <c r="V1046" i="17" s="1"/>
  <c r="V577" i="17" a="1"/>
  <c r="V577" i="17" s="1"/>
  <c r="V578" i="17" a="1"/>
  <c r="V578" i="17" s="1"/>
  <c r="V579" i="17" a="1"/>
  <c r="V579" i="17" s="1"/>
  <c r="V580" i="17" a="1"/>
  <c r="V580" i="17" s="1"/>
  <c r="V581" i="17" a="1"/>
  <c r="V581" i="17" s="1"/>
  <c r="V582" i="17" a="1"/>
  <c r="V582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 s="1"/>
  <c r="V121" i="17" a="1"/>
  <c r="V121" i="17" s="1"/>
  <c r="V140" i="17" a="1"/>
  <c r="V140" i="17"/>
  <c r="V159" i="17" a="1"/>
  <c r="V159" i="17" s="1"/>
  <c r="V178" i="17" a="1"/>
  <c r="V178" i="17" s="1"/>
  <c r="V207" i="17" a="1"/>
  <c r="V207" i="17" s="1"/>
  <c r="V208" i="17" a="1"/>
  <c r="V208" i="17" s="1"/>
  <c r="V209" i="17" a="1"/>
  <c r="V209" i="17" s="1"/>
  <c r="V254" i="17" a="1"/>
  <c r="V254" i="17" s="1"/>
  <c r="V273" i="17" a="1"/>
  <c r="V273" i="17" s="1"/>
  <c r="V292" i="17" a="1"/>
  <c r="V292" i="17" s="1"/>
  <c r="V311" i="17" a="1"/>
  <c r="V311" i="17" s="1"/>
  <c r="V330" i="17" a="1"/>
  <c r="V330" i="17" s="1"/>
  <c r="V349" i="17" a="1"/>
  <c r="V349" i="17" s="1"/>
  <c r="V368" i="17" a="1"/>
  <c r="V368" i="17" s="1"/>
  <c r="V387" i="17" a="1"/>
  <c r="V387" i="17"/>
  <c r="V406" i="17" a="1"/>
  <c r="V406" i="17" s="1"/>
  <c r="V501" i="17" a="1"/>
  <c r="V501" i="17" s="1"/>
  <c r="V520" i="17" a="1"/>
  <c r="V520" i="17"/>
  <c r="V539" i="17" a="1"/>
  <c r="V539" i="17" s="1"/>
  <c r="V435" i="17" a="1"/>
  <c r="V435" i="17" s="1"/>
  <c r="V436" i="17" a="1"/>
  <c r="V436" i="17" s="1"/>
  <c r="V437" i="17" a="1"/>
  <c r="V437" i="17" s="1"/>
  <c r="V482" i="17" a="1"/>
  <c r="V482" i="17" s="1"/>
  <c r="V672" i="17" a="1"/>
  <c r="V672" i="17" s="1"/>
  <c r="V691" i="17" a="1"/>
  <c r="V691" i="17" s="1"/>
  <c r="V710" i="17" a="1"/>
  <c r="V710" i="17" s="1"/>
  <c r="V729" i="17" a="1"/>
  <c r="V729" i="17" s="1"/>
  <c r="V748" i="17" a="1"/>
  <c r="V748" i="17" s="1"/>
  <c r="V767" i="17" a="1"/>
  <c r="V767" i="17" s="1"/>
  <c r="V819" i="17" a="1"/>
  <c r="V819" i="17" s="1"/>
  <c r="V838" i="17" a="1"/>
  <c r="V838" i="17" s="1"/>
  <c r="V857" i="17" a="1"/>
  <c r="V857" i="17" s="1"/>
  <c r="V876" i="17" a="1"/>
  <c r="V876" i="17" s="1"/>
  <c r="V895" i="17" a="1"/>
  <c r="V895" i="17" s="1"/>
  <c r="V914" i="17" a="1"/>
  <c r="V914" i="17" s="1"/>
  <c r="V933" i="17" a="1"/>
  <c r="V933" i="17" s="1"/>
  <c r="V952" i="17" a="1"/>
  <c r="V952" i="17" s="1"/>
  <c r="V971" i="17" a="1"/>
  <c r="V971" i="17" s="1"/>
  <c r="V990" i="17" a="1"/>
  <c r="V990" i="17" s="1"/>
  <c r="V1009" i="17" a="1"/>
  <c r="V1009" i="17" s="1"/>
  <c r="V1028" i="17" a="1"/>
  <c r="V1028" i="17" s="1"/>
  <c r="V1047" i="17" a="1"/>
  <c r="V1047" i="17"/>
  <c r="V583" i="17" a="1"/>
  <c r="V583" i="17" s="1"/>
  <c r="V584" i="17" a="1"/>
  <c r="V584" i="17" s="1"/>
  <c r="V585" i="17" a="1"/>
  <c r="V585" i="17" s="1"/>
  <c r="V586" i="17" a="1"/>
  <c r="V586" i="17" s="1"/>
  <c r="V587" i="17" a="1"/>
  <c r="V587" i="17" s="1"/>
  <c r="V588" i="17" a="1"/>
  <c r="V588" i="17" s="1"/>
  <c r="V38" i="17" a="1"/>
  <c r="V38" i="17" s="1"/>
  <c r="V39" i="17" a="1"/>
  <c r="V39" i="17" s="1"/>
  <c r="V40" i="17" a="1"/>
  <c r="V40" i="17" s="1"/>
  <c r="V41" i="17" a="1"/>
  <c r="V41" i="17" s="1"/>
  <c r="V42" i="17" a="1"/>
  <c r="V42" i="17" s="1"/>
  <c r="V43" i="17" a="1"/>
  <c r="V43" i="17" s="1"/>
  <c r="V122" i="17" a="1"/>
  <c r="V122" i="17" s="1"/>
  <c r="V141" i="17" a="1"/>
  <c r="V141" i="17" s="1"/>
  <c r="V160" i="17" a="1"/>
  <c r="V160" i="17" s="1"/>
  <c r="V179" i="17" a="1"/>
  <c r="V179" i="17" s="1"/>
  <c r="V210" i="17" a="1"/>
  <c r="V210" i="17" s="1"/>
  <c r="V211" i="17" a="1"/>
  <c r="V211" i="17" s="1"/>
  <c r="V212" i="17" a="1"/>
  <c r="V212" i="17" s="1"/>
  <c r="V255" i="17" a="1"/>
  <c r="V255" i="17" s="1"/>
  <c r="V274" i="17" a="1"/>
  <c r="V274" i="17" s="1"/>
  <c r="V293" i="17" a="1"/>
  <c r="V293" i="17" s="1"/>
  <c r="V312" i="17" a="1"/>
  <c r="V312" i="17" s="1"/>
  <c r="V331" i="17" a="1"/>
  <c r="V331" i="17"/>
  <c r="V350" i="17" a="1"/>
  <c r="V350" i="17" s="1"/>
  <c r="V369" i="17" a="1"/>
  <c r="V369" i="17" s="1"/>
  <c r="V388" i="17" a="1"/>
  <c r="V388" i="17" s="1"/>
  <c r="V407" i="17" a="1"/>
  <c r="V407" i="17" s="1"/>
  <c r="V502" i="17" a="1"/>
  <c r="V502" i="17" s="1"/>
  <c r="V521" i="17" a="1"/>
  <c r="V521" i="17" s="1"/>
  <c r="V540" i="17" a="1"/>
  <c r="V540" i="17" s="1"/>
  <c r="V438" i="17" a="1"/>
  <c r="V438" i="17" s="1"/>
  <c r="V439" i="17" a="1"/>
  <c r="V439" i="17" s="1"/>
  <c r="V440" i="17" a="1"/>
  <c r="V440" i="17" s="1"/>
  <c r="V483" i="17" a="1"/>
  <c r="V483" i="17" s="1"/>
  <c r="V673" i="17" a="1"/>
  <c r="V673" i="17" s="1"/>
  <c r="V692" i="17" a="1"/>
  <c r="V692" i="17" s="1"/>
  <c r="V711" i="17" a="1"/>
  <c r="V711" i="17" s="1"/>
  <c r="V730" i="17" a="1"/>
  <c r="V730" i="17" s="1"/>
  <c r="V749" i="17" a="1"/>
  <c r="V749" i="17" s="1"/>
  <c r="V768" i="17" a="1"/>
  <c r="V768" i="17" s="1"/>
  <c r="V785" i="17" a="1"/>
  <c r="V785" i="17" s="1"/>
  <c r="V801" i="17" a="1"/>
  <c r="V801" i="17" s="1"/>
  <c r="V820" i="17" a="1"/>
  <c r="V820" i="17" s="1"/>
  <c r="V839" i="17" a="1"/>
  <c r="V839" i="17" s="1"/>
  <c r="V858" i="17" a="1"/>
  <c r="V858" i="17" s="1"/>
  <c r="V877" i="17" a="1"/>
  <c r="V877" i="17" s="1"/>
  <c r="V896" i="17" a="1"/>
  <c r="V896" i="17" s="1"/>
  <c r="V915" i="17" a="1"/>
  <c r="V915" i="17" s="1"/>
  <c r="V934" i="17" a="1"/>
  <c r="V934" i="17" s="1"/>
  <c r="V953" i="17" a="1"/>
  <c r="V953" i="17" s="1"/>
  <c r="V972" i="17" a="1"/>
  <c r="V972" i="17" s="1"/>
  <c r="V991" i="17" a="1"/>
  <c r="V991" i="17" s="1"/>
  <c r="V1010" i="17" a="1"/>
  <c r="V1010" i="17" s="1"/>
  <c r="V1029" i="17" a="1"/>
  <c r="V1029" i="17" s="1"/>
  <c r="V1048" i="17" a="1"/>
  <c r="V1048" i="17" s="1"/>
  <c r="V589" i="17" a="1"/>
  <c r="V589" i="17" s="1"/>
  <c r="V590" i="17" a="1"/>
  <c r="V590" i="17" s="1"/>
  <c r="V591" i="17" a="1"/>
  <c r="V591" i="17" s="1"/>
  <c r="V592" i="17" a="1"/>
  <c r="V592" i="17" s="1"/>
  <c r="V593" i="17" a="1"/>
  <c r="V593" i="17" s="1"/>
  <c r="V594" i="17" a="1"/>
  <c r="V594" i="17" s="1"/>
  <c r="V44" i="17" a="1"/>
  <c r="V44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123" i="17" a="1"/>
  <c r="V123" i="17" s="1"/>
  <c r="V142" i="17" a="1"/>
  <c r="V142" i="17" s="1"/>
  <c r="V161" i="17" a="1"/>
  <c r="V161" i="17" s="1"/>
  <c r="V180" i="17" a="1"/>
  <c r="V180" i="17" s="1"/>
  <c r="V213" i="17" a="1"/>
  <c r="V213" i="17" s="1"/>
  <c r="V214" i="17" a="1"/>
  <c r="V214" i="17" s="1"/>
  <c r="V215" i="17" a="1"/>
  <c r="V215" i="17" s="1"/>
  <c r="V256" i="17" a="1"/>
  <c r="V256" i="17" s="1"/>
  <c r="V275" i="17" a="1"/>
  <c r="V275" i="17"/>
  <c r="V294" i="17" a="1"/>
  <c r="V294" i="17" s="1"/>
  <c r="V313" i="17" a="1"/>
  <c r="V313" i="17" s="1"/>
  <c r="V332" i="17" a="1"/>
  <c r="V332" i="17" s="1"/>
  <c r="V351" i="17" a="1"/>
  <c r="V351" i="17" s="1"/>
  <c r="V370" i="17" a="1"/>
  <c r="V370" i="17" s="1"/>
  <c r="V389" i="17" a="1"/>
  <c r="V389" i="17"/>
  <c r="V408" i="17" a="1"/>
  <c r="V408" i="17" s="1"/>
  <c r="V503" i="17" a="1"/>
  <c r="V503" i="17" s="1"/>
  <c r="V522" i="17" a="1"/>
  <c r="V522" i="17" s="1"/>
  <c r="V541" i="17" a="1"/>
  <c r="V541" i="17" s="1"/>
  <c r="V441" i="17" a="1"/>
  <c r="V441" i="17" s="1"/>
  <c r="V442" i="17" a="1"/>
  <c r="V442" i="17" s="1"/>
  <c r="V443" i="17" a="1"/>
  <c r="V443" i="17" s="1"/>
  <c r="V484" i="17" a="1"/>
  <c r="V484" i="17" s="1"/>
  <c r="V674" i="17" a="1"/>
  <c r="V674" i="17" s="1"/>
  <c r="V693" i="17" a="1"/>
  <c r="V693" i="17" s="1"/>
  <c r="V712" i="17" a="1"/>
  <c r="V712" i="17" s="1"/>
  <c r="V731" i="17" a="1"/>
  <c r="V731" i="17" s="1"/>
  <c r="V750" i="17" a="1"/>
  <c r="V750" i="17" s="1"/>
  <c r="V769" i="17" a="1"/>
  <c r="V769" i="17" s="1"/>
  <c r="V786" i="17" a="1"/>
  <c r="V786" i="17" s="1"/>
  <c r="V802" i="17" a="1"/>
  <c r="V802" i="17" s="1"/>
  <c r="V821" i="17" a="1"/>
  <c r="V821" i="17" s="1"/>
  <c r="V840" i="17" a="1"/>
  <c r="V840" i="17" s="1"/>
  <c r="V859" i="17" a="1"/>
  <c r="V859" i="17" s="1"/>
  <c r="V878" i="17" a="1"/>
  <c r="V878" i="17" s="1"/>
  <c r="V897" i="17" a="1"/>
  <c r="V897" i="17" s="1"/>
  <c r="V916" i="17" a="1"/>
  <c r="V916" i="17" s="1"/>
  <c r="V935" i="17" a="1"/>
  <c r="V935" i="17" s="1"/>
  <c r="V954" i="17" a="1"/>
  <c r="V954" i="17" s="1"/>
  <c r="V973" i="17" a="1"/>
  <c r="V973" i="17" s="1"/>
  <c r="V992" i="17" a="1"/>
  <c r="V992" i="17" s="1"/>
  <c r="V1011" i="17" a="1"/>
  <c r="V1011" i="17" s="1"/>
  <c r="V1030" i="17" a="1"/>
  <c r="V1030" i="17" s="1"/>
  <c r="V1049" i="17" a="1"/>
  <c r="V1049" i="17" s="1"/>
  <c r="V595" i="17" a="1"/>
  <c r="V595" i="17" s="1"/>
  <c r="V596" i="17" a="1"/>
  <c r="V596" i="17" s="1"/>
  <c r="V597" i="17" a="1"/>
  <c r="V597" i="17" s="1"/>
  <c r="V598" i="17" a="1"/>
  <c r="V598" i="17" s="1"/>
  <c r="V599" i="17" a="1"/>
  <c r="V599" i="17" s="1"/>
  <c r="V600" i="17" a="1"/>
  <c r="V600" i="17" s="1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124" i="17" a="1"/>
  <c r="V124" i="17" s="1"/>
  <c r="V143" i="17" a="1"/>
  <c r="V143" i="17" s="1"/>
  <c r="V162" i="17" a="1"/>
  <c r="V162" i="17" s="1"/>
  <c r="V181" i="17" a="1"/>
  <c r="V181" i="17" s="1"/>
  <c r="V216" i="17" a="1"/>
  <c r="V216" i="17" s="1"/>
  <c r="V217" i="17" a="1"/>
  <c r="V217" i="17" s="1"/>
  <c r="V218" i="17" a="1"/>
  <c r="V218" i="17" s="1"/>
  <c r="V257" i="17" a="1"/>
  <c r="V257" i="17" s="1"/>
  <c r="V276" i="17" a="1"/>
  <c r="V276" i="17" s="1"/>
  <c r="V295" i="17" a="1"/>
  <c r="V295" i="17" s="1"/>
  <c r="V314" i="17" a="1"/>
  <c r="V314" i="17" s="1"/>
  <c r="V333" i="17" a="1"/>
  <c r="V333" i="17" s="1"/>
  <c r="V352" i="17" a="1"/>
  <c r="V352" i="17" s="1"/>
  <c r="V371" i="17" a="1"/>
  <c r="V371" i="17" s="1"/>
  <c r="V390" i="17" a="1"/>
  <c r="V390" i="17" s="1"/>
  <c r="V409" i="17" a="1"/>
  <c r="V409" i="17" s="1"/>
  <c r="V504" i="17" a="1"/>
  <c r="V504" i="17" s="1"/>
  <c r="V523" i="17" a="1"/>
  <c r="V523" i="17" s="1"/>
  <c r="V542" i="17" a="1"/>
  <c r="V542" i="17" s="1"/>
  <c r="V444" i="17" a="1"/>
  <c r="V444" i="17" s="1"/>
  <c r="V445" i="17" a="1"/>
  <c r="V445" i="17" s="1"/>
  <c r="V446" i="17" a="1"/>
  <c r="V446" i="17" s="1"/>
  <c r="V485" i="17" a="1"/>
  <c r="V485" i="17" s="1"/>
  <c r="V675" i="17" a="1"/>
  <c r="V675" i="17" s="1"/>
  <c r="V694" i="17" a="1"/>
  <c r="V694" i="17" s="1"/>
  <c r="V713" i="17" a="1"/>
  <c r="V713" i="17" s="1"/>
  <c r="V732" i="17" a="1"/>
  <c r="V732" i="17" s="1"/>
  <c r="V751" i="17" a="1"/>
  <c r="V751" i="17" s="1"/>
  <c r="V770" i="17" a="1"/>
  <c r="V770" i="17" s="1"/>
  <c r="V787" i="17" a="1"/>
  <c r="V787" i="17" s="1"/>
  <c r="V822" i="17" a="1"/>
  <c r="V822" i="17" s="1"/>
  <c r="V841" i="17" a="1"/>
  <c r="V841" i="17" s="1"/>
  <c r="V860" i="17" a="1"/>
  <c r="V860" i="17" s="1"/>
  <c r="V879" i="17" a="1"/>
  <c r="V879" i="17" s="1"/>
  <c r="V898" i="17" a="1"/>
  <c r="V898" i="17" s="1"/>
  <c r="V917" i="17" a="1"/>
  <c r="V917" i="17" s="1"/>
  <c r="V936" i="17" a="1"/>
  <c r="V936" i="17" s="1"/>
  <c r="V955" i="17" a="1"/>
  <c r="V955" i="17" s="1"/>
  <c r="V974" i="17" a="1"/>
  <c r="V974" i="17" s="1"/>
  <c r="V993" i="17" a="1"/>
  <c r="V993" i="17" s="1"/>
  <c r="V1012" i="17" a="1"/>
  <c r="V1012" i="17" s="1"/>
  <c r="V1031" i="17" a="1"/>
  <c r="V1031" i="17" s="1"/>
  <c r="V1050" i="17" a="1"/>
  <c r="V1050" i="17" s="1"/>
  <c r="V601" i="17" a="1"/>
  <c r="V601" i="17" s="1"/>
  <c r="V602" i="17" a="1"/>
  <c r="V602" i="17" s="1"/>
  <c r="V603" i="17" a="1"/>
  <c r="V603" i="17" s="1"/>
  <c r="V604" i="17" a="1"/>
  <c r="V604" i="17" s="1"/>
  <c r="V605" i="17" a="1"/>
  <c r="V605" i="17" s="1"/>
  <c r="V606" i="17" a="1"/>
  <c r="V606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125" i="17" a="1"/>
  <c r="V125" i="17" s="1"/>
  <c r="V144" i="17" a="1"/>
  <c r="V144" i="17" s="1"/>
  <c r="V163" i="17" a="1"/>
  <c r="V163" i="17" s="1"/>
  <c r="V182" i="17" a="1"/>
  <c r="V182" i="17" s="1"/>
  <c r="V219" i="17" a="1"/>
  <c r="V219" i="17" s="1"/>
  <c r="V220" i="17" a="1"/>
  <c r="V220" i="17" s="1"/>
  <c r="V221" i="17" a="1"/>
  <c r="V221" i="17" s="1"/>
  <c r="V258" i="17" a="1"/>
  <c r="V258" i="17" s="1"/>
  <c r="V277" i="17" a="1"/>
  <c r="V277" i="17" s="1"/>
  <c r="V296" i="17" a="1"/>
  <c r="V296" i="17" s="1"/>
  <c r="V315" i="17" a="1"/>
  <c r="V315" i="17" s="1"/>
  <c r="V334" i="17" a="1"/>
  <c r="V334" i="17" s="1"/>
  <c r="V353" i="17" a="1"/>
  <c r="V353" i="17" s="1"/>
  <c r="V372" i="17" a="1"/>
  <c r="V372" i="17" s="1"/>
  <c r="V391" i="17" a="1"/>
  <c r="V391" i="17" s="1"/>
  <c r="V410" i="17" a="1"/>
  <c r="V410" i="17" s="1"/>
  <c r="V505" i="17" a="1"/>
  <c r="V505" i="17" s="1"/>
  <c r="V524" i="17" a="1"/>
  <c r="V524" i="17" s="1"/>
  <c r="V543" i="17" a="1"/>
  <c r="V543" i="17" s="1"/>
  <c r="V447" i="17" a="1"/>
  <c r="V447" i="17" s="1"/>
  <c r="V448" i="17" a="1"/>
  <c r="V448" i="17" s="1"/>
  <c r="V449" i="17" a="1"/>
  <c r="V449" i="17" s="1"/>
  <c r="V486" i="17" a="1"/>
  <c r="V486" i="17" s="1"/>
  <c r="V676" i="17" a="1"/>
  <c r="V676" i="17" s="1"/>
  <c r="V695" i="17" a="1"/>
  <c r="V695" i="17" s="1"/>
  <c r="V714" i="17" a="1"/>
  <c r="V714" i="17" s="1"/>
  <c r="V733" i="17" a="1"/>
  <c r="V733" i="17" s="1"/>
  <c r="V752" i="17" a="1"/>
  <c r="V752" i="17" s="1"/>
  <c r="V771" i="17" a="1"/>
  <c r="V771" i="17" s="1"/>
  <c r="V788" i="17" a="1"/>
  <c r="V788" i="17" s="1"/>
  <c r="V803" i="17" a="1"/>
  <c r="V803" i="17" s="1"/>
  <c r="V811" i="17" a="1"/>
  <c r="V811" i="17" s="1"/>
  <c r="V823" i="17" a="1"/>
  <c r="V823" i="17" s="1"/>
  <c r="V842" i="17" a="1"/>
  <c r="V842" i="17" s="1"/>
  <c r="V861" i="17" a="1"/>
  <c r="V861" i="17" s="1"/>
  <c r="V880" i="17" a="1"/>
  <c r="V880" i="17" s="1"/>
  <c r="V899" i="17" a="1"/>
  <c r="V899" i="17" s="1"/>
  <c r="V918" i="17" a="1"/>
  <c r="V918" i="17" s="1"/>
  <c r="V937" i="17" a="1"/>
  <c r="V937" i="17" s="1"/>
  <c r="V956" i="17" a="1"/>
  <c r="V956" i="17" s="1"/>
  <c r="V975" i="17" a="1"/>
  <c r="V975" i="17" s="1"/>
  <c r="V994" i="17" a="1"/>
  <c r="V994" i="17" s="1"/>
  <c r="V1013" i="17" a="1"/>
  <c r="V1013" i="17" s="1"/>
  <c r="V1032" i="17" a="1"/>
  <c r="V1032" i="17" s="1"/>
  <c r="V1051" i="17" a="1"/>
  <c r="V1051" i="17" s="1"/>
  <c r="V607" i="17" a="1"/>
  <c r="V607" i="17" s="1"/>
  <c r="V608" i="17" a="1"/>
  <c r="V608" i="17" s="1"/>
  <c r="V609" i="17" a="1"/>
  <c r="V609" i="17" s="1"/>
  <c r="V610" i="17" a="1"/>
  <c r="V610" i="17" s="1"/>
  <c r="V611" i="17" a="1"/>
  <c r="V611" i="17" s="1"/>
  <c r="V612" i="17" a="1"/>
  <c r="V612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126" i="17" a="1"/>
  <c r="V126" i="17" s="1"/>
  <c r="V145" i="17" a="1"/>
  <c r="V145" i="17" s="1"/>
  <c r="V164" i="17" a="1"/>
  <c r="V164" i="17" s="1"/>
  <c r="V183" i="17" a="1"/>
  <c r="V183" i="17" s="1"/>
  <c r="V222" i="17" a="1"/>
  <c r="V222" i="17" s="1"/>
  <c r="V223" i="17" a="1"/>
  <c r="V223" i="17" s="1"/>
  <c r="V224" i="17" a="1"/>
  <c r="V224" i="17" s="1"/>
  <c r="V259" i="17" a="1"/>
  <c r="V259" i="17" s="1"/>
  <c r="V278" i="17" a="1"/>
  <c r="V278" i="17" s="1"/>
  <c r="V297" i="17" a="1"/>
  <c r="V297" i="17" s="1"/>
  <c r="V316" i="17" a="1"/>
  <c r="V316" i="17" s="1"/>
  <c r="V335" i="17" a="1"/>
  <c r="V335" i="17" s="1"/>
  <c r="V354" i="17" a="1"/>
  <c r="V354" i="17" s="1"/>
  <c r="V373" i="17" a="1"/>
  <c r="V373" i="17" s="1"/>
  <c r="V392" i="17" a="1"/>
  <c r="V392" i="17" s="1"/>
  <c r="V411" i="17" a="1"/>
  <c r="V411" i="17" s="1"/>
  <c r="V506" i="17" a="1"/>
  <c r="V506" i="17" s="1"/>
  <c r="V525" i="17" a="1"/>
  <c r="V525" i="17" s="1"/>
  <c r="V544" i="17" a="1"/>
  <c r="V544" i="17" s="1"/>
  <c r="V450" i="17" a="1"/>
  <c r="V450" i="17" s="1"/>
  <c r="V451" i="17" a="1"/>
  <c r="V451" i="17" s="1"/>
  <c r="V452" i="17" a="1"/>
  <c r="V452" i="17" s="1"/>
  <c r="V487" i="17" a="1"/>
  <c r="V487" i="17" s="1"/>
  <c r="V677" i="17" a="1"/>
  <c r="V677" i="17" s="1"/>
  <c r="V696" i="17" a="1"/>
  <c r="V696" i="17" s="1"/>
  <c r="V715" i="17" a="1"/>
  <c r="V715" i="17" s="1"/>
  <c r="V734" i="17" a="1"/>
  <c r="V734" i="17" s="1"/>
  <c r="V753" i="17" a="1"/>
  <c r="V753" i="17" s="1"/>
  <c r="V772" i="17" a="1"/>
  <c r="V772" i="17" s="1"/>
  <c r="V789" i="17" a="1"/>
  <c r="V789" i="17" s="1"/>
  <c r="V824" i="17" a="1"/>
  <c r="V824" i="17" s="1"/>
  <c r="V843" i="17" a="1"/>
  <c r="V843" i="17" s="1"/>
  <c r="V862" i="17" a="1"/>
  <c r="V862" i="17" s="1"/>
  <c r="V881" i="17" a="1"/>
  <c r="V881" i="17" s="1"/>
  <c r="V900" i="17" a="1"/>
  <c r="V900" i="17" s="1"/>
  <c r="V919" i="17" a="1"/>
  <c r="V919" i="17" s="1"/>
  <c r="V938" i="17" a="1"/>
  <c r="V938" i="17" s="1"/>
  <c r="V957" i="17" a="1"/>
  <c r="V957" i="17" s="1"/>
  <c r="V976" i="17" a="1"/>
  <c r="V976" i="17" s="1"/>
  <c r="V995" i="17" a="1"/>
  <c r="V995" i="17" s="1"/>
  <c r="V1014" i="17" a="1"/>
  <c r="V1014" i="17" s="1"/>
  <c r="V1033" i="17" a="1"/>
  <c r="V1033" i="17" s="1"/>
  <c r="V1052" i="17" a="1"/>
  <c r="V1052" i="17" s="1"/>
  <c r="V613" i="17" a="1"/>
  <c r="V613" i="17" s="1"/>
  <c r="V614" i="17" a="1"/>
  <c r="V614" i="17" s="1"/>
  <c r="V615" i="17" a="1"/>
  <c r="V615" i="17" s="1"/>
  <c r="V616" i="17" a="1"/>
  <c r="V616" i="17" s="1"/>
  <c r="V617" i="17" a="1"/>
  <c r="V617" i="17" s="1"/>
  <c r="V618" i="17" a="1"/>
  <c r="V618" i="17" s="1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 s="1"/>
  <c r="V127" i="17" a="1"/>
  <c r="V127" i="17" s="1"/>
  <c r="V146" i="17" a="1"/>
  <c r="V146" i="17" s="1"/>
  <c r="V165" i="17" a="1"/>
  <c r="V165" i="17" s="1"/>
  <c r="V184" i="17" a="1"/>
  <c r="V184" i="17" s="1"/>
  <c r="V225" i="17" a="1"/>
  <c r="V225" i="17" s="1"/>
  <c r="V226" i="17" a="1"/>
  <c r="V226" i="17" s="1"/>
  <c r="V227" i="17" a="1"/>
  <c r="V227" i="17" s="1"/>
  <c r="V260" i="17" a="1"/>
  <c r="V260" i="17" s="1"/>
  <c r="V279" i="17" a="1"/>
  <c r="V279" i="17" s="1"/>
  <c r="V298" i="17" a="1"/>
  <c r="V298" i="17" s="1"/>
  <c r="V317" i="17" a="1"/>
  <c r="V317" i="17" s="1"/>
  <c r="V336" i="17" a="1"/>
  <c r="V336" i="17" s="1"/>
  <c r="V355" i="17" a="1"/>
  <c r="V355" i="17" s="1"/>
  <c r="V374" i="17" a="1"/>
  <c r="V374" i="17" s="1"/>
  <c r="V393" i="17" a="1"/>
  <c r="V393" i="17" s="1"/>
  <c r="V412" i="17" a="1"/>
  <c r="V412" i="17" s="1"/>
  <c r="V507" i="17" a="1"/>
  <c r="V507" i="17" s="1"/>
  <c r="V526" i="17" a="1"/>
  <c r="V526" i="17" s="1"/>
  <c r="V545" i="17" a="1"/>
  <c r="V545" i="17" s="1"/>
  <c r="V453" i="17" a="1"/>
  <c r="V453" i="17" s="1"/>
  <c r="V454" i="17" a="1"/>
  <c r="V454" i="17" s="1"/>
  <c r="V455" i="17" a="1"/>
  <c r="V455" i="17" s="1"/>
  <c r="V488" i="17" a="1"/>
  <c r="V488" i="17" s="1"/>
  <c r="V678" i="17" a="1"/>
  <c r="V678" i="17" s="1"/>
  <c r="V697" i="17" a="1"/>
  <c r="V697" i="17" s="1"/>
  <c r="V716" i="17" a="1"/>
  <c r="V716" i="17" s="1"/>
  <c r="V735" i="17" a="1"/>
  <c r="V735" i="17" s="1"/>
  <c r="V754" i="17" a="1"/>
  <c r="V754" i="17" s="1"/>
  <c r="V773" i="17" a="1"/>
  <c r="V773" i="17" s="1"/>
  <c r="V790" i="17" a="1"/>
  <c r="V790" i="17" s="1"/>
  <c r="V825" i="17" a="1"/>
  <c r="V825" i="17" s="1"/>
  <c r="V844" i="17" a="1"/>
  <c r="V844" i="17" s="1"/>
  <c r="V863" i="17" a="1"/>
  <c r="V863" i="17" s="1"/>
  <c r="V882" i="17" a="1"/>
  <c r="V882" i="17" s="1"/>
  <c r="V901" i="17" a="1"/>
  <c r="V901" i="17" s="1"/>
  <c r="V920" i="17" a="1"/>
  <c r="V920" i="17" s="1"/>
  <c r="V939" i="17" a="1"/>
  <c r="V939" i="17" s="1"/>
  <c r="V958" i="17" a="1"/>
  <c r="V958" i="17" s="1"/>
  <c r="V977" i="17" a="1"/>
  <c r="V977" i="17" s="1"/>
  <c r="V996" i="17" a="1"/>
  <c r="V996" i="17" s="1"/>
  <c r="V1015" i="17" a="1"/>
  <c r="V1015" i="17" s="1"/>
  <c r="V1034" i="17" a="1"/>
  <c r="V1034" i="17" s="1"/>
  <c r="V1053" i="17" a="1"/>
  <c r="V1053" i="17" s="1"/>
  <c r="V619" i="17" a="1"/>
  <c r="V619" i="17" s="1"/>
  <c r="V620" i="17" a="1"/>
  <c r="V620" i="17" s="1"/>
  <c r="V621" i="17" a="1"/>
  <c r="V621" i="17" s="1"/>
  <c r="V622" i="17" a="1"/>
  <c r="V622" i="17" s="1"/>
  <c r="V623" i="17" a="1"/>
  <c r="V623" i="17" s="1"/>
  <c r="V624" i="17" a="1"/>
  <c r="V624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 s="1"/>
  <c r="V79" i="17" a="1"/>
  <c r="V79" i="17" s="1"/>
  <c r="V128" i="17" a="1"/>
  <c r="V128" i="17" s="1"/>
  <c r="V147" i="17" a="1"/>
  <c r="V147" i="17" s="1"/>
  <c r="V166" i="17" a="1"/>
  <c r="V166" i="17" s="1"/>
  <c r="V185" i="17" a="1"/>
  <c r="V185" i="17" s="1"/>
  <c r="V228" i="17" a="1"/>
  <c r="V228" i="17" s="1"/>
  <c r="V229" i="17" a="1"/>
  <c r="V229" i="17" s="1"/>
  <c r="V230" i="17" a="1"/>
  <c r="V230" i="17" s="1"/>
  <c r="V261" i="17" a="1"/>
  <c r="V261" i="17" s="1"/>
  <c r="V280" i="17" a="1"/>
  <c r="V280" i="17" s="1"/>
  <c r="V299" i="17" a="1"/>
  <c r="V299" i="17" s="1"/>
  <c r="V318" i="17" a="1"/>
  <c r="V318" i="17" s="1"/>
  <c r="V337" i="17" a="1"/>
  <c r="V337" i="17" s="1"/>
  <c r="V356" i="17" a="1"/>
  <c r="V356" i="17" s="1"/>
  <c r="V375" i="17" a="1"/>
  <c r="V375" i="17" s="1"/>
  <c r="V394" i="17" a="1"/>
  <c r="V394" i="17" s="1"/>
  <c r="V413" i="17" a="1"/>
  <c r="V413" i="17" s="1"/>
  <c r="V508" i="17" a="1"/>
  <c r="V508" i="17" s="1"/>
  <c r="V527" i="17" a="1"/>
  <c r="V527" i="17" s="1"/>
  <c r="V546" i="17" a="1"/>
  <c r="V546" i="17" s="1"/>
  <c r="V456" i="17" a="1"/>
  <c r="V456" i="17" s="1"/>
  <c r="V457" i="17" a="1"/>
  <c r="V457" i="17" s="1"/>
  <c r="V458" i="17" a="1"/>
  <c r="V458" i="17" s="1"/>
  <c r="V489" i="17" a="1"/>
  <c r="V489" i="17" s="1"/>
  <c r="V679" i="17" a="1"/>
  <c r="V679" i="17" s="1"/>
  <c r="V698" i="17" a="1"/>
  <c r="V698" i="17" s="1"/>
  <c r="V717" i="17" a="1"/>
  <c r="V717" i="17" s="1"/>
  <c r="V736" i="17" a="1"/>
  <c r="V736" i="17" s="1"/>
  <c r="V755" i="17" a="1"/>
  <c r="V755" i="17" s="1"/>
  <c r="V774" i="17" a="1"/>
  <c r="V774" i="17" s="1"/>
  <c r="V791" i="17" a="1"/>
  <c r="V791" i="17" s="1"/>
  <c r="V826" i="17" a="1"/>
  <c r="V826" i="17" s="1"/>
  <c r="V845" i="17" a="1"/>
  <c r="V845" i="17" s="1"/>
  <c r="V864" i="17" a="1"/>
  <c r="V864" i="17" s="1"/>
  <c r="V883" i="17" a="1"/>
  <c r="V883" i="17" s="1"/>
  <c r="V902" i="17" a="1"/>
  <c r="V902" i="17" s="1"/>
  <c r="V921" i="17" a="1"/>
  <c r="V921" i="17" s="1"/>
  <c r="V940" i="17" a="1"/>
  <c r="V940" i="17" s="1"/>
  <c r="V959" i="17" a="1"/>
  <c r="V959" i="17" s="1"/>
  <c r="V978" i="17" a="1"/>
  <c r="V978" i="17" s="1"/>
  <c r="V997" i="17" a="1"/>
  <c r="V997" i="17" s="1"/>
  <c r="V1016" i="17" a="1"/>
  <c r="V1016" i="17" s="1"/>
  <c r="V1035" i="17" a="1"/>
  <c r="V1035" i="17" s="1"/>
  <c r="V1054" i="17" a="1"/>
  <c r="V1054" i="17" s="1"/>
  <c r="V625" i="17" a="1"/>
  <c r="V625" i="17" s="1"/>
  <c r="V626" i="17" a="1"/>
  <c r="V626" i="17" s="1"/>
  <c r="V627" i="17" a="1"/>
  <c r="V627" i="17" s="1"/>
  <c r="V628" i="17" a="1"/>
  <c r="V628" i="17" s="1"/>
  <c r="V629" i="17" a="1"/>
  <c r="V629" i="17" s="1"/>
  <c r="V630" i="17" a="1"/>
  <c r="V630" i="17" s="1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129" i="17" a="1"/>
  <c r="V129" i="17" s="1"/>
  <c r="V148" i="17" a="1"/>
  <c r="V148" i="17" s="1"/>
  <c r="V167" i="17" a="1"/>
  <c r="V167" i="17" s="1"/>
  <c r="V186" i="17" a="1"/>
  <c r="V186" i="17" s="1"/>
  <c r="V231" i="17" a="1"/>
  <c r="V231" i="17" s="1"/>
  <c r="V232" i="17" a="1"/>
  <c r="V232" i="17" s="1"/>
  <c r="V233" i="17" a="1"/>
  <c r="V233" i="17" s="1"/>
  <c r="V262" i="17" a="1"/>
  <c r="V262" i="17" s="1"/>
  <c r="V281" i="17" a="1"/>
  <c r="V281" i="17" s="1"/>
  <c r="V300" i="17" a="1"/>
  <c r="V300" i="17" s="1"/>
  <c r="V319" i="17" a="1"/>
  <c r="V319" i="17" s="1"/>
  <c r="V338" i="17" a="1"/>
  <c r="V338" i="17" s="1"/>
  <c r="V357" i="17" a="1"/>
  <c r="V357" i="17" s="1"/>
  <c r="V376" i="17" a="1"/>
  <c r="V376" i="17" s="1"/>
  <c r="V395" i="17" a="1"/>
  <c r="V395" i="17" s="1"/>
  <c r="V414" i="17" a="1"/>
  <c r="V414" i="17" s="1"/>
  <c r="V509" i="17" a="1"/>
  <c r="V509" i="17" s="1"/>
  <c r="V528" i="17" a="1"/>
  <c r="V528" i="17" s="1"/>
  <c r="V547" i="17" a="1"/>
  <c r="V547" i="17" s="1"/>
  <c r="V459" i="17" a="1"/>
  <c r="V459" i="17" s="1"/>
  <c r="V460" i="17" a="1"/>
  <c r="V460" i="17" s="1"/>
  <c r="V461" i="17" a="1"/>
  <c r="V461" i="17" s="1"/>
  <c r="V490" i="17" a="1"/>
  <c r="V490" i="17" s="1"/>
  <c r="V680" i="17" a="1"/>
  <c r="V680" i="17" s="1"/>
  <c r="V699" i="17" a="1"/>
  <c r="V699" i="17" s="1"/>
  <c r="V718" i="17" a="1"/>
  <c r="V718" i="17" s="1"/>
  <c r="V737" i="17" a="1"/>
  <c r="V737" i="17" s="1"/>
  <c r="V756" i="17" a="1"/>
  <c r="V756" i="17" s="1"/>
  <c r="V775" i="17" a="1"/>
  <c r="V775" i="17" s="1"/>
  <c r="V792" i="17" a="1"/>
  <c r="V792" i="17" s="1"/>
  <c r="V804" i="17" a="1"/>
  <c r="V804" i="17" s="1"/>
  <c r="V827" i="17" a="1"/>
  <c r="V827" i="17" s="1"/>
  <c r="V846" i="17" a="1"/>
  <c r="V846" i="17" s="1"/>
  <c r="V865" i="17" a="1"/>
  <c r="V865" i="17" s="1"/>
  <c r="V884" i="17" a="1"/>
  <c r="V884" i="17" s="1"/>
  <c r="V903" i="17" a="1"/>
  <c r="V903" i="17" s="1"/>
  <c r="V922" i="17" a="1"/>
  <c r="V922" i="17" s="1"/>
  <c r="V941" i="17" a="1"/>
  <c r="V941" i="17" s="1"/>
  <c r="V960" i="17" a="1"/>
  <c r="V960" i="17" s="1"/>
  <c r="V979" i="17" a="1"/>
  <c r="V979" i="17" s="1"/>
  <c r="V998" i="17" a="1"/>
  <c r="V998" i="17" s="1"/>
  <c r="V1017" i="17" a="1"/>
  <c r="V1017" i="17" s="1"/>
  <c r="V1036" i="17" a="1"/>
  <c r="V1036" i="17" s="1"/>
  <c r="V1055" i="17" a="1"/>
  <c r="V1055" i="17" s="1"/>
  <c r="V631" i="17" a="1"/>
  <c r="V631" i="17" s="1"/>
  <c r="V632" i="17" a="1"/>
  <c r="V632" i="17" s="1"/>
  <c r="V633" i="17" a="1"/>
  <c r="V633" i="17" s="1"/>
  <c r="V634" i="17" a="1"/>
  <c r="V634" i="17" s="1"/>
  <c r="V635" i="17" a="1"/>
  <c r="V635" i="17" s="1"/>
  <c r="V636" i="17" a="1"/>
  <c r="V636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130" i="17" a="1"/>
  <c r="V130" i="17" s="1"/>
  <c r="V149" i="17" a="1"/>
  <c r="V149" i="17" s="1"/>
  <c r="V168" i="17" a="1"/>
  <c r="V168" i="17" s="1"/>
  <c r="V187" i="17" a="1"/>
  <c r="V187" i="17" s="1"/>
  <c r="V234" i="17" a="1"/>
  <c r="V234" i="17" s="1"/>
  <c r="V235" i="17" a="1"/>
  <c r="V235" i="17" s="1"/>
  <c r="V236" i="17" a="1"/>
  <c r="V236" i="17" s="1"/>
  <c r="V263" i="17" a="1"/>
  <c r="V263" i="17" s="1"/>
  <c r="V282" i="17" a="1"/>
  <c r="V282" i="17" s="1"/>
  <c r="V301" i="17" a="1"/>
  <c r="V301" i="17" s="1"/>
  <c r="V320" i="17" a="1"/>
  <c r="V320" i="17" s="1"/>
  <c r="V339" i="17" a="1"/>
  <c r="V339" i="17" s="1"/>
  <c r="V358" i="17" a="1"/>
  <c r="V358" i="17" s="1"/>
  <c r="V377" i="17" a="1"/>
  <c r="V377" i="17" s="1"/>
  <c r="V396" i="17" a="1"/>
  <c r="V396" i="17" s="1"/>
  <c r="V415" i="17" a="1"/>
  <c r="V415" i="17" s="1"/>
  <c r="V510" i="17" a="1"/>
  <c r="V510" i="17" s="1"/>
  <c r="V529" i="17" a="1"/>
  <c r="V529" i="17" s="1"/>
  <c r="V548" i="17" a="1"/>
  <c r="V548" i="17" s="1"/>
  <c r="V462" i="17" a="1"/>
  <c r="V462" i="17" s="1"/>
  <c r="V463" i="17" a="1"/>
  <c r="V463" i="17" s="1"/>
  <c r="V464" i="17" a="1"/>
  <c r="V464" i="17" s="1"/>
  <c r="V491" i="17" a="1"/>
  <c r="V491" i="17" s="1"/>
  <c r="V681" i="17" a="1"/>
  <c r="V681" i="17" s="1"/>
  <c r="V700" i="17" a="1"/>
  <c r="V700" i="17" s="1"/>
  <c r="V719" i="17" a="1"/>
  <c r="V719" i="17" s="1"/>
  <c r="V738" i="17" a="1"/>
  <c r="V738" i="17" s="1"/>
  <c r="V757" i="17" a="1"/>
  <c r="V757" i="17" s="1"/>
  <c r="V776" i="17" a="1"/>
  <c r="V776" i="17" s="1"/>
  <c r="V793" i="17" a="1"/>
  <c r="V793" i="17" s="1"/>
  <c r="V805" i="17" a="1"/>
  <c r="V805" i="17" s="1"/>
  <c r="V828" i="17" a="1"/>
  <c r="V828" i="17" s="1"/>
  <c r="V847" i="17" a="1"/>
  <c r="V847" i="17" s="1"/>
  <c r="V866" i="17" a="1"/>
  <c r="V866" i="17" s="1"/>
  <c r="V885" i="17" a="1"/>
  <c r="V885" i="17" s="1"/>
  <c r="V904" i="17" a="1"/>
  <c r="V904" i="17" s="1"/>
  <c r="V923" i="17" a="1"/>
  <c r="V923" i="17" s="1"/>
  <c r="V942" i="17" a="1"/>
  <c r="V942" i="17" s="1"/>
  <c r="V961" i="17" a="1"/>
  <c r="V961" i="17" s="1"/>
  <c r="V980" i="17" a="1"/>
  <c r="V980" i="17" s="1"/>
  <c r="V999" i="17" a="1"/>
  <c r="V999" i="17" s="1"/>
  <c r="V1018" i="17" a="1"/>
  <c r="V1018" i="17" s="1"/>
  <c r="V1037" i="17" a="1"/>
  <c r="V1037" i="17" s="1"/>
  <c r="V1056" i="17" a="1"/>
  <c r="V1056" i="17" s="1"/>
  <c r="V637" i="17" a="1"/>
  <c r="V637" i="17" s="1"/>
  <c r="V638" i="17" a="1"/>
  <c r="V638" i="17" s="1"/>
  <c r="V639" i="17" a="1"/>
  <c r="V639" i="17" s="1"/>
  <c r="V640" i="17" a="1"/>
  <c r="V640" i="17" s="1"/>
  <c r="V641" i="17" a="1"/>
  <c r="V641" i="17" s="1"/>
  <c r="V642" i="17" a="1"/>
  <c r="V642" i="17" s="1"/>
  <c r="V92" i="17" a="1"/>
  <c r="V92" i="17" s="1"/>
  <c r="V93" i="17" a="1"/>
  <c r="V93" i="17" s="1"/>
  <c r="V94" i="17" a="1"/>
  <c r="V94" i="17" s="1"/>
  <c r="V95" i="17" a="1"/>
  <c r="V95" i="17" s="1"/>
  <c r="V96" i="17" a="1"/>
  <c r="V96" i="17" s="1"/>
  <c r="V97" i="17" a="1"/>
  <c r="V97" i="17" s="1"/>
  <c r="V131" i="17" a="1"/>
  <c r="V131" i="17" s="1"/>
  <c r="V150" i="17" a="1"/>
  <c r="V150" i="17" s="1"/>
  <c r="V169" i="17" a="1"/>
  <c r="V169" i="17" s="1"/>
  <c r="V188" i="17" a="1"/>
  <c r="V188" i="17" s="1"/>
  <c r="V237" i="17" a="1"/>
  <c r="V237" i="17" s="1"/>
  <c r="V238" i="17" a="1"/>
  <c r="V238" i="17" s="1"/>
  <c r="V239" i="17" a="1"/>
  <c r="V239" i="17" s="1"/>
  <c r="V264" i="17" a="1"/>
  <c r="V264" i="17" s="1"/>
  <c r="V283" i="17" a="1"/>
  <c r="V283" i="17" s="1"/>
  <c r="V302" i="17" a="1"/>
  <c r="V302" i="17" s="1"/>
  <c r="V321" i="17" a="1"/>
  <c r="V321" i="17" s="1"/>
  <c r="V340" i="17" a="1"/>
  <c r="V340" i="17" s="1"/>
  <c r="V359" i="17" a="1"/>
  <c r="V359" i="17" s="1"/>
  <c r="V378" i="17" a="1"/>
  <c r="V378" i="17" s="1"/>
  <c r="V397" i="17" a="1"/>
  <c r="V397" i="17" s="1"/>
  <c r="V416" i="17" a="1"/>
  <c r="V416" i="17" s="1"/>
  <c r="V511" i="17" a="1"/>
  <c r="V511" i="17" s="1"/>
  <c r="V530" i="17" a="1"/>
  <c r="V530" i="17" s="1"/>
  <c r="V549" i="17" a="1"/>
  <c r="V549" i="17" s="1"/>
  <c r="V465" i="17" a="1"/>
  <c r="V465" i="17" s="1"/>
  <c r="V466" i="17" a="1"/>
  <c r="V466" i="17" s="1"/>
  <c r="V467" i="17" a="1"/>
  <c r="V467" i="17" s="1"/>
  <c r="V492" i="17" a="1"/>
  <c r="V492" i="17" s="1"/>
  <c r="V682" i="17" a="1"/>
  <c r="V682" i="17" s="1"/>
  <c r="V701" i="17" a="1"/>
  <c r="V701" i="17" s="1"/>
  <c r="V720" i="17" a="1"/>
  <c r="V720" i="17" s="1"/>
  <c r="V739" i="17" a="1"/>
  <c r="V739" i="17" s="1"/>
  <c r="V758" i="17" a="1"/>
  <c r="V758" i="17" s="1"/>
  <c r="V777" i="17" a="1"/>
  <c r="V777" i="17" s="1"/>
  <c r="V806" i="17" a="1"/>
  <c r="V806" i="17" s="1"/>
  <c r="V812" i="17" a="1"/>
  <c r="V812" i="17" s="1"/>
  <c r="V829" i="17" a="1"/>
  <c r="V829" i="17" s="1"/>
  <c r="V848" i="17" a="1"/>
  <c r="V848" i="17" s="1"/>
  <c r="V867" i="17" a="1"/>
  <c r="V867" i="17" s="1"/>
  <c r="V886" i="17" a="1"/>
  <c r="V886" i="17" s="1"/>
  <c r="V905" i="17" a="1"/>
  <c r="V905" i="17" s="1"/>
  <c r="V924" i="17" a="1"/>
  <c r="V924" i="17" s="1"/>
  <c r="V943" i="17" a="1"/>
  <c r="V943" i="17" s="1"/>
  <c r="V962" i="17" a="1"/>
  <c r="V962" i="17" s="1"/>
  <c r="V981" i="17" a="1"/>
  <c r="V981" i="17" s="1"/>
  <c r="V1000" i="17" a="1"/>
  <c r="V1000" i="17" s="1"/>
  <c r="V1019" i="17" a="1"/>
  <c r="V1019" i="17" s="1"/>
  <c r="V1038" i="17" a="1"/>
  <c r="V1038" i="17" s="1"/>
  <c r="V1057" i="17" a="1"/>
  <c r="V1057" i="17" s="1"/>
  <c r="V643" i="17" a="1"/>
  <c r="V643" i="17" s="1"/>
  <c r="V644" i="17" a="1"/>
  <c r="V644" i="17" s="1"/>
  <c r="V645" i="17" a="1"/>
  <c r="V645" i="17" s="1"/>
  <c r="V646" i="17" a="1"/>
  <c r="V646" i="17" s="1"/>
  <c r="V647" i="17" a="1"/>
  <c r="V647" i="17" s="1"/>
  <c r="V648" i="17" a="1"/>
  <c r="V648" i="17" s="1"/>
  <c r="V98" i="17" a="1"/>
  <c r="V98" i="17" s="1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132" i="17" a="1"/>
  <c r="V132" i="17" s="1"/>
  <c r="V151" i="17" a="1"/>
  <c r="V151" i="17" s="1"/>
  <c r="V170" i="17" a="1"/>
  <c r="V170" i="17" s="1"/>
  <c r="V189" i="17" a="1"/>
  <c r="V189" i="17" s="1"/>
  <c r="V240" i="17" a="1"/>
  <c r="V240" i="17" s="1"/>
  <c r="V241" i="17" a="1"/>
  <c r="V241" i="17" s="1"/>
  <c r="V242" i="17" a="1"/>
  <c r="V242" i="17" s="1"/>
  <c r="V265" i="17" a="1"/>
  <c r="V265" i="17" s="1"/>
  <c r="V284" i="17" a="1"/>
  <c r="V284" i="17" s="1"/>
  <c r="V303" i="17" a="1"/>
  <c r="V303" i="17" s="1"/>
  <c r="V322" i="17" a="1"/>
  <c r="V322" i="17" s="1"/>
  <c r="V341" i="17" a="1"/>
  <c r="V341" i="17" s="1"/>
  <c r="V360" i="17" a="1"/>
  <c r="V360" i="17" s="1"/>
  <c r="V379" i="17" a="1"/>
  <c r="V379" i="17" s="1"/>
  <c r="V398" i="17" a="1"/>
  <c r="V398" i="17" s="1"/>
  <c r="V417" i="17" a="1"/>
  <c r="V417" i="17" s="1"/>
  <c r="V512" i="17" a="1"/>
  <c r="V512" i="17" s="1"/>
  <c r="V531" i="17" a="1"/>
  <c r="V531" i="17" s="1"/>
  <c r="V550" i="17" a="1"/>
  <c r="V550" i="17" s="1"/>
  <c r="V468" i="17" a="1"/>
  <c r="V468" i="17" s="1"/>
  <c r="V469" i="17" a="1"/>
  <c r="V469" i="17" s="1"/>
  <c r="V470" i="17" a="1"/>
  <c r="V470" i="17" s="1"/>
  <c r="V493" i="17" a="1"/>
  <c r="V493" i="17" s="1"/>
  <c r="V683" i="17" a="1"/>
  <c r="V683" i="17" s="1"/>
  <c r="V702" i="17" a="1"/>
  <c r="V702" i="17" s="1"/>
  <c r="V721" i="17" a="1"/>
  <c r="V721" i="17" s="1"/>
  <c r="V740" i="17" a="1"/>
  <c r="V740" i="17" s="1"/>
  <c r="V759" i="17" a="1"/>
  <c r="V759" i="17" s="1"/>
  <c r="V778" i="17" a="1"/>
  <c r="V778" i="17" s="1"/>
  <c r="V794" i="17" a="1"/>
  <c r="V794" i="17" s="1"/>
  <c r="V807" i="17" a="1"/>
  <c r="V807" i="17" s="1"/>
  <c r="V830" i="17" a="1"/>
  <c r="V830" i="17" s="1"/>
  <c r="V849" i="17" a="1"/>
  <c r="V849" i="17" s="1"/>
  <c r="V868" i="17" a="1"/>
  <c r="V868" i="17" s="1"/>
  <c r="V887" i="17" a="1"/>
  <c r="V887" i="17" s="1"/>
  <c r="V906" i="17" a="1"/>
  <c r="V906" i="17" s="1"/>
  <c r="V925" i="17" a="1"/>
  <c r="V925" i="17" s="1"/>
  <c r="V944" i="17" a="1"/>
  <c r="V944" i="17" s="1"/>
  <c r="V963" i="17" a="1"/>
  <c r="V963" i="17" s="1"/>
  <c r="V982" i="17" a="1"/>
  <c r="V982" i="17" s="1"/>
  <c r="V1001" i="17" a="1"/>
  <c r="V1001" i="17" s="1"/>
  <c r="V1020" i="17" a="1"/>
  <c r="V1020" i="17" s="1"/>
  <c r="V1039" i="17" a="1"/>
  <c r="V1039" i="17" s="1"/>
  <c r="V1058" i="17" a="1"/>
  <c r="V1058" i="17" s="1"/>
  <c r="V649" i="17" a="1"/>
  <c r="V649" i="17" s="1"/>
  <c r="V650" i="17" a="1"/>
  <c r="V650" i="17" s="1"/>
  <c r="V651" i="17" a="1"/>
  <c r="V651" i="17" s="1"/>
  <c r="V652" i="17" a="1"/>
  <c r="V652" i="17" s="1"/>
  <c r="V653" i="17" a="1"/>
  <c r="V653" i="17" s="1"/>
  <c r="V654" i="17" a="1"/>
  <c r="V654" i="17" s="1"/>
  <c r="V104" i="17" a="1"/>
  <c r="V104" i="17" s="1"/>
  <c r="V105" i="17" a="1"/>
  <c r="V105" i="17" s="1"/>
  <c r="V106" i="17" a="1"/>
  <c r="V106" i="17" s="1"/>
  <c r="V107" i="17" a="1"/>
  <c r="V107" i="17" s="1"/>
  <c r="V108" i="17" a="1"/>
  <c r="V108" i="17" s="1"/>
  <c r="V109" i="17" a="1"/>
  <c r="V109" i="17" s="1"/>
  <c r="V133" i="17" a="1"/>
  <c r="V133" i="17" s="1"/>
  <c r="V152" i="17" a="1"/>
  <c r="V152" i="17" s="1"/>
  <c r="V171" i="17" a="1"/>
  <c r="V171" i="17" s="1"/>
  <c r="V190" i="17" a="1"/>
  <c r="V190" i="17" s="1"/>
  <c r="V243" i="17" a="1"/>
  <c r="V243" i="17" s="1"/>
  <c r="V244" i="17" a="1"/>
  <c r="V244" i="17" s="1"/>
  <c r="V245" i="17" a="1"/>
  <c r="V245" i="17" s="1"/>
  <c r="V266" i="17" a="1"/>
  <c r="V266" i="17" s="1"/>
  <c r="V285" i="17" a="1"/>
  <c r="V285" i="17" s="1"/>
  <c r="V304" i="17" a="1"/>
  <c r="V304" i="17" s="1"/>
  <c r="V323" i="17" a="1"/>
  <c r="V323" i="17" s="1"/>
  <c r="V342" i="17" a="1"/>
  <c r="V342" i="17" s="1"/>
  <c r="V361" i="17" a="1"/>
  <c r="V361" i="17" s="1"/>
  <c r="V380" i="17" a="1"/>
  <c r="V380" i="17" s="1"/>
  <c r="V399" i="17" a="1"/>
  <c r="V399" i="17" s="1"/>
  <c r="V418" i="17" a="1"/>
  <c r="V418" i="17" s="1"/>
  <c r="V513" i="17" a="1"/>
  <c r="V513" i="17" s="1"/>
  <c r="V532" i="17" a="1"/>
  <c r="V532" i="17" s="1"/>
  <c r="V551" i="17" a="1"/>
  <c r="V551" i="17" s="1"/>
  <c r="V471" i="17" a="1"/>
  <c r="V471" i="17" s="1"/>
  <c r="V472" i="17" a="1"/>
  <c r="V472" i="17" s="1"/>
  <c r="V473" i="17" a="1"/>
  <c r="V473" i="17" s="1"/>
  <c r="V494" i="17" a="1"/>
  <c r="V494" i="17" s="1"/>
  <c r="V684" i="17" a="1"/>
  <c r="V684" i="17" s="1"/>
  <c r="V703" i="17" a="1"/>
  <c r="V703" i="17" s="1"/>
  <c r="V722" i="17" a="1"/>
  <c r="V722" i="17" s="1"/>
  <c r="V741" i="17" a="1"/>
  <c r="V741" i="17" s="1"/>
  <c r="V760" i="17" a="1"/>
  <c r="V760" i="17" s="1"/>
  <c r="V779" i="17" a="1"/>
  <c r="V779" i="17" s="1"/>
  <c r="V795" i="17" a="1"/>
  <c r="V795" i="17" s="1"/>
  <c r="V808" i="17" a="1"/>
  <c r="V808" i="17" s="1"/>
  <c r="V831" i="17" a="1"/>
  <c r="V831" i="17" s="1"/>
  <c r="V850" i="17" a="1"/>
  <c r="V850" i="17" s="1"/>
  <c r="V869" i="17" a="1"/>
  <c r="V869" i="17" s="1"/>
  <c r="V888" i="17" a="1"/>
  <c r="V888" i="17" s="1"/>
  <c r="V907" i="17" a="1"/>
  <c r="V907" i="17" s="1"/>
  <c r="V926" i="17" a="1"/>
  <c r="V926" i="17" s="1"/>
  <c r="V945" i="17" a="1"/>
  <c r="V945" i="17" s="1"/>
  <c r="V964" i="17" a="1"/>
  <c r="V964" i="17" s="1"/>
  <c r="V983" i="17" a="1"/>
  <c r="V983" i="17" s="1"/>
  <c r="V1002" i="17" a="1"/>
  <c r="V1002" i="17" s="1"/>
  <c r="V1021" i="17" a="1"/>
  <c r="V1021" i="17" s="1"/>
  <c r="V1040" i="17" a="1"/>
  <c r="V1040" i="17" s="1"/>
  <c r="V1059" i="17" a="1"/>
  <c r="V1059" i="17" s="1"/>
  <c r="V655" i="17" a="1"/>
  <c r="V655" i="17" s="1"/>
  <c r="V656" i="17" a="1"/>
  <c r="V656" i="17" s="1"/>
  <c r="V657" i="17" a="1"/>
  <c r="V657" i="17" s="1"/>
  <c r="V658" i="17" a="1"/>
  <c r="V658" i="17" s="1"/>
  <c r="V659" i="17" a="1"/>
  <c r="V659" i="17" s="1"/>
  <c r="V660" i="17" a="1"/>
  <c r="V660" i="17" s="1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 s="1"/>
  <c r="V115" i="17" a="1"/>
  <c r="V115" i="17" s="1"/>
  <c r="V134" i="17" a="1"/>
  <c r="V134" i="17" s="1"/>
  <c r="V153" i="17" a="1"/>
  <c r="V153" i="17" s="1"/>
  <c r="V172" i="17" a="1"/>
  <c r="V172" i="17" s="1"/>
  <c r="V191" i="17" a="1"/>
  <c r="V191" i="17" s="1"/>
  <c r="V246" i="17" a="1"/>
  <c r="V246" i="17" s="1"/>
  <c r="V247" i="17" a="1"/>
  <c r="V247" i="17" s="1"/>
  <c r="V248" i="17" a="1"/>
  <c r="V248" i="17" s="1"/>
  <c r="V267" i="17" a="1"/>
  <c r="V267" i="17" s="1"/>
  <c r="V286" i="17" a="1"/>
  <c r="V286" i="17" s="1"/>
  <c r="V305" i="17" a="1"/>
  <c r="V305" i="17" s="1"/>
  <c r="V324" i="17" a="1"/>
  <c r="V324" i="17" s="1"/>
  <c r="V343" i="17" a="1"/>
  <c r="V343" i="17" s="1"/>
  <c r="V362" i="17" a="1"/>
  <c r="V362" i="17" s="1"/>
  <c r="V381" i="17" a="1"/>
  <c r="V381" i="17" s="1"/>
  <c r="V400" i="17" a="1"/>
  <c r="V400" i="17" s="1"/>
  <c r="V419" i="17" a="1"/>
  <c r="V419" i="17" s="1"/>
  <c r="V514" i="17" a="1"/>
  <c r="V514" i="17" s="1"/>
  <c r="V533" i="17" a="1"/>
  <c r="V533" i="17" s="1"/>
  <c r="V552" i="17" a="1"/>
  <c r="V552" i="17" s="1"/>
  <c r="V474" i="17" a="1"/>
  <c r="V474" i="17" s="1"/>
  <c r="V475" i="17" a="1"/>
  <c r="V475" i="17" s="1"/>
  <c r="V476" i="17" a="1"/>
  <c r="V476" i="17" s="1"/>
  <c r="V495" i="17" a="1"/>
  <c r="V495" i="17" s="1"/>
  <c r="V685" i="17" a="1"/>
  <c r="V685" i="17" s="1"/>
  <c r="V704" i="17" a="1"/>
  <c r="V704" i="17" s="1"/>
  <c r="V723" i="17" a="1"/>
  <c r="V723" i="17" s="1"/>
  <c r="V742" i="17" a="1"/>
  <c r="V742" i="17" s="1"/>
  <c r="V761" i="17" a="1"/>
  <c r="V761" i="17" s="1"/>
  <c r="V780" i="17" a="1"/>
  <c r="V780" i="17" s="1"/>
  <c r="V796" i="17" a="1"/>
  <c r="V796" i="17" s="1"/>
  <c r="V809" i="17" a="1"/>
  <c r="V809" i="17" s="1"/>
  <c r="V813" i="17" a="1"/>
  <c r="V813" i="17" s="1"/>
  <c r="V832" i="17" a="1"/>
  <c r="V832" i="17" s="1"/>
  <c r="V851" i="17" a="1"/>
  <c r="V851" i="17" s="1"/>
  <c r="V870" i="17" a="1"/>
  <c r="V870" i="17" s="1"/>
  <c r="V889" i="17" a="1"/>
  <c r="V889" i="17" s="1"/>
  <c r="V908" i="17" a="1"/>
  <c r="V908" i="17" s="1"/>
  <c r="V927" i="17" a="1"/>
  <c r="V927" i="17" s="1"/>
  <c r="V946" i="17" a="1"/>
  <c r="V946" i="17" s="1"/>
  <c r="V965" i="17" a="1"/>
  <c r="V965" i="17" s="1"/>
  <c r="V984" i="17" a="1"/>
  <c r="V984" i="17" s="1"/>
  <c r="V1003" i="17" a="1"/>
  <c r="V1003" i="17" s="1"/>
  <c r="V1022" i="17" a="1"/>
  <c r="V1022" i="17" s="1"/>
  <c r="V1041" i="17" a="1"/>
  <c r="V1041" i="17" s="1"/>
  <c r="V1060" i="17" a="1"/>
  <c r="V1060" i="17" s="1"/>
  <c r="V661" i="17" a="1"/>
  <c r="V661" i="17" s="1"/>
  <c r="V662" i="17" a="1"/>
  <c r="V662" i="17" s="1"/>
  <c r="V663" i="17" a="1"/>
  <c r="V663" i="17" s="1"/>
  <c r="V664" i="17" a="1"/>
  <c r="V664" i="17" s="1"/>
  <c r="V665" i="17" a="1"/>
  <c r="V665" i="17" s="1"/>
  <c r="V666" i="17" a="1"/>
  <c r="V666" i="17" s="1"/>
  <c r="X2" i="17" a="1"/>
  <c r="X2" i="17" s="1"/>
  <c r="X3" i="17" a="1"/>
  <c r="X3" i="17" s="1"/>
  <c r="X4" i="17" a="1"/>
  <c r="X4" i="17"/>
  <c r="X5" i="17" a="1"/>
  <c r="X5" i="17" s="1"/>
  <c r="Y5" i="17" s="1"/>
  <c r="Q5" i="17" s="1"/>
  <c r="W5" i="17" s="1"/>
  <c r="X6" i="17" a="1"/>
  <c r="X6" i="17"/>
  <c r="X7" i="17" a="1"/>
  <c r="X7" i="17" s="1"/>
  <c r="X116" i="17" a="1"/>
  <c r="X116" i="17" s="1"/>
  <c r="Y116" i="17" s="1"/>
  <c r="Q116" i="17" s="1"/>
  <c r="W116" i="17" s="1"/>
  <c r="X135" i="17" a="1"/>
  <c r="X135" i="17" s="1"/>
  <c r="X154" i="17" a="1"/>
  <c r="X154" i="17" s="1"/>
  <c r="X173" i="17" a="1"/>
  <c r="X173" i="17" s="1"/>
  <c r="X192" i="17" a="1"/>
  <c r="X192" i="17" s="1"/>
  <c r="X193" i="17" a="1"/>
  <c r="X193" i="17"/>
  <c r="Y193" i="17" s="1"/>
  <c r="Q193" i="17" s="1"/>
  <c r="W193" i="17" s="1"/>
  <c r="X194" i="17" a="1"/>
  <c r="X194" i="17" s="1"/>
  <c r="X249" i="17" a="1"/>
  <c r="X249" i="17" s="1"/>
  <c r="X268" i="17" a="1"/>
  <c r="X268" i="17"/>
  <c r="X287" i="17" a="1"/>
  <c r="X287" i="17" s="1"/>
  <c r="Y287" i="17" s="1"/>
  <c r="Q287" i="17" s="1"/>
  <c r="W287" i="17" s="1"/>
  <c r="X306" i="17" a="1"/>
  <c r="X306" i="17"/>
  <c r="X325" i="17" a="1"/>
  <c r="X325" i="17" s="1"/>
  <c r="X344" i="17" a="1"/>
  <c r="X344" i="17" s="1"/>
  <c r="X363" i="17" a="1"/>
  <c r="X363" i="17" s="1"/>
  <c r="Y363" i="17" s="1"/>
  <c r="Q363" i="17" s="1"/>
  <c r="W363" i="17" s="1"/>
  <c r="X382" i="17" a="1"/>
  <c r="X382" i="17" s="1"/>
  <c r="X401" i="17" a="1"/>
  <c r="X401" i="17" s="1"/>
  <c r="X496" i="17" a="1"/>
  <c r="X496" i="17" s="1"/>
  <c r="X515" i="17" a="1"/>
  <c r="X515" i="17"/>
  <c r="X534" i="17" a="1"/>
  <c r="X534" i="17" s="1"/>
  <c r="X420" i="17" a="1"/>
  <c r="X420" i="17" s="1"/>
  <c r="X421" i="17" a="1"/>
  <c r="X421" i="17"/>
  <c r="X422" i="17" a="1"/>
  <c r="X422" i="17" s="1"/>
  <c r="Y422" i="17" s="1"/>
  <c r="Q422" i="17" s="1"/>
  <c r="W422" i="17" s="1"/>
  <c r="X477" i="17" a="1"/>
  <c r="X477" i="17" s="1"/>
  <c r="X667" i="17" a="1"/>
  <c r="X667" i="17" s="1"/>
  <c r="X686" i="17" a="1"/>
  <c r="X686" i="17" s="1"/>
  <c r="Y686" i="17" s="1"/>
  <c r="Q686" i="17" s="1"/>
  <c r="W686" i="17" s="1"/>
  <c r="X705" i="17" a="1"/>
  <c r="X705" i="17"/>
  <c r="X724" i="17" a="1"/>
  <c r="X724" i="17" s="1"/>
  <c r="X743" i="17" a="1"/>
  <c r="X743" i="17" s="1"/>
  <c r="X762" i="17" a="1"/>
  <c r="X762" i="17"/>
  <c r="X781" i="17" a="1"/>
  <c r="X781" i="17" s="1"/>
  <c r="Y781" i="17" s="1"/>
  <c r="Q781" i="17" s="1"/>
  <c r="W781" i="17" s="1"/>
  <c r="X797" i="17" a="1"/>
  <c r="X797" i="17"/>
  <c r="X814" i="17" a="1"/>
  <c r="X814" i="17" s="1"/>
  <c r="X833" i="17" a="1"/>
  <c r="X833" i="17" s="1"/>
  <c r="X852" i="17" a="1"/>
  <c r="X852" i="17" s="1"/>
  <c r="Y852" i="17" s="1"/>
  <c r="Q852" i="17" s="1"/>
  <c r="W852" i="17" s="1"/>
  <c r="X871" i="17" a="1"/>
  <c r="X871" i="17" s="1"/>
  <c r="X890" i="17" a="1"/>
  <c r="X890" i="17" s="1"/>
  <c r="X909" i="17" a="1"/>
  <c r="X909" i="17" s="1"/>
  <c r="X928" i="17" a="1"/>
  <c r="X928" i="17" s="1"/>
  <c r="Y928" i="17" s="1"/>
  <c r="Q928" i="17" s="1"/>
  <c r="W928" i="17" s="1"/>
  <c r="X947" i="17" a="1"/>
  <c r="X947" i="17" s="1"/>
  <c r="X966" i="17" a="1"/>
  <c r="X966" i="17" s="1"/>
  <c r="X985" i="17" a="1"/>
  <c r="X985" i="17" s="1"/>
  <c r="X1004" i="17" a="1"/>
  <c r="X1004" i="17"/>
  <c r="X1023" i="17" a="1"/>
  <c r="X1023" i="17" s="1"/>
  <c r="Y1023" i="17" s="1"/>
  <c r="Q1023" i="17" s="1"/>
  <c r="W1023" i="17" s="1"/>
  <c r="X1042" i="17" a="1"/>
  <c r="X1042" i="17" s="1"/>
  <c r="X553" i="17" a="1"/>
  <c r="X553" i="17" s="1"/>
  <c r="X554" i="17" a="1"/>
  <c r="X554" i="17" s="1"/>
  <c r="Y554" i="17" s="1"/>
  <c r="Q554" i="17" s="1"/>
  <c r="W554" i="17" s="1"/>
  <c r="X555" i="17" a="1"/>
  <c r="X555" i="17" s="1"/>
  <c r="Y555" i="17" s="1"/>
  <c r="Q555" i="17" s="1"/>
  <c r="W555" i="17" s="1"/>
  <c r="X556" i="17" a="1"/>
  <c r="X556" i="17" s="1"/>
  <c r="X557" i="17" a="1"/>
  <c r="X557" i="17"/>
  <c r="X558" i="17" a="1"/>
  <c r="X558" i="17" s="1"/>
  <c r="X8" i="17" a="1"/>
  <c r="X8" i="17" s="1"/>
  <c r="X9" i="17" a="1"/>
  <c r="X9" i="17" s="1"/>
  <c r="X10" i="17" a="1"/>
  <c r="X10" i="17" s="1"/>
  <c r="X11" i="17" a="1"/>
  <c r="X11" i="17" s="1"/>
  <c r="Y11" i="17" s="1"/>
  <c r="Q11" i="17" s="1"/>
  <c r="W11" i="17" s="1"/>
  <c r="X12" i="17" a="1"/>
  <c r="X12" i="17" s="1"/>
  <c r="X13" i="17" a="1"/>
  <c r="X13" i="17" s="1"/>
  <c r="X117" i="17" a="1"/>
  <c r="X117" i="17" s="1"/>
  <c r="X136" i="17" a="1"/>
  <c r="X136" i="17"/>
  <c r="X155" i="17" a="1"/>
  <c r="X155" i="17" s="1"/>
  <c r="X174" i="17" a="1"/>
  <c r="X174" i="17" s="1"/>
  <c r="X195" i="17" a="1"/>
  <c r="X195" i="17"/>
  <c r="X196" i="17" a="1"/>
  <c r="X196" i="17" s="1"/>
  <c r="Y196" i="17" s="1"/>
  <c r="Q196" i="17" s="1"/>
  <c r="W196" i="17" s="1"/>
  <c r="X197" i="17" a="1"/>
  <c r="X197" i="17" s="1"/>
  <c r="X250" i="17" a="1"/>
  <c r="X250" i="17" s="1"/>
  <c r="X269" i="17" a="1"/>
  <c r="X269" i="17" s="1"/>
  <c r="X288" i="17" a="1"/>
  <c r="X288" i="17" s="1"/>
  <c r="X307" i="17" a="1"/>
  <c r="X307" i="17" s="1"/>
  <c r="X326" i="17" a="1"/>
  <c r="X326" i="17" s="1"/>
  <c r="X345" i="17" a="1"/>
  <c r="X345" i="17" s="1"/>
  <c r="X364" i="17" a="1"/>
  <c r="X364" i="17" s="1"/>
  <c r="Y364" i="17" s="1"/>
  <c r="Q364" i="17" s="1"/>
  <c r="W364" i="17" s="1"/>
  <c r="X383" i="17" a="1"/>
  <c r="X383" i="17" s="1"/>
  <c r="X402" i="17" a="1"/>
  <c r="X402" i="17" s="1"/>
  <c r="X497" i="17" a="1"/>
  <c r="X497" i="17" s="1"/>
  <c r="X516" i="17" a="1"/>
  <c r="X516" i="17" s="1"/>
  <c r="X535" i="17" a="1"/>
  <c r="X535" i="17" s="1"/>
  <c r="X423" i="17" a="1"/>
  <c r="X423" i="17" s="1"/>
  <c r="X424" i="17" a="1"/>
  <c r="X424" i="17" s="1"/>
  <c r="X425" i="17" a="1"/>
  <c r="X425" i="17" s="1"/>
  <c r="Y425" i="17" s="1"/>
  <c r="Q425" i="17" s="1"/>
  <c r="W425" i="17" s="1"/>
  <c r="X478" i="17" a="1"/>
  <c r="X478" i="17" s="1"/>
  <c r="X668" i="17" a="1"/>
  <c r="X668" i="17" s="1"/>
  <c r="X687" i="17" a="1"/>
  <c r="X687" i="17"/>
  <c r="X706" i="17" a="1"/>
  <c r="X706" i="17" s="1"/>
  <c r="X725" i="17" a="1"/>
  <c r="X725" i="17" s="1"/>
  <c r="X744" i="17" a="1"/>
  <c r="X744" i="17" s="1"/>
  <c r="X763" i="17" a="1"/>
  <c r="X763" i="17" s="1"/>
  <c r="X782" i="17" a="1"/>
  <c r="X782" i="17" s="1"/>
  <c r="Y782" i="17" s="1"/>
  <c r="Q782" i="17" s="1"/>
  <c r="W782" i="17" s="1"/>
  <c r="X798" i="17" a="1"/>
  <c r="X798" i="17" s="1"/>
  <c r="X815" i="17" a="1"/>
  <c r="X815" i="17" s="1"/>
  <c r="X834" i="17" a="1"/>
  <c r="X834" i="17" s="1"/>
  <c r="Y834" i="17" s="1"/>
  <c r="Q834" i="17" s="1"/>
  <c r="W834" i="17" s="1"/>
  <c r="X853" i="17" a="1"/>
  <c r="X853" i="17"/>
  <c r="X872" i="17" a="1"/>
  <c r="X872" i="17" s="1"/>
  <c r="X891" i="17" a="1"/>
  <c r="X891" i="17" s="1"/>
  <c r="X910" i="17" a="1"/>
  <c r="X910" i="17"/>
  <c r="X929" i="17" a="1"/>
  <c r="X929" i="17" s="1"/>
  <c r="Y929" i="17" s="1"/>
  <c r="Q929" i="17" s="1"/>
  <c r="W929" i="17" s="1"/>
  <c r="X948" i="17" a="1"/>
  <c r="X948" i="17" s="1"/>
  <c r="X967" i="17" a="1"/>
  <c r="X967" i="17" s="1"/>
  <c r="X986" i="17" a="1"/>
  <c r="X986" i="17" s="1"/>
  <c r="X1005" i="17" a="1"/>
  <c r="X1005" i="17" s="1"/>
  <c r="Y1005" i="17" s="1"/>
  <c r="Q1005" i="17" s="1"/>
  <c r="W1005" i="17" s="1"/>
  <c r="X1024" i="17" a="1"/>
  <c r="X1024" i="17" s="1"/>
  <c r="X1043" i="17" a="1"/>
  <c r="X1043" i="17" s="1"/>
  <c r="X559" i="17" a="1"/>
  <c r="X559" i="17" s="1"/>
  <c r="X560" i="17" a="1"/>
  <c r="X560" i="17" s="1"/>
  <c r="Y560" i="17" s="1"/>
  <c r="Q560" i="17" s="1"/>
  <c r="W560" i="17" s="1"/>
  <c r="X561" i="17" a="1"/>
  <c r="X561" i="17" s="1"/>
  <c r="X562" i="17" a="1"/>
  <c r="X562" i="17" s="1"/>
  <c r="X563" i="17" a="1"/>
  <c r="X563" i="17" s="1"/>
  <c r="X564" i="17" a="1"/>
  <c r="X564" i="17" s="1"/>
  <c r="X14" i="17" a="1"/>
  <c r="X14" i="17" s="1"/>
  <c r="Y14" i="17" s="1"/>
  <c r="Q14" i="17" s="1"/>
  <c r="W14" i="17" s="1"/>
  <c r="X15" i="17" a="1"/>
  <c r="X15" i="17" s="1"/>
  <c r="X16" i="17" a="1"/>
  <c r="X16" i="17" s="1"/>
  <c r="X17" i="17" a="1"/>
  <c r="X17" i="17" s="1"/>
  <c r="Y17" i="17" s="1"/>
  <c r="Q17" i="17" s="1"/>
  <c r="W17" i="17" s="1"/>
  <c r="X18" i="17" a="1"/>
  <c r="X18" i="17" s="1"/>
  <c r="Y18" i="17" s="1"/>
  <c r="Q18" i="17" s="1"/>
  <c r="W18" i="17" s="1"/>
  <c r="X19" i="17" a="1"/>
  <c r="X19" i="17" s="1"/>
  <c r="X118" i="17" a="1"/>
  <c r="X118" i="17"/>
  <c r="X137" i="17" a="1"/>
  <c r="X137" i="17" s="1"/>
  <c r="X156" i="17" a="1"/>
  <c r="X156" i="17" s="1"/>
  <c r="X175" i="17" a="1"/>
  <c r="X175" i="17" s="1"/>
  <c r="X198" i="17" a="1"/>
  <c r="X198" i="17" s="1"/>
  <c r="X199" i="17" a="1"/>
  <c r="X199" i="17" s="1"/>
  <c r="Y199" i="17" s="1"/>
  <c r="Q199" i="17" s="1"/>
  <c r="W199" i="17" s="1"/>
  <c r="X200" i="17" a="1"/>
  <c r="X200" i="17" s="1"/>
  <c r="X251" i="17" a="1"/>
  <c r="X251" i="17" s="1"/>
  <c r="X270" i="17" a="1"/>
  <c r="X270" i="17" s="1"/>
  <c r="X289" i="17" a="1"/>
  <c r="X289" i="17" s="1"/>
  <c r="X308" i="17" a="1"/>
  <c r="X308" i="17" s="1"/>
  <c r="X327" i="17" a="1"/>
  <c r="X327" i="17" s="1"/>
  <c r="X346" i="17" a="1"/>
  <c r="X346" i="17" s="1"/>
  <c r="Y346" i="17" s="1"/>
  <c r="Q346" i="17" s="1"/>
  <c r="W346" i="17" s="1"/>
  <c r="X365" i="17" a="1"/>
  <c r="X365" i="17" s="1"/>
  <c r="Y365" i="17" s="1"/>
  <c r="Q365" i="17" s="1"/>
  <c r="W365" i="17" s="1"/>
  <c r="X384" i="17" a="1"/>
  <c r="X384" i="17" s="1"/>
  <c r="Y384" i="17" s="1"/>
  <c r="Q384" i="17" s="1"/>
  <c r="W384" i="17" s="1"/>
  <c r="X403" i="17" a="1"/>
  <c r="X403" i="17" s="1"/>
  <c r="X498" i="17" a="1"/>
  <c r="X498" i="17" s="1"/>
  <c r="X517" i="17" a="1"/>
  <c r="X517" i="17" s="1"/>
  <c r="X536" i="17" a="1"/>
  <c r="X536" i="17" s="1"/>
  <c r="X426" i="17" a="1"/>
  <c r="X426" i="17" s="1"/>
  <c r="X427" i="17" a="1"/>
  <c r="X427" i="17" s="1"/>
  <c r="X428" i="17" a="1"/>
  <c r="X428" i="17" s="1"/>
  <c r="Y428" i="17" s="1"/>
  <c r="Q428" i="17" s="1"/>
  <c r="W428" i="17" s="1"/>
  <c r="X479" i="17" a="1"/>
  <c r="X479" i="17" s="1"/>
  <c r="X669" i="17" a="1"/>
  <c r="X669" i="17" s="1"/>
  <c r="X688" i="17" a="1"/>
  <c r="X688" i="17" s="1"/>
  <c r="X707" i="17" a="1"/>
  <c r="X707" i="17" s="1"/>
  <c r="X726" i="17" a="1"/>
  <c r="X726" i="17" s="1"/>
  <c r="X745" i="17" a="1"/>
  <c r="X745" i="17" s="1"/>
  <c r="X764" i="17" a="1"/>
  <c r="X764" i="17" s="1"/>
  <c r="Y764" i="17" s="1"/>
  <c r="Q764" i="17" s="1"/>
  <c r="W764" i="17" s="1"/>
  <c r="X783" i="17" a="1"/>
  <c r="X783" i="17" s="1"/>
  <c r="Y783" i="17" s="1"/>
  <c r="Q783" i="17" s="1"/>
  <c r="W783" i="17" s="1"/>
  <c r="X799" i="17" a="1"/>
  <c r="X799" i="17" s="1"/>
  <c r="X816" i="17" a="1"/>
  <c r="X816" i="17" s="1"/>
  <c r="X835" i="17" a="1"/>
  <c r="X835" i="17" s="1"/>
  <c r="X854" i="17" a="1"/>
  <c r="X854" i="17" s="1"/>
  <c r="X873" i="17" a="1"/>
  <c r="X873" i="17" s="1"/>
  <c r="X892" i="17" a="1"/>
  <c r="X892" i="17" s="1"/>
  <c r="X911" i="17" a="1"/>
  <c r="X911" i="17" s="1"/>
  <c r="X930" i="17" a="1"/>
  <c r="X930" i="17" s="1"/>
  <c r="Y930" i="17" s="1"/>
  <c r="Q930" i="17" s="1"/>
  <c r="W930" i="17" s="1"/>
  <c r="X949" i="17" a="1"/>
  <c r="X949" i="17" s="1"/>
  <c r="X968" i="17" a="1"/>
  <c r="X968" i="17" s="1"/>
  <c r="X987" i="17" a="1"/>
  <c r="X987" i="17" s="1"/>
  <c r="X1006" i="17" a="1"/>
  <c r="X1006" i="17"/>
  <c r="X1025" i="17" a="1"/>
  <c r="X1025" i="17" s="1"/>
  <c r="Y1025" i="17" s="1"/>
  <c r="Q1025" i="17" s="1"/>
  <c r="W1025" i="17" s="1"/>
  <c r="X1044" i="17" a="1"/>
  <c r="X1044" i="17" s="1"/>
  <c r="X565" i="17" a="1"/>
  <c r="X565" i="17"/>
  <c r="X566" i="17" a="1"/>
  <c r="X566" i="17" s="1"/>
  <c r="Y566" i="17" s="1"/>
  <c r="Q566" i="17" s="1"/>
  <c r="W566" i="17" s="1"/>
  <c r="X567" i="17" a="1"/>
  <c r="X567" i="17" s="1"/>
  <c r="X568" i="17" a="1"/>
  <c r="X568" i="17" s="1"/>
  <c r="X569" i="17" a="1"/>
  <c r="X569" i="17" s="1"/>
  <c r="X570" i="17" a="1"/>
  <c r="X570" i="17" s="1"/>
  <c r="X20" i="17" a="1"/>
  <c r="X20" i="17" s="1"/>
  <c r="X21" i="17" a="1"/>
  <c r="X21" i="17" s="1"/>
  <c r="X22" i="17" a="1"/>
  <c r="X22" i="17" s="1"/>
  <c r="X23" i="17" a="1"/>
  <c r="X23" i="17" s="1"/>
  <c r="Y23" i="17" s="1"/>
  <c r="Q23" i="17" s="1"/>
  <c r="W23" i="17" s="1"/>
  <c r="X24" i="17" a="1"/>
  <c r="X24" i="17" s="1"/>
  <c r="X25" i="17" a="1"/>
  <c r="X25" i="17" s="1"/>
  <c r="X119" i="17" a="1"/>
  <c r="X119" i="17" s="1"/>
  <c r="Y119" i="17" s="1"/>
  <c r="Q119" i="17" s="1"/>
  <c r="W119" i="17" s="1"/>
  <c r="X138" i="17" a="1"/>
  <c r="X138" i="17" s="1"/>
  <c r="X157" i="17" a="1"/>
  <c r="X157" i="17" s="1"/>
  <c r="X176" i="17" a="1"/>
  <c r="X176" i="17" s="1"/>
  <c r="X201" i="17" a="1"/>
  <c r="X201" i="17" s="1"/>
  <c r="X202" i="17" a="1"/>
  <c r="X202" i="17" s="1"/>
  <c r="Y202" i="17" s="1"/>
  <c r="Q202" i="17" s="1"/>
  <c r="W202" i="17" s="1"/>
  <c r="X203" i="17" a="1"/>
  <c r="X203" i="17" s="1"/>
  <c r="X252" i="17" a="1"/>
  <c r="X252" i="17" s="1"/>
  <c r="X271" i="17" a="1"/>
  <c r="X271" i="17"/>
  <c r="X290" i="17" a="1"/>
  <c r="X290" i="17" s="1"/>
  <c r="X309" i="17" a="1"/>
  <c r="X309" i="17" s="1"/>
  <c r="X328" i="17" a="1"/>
  <c r="X328" i="17" s="1"/>
  <c r="X347" i="17" a="1"/>
  <c r="X347" i="17" s="1"/>
  <c r="X366" i="17" a="1"/>
  <c r="X366" i="17" s="1"/>
  <c r="Y366" i="17" s="1"/>
  <c r="Q366" i="17" s="1"/>
  <c r="W366" i="17" s="1"/>
  <c r="X385" i="17" a="1"/>
  <c r="X385" i="17" s="1"/>
  <c r="X404" i="17" a="1"/>
  <c r="X404" i="17" s="1"/>
  <c r="X499" i="17" a="1"/>
  <c r="X499" i="17" s="1"/>
  <c r="Y499" i="17" s="1"/>
  <c r="Q499" i="17" s="1"/>
  <c r="W499" i="17" s="1"/>
  <c r="X518" i="17" a="1"/>
  <c r="X518" i="17" s="1"/>
  <c r="X537" i="17" a="1"/>
  <c r="X537" i="17" s="1"/>
  <c r="X429" i="17" a="1"/>
  <c r="X429" i="17" s="1"/>
  <c r="X430" i="17" a="1"/>
  <c r="X430" i="17" s="1"/>
  <c r="X431" i="17" a="1"/>
  <c r="X431" i="17" s="1"/>
  <c r="Y431" i="17" s="1"/>
  <c r="Q431" i="17" s="1"/>
  <c r="W431" i="17" s="1"/>
  <c r="X480" i="17" a="1"/>
  <c r="X480" i="17" s="1"/>
  <c r="X670" i="17" a="1"/>
  <c r="X670" i="17" s="1"/>
  <c r="X689" i="17" a="1"/>
  <c r="X689" i="17" s="1"/>
  <c r="X708" i="17" a="1"/>
  <c r="X708" i="17" s="1"/>
  <c r="Y708" i="17" s="1"/>
  <c r="Q708" i="17" s="1"/>
  <c r="W708" i="17" s="1"/>
  <c r="X727" i="17" a="1"/>
  <c r="X727" i="17" s="1"/>
  <c r="X746" i="17" a="1"/>
  <c r="X746" i="17" s="1"/>
  <c r="X765" i="17" a="1"/>
  <c r="X765" i="17" s="1"/>
  <c r="X784" i="17" a="1"/>
  <c r="X784" i="17" s="1"/>
  <c r="Y784" i="17" s="1"/>
  <c r="Q784" i="17" s="1"/>
  <c r="W784" i="17" s="1"/>
  <c r="X810" i="17" a="1"/>
  <c r="X810" i="17" s="1"/>
  <c r="X817" i="17" a="1"/>
  <c r="X817" i="17" s="1"/>
  <c r="X836" i="17" a="1"/>
  <c r="X836" i="17" s="1"/>
  <c r="X855" i="17" a="1"/>
  <c r="X855" i="17" s="1"/>
  <c r="X874" i="17" a="1"/>
  <c r="X874" i="17" s="1"/>
  <c r="Y874" i="17" s="1"/>
  <c r="Q874" i="17" s="1"/>
  <c r="W874" i="17" s="1"/>
  <c r="X893" i="17" a="1"/>
  <c r="X893" i="17" s="1"/>
  <c r="X912" i="17" a="1"/>
  <c r="X912" i="17" s="1"/>
  <c r="Y912" i="17" s="1"/>
  <c r="Q912" i="17" s="1"/>
  <c r="W912" i="17" s="1"/>
  <c r="X931" i="17" a="1"/>
  <c r="X931" i="17" s="1"/>
  <c r="Y931" i="17" s="1"/>
  <c r="Q931" i="17" s="1"/>
  <c r="W931" i="17" s="1"/>
  <c r="X950" i="17" a="1"/>
  <c r="X950" i="17" s="1"/>
  <c r="X969" i="17" a="1"/>
  <c r="X969" i="17" s="1"/>
  <c r="X988" i="17" a="1"/>
  <c r="X988" i="17" s="1"/>
  <c r="X1007" i="17" a="1"/>
  <c r="X1007" i="17" s="1"/>
  <c r="Y1007" i="17" s="1"/>
  <c r="Q1007" i="17" s="1"/>
  <c r="W1007" i="17" s="1"/>
  <c r="X1026" i="17" a="1"/>
  <c r="X1026" i="17" s="1"/>
  <c r="X1045" i="17" a="1"/>
  <c r="X1045" i="17" s="1"/>
  <c r="X571" i="17" a="1"/>
  <c r="X571" i="17" s="1"/>
  <c r="X572" i="17" a="1"/>
  <c r="X572" i="17"/>
  <c r="Y572" i="17" s="1"/>
  <c r="Q572" i="17" s="1"/>
  <c r="W572" i="17" s="1"/>
  <c r="X573" i="17" a="1"/>
  <c r="X573" i="17" s="1"/>
  <c r="X574" i="17" a="1"/>
  <c r="X574" i="17" s="1"/>
  <c r="X575" i="17" a="1"/>
  <c r="X575" i="17"/>
  <c r="X576" i="17" a="1"/>
  <c r="X576" i="17" s="1"/>
  <c r="X26" i="17" a="1"/>
  <c r="X26" i="17"/>
  <c r="X27" i="17" a="1"/>
  <c r="X27" i="17" s="1"/>
  <c r="X28" i="17" a="1"/>
  <c r="X28" i="17" s="1"/>
  <c r="X29" i="17" a="1"/>
  <c r="X29" i="17" s="1"/>
  <c r="Y29" i="17" s="1"/>
  <c r="Q29" i="17" s="1"/>
  <c r="W29" i="17" s="1"/>
  <c r="X30" i="17" a="1"/>
  <c r="X30" i="17" s="1"/>
  <c r="Y30" i="17" s="1"/>
  <c r="Q30" i="17" s="1"/>
  <c r="W30" i="17" s="1"/>
  <c r="X31" i="17" a="1"/>
  <c r="X31" i="17" s="1"/>
  <c r="X120" i="17" a="1"/>
  <c r="X120" i="17" s="1"/>
  <c r="X139" i="17" a="1"/>
  <c r="X139" i="17" s="1"/>
  <c r="Y139" i="17" s="1"/>
  <c r="Q139" i="17" s="1"/>
  <c r="W139" i="17" s="1"/>
  <c r="X158" i="17" a="1"/>
  <c r="X158" i="17" s="1"/>
  <c r="X177" i="17" a="1"/>
  <c r="X177" i="17" s="1"/>
  <c r="X204" i="17" a="1"/>
  <c r="X204" i="17" s="1"/>
  <c r="X205" i="17" a="1"/>
  <c r="X205" i="17" s="1"/>
  <c r="Y205" i="17" s="1"/>
  <c r="Q205" i="17" s="1"/>
  <c r="W205" i="17" s="1"/>
  <c r="X206" i="17" a="1"/>
  <c r="X206" i="17" s="1"/>
  <c r="X253" i="17" a="1"/>
  <c r="X253" i="17" s="1"/>
  <c r="X272" i="17" a="1"/>
  <c r="X272" i="17" s="1"/>
  <c r="X291" i="17" a="1"/>
  <c r="X291" i="17" s="1"/>
  <c r="X310" i="17" a="1"/>
  <c r="X310" i="17" s="1"/>
  <c r="Y310" i="17" s="1"/>
  <c r="Q310" i="17" s="1"/>
  <c r="W310" i="17" s="1"/>
  <c r="X329" i="17" a="1"/>
  <c r="X329" i="17" s="1"/>
  <c r="X348" i="17" a="1"/>
  <c r="X348" i="17" s="1"/>
  <c r="Y348" i="17" s="1"/>
  <c r="Q348" i="17" s="1"/>
  <c r="W348" i="17" s="1"/>
  <c r="X367" i="17" a="1"/>
  <c r="X367" i="17" s="1"/>
  <c r="Y367" i="17" s="1"/>
  <c r="Q367" i="17" s="1"/>
  <c r="W367" i="17" s="1"/>
  <c r="X386" i="17" a="1"/>
  <c r="X386" i="17" s="1"/>
  <c r="X405" i="17" a="1"/>
  <c r="X405" i="17" s="1"/>
  <c r="X500" i="17" a="1"/>
  <c r="X500" i="17" s="1"/>
  <c r="X519" i="17" a="1"/>
  <c r="X519" i="17" s="1"/>
  <c r="Y519" i="17" s="1"/>
  <c r="Q519" i="17" s="1"/>
  <c r="W519" i="17" s="1"/>
  <c r="X538" i="17" a="1"/>
  <c r="X538" i="17" s="1"/>
  <c r="X432" i="17" a="1"/>
  <c r="X432" i="17" s="1"/>
  <c r="X433" i="17" a="1"/>
  <c r="X433" i="17" s="1"/>
  <c r="Y433" i="17" s="1"/>
  <c r="Q433" i="17" s="1"/>
  <c r="W433" i="17" s="1"/>
  <c r="X434" i="17" a="1"/>
  <c r="X434" i="17" s="1"/>
  <c r="Y434" i="17" s="1"/>
  <c r="Q434" i="17" s="1"/>
  <c r="W434" i="17" s="1"/>
  <c r="X481" i="17" a="1"/>
  <c r="X481" i="17" s="1"/>
  <c r="X671" i="17" a="1"/>
  <c r="X671" i="17" s="1"/>
  <c r="X690" i="17" a="1"/>
  <c r="X690" i="17" s="1"/>
  <c r="X709" i="17" a="1"/>
  <c r="X709" i="17" s="1"/>
  <c r="Y709" i="17" s="1"/>
  <c r="Q709" i="17" s="1"/>
  <c r="W709" i="17" s="1"/>
  <c r="X728" i="17" a="1"/>
  <c r="X728" i="17" s="1"/>
  <c r="Y728" i="17" s="1"/>
  <c r="Q728" i="17" s="1"/>
  <c r="W728" i="17" s="1"/>
  <c r="X747" i="17" a="1"/>
  <c r="X747" i="17" s="1"/>
  <c r="X766" i="17" a="1"/>
  <c r="X766" i="17" s="1"/>
  <c r="Y766" i="17" s="1"/>
  <c r="Q766" i="17" s="1"/>
  <c r="W766" i="17" s="1"/>
  <c r="X800" i="17" a="1"/>
  <c r="X800" i="17"/>
  <c r="Y800" i="17" s="1"/>
  <c r="Q800" i="17" s="1"/>
  <c r="W800" i="17" s="1"/>
  <c r="X818" i="17" a="1"/>
  <c r="X818" i="17" s="1"/>
  <c r="X837" i="17" a="1"/>
  <c r="X837" i="17" s="1"/>
  <c r="X856" i="17" a="1"/>
  <c r="X856" i="17" s="1"/>
  <c r="Y856" i="17" s="1"/>
  <c r="Q856" i="17" s="1"/>
  <c r="W856" i="17" s="1"/>
  <c r="X875" i="17" a="1"/>
  <c r="X875" i="17" s="1"/>
  <c r="X894" i="17" a="1"/>
  <c r="X894" i="17" s="1"/>
  <c r="Y894" i="17" s="1"/>
  <c r="Q894" i="17" s="1"/>
  <c r="W894" i="17" s="1"/>
  <c r="X913" i="17" a="1"/>
  <c r="X913" i="17" s="1"/>
  <c r="X932" i="17" a="1"/>
  <c r="X932" i="17" s="1"/>
  <c r="X951" i="17" a="1"/>
  <c r="X951" i="17" s="1"/>
  <c r="Y951" i="17" s="1"/>
  <c r="Q951" i="17" s="1"/>
  <c r="W951" i="17" s="1"/>
  <c r="X970" i="17" a="1"/>
  <c r="X970" i="17" s="1"/>
  <c r="Y970" i="17" s="1"/>
  <c r="Q970" i="17" s="1"/>
  <c r="W970" i="17" s="1"/>
  <c r="X989" i="17" a="1"/>
  <c r="X989" i="17" s="1"/>
  <c r="X1008" i="17" a="1"/>
  <c r="X1008" i="17" s="1"/>
  <c r="Y1008" i="17" s="1"/>
  <c r="Q1008" i="17" s="1"/>
  <c r="W1008" i="17" s="1"/>
  <c r="X1027" i="17" a="1"/>
  <c r="X1027" i="17" s="1"/>
  <c r="Y1027" i="17" s="1"/>
  <c r="Q1027" i="17" s="1"/>
  <c r="W1027" i="17" s="1"/>
  <c r="X1046" i="17" a="1"/>
  <c r="X1046" i="17" s="1"/>
  <c r="X577" i="17" a="1"/>
  <c r="X577" i="17" s="1"/>
  <c r="X578" i="17" a="1"/>
  <c r="X578" i="17" s="1"/>
  <c r="X579" i="17" a="1"/>
  <c r="X579" i="17" s="1"/>
  <c r="Y579" i="17" s="1"/>
  <c r="Q579" i="17" s="1"/>
  <c r="W579" i="17" s="1"/>
  <c r="X580" i="17" a="1"/>
  <c r="X580" i="17" s="1"/>
  <c r="Y580" i="17" s="1"/>
  <c r="Q580" i="17" s="1"/>
  <c r="W580" i="17" s="1"/>
  <c r="X581" i="17" a="1"/>
  <c r="X581" i="17" s="1"/>
  <c r="X582" i="17" a="1"/>
  <c r="X582" i="17" s="1"/>
  <c r="Y582" i="17" s="1"/>
  <c r="Q582" i="17" s="1"/>
  <c r="W582" i="17" s="1"/>
  <c r="X32" i="17" a="1"/>
  <c r="X32" i="17" s="1"/>
  <c r="Y32" i="17" s="1"/>
  <c r="Q32" i="17" s="1"/>
  <c r="W32" i="17" s="1"/>
  <c r="X33" i="17" a="1"/>
  <c r="X33" i="17" s="1"/>
  <c r="Y33" i="17" s="1"/>
  <c r="Q33" i="17" s="1"/>
  <c r="W33" i="17" s="1"/>
  <c r="X34" i="17" a="1"/>
  <c r="X34" i="17" s="1"/>
  <c r="X35" i="17" a="1"/>
  <c r="X35" i="17" s="1"/>
  <c r="X36" i="17" a="1"/>
  <c r="X36" i="17" s="1"/>
  <c r="Y36" i="17" s="1"/>
  <c r="Q36" i="17" s="1"/>
  <c r="W36" i="17" s="1"/>
  <c r="X37" i="17" a="1"/>
  <c r="X37" i="17" s="1"/>
  <c r="X121" i="17" a="1"/>
  <c r="X121" i="17" s="1"/>
  <c r="X140" i="17" a="1"/>
  <c r="X140" i="17" s="1"/>
  <c r="X159" i="17" a="1"/>
  <c r="X159" i="17" s="1"/>
  <c r="Y159" i="17" s="1"/>
  <c r="Q159" i="17" s="1"/>
  <c r="W159" i="17" s="1"/>
  <c r="X178" i="17" a="1"/>
  <c r="X178" i="17" s="1"/>
  <c r="Y178" i="17" s="1"/>
  <c r="Q178" i="17" s="1"/>
  <c r="W178" i="17" s="1"/>
  <c r="X207" i="17" a="1"/>
  <c r="X207" i="17" s="1"/>
  <c r="X208" i="17" a="1"/>
  <c r="X208" i="17" s="1"/>
  <c r="Y208" i="17" s="1"/>
  <c r="Q208" i="17" s="1"/>
  <c r="W208" i="17" s="1"/>
  <c r="X209" i="17" a="1"/>
  <c r="X209" i="17"/>
  <c r="X254" i="17" a="1"/>
  <c r="X254" i="17" s="1"/>
  <c r="X273" i="17" a="1"/>
  <c r="X273" i="17" s="1"/>
  <c r="X292" i="17" a="1"/>
  <c r="X292" i="17" s="1"/>
  <c r="Y292" i="17" s="1"/>
  <c r="Q292" i="17" s="1"/>
  <c r="W292" i="17" s="1"/>
  <c r="X311" i="17" a="1"/>
  <c r="X311" i="17" s="1"/>
  <c r="Y311" i="17" s="1"/>
  <c r="Q311" i="17" s="1"/>
  <c r="W311" i="17" s="1"/>
  <c r="X330" i="17" a="1"/>
  <c r="X330" i="17" s="1"/>
  <c r="Y330" i="17" s="1"/>
  <c r="Q330" i="17" s="1"/>
  <c r="W330" i="17" s="1"/>
  <c r="X349" i="17" a="1"/>
  <c r="X349" i="17" s="1"/>
  <c r="X368" i="17" a="1"/>
  <c r="X368" i="17" s="1"/>
  <c r="X387" i="17" a="1"/>
  <c r="X387" i="17" s="1"/>
  <c r="Y387" i="17" s="1"/>
  <c r="Q387" i="17" s="1"/>
  <c r="W387" i="17" s="1"/>
  <c r="X406" i="17" a="1"/>
  <c r="X406" i="17" s="1"/>
  <c r="X501" i="17" a="1"/>
  <c r="X501" i="17" s="1"/>
  <c r="X520" i="17" a="1"/>
  <c r="X520" i="17" s="1"/>
  <c r="Y520" i="17" s="1"/>
  <c r="Q520" i="17" s="1"/>
  <c r="W520" i="17" s="1"/>
  <c r="X539" i="17" a="1"/>
  <c r="X539" i="17" s="1"/>
  <c r="Y539" i="17" s="1"/>
  <c r="Q539" i="17" s="1"/>
  <c r="W539" i="17" s="1"/>
  <c r="X435" i="17" a="1"/>
  <c r="X435" i="17" s="1"/>
  <c r="Y435" i="17" s="1"/>
  <c r="Q435" i="17" s="1"/>
  <c r="W435" i="17" s="1"/>
  <c r="X436" i="17" a="1"/>
  <c r="X436" i="17" s="1"/>
  <c r="X437" i="17" a="1"/>
  <c r="X437" i="17"/>
  <c r="X482" i="17" a="1"/>
  <c r="X482" i="17" s="1"/>
  <c r="X672" i="17" a="1"/>
  <c r="X672" i="17" s="1"/>
  <c r="Y672" i="17" s="1"/>
  <c r="Q672" i="17" s="1"/>
  <c r="W672" i="17" s="1"/>
  <c r="X691" i="17" a="1"/>
  <c r="X691" i="17" s="1"/>
  <c r="X710" i="17" a="1"/>
  <c r="X710" i="17" s="1"/>
  <c r="Y710" i="17" s="1"/>
  <c r="Q710" i="17" s="1"/>
  <c r="W710" i="17" s="1"/>
  <c r="X729" i="17" a="1"/>
  <c r="X729" i="17" s="1"/>
  <c r="Y729" i="17" s="1"/>
  <c r="Q729" i="17" s="1"/>
  <c r="W729" i="17" s="1"/>
  <c r="X748" i="17" a="1"/>
  <c r="X748" i="17" s="1"/>
  <c r="Y748" i="17" s="1"/>
  <c r="Q748" i="17" s="1"/>
  <c r="W748" i="17" s="1"/>
  <c r="X767" i="17" a="1"/>
  <c r="X767" i="17" s="1"/>
  <c r="X819" i="17" a="1"/>
  <c r="X819" i="17" s="1"/>
  <c r="X838" i="17" a="1"/>
  <c r="X838" i="17"/>
  <c r="X857" i="17" a="1"/>
  <c r="X857" i="17" s="1"/>
  <c r="X876" i="17" a="1"/>
  <c r="X876" i="17" s="1"/>
  <c r="X895" i="17" a="1"/>
  <c r="X895" i="17" s="1"/>
  <c r="Y895" i="17" s="1"/>
  <c r="Q895" i="17" s="1"/>
  <c r="W895" i="17" s="1"/>
  <c r="X914" i="17" a="1"/>
  <c r="X914" i="17" s="1"/>
  <c r="Y914" i="17" s="1"/>
  <c r="Q914" i="17" s="1"/>
  <c r="W914" i="17" s="1"/>
  <c r="X933" i="17" a="1"/>
  <c r="X933" i="17" s="1"/>
  <c r="Y933" i="17" s="1"/>
  <c r="Q933" i="17" s="1"/>
  <c r="W933" i="17" s="1"/>
  <c r="X952" i="17" a="1"/>
  <c r="X952" i="17" s="1"/>
  <c r="X971" i="17" a="1"/>
  <c r="X971" i="17" s="1"/>
  <c r="Y971" i="17" s="1"/>
  <c r="Q971" i="17" s="1"/>
  <c r="W971" i="17" s="1"/>
  <c r="X990" i="17" a="1"/>
  <c r="X990" i="17" s="1"/>
  <c r="X1009" i="17" a="1"/>
  <c r="X1009" i="17"/>
  <c r="X1028" i="17" a="1"/>
  <c r="X1028" i="17" s="1"/>
  <c r="X1047" i="17" a="1"/>
  <c r="X1047" i="17" s="1"/>
  <c r="Y1047" i="17" s="1"/>
  <c r="Q1047" i="17" s="1"/>
  <c r="W1047" i="17" s="1"/>
  <c r="X583" i="17" a="1"/>
  <c r="X583" i="17"/>
  <c r="X584" i="17" a="1"/>
  <c r="X584" i="17" s="1"/>
  <c r="Y584" i="17" s="1"/>
  <c r="Q584" i="17" s="1"/>
  <c r="W584" i="17" s="1"/>
  <c r="X585" i="17" a="1"/>
  <c r="X585" i="17" s="1"/>
  <c r="X586" i="17" a="1"/>
  <c r="X586" i="17"/>
  <c r="X587" i="17" a="1"/>
  <c r="X587" i="17" s="1"/>
  <c r="Y587" i="17" s="1"/>
  <c r="Q587" i="17" s="1"/>
  <c r="W587" i="17" s="1"/>
  <c r="X588" i="17" a="1"/>
  <c r="X588" i="17" s="1"/>
  <c r="X38" i="17" a="1"/>
  <c r="X38" i="17" s="1"/>
  <c r="X39" i="17" a="1"/>
  <c r="X39" i="17" s="1"/>
  <c r="Y39" i="17" s="1"/>
  <c r="Q39" i="17" s="1"/>
  <c r="W39" i="17" s="1"/>
  <c r="X40" i="17" a="1"/>
  <c r="X40" i="17" s="1"/>
  <c r="Y40" i="17" s="1"/>
  <c r="Q40" i="17" s="1"/>
  <c r="W40" i="17" s="1"/>
  <c r="X41" i="17" a="1"/>
  <c r="X41" i="17" s="1"/>
  <c r="Y41" i="17" s="1"/>
  <c r="Q41" i="17" s="1"/>
  <c r="W41" i="17" s="1"/>
  <c r="X42" i="17" a="1"/>
  <c r="X42" i="17" s="1"/>
  <c r="X43" i="17" a="1"/>
  <c r="X43" i="17" s="1"/>
  <c r="Y43" i="17" s="1"/>
  <c r="Q43" i="17" s="1"/>
  <c r="W43" i="17" s="1"/>
  <c r="X122" i="17" a="1"/>
  <c r="X122" i="17"/>
  <c r="X141" i="17" a="1"/>
  <c r="X141" i="17" s="1"/>
  <c r="Y141" i="17" s="1"/>
  <c r="Q141" i="17" s="1"/>
  <c r="W141" i="17" s="1"/>
  <c r="X160" i="17" a="1"/>
  <c r="X160" i="17" s="1"/>
  <c r="X179" i="17" a="1"/>
  <c r="X179" i="17" s="1"/>
  <c r="Y179" i="17" s="1"/>
  <c r="Q179" i="17" s="1"/>
  <c r="W179" i="17" s="1"/>
  <c r="X210" i="17" a="1"/>
  <c r="X210" i="17" s="1"/>
  <c r="Y210" i="17" s="1"/>
  <c r="Q210" i="17" s="1"/>
  <c r="W210" i="17" s="1"/>
  <c r="X211" i="17" a="1"/>
  <c r="X211" i="17" s="1"/>
  <c r="Y211" i="17" s="1"/>
  <c r="Q211" i="17" s="1"/>
  <c r="W211" i="17" s="1"/>
  <c r="X212" i="17" a="1"/>
  <c r="X212" i="17" s="1"/>
  <c r="X255" i="17" a="1"/>
  <c r="X255" i="17"/>
  <c r="X274" i="17" a="1"/>
  <c r="X274" i="17" s="1"/>
  <c r="X293" i="17" a="1"/>
  <c r="X293" i="17"/>
  <c r="X312" i="17" a="1"/>
  <c r="X312" i="17" s="1"/>
  <c r="X331" i="17" a="1"/>
  <c r="X331" i="17" s="1"/>
  <c r="Y331" i="17" s="1"/>
  <c r="Q331" i="17" s="1"/>
  <c r="W331" i="17" s="1"/>
  <c r="X350" i="17" a="1"/>
  <c r="X350" i="17" s="1"/>
  <c r="Y350" i="17" s="1"/>
  <c r="Q350" i="17" s="1"/>
  <c r="W350" i="17" s="1"/>
  <c r="X369" i="17" a="1"/>
  <c r="X369" i="17" s="1"/>
  <c r="Y369" i="17" s="1"/>
  <c r="Q369" i="17" s="1"/>
  <c r="W369" i="17" s="1"/>
  <c r="X388" i="17" a="1"/>
  <c r="X388" i="17" s="1"/>
  <c r="X407" i="17" a="1"/>
  <c r="X407" i="17" s="1"/>
  <c r="Y407" i="17" s="1"/>
  <c r="Q407" i="17" s="1"/>
  <c r="W407" i="17" s="1"/>
  <c r="X502" i="17" a="1"/>
  <c r="X502" i="17" s="1"/>
  <c r="X521" i="17" a="1"/>
  <c r="X521" i="17" s="1"/>
  <c r="X540" i="17" a="1"/>
  <c r="X540" i="17" s="1"/>
  <c r="X438" i="17" a="1"/>
  <c r="X438" i="17" s="1"/>
  <c r="Y438" i="17" s="1"/>
  <c r="Q438" i="17" s="1"/>
  <c r="W438" i="17" s="1"/>
  <c r="X439" i="17" a="1"/>
  <c r="X439" i="17" s="1"/>
  <c r="Y439" i="17" s="1"/>
  <c r="Q439" i="17" s="1"/>
  <c r="W439" i="17" s="1"/>
  <c r="X440" i="17" a="1"/>
  <c r="X440" i="17" s="1"/>
  <c r="Y440" i="17" s="1"/>
  <c r="Q440" i="17" s="1"/>
  <c r="W440" i="17" s="1"/>
  <c r="X483" i="17" a="1"/>
  <c r="X483" i="17" s="1"/>
  <c r="X673" i="17" a="1"/>
  <c r="X673" i="17" s="1"/>
  <c r="X692" i="17" a="1"/>
  <c r="X692" i="17" s="1"/>
  <c r="Y692" i="17" s="1"/>
  <c r="Q692" i="17" s="1"/>
  <c r="W692" i="17" s="1"/>
  <c r="X711" i="17" a="1"/>
  <c r="X711" i="17" s="1"/>
  <c r="X730" i="17" a="1"/>
  <c r="X730" i="17" s="1"/>
  <c r="X749" i="17" a="1"/>
  <c r="X749" i="17" s="1"/>
  <c r="Y749" i="17" s="1"/>
  <c r="Q749" i="17" s="1"/>
  <c r="W749" i="17" s="1"/>
  <c r="X768" i="17" a="1"/>
  <c r="X768" i="17" s="1"/>
  <c r="Y768" i="17" s="1"/>
  <c r="Q768" i="17" s="1"/>
  <c r="W768" i="17" s="1"/>
  <c r="X785" i="17" a="1"/>
  <c r="X785" i="17" s="1"/>
  <c r="X801" i="17" a="1"/>
  <c r="X801" i="17" s="1"/>
  <c r="X820" i="17" a="1"/>
  <c r="X820" i="17" s="1"/>
  <c r="X839" i="17" a="1"/>
  <c r="X839" i="17" s="1"/>
  <c r="X858" i="17" a="1"/>
  <c r="X858" i="17" s="1"/>
  <c r="Y858" i="17" s="1"/>
  <c r="Q858" i="17" s="1"/>
  <c r="W858" i="17" s="1"/>
  <c r="X877" i="17" a="1"/>
  <c r="X877" i="17" s="1"/>
  <c r="X896" i="17" a="1"/>
  <c r="X896" i="17" s="1"/>
  <c r="Y896" i="17" s="1"/>
  <c r="Q896" i="17" s="1"/>
  <c r="W896" i="17" s="1"/>
  <c r="X915" i="17" a="1"/>
  <c r="X915" i="17" s="1"/>
  <c r="Y915" i="17" s="1"/>
  <c r="Q915" i="17" s="1"/>
  <c r="W915" i="17" s="1"/>
  <c r="X934" i="17" a="1"/>
  <c r="X934" i="17" s="1"/>
  <c r="Y934" i="17" s="1"/>
  <c r="Q934" i="17" s="1"/>
  <c r="W934" i="17" s="1"/>
  <c r="X953" i="17" a="1"/>
  <c r="X953" i="17" s="1"/>
  <c r="X972" i="17" a="1"/>
  <c r="X972" i="17" s="1"/>
  <c r="X991" i="17" a="1"/>
  <c r="X991" i="17" s="1"/>
  <c r="Y991" i="17" s="1"/>
  <c r="Q991" i="17" s="1"/>
  <c r="W991" i="17" s="1"/>
  <c r="X1010" i="17" a="1"/>
  <c r="X1010" i="17" s="1"/>
  <c r="X1029" i="17" a="1"/>
  <c r="X1029" i="17" s="1"/>
  <c r="X1048" i="17" a="1"/>
  <c r="X1048" i="17" s="1"/>
  <c r="Y1048" i="17" s="1"/>
  <c r="Q1048" i="17" s="1"/>
  <c r="W1048" i="17" s="1"/>
  <c r="X589" i="17" a="1"/>
  <c r="X589" i="17" s="1"/>
  <c r="Y589" i="17" s="1"/>
  <c r="Q589" i="17" s="1"/>
  <c r="W589" i="17" s="1"/>
  <c r="X590" i="17" a="1"/>
  <c r="X590" i="17" s="1"/>
  <c r="Y590" i="17" s="1"/>
  <c r="Q590" i="17" s="1"/>
  <c r="W590" i="17" s="1"/>
  <c r="X591" i="17" a="1"/>
  <c r="X591" i="17" s="1"/>
  <c r="X592" i="17" a="1"/>
  <c r="X592" i="17" s="1"/>
  <c r="Y592" i="17" s="1"/>
  <c r="Q592" i="17" s="1"/>
  <c r="W592" i="17" s="1"/>
  <c r="X593" i="17" a="1"/>
  <c r="X593" i="17" s="1"/>
  <c r="X594" i="17" a="1"/>
  <c r="X594" i="17" s="1"/>
  <c r="X44" i="17" a="1"/>
  <c r="X44" i="17" s="1"/>
  <c r="X45" i="17" a="1"/>
  <c r="X45" i="17" s="1"/>
  <c r="Y45" i="17" s="1"/>
  <c r="Q45" i="17" s="1"/>
  <c r="W45" i="17" s="1"/>
  <c r="X46" i="17" a="1"/>
  <c r="X46" i="17" s="1"/>
  <c r="Y46" i="17" s="1"/>
  <c r="Q46" i="17" s="1"/>
  <c r="W46" i="17" s="1"/>
  <c r="X47" i="17" a="1"/>
  <c r="X47" i="17" s="1"/>
  <c r="Y47" i="17" s="1"/>
  <c r="Q47" i="17" s="1"/>
  <c r="W47" i="17" s="1"/>
  <c r="X48" i="17" a="1"/>
  <c r="X48" i="17" s="1"/>
  <c r="X49" i="17" a="1"/>
  <c r="X49" i="17"/>
  <c r="X123" i="17" a="1"/>
  <c r="X123" i="17" s="1"/>
  <c r="Y123" i="17" s="1"/>
  <c r="Q123" i="17" s="1"/>
  <c r="W123" i="17" s="1"/>
  <c r="X142" i="17" a="1"/>
  <c r="X142" i="17" s="1"/>
  <c r="X161" i="17" a="1"/>
  <c r="X161" i="17" s="1"/>
  <c r="X180" i="17" a="1"/>
  <c r="X180" i="17" s="1"/>
  <c r="Y180" i="17" s="1"/>
  <c r="Q180" i="17" s="1"/>
  <c r="W180" i="17" s="1"/>
  <c r="X213" i="17" a="1"/>
  <c r="X213" i="17" s="1"/>
  <c r="Y213" i="17" s="1"/>
  <c r="Q213" i="17" s="1"/>
  <c r="W213" i="17" s="1"/>
  <c r="X214" i="17" a="1"/>
  <c r="X214" i="17" s="1"/>
  <c r="Y214" i="17" s="1"/>
  <c r="Q214" i="17" s="1"/>
  <c r="W214" i="17" s="1"/>
  <c r="X215" i="17" a="1"/>
  <c r="X215" i="17" s="1"/>
  <c r="X256" i="17" a="1"/>
  <c r="X256" i="17" s="1"/>
  <c r="X275" i="17" a="1"/>
  <c r="X275" i="17"/>
  <c r="X294" i="17" a="1"/>
  <c r="X294" i="17" s="1"/>
  <c r="Y294" i="17" s="1"/>
  <c r="Q294" i="17" s="1"/>
  <c r="W294" i="17" s="1"/>
  <c r="X313" i="17" a="1"/>
  <c r="X313" i="17" s="1"/>
  <c r="X332" i="17" a="1"/>
  <c r="X332" i="17" s="1"/>
  <c r="Y332" i="17" s="1"/>
  <c r="Q332" i="17" s="1"/>
  <c r="W332" i="17" s="1"/>
  <c r="X351" i="17" a="1"/>
  <c r="X351" i="17" s="1"/>
  <c r="Y351" i="17" s="1"/>
  <c r="Q351" i="17" s="1"/>
  <c r="W351" i="17" s="1"/>
  <c r="X370" i="17" a="1"/>
  <c r="X370" i="17" s="1"/>
  <c r="Y370" i="17" s="1"/>
  <c r="Q370" i="17" s="1"/>
  <c r="W370" i="17" s="1"/>
  <c r="X389" i="17" a="1"/>
  <c r="X389" i="17" s="1"/>
  <c r="X408" i="17" a="1"/>
  <c r="X408" i="17"/>
  <c r="X503" i="17" a="1"/>
  <c r="X503" i="17" s="1"/>
  <c r="X522" i="17" a="1"/>
  <c r="X522" i="17"/>
  <c r="X541" i="17" a="1"/>
  <c r="X541" i="17" s="1"/>
  <c r="X441" i="17" a="1"/>
  <c r="X441" i="17" s="1"/>
  <c r="Y441" i="17" s="1"/>
  <c r="Q441" i="17" s="1"/>
  <c r="W441" i="17" s="1"/>
  <c r="X442" i="17" a="1"/>
  <c r="X442" i="17" s="1"/>
  <c r="Y442" i="17" s="1"/>
  <c r="Q442" i="17" s="1"/>
  <c r="W442" i="17" s="1"/>
  <c r="X443" i="17" a="1"/>
  <c r="X443" i="17" s="1"/>
  <c r="Y443" i="17" s="1"/>
  <c r="Q443" i="17" s="1"/>
  <c r="W443" i="17" s="1"/>
  <c r="X484" i="17" a="1"/>
  <c r="X484" i="17" s="1"/>
  <c r="X674" i="17" a="1"/>
  <c r="X674" i="17" s="1"/>
  <c r="Y674" i="17" s="1"/>
  <c r="Q674" i="17" s="1"/>
  <c r="W674" i="17" s="1"/>
  <c r="X693" i="17" a="1"/>
  <c r="X693" i="17"/>
  <c r="X712" i="17" a="1"/>
  <c r="X712" i="17" s="1"/>
  <c r="X731" i="17" a="1"/>
  <c r="X731" i="17" s="1"/>
  <c r="X750" i="17" a="1"/>
  <c r="X750" i="17" s="1"/>
  <c r="Y750" i="17" s="1"/>
  <c r="Q750" i="17" s="1"/>
  <c r="W750" i="17" s="1"/>
  <c r="X769" i="17" a="1"/>
  <c r="X769" i="17" s="1"/>
  <c r="Y769" i="17" s="1"/>
  <c r="Q769" i="17" s="1"/>
  <c r="W769" i="17" s="1"/>
  <c r="X786" i="17" a="1"/>
  <c r="X786" i="17" s="1"/>
  <c r="Y786" i="17" s="1"/>
  <c r="Q786" i="17" s="1"/>
  <c r="W786" i="17" s="1"/>
  <c r="X802" i="17" a="1"/>
  <c r="X802" i="17" s="1"/>
  <c r="X821" i="17" a="1"/>
  <c r="X821" i="17" s="1"/>
  <c r="X840" i="17" a="1"/>
  <c r="X840" i="17" s="1"/>
  <c r="Y840" i="17" s="1"/>
  <c r="Q840" i="17" s="1"/>
  <c r="W840" i="17" s="1"/>
  <c r="X859" i="17" a="1"/>
  <c r="X859" i="17" s="1"/>
  <c r="X878" i="17" a="1"/>
  <c r="X878" i="17" s="1"/>
  <c r="X897" i="17" a="1"/>
  <c r="X897" i="17" s="1"/>
  <c r="Y897" i="17" s="1"/>
  <c r="Q897" i="17" s="1"/>
  <c r="W897" i="17" s="1"/>
  <c r="X916" i="17" a="1"/>
  <c r="X916" i="17" s="1"/>
  <c r="Y916" i="17" s="1"/>
  <c r="Q916" i="17" s="1"/>
  <c r="W916" i="17" s="1"/>
  <c r="X935" i="17" a="1"/>
  <c r="X935" i="17" s="1"/>
  <c r="X954" i="17" a="1"/>
  <c r="X954" i="17" s="1"/>
  <c r="X973" i="17" a="1"/>
  <c r="X973" i="17" s="1"/>
  <c r="X992" i="17" a="1"/>
  <c r="X992" i="17" s="1"/>
  <c r="Y992" i="17" s="1"/>
  <c r="Q992" i="17" s="1"/>
  <c r="W992" i="17" s="1"/>
  <c r="X1011" i="17" a="1"/>
  <c r="X1011" i="17" s="1"/>
  <c r="Y1011" i="17" s="1"/>
  <c r="Q1011" i="17" s="1"/>
  <c r="W1011" i="17" s="1"/>
  <c r="X1030" i="17" a="1"/>
  <c r="X1030" i="17" s="1"/>
  <c r="X1049" i="17" a="1"/>
  <c r="X1049" i="17" s="1"/>
  <c r="Y1049" i="17" s="1"/>
  <c r="Q1049" i="17" s="1"/>
  <c r="W1049" i="17" s="1"/>
  <c r="X595" i="17" a="1"/>
  <c r="X595" i="17" s="1"/>
  <c r="Y595" i="17" s="1"/>
  <c r="Q595" i="17" s="1"/>
  <c r="W595" i="17" s="1"/>
  <c r="X596" i="17" a="1"/>
  <c r="X596" i="17" s="1"/>
  <c r="Y596" i="17" s="1"/>
  <c r="Q596" i="17" s="1"/>
  <c r="W596" i="17" s="1"/>
  <c r="X597" i="17" a="1"/>
  <c r="X597" i="17" s="1"/>
  <c r="X598" i="17" a="1"/>
  <c r="X598" i="17" s="1"/>
  <c r="X599" i="17" a="1"/>
  <c r="X599" i="17" s="1"/>
  <c r="X600" i="17" a="1"/>
  <c r="X600" i="17" s="1"/>
  <c r="X50" i="17" a="1"/>
  <c r="X50" i="17" s="1"/>
  <c r="X51" i="17" a="1"/>
  <c r="X51" i="17" s="1"/>
  <c r="Y51" i="17" s="1"/>
  <c r="Q51" i="17" s="1"/>
  <c r="W51" i="17" s="1"/>
  <c r="X52" i="17" a="1"/>
  <c r="X52" i="17" s="1"/>
  <c r="Y52" i="17" s="1"/>
  <c r="Q52" i="17" s="1"/>
  <c r="W52" i="17" s="1"/>
  <c r="X53" i="17" a="1"/>
  <c r="X53" i="17" s="1"/>
  <c r="Y53" i="17" s="1"/>
  <c r="Q53" i="17" s="1"/>
  <c r="W53" i="17" s="1"/>
  <c r="X54" i="17" a="1"/>
  <c r="X54" i="17" s="1"/>
  <c r="X55" i="17" a="1"/>
  <c r="X55" i="17" s="1"/>
  <c r="Y55" i="17" s="1"/>
  <c r="Q55" i="17" s="1"/>
  <c r="W55" i="17" s="1"/>
  <c r="X124" i="17" a="1"/>
  <c r="X124" i="17" s="1"/>
  <c r="Y124" i="17" s="1"/>
  <c r="Q124" i="17" s="1"/>
  <c r="W124" i="17" s="1"/>
  <c r="X143" i="17" a="1"/>
  <c r="X143" i="17" s="1"/>
  <c r="X162" i="17" a="1"/>
  <c r="X162" i="17" s="1"/>
  <c r="X181" i="17" a="1"/>
  <c r="X181" i="17" s="1"/>
  <c r="Y181" i="17" s="1"/>
  <c r="Q181" i="17" s="1"/>
  <c r="W181" i="17" s="1"/>
  <c r="X216" i="17" a="1"/>
  <c r="X216" i="17" s="1"/>
  <c r="Y216" i="17" s="1"/>
  <c r="Q216" i="17" s="1"/>
  <c r="W216" i="17" s="1"/>
  <c r="X217" i="17" a="1"/>
  <c r="X217" i="17" s="1"/>
  <c r="Y217" i="17" s="1"/>
  <c r="Q217" i="17" s="1"/>
  <c r="W217" i="17" s="1"/>
  <c r="X218" i="17" a="1"/>
  <c r="X218" i="17" s="1"/>
  <c r="X257" i="17" a="1"/>
  <c r="X257" i="17"/>
  <c r="X276" i="17" a="1"/>
  <c r="X276" i="17" s="1"/>
  <c r="Y276" i="17" s="1"/>
  <c r="Q276" i="17" s="1"/>
  <c r="W276" i="17" s="1"/>
  <c r="X295" i="17" a="1"/>
  <c r="X295" i="17" s="1"/>
  <c r="X314" i="17" a="1"/>
  <c r="X314" i="17" s="1"/>
  <c r="X333" i="17" a="1"/>
  <c r="X333" i="17" s="1"/>
  <c r="Y333" i="17" s="1"/>
  <c r="Q333" i="17" s="1"/>
  <c r="W333" i="17" s="1"/>
  <c r="X352" i="17" a="1"/>
  <c r="X352" i="17" s="1"/>
  <c r="Y352" i="17" s="1"/>
  <c r="Q352" i="17" s="1"/>
  <c r="W352" i="17" s="1"/>
  <c r="X371" i="17" a="1"/>
  <c r="X371" i="17"/>
  <c r="X390" i="17" a="1"/>
  <c r="X390" i="17" s="1"/>
  <c r="X409" i="17" a="1"/>
  <c r="X409" i="17" s="1"/>
  <c r="X504" i="17" a="1"/>
  <c r="X504" i="17" s="1"/>
  <c r="X523" i="17" a="1"/>
  <c r="X523" i="17" s="1"/>
  <c r="Y523" i="17" s="1"/>
  <c r="Q523" i="17" s="1"/>
  <c r="W523" i="17" s="1"/>
  <c r="X542" i="17" a="1"/>
  <c r="X542" i="17" s="1"/>
  <c r="X444" i="17" a="1"/>
  <c r="X444" i="17" s="1"/>
  <c r="Y444" i="17" s="1"/>
  <c r="Q444" i="17" s="1"/>
  <c r="W444" i="17" s="1"/>
  <c r="X445" i="17" a="1"/>
  <c r="X445" i="17" s="1"/>
  <c r="Y445" i="17" s="1"/>
  <c r="Q445" i="17" s="1"/>
  <c r="W445" i="17" s="1"/>
  <c r="X446" i="17" a="1"/>
  <c r="X446" i="17" s="1"/>
  <c r="Y446" i="17" s="1"/>
  <c r="Q446" i="17" s="1"/>
  <c r="W446" i="17" s="1"/>
  <c r="X485" i="17" a="1"/>
  <c r="X485" i="17" s="1"/>
  <c r="X675" i="17" a="1"/>
  <c r="X675" i="17" s="1"/>
  <c r="X694" i="17" a="1"/>
  <c r="X694" i="17" s="1"/>
  <c r="X713" i="17" a="1"/>
  <c r="X713" i="17" s="1"/>
  <c r="X732" i="17" a="1"/>
  <c r="X732" i="17" s="1"/>
  <c r="X751" i="17" a="1"/>
  <c r="X751" i="17" s="1"/>
  <c r="Y751" i="17" s="1"/>
  <c r="Q751" i="17" s="1"/>
  <c r="W751" i="17" s="1"/>
  <c r="X770" i="17" a="1"/>
  <c r="X770" i="17" s="1"/>
  <c r="Y770" i="17" s="1"/>
  <c r="Q770" i="17" s="1"/>
  <c r="W770" i="17" s="1"/>
  <c r="X787" i="17" a="1"/>
  <c r="X787" i="17" s="1"/>
  <c r="Y787" i="17" s="1"/>
  <c r="Q787" i="17" s="1"/>
  <c r="W787" i="17" s="1"/>
  <c r="X822" i="17" a="1"/>
  <c r="X822" i="17" s="1"/>
  <c r="X841" i="17" a="1"/>
  <c r="X841" i="17" s="1"/>
  <c r="Y841" i="17" s="1"/>
  <c r="Q841" i="17" s="1"/>
  <c r="W841" i="17" s="1"/>
  <c r="X860" i="17" a="1"/>
  <c r="X860" i="17" s="1"/>
  <c r="X879" i="17" a="1"/>
  <c r="X879" i="17" s="1"/>
  <c r="X898" i="17" a="1"/>
  <c r="X898" i="17" s="1"/>
  <c r="X917" i="17" a="1"/>
  <c r="X917" i="17" s="1"/>
  <c r="Y917" i="17" s="1"/>
  <c r="Q917" i="17" s="1"/>
  <c r="W917" i="17" s="1"/>
  <c r="X936" i="17" a="1"/>
  <c r="X936" i="17" s="1"/>
  <c r="Y936" i="17" s="1"/>
  <c r="Q936" i="17" s="1"/>
  <c r="W936" i="17" s="1"/>
  <c r="X955" i="17" a="1"/>
  <c r="X955" i="17" s="1"/>
  <c r="Y955" i="17" s="1"/>
  <c r="Q955" i="17" s="1"/>
  <c r="W955" i="17" s="1"/>
  <c r="X974" i="17" a="1"/>
  <c r="X974" i="17" s="1"/>
  <c r="X993" i="17" a="1"/>
  <c r="X993" i="17" s="1"/>
  <c r="X1012" i="17" a="1"/>
  <c r="X1012" i="17" s="1"/>
  <c r="Y1012" i="17" s="1"/>
  <c r="Q1012" i="17" s="1"/>
  <c r="W1012" i="17" s="1"/>
  <c r="X1031" i="17" a="1"/>
  <c r="X1031" i="17" s="1"/>
  <c r="X1050" i="17" a="1"/>
  <c r="X1050" i="17" s="1"/>
  <c r="X601" i="17" a="1"/>
  <c r="X601" i="17" s="1"/>
  <c r="Y601" i="17" s="1"/>
  <c r="Q601" i="17" s="1"/>
  <c r="W601" i="17" s="1"/>
  <c r="X602" i="17" a="1"/>
  <c r="X602" i="17" s="1"/>
  <c r="Y602" i="17" s="1"/>
  <c r="Q602" i="17" s="1"/>
  <c r="W602" i="17" s="1"/>
  <c r="X603" i="17" a="1"/>
  <c r="X603" i="17" s="1"/>
  <c r="Y603" i="17" s="1"/>
  <c r="Q603" i="17" s="1"/>
  <c r="W603" i="17" s="1"/>
  <c r="X604" i="17" a="1"/>
  <c r="X604" i="17" s="1"/>
  <c r="X605" i="17" a="1"/>
  <c r="X605" i="17"/>
  <c r="X606" i="17" a="1"/>
  <c r="X606" i="17" s="1"/>
  <c r="X56" i="17" a="1"/>
  <c r="X56" i="17" s="1"/>
  <c r="Y56" i="17" s="1"/>
  <c r="Q56" i="17" s="1"/>
  <c r="W56" i="17" s="1"/>
  <c r="X57" i="17" a="1"/>
  <c r="X57" i="17" s="1"/>
  <c r="X58" i="17" a="1"/>
  <c r="X58" i="17" s="1"/>
  <c r="Y58" i="17" s="1"/>
  <c r="Q58" i="17" s="1"/>
  <c r="W58" i="17" s="1"/>
  <c r="X59" i="17" a="1"/>
  <c r="X59" i="17" s="1"/>
  <c r="Y59" i="17" s="1"/>
  <c r="Q59" i="17" s="1"/>
  <c r="W59" i="17" s="1"/>
  <c r="X60" i="17" a="1"/>
  <c r="X60" i="17" s="1"/>
  <c r="Y60" i="17" s="1"/>
  <c r="Q60" i="17" s="1"/>
  <c r="W60" i="17" s="1"/>
  <c r="X61" i="17" a="1"/>
  <c r="X61" i="17" s="1"/>
  <c r="X125" i="17" a="1"/>
  <c r="X125" i="17" s="1"/>
  <c r="X144" i="17" a="1"/>
  <c r="X144" i="17"/>
  <c r="X163" i="17" a="1"/>
  <c r="X163" i="17" s="1"/>
  <c r="Y163" i="17" s="1"/>
  <c r="Q163" i="17" s="1"/>
  <c r="W163" i="17" s="1"/>
  <c r="X182" i="17" a="1"/>
  <c r="X182" i="17" s="1"/>
  <c r="X219" i="17" a="1"/>
  <c r="X219" i="17" s="1"/>
  <c r="Y219" i="17" s="1"/>
  <c r="Q219" i="17" s="1"/>
  <c r="W219" i="17" s="1"/>
  <c r="X220" i="17" a="1"/>
  <c r="X220" i="17" s="1"/>
  <c r="Y220" i="17" s="1"/>
  <c r="Q220" i="17" s="1"/>
  <c r="W220" i="17" s="1"/>
  <c r="X221" i="17" a="1"/>
  <c r="X221" i="17" s="1"/>
  <c r="Y221" i="17" s="1"/>
  <c r="Q221" i="17" s="1"/>
  <c r="W221" i="17" s="1"/>
  <c r="X258" i="17" a="1"/>
  <c r="X258" i="17" s="1"/>
  <c r="X277" i="17" a="1"/>
  <c r="X277" i="17" s="1"/>
  <c r="Y277" i="17" s="1"/>
  <c r="Q277" i="17" s="1"/>
  <c r="W277" i="17" s="1"/>
  <c r="X296" i="17" a="1"/>
  <c r="X296" i="17" s="1"/>
  <c r="X315" i="17" a="1"/>
  <c r="X315" i="17"/>
  <c r="X334" i="17" a="1"/>
  <c r="X334" i="17" s="1"/>
  <c r="X353" i="17" a="1"/>
  <c r="X353" i="17" s="1"/>
  <c r="Y353" i="17" s="1"/>
  <c r="Q353" i="17" s="1"/>
  <c r="W353" i="17" s="1"/>
  <c r="X372" i="17" a="1"/>
  <c r="X372" i="17" s="1"/>
  <c r="X391" i="17" a="1"/>
  <c r="X391" i="17" s="1"/>
  <c r="X410" i="17" a="1"/>
  <c r="X410" i="17" s="1"/>
  <c r="Y410" i="17" s="1"/>
  <c r="Q410" i="17" s="1"/>
  <c r="W410" i="17" s="1"/>
  <c r="X505" i="17" a="1"/>
  <c r="X505" i="17" s="1"/>
  <c r="Y505" i="17" s="1"/>
  <c r="Q505" i="17" s="1"/>
  <c r="W505" i="17" s="1"/>
  <c r="X524" i="17" a="1"/>
  <c r="X524" i="17"/>
  <c r="X543" i="17" a="1"/>
  <c r="X543" i="17" s="1"/>
  <c r="X447" i="17" a="1"/>
  <c r="X447" i="17"/>
  <c r="X448" i="17" a="1"/>
  <c r="X448" i="17" s="1"/>
  <c r="Y448" i="17" s="1"/>
  <c r="Q448" i="17" s="1"/>
  <c r="W448" i="17" s="1"/>
  <c r="X449" i="17" a="1"/>
  <c r="X449" i="17" s="1"/>
  <c r="X486" i="17" a="1"/>
  <c r="X486" i="17" s="1"/>
  <c r="Y486" i="17" s="1"/>
  <c r="Q486" i="17" s="1"/>
  <c r="W486" i="17" s="1"/>
  <c r="X676" i="17" a="1"/>
  <c r="X676" i="17" s="1"/>
  <c r="X695" i="17" a="1"/>
  <c r="X695" i="17" s="1"/>
  <c r="Y695" i="17" s="1"/>
  <c r="Q695" i="17" s="1"/>
  <c r="W695" i="17" s="1"/>
  <c r="X714" i="17" a="1"/>
  <c r="X714" i="17" s="1"/>
  <c r="X733" i="17" a="1"/>
  <c r="X733" i="17" s="1"/>
  <c r="Y733" i="17" s="1"/>
  <c r="Q733" i="17" s="1"/>
  <c r="W733" i="17" s="1"/>
  <c r="X752" i="17" a="1"/>
  <c r="X752" i="17"/>
  <c r="X771" i="17" a="1"/>
  <c r="X771" i="17" s="1"/>
  <c r="Y771" i="17" s="1"/>
  <c r="Q771" i="17" s="1"/>
  <c r="W771" i="17" s="1"/>
  <c r="X788" i="17" a="1"/>
  <c r="X788" i="17" s="1"/>
  <c r="Y788" i="17" s="1"/>
  <c r="Q788" i="17" s="1"/>
  <c r="W788" i="17" s="1"/>
  <c r="X803" i="17" a="1"/>
  <c r="X803" i="17" s="1"/>
  <c r="Y803" i="17" s="1"/>
  <c r="Q803" i="17" s="1"/>
  <c r="W803" i="17" s="1"/>
  <c r="X811" i="17" a="1"/>
  <c r="X811" i="17" s="1"/>
  <c r="X823" i="17" a="1"/>
  <c r="X823" i="17" s="1"/>
  <c r="Y823" i="17" s="1"/>
  <c r="Q823" i="17" s="1"/>
  <c r="W823" i="17" s="1"/>
  <c r="X842" i="17" a="1"/>
  <c r="X842" i="17" s="1"/>
  <c r="X861" i="17" a="1"/>
  <c r="X861" i="17" s="1"/>
  <c r="Y861" i="17" s="1"/>
  <c r="Q861" i="17" s="1"/>
  <c r="W861" i="17" s="1"/>
  <c r="X880" i="17" a="1"/>
  <c r="X880" i="17" s="1"/>
  <c r="X899" i="17" a="1"/>
  <c r="X899" i="17" s="1"/>
  <c r="Y899" i="17" s="1"/>
  <c r="Q899" i="17" s="1"/>
  <c r="W899" i="17" s="1"/>
  <c r="X918" i="17" a="1"/>
  <c r="X918" i="17" s="1"/>
  <c r="X937" i="17" a="1"/>
  <c r="X937" i="17"/>
  <c r="X956" i="17" a="1"/>
  <c r="X956" i="17" s="1"/>
  <c r="X975" i="17" a="1"/>
  <c r="X975" i="17" s="1"/>
  <c r="X994" i="17" a="1"/>
  <c r="X994" i="17" s="1"/>
  <c r="Y994" i="17" s="1"/>
  <c r="Q994" i="17" s="1"/>
  <c r="W994" i="17" s="1"/>
  <c r="X1013" i="17" a="1"/>
  <c r="X1013" i="17" s="1"/>
  <c r="Y1013" i="17" s="1"/>
  <c r="Q1013" i="17" s="1"/>
  <c r="W1013" i="17" s="1"/>
  <c r="X1032" i="17" a="1"/>
  <c r="X1032" i="17" s="1"/>
  <c r="X1051" i="17" a="1"/>
  <c r="X1051" i="17" s="1"/>
  <c r="X607" i="17" a="1"/>
  <c r="X607" i="17" s="1"/>
  <c r="Y607" i="17" s="1"/>
  <c r="Q607" i="17" s="1"/>
  <c r="W607" i="17" s="1"/>
  <c r="X608" i="17" a="1"/>
  <c r="X608" i="17"/>
  <c r="X609" i="17" a="1"/>
  <c r="X609" i="17" s="1"/>
  <c r="X610" i="17" a="1"/>
  <c r="X610" i="17" s="1"/>
  <c r="Y610" i="17" s="1"/>
  <c r="Q610" i="17" s="1"/>
  <c r="W610" i="17" s="1"/>
  <c r="X611" i="17" a="1"/>
  <c r="X611" i="17"/>
  <c r="X612" i="17" a="1"/>
  <c r="X612" i="17" s="1"/>
  <c r="Y612" i="17" s="1"/>
  <c r="Q612" i="17" s="1"/>
  <c r="W612" i="17" s="1"/>
  <c r="X62" i="17" a="1"/>
  <c r="X62" i="17" s="1"/>
  <c r="X63" i="17" a="1"/>
  <c r="X63" i="17"/>
  <c r="X64" i="17" a="1"/>
  <c r="X64" i="17" s="1"/>
  <c r="Y64" i="17" s="1"/>
  <c r="Q64" i="17" s="1"/>
  <c r="W64" i="17" s="1"/>
  <c r="X65" i="17" a="1"/>
  <c r="X65" i="17" s="1"/>
  <c r="Y65" i="17" s="1"/>
  <c r="Q65" i="17" s="1"/>
  <c r="W65" i="17" s="1"/>
  <c r="X66" i="17" a="1"/>
  <c r="X66" i="17" s="1"/>
  <c r="X67" i="17" a="1"/>
  <c r="X67" i="17" s="1"/>
  <c r="X126" i="17" a="1"/>
  <c r="X126" i="17" s="1"/>
  <c r="Y126" i="17" s="1"/>
  <c r="Q126" i="17" s="1"/>
  <c r="W126" i="17" s="1"/>
  <c r="X145" i="17" a="1"/>
  <c r="X145" i="17" s="1"/>
  <c r="X164" i="17" a="1"/>
  <c r="X164" i="17" s="1"/>
  <c r="X183" i="17" a="1"/>
  <c r="X183" i="17"/>
  <c r="X222" i="17" a="1"/>
  <c r="X222" i="17" s="1"/>
  <c r="X223" i="17" a="1"/>
  <c r="X223" i="17"/>
  <c r="X224" i="17" a="1"/>
  <c r="X224" i="17" s="1"/>
  <c r="X259" i="17" a="1"/>
  <c r="X259" i="17" s="1"/>
  <c r="Y259" i="17" s="1"/>
  <c r="Q259" i="17" s="1"/>
  <c r="W259" i="17" s="1"/>
  <c r="X278" i="17" a="1"/>
  <c r="X278" i="17"/>
  <c r="X297" i="17" a="1"/>
  <c r="X297" i="17" s="1"/>
  <c r="Y297" i="17" s="1"/>
  <c r="Q297" i="17" s="1"/>
  <c r="W297" i="17" s="1"/>
  <c r="X316" i="17" a="1"/>
  <c r="X316" i="17" s="1"/>
  <c r="X335" i="17" a="1"/>
  <c r="X335" i="17" s="1"/>
  <c r="Y335" i="17" s="1"/>
  <c r="Q335" i="17" s="1"/>
  <c r="W335" i="17" s="1"/>
  <c r="X354" i="17" a="1"/>
  <c r="X354" i="17" s="1"/>
  <c r="X373" i="17" a="1"/>
  <c r="X373" i="17" s="1"/>
  <c r="X392" i="17" a="1"/>
  <c r="X392" i="17" s="1"/>
  <c r="X411" i="17" a="1"/>
  <c r="X411" i="17" s="1"/>
  <c r="X506" i="17" a="1"/>
  <c r="X506" i="17" s="1"/>
  <c r="Y506" i="17" s="1"/>
  <c r="Q506" i="17" s="1"/>
  <c r="W506" i="17" s="1"/>
  <c r="X525" i="17" a="1"/>
  <c r="X525" i="17" s="1"/>
  <c r="X544" i="17" a="1"/>
  <c r="X544" i="17" s="1"/>
  <c r="X450" i="17" a="1"/>
  <c r="X450" i="17"/>
  <c r="X451" i="17" a="1"/>
  <c r="X451" i="17" s="1"/>
  <c r="Y451" i="17" s="1"/>
  <c r="Q451" i="17" s="1"/>
  <c r="W451" i="17" s="1"/>
  <c r="X452" i="17" a="1"/>
  <c r="X452" i="17" s="1"/>
  <c r="X487" i="17" a="1"/>
  <c r="X487" i="17" s="1"/>
  <c r="X677" i="17" a="1"/>
  <c r="X677" i="17" s="1"/>
  <c r="Y677" i="17" s="1"/>
  <c r="Q677" i="17" s="1"/>
  <c r="W677" i="17" s="1"/>
  <c r="X696" i="17" a="1"/>
  <c r="X696" i="17" s="1"/>
  <c r="X715" i="17" a="1"/>
  <c r="X715" i="17" s="1"/>
  <c r="Y715" i="17" s="1"/>
  <c r="Q715" i="17" s="1"/>
  <c r="W715" i="17" s="1"/>
  <c r="X734" i="17" a="1"/>
  <c r="X734" i="17" s="1"/>
  <c r="X753" i="17" a="1"/>
  <c r="X753" i="17" s="1"/>
  <c r="X772" i="17" a="1"/>
  <c r="X772" i="17" s="1"/>
  <c r="X789" i="17" a="1"/>
  <c r="X789" i="17" s="1"/>
  <c r="Y789" i="17" s="1"/>
  <c r="Q789" i="17" s="1"/>
  <c r="W789" i="17" s="1"/>
  <c r="X824" i="17" a="1"/>
  <c r="X824" i="17" s="1"/>
  <c r="X843" i="17" a="1"/>
  <c r="X843" i="17" s="1"/>
  <c r="X862" i="17" a="1"/>
  <c r="X862" i="17" s="1"/>
  <c r="Y862" i="17" s="1"/>
  <c r="Q862" i="17" s="1"/>
  <c r="W862" i="17" s="1"/>
  <c r="X881" i="17" a="1"/>
  <c r="X881" i="17"/>
  <c r="X900" i="17" a="1"/>
  <c r="X900" i="17" s="1"/>
  <c r="X919" i="17" a="1"/>
  <c r="X919" i="17" s="1"/>
  <c r="X938" i="17" a="1"/>
  <c r="X938" i="17" s="1"/>
  <c r="X957" i="17" a="1"/>
  <c r="X957" i="17" s="1"/>
  <c r="X976" i="17" a="1"/>
  <c r="X976" i="17" s="1"/>
  <c r="X995" i="17" a="1"/>
  <c r="X995" i="17" s="1"/>
  <c r="Y995" i="17" s="1"/>
  <c r="Q995" i="17" s="1"/>
  <c r="W995" i="17" s="1"/>
  <c r="X1014" i="17" a="1"/>
  <c r="X1014" i="17" s="1"/>
  <c r="Y1014" i="17" s="1"/>
  <c r="Q1014" i="17" s="1"/>
  <c r="W1014" i="17" s="1"/>
  <c r="X1033" i="17" a="1"/>
  <c r="X1033" i="17" s="1"/>
  <c r="Y1033" i="17" s="1"/>
  <c r="Q1033" i="17" s="1"/>
  <c r="W1033" i="17" s="1"/>
  <c r="X1052" i="17" a="1"/>
  <c r="X1052" i="17" s="1"/>
  <c r="X613" i="17" a="1"/>
  <c r="X613" i="17" s="1"/>
  <c r="Y613" i="17" s="1"/>
  <c r="Q613" i="17" s="1"/>
  <c r="W613" i="17" s="1"/>
  <c r="X614" i="17" a="1"/>
  <c r="X614" i="17" s="1"/>
  <c r="Y614" i="17" s="1"/>
  <c r="Q614" i="17" s="1"/>
  <c r="W614" i="17" s="1"/>
  <c r="X615" i="17" a="1"/>
  <c r="X615" i="17" s="1"/>
  <c r="Y615" i="17" s="1"/>
  <c r="Q615" i="17" s="1"/>
  <c r="W615" i="17" s="1"/>
  <c r="X616" i="17" a="1"/>
  <c r="X616" i="17" s="1"/>
  <c r="X617" i="17" a="1"/>
  <c r="X617" i="17" s="1"/>
  <c r="X618" i="17" a="1"/>
  <c r="X618" i="17" s="1"/>
  <c r="Y618" i="17" s="1"/>
  <c r="Q618" i="17" s="1"/>
  <c r="W618" i="17" s="1"/>
  <c r="X68" i="17" a="1"/>
  <c r="X68" i="17" s="1"/>
  <c r="X69" i="17" a="1"/>
  <c r="X69" i="17" s="1"/>
  <c r="X70" i="17" a="1"/>
  <c r="X70" i="17"/>
  <c r="X71" i="17" a="1"/>
  <c r="X71" i="17" s="1"/>
  <c r="Y71" i="17" s="1"/>
  <c r="Q71" i="17" s="1"/>
  <c r="W71" i="17" s="1"/>
  <c r="X72" i="17" a="1"/>
  <c r="X72" i="17" s="1"/>
  <c r="X73" i="17" a="1"/>
  <c r="X73" i="17" s="1"/>
  <c r="X127" i="17" a="1"/>
  <c r="X127" i="17" s="1"/>
  <c r="Y127" i="17" s="1"/>
  <c r="Q127" i="17" s="1"/>
  <c r="W127" i="17" s="1"/>
  <c r="X146" i="17" a="1"/>
  <c r="X146" i="17" s="1"/>
  <c r="Y146" i="17" s="1"/>
  <c r="Q146" i="17" s="1"/>
  <c r="W146" i="17" s="1"/>
  <c r="X165" i="17" a="1"/>
  <c r="X165" i="17" s="1"/>
  <c r="X184" i="17" a="1"/>
  <c r="X184" i="17" s="1"/>
  <c r="X225" i="17" a="1"/>
  <c r="X225" i="17" s="1"/>
  <c r="X226" i="17" a="1"/>
  <c r="X226" i="17" s="1"/>
  <c r="Y226" i="17" s="1"/>
  <c r="Q226" i="17" s="1"/>
  <c r="W226" i="17" s="1"/>
  <c r="X227" i="17" a="1"/>
  <c r="X227" i="17" s="1"/>
  <c r="X260" i="17" a="1"/>
  <c r="X260" i="17" s="1"/>
  <c r="X279" i="17" a="1"/>
  <c r="X279" i="17" s="1"/>
  <c r="X298" i="17" a="1"/>
  <c r="X298" i="17" s="1"/>
  <c r="X317" i="17" a="1"/>
  <c r="X317" i="17" s="1"/>
  <c r="Y317" i="17" s="1"/>
  <c r="Q317" i="17" s="1"/>
  <c r="W317" i="17" s="1"/>
  <c r="X336" i="17" a="1"/>
  <c r="X336" i="17" s="1"/>
  <c r="Y336" i="17" s="1"/>
  <c r="Q336" i="17" s="1"/>
  <c r="W336" i="17" s="1"/>
  <c r="X355" i="17" a="1"/>
  <c r="X355" i="17" s="1"/>
  <c r="X374" i="17" a="1"/>
  <c r="X374" i="17"/>
  <c r="X393" i="17" a="1"/>
  <c r="X393" i="17" s="1"/>
  <c r="Y393" i="17" s="1"/>
  <c r="Q393" i="17" s="1"/>
  <c r="W393" i="17" s="1"/>
  <c r="X412" i="17" a="1"/>
  <c r="X412" i="17" s="1"/>
  <c r="X507" i="17" a="1"/>
  <c r="X507" i="17" s="1"/>
  <c r="X526" i="17" a="1"/>
  <c r="X526" i="17" s="1"/>
  <c r="X545" i="17" a="1"/>
  <c r="X545" i="17" s="1"/>
  <c r="X453" i="17" a="1"/>
  <c r="X453" i="17" s="1"/>
  <c r="X454" i="17" a="1"/>
  <c r="X454" i="17" s="1"/>
  <c r="Y454" i="17" s="1"/>
  <c r="Q454" i="17" s="1"/>
  <c r="W454" i="17" s="1"/>
  <c r="X455" i="17" a="1"/>
  <c r="X455" i="17" s="1"/>
  <c r="X488" i="17" a="1"/>
  <c r="X488" i="17" s="1"/>
  <c r="X678" i="17" a="1"/>
  <c r="X678" i="17" s="1"/>
  <c r="Y678" i="17" s="1"/>
  <c r="Q678" i="17" s="1"/>
  <c r="W678" i="17" s="1"/>
  <c r="X697" i="17" a="1"/>
  <c r="X697" i="17" s="1"/>
  <c r="X716" i="17" a="1"/>
  <c r="X716" i="17" s="1"/>
  <c r="Y716" i="17" s="1"/>
  <c r="Q716" i="17" s="1"/>
  <c r="W716" i="17" s="1"/>
  <c r="X735" i="17" a="1"/>
  <c r="X735" i="17" s="1"/>
  <c r="X754" i="17" a="1"/>
  <c r="X754" i="17" s="1"/>
  <c r="X773" i="17" a="1"/>
  <c r="X773" i="17" s="1"/>
  <c r="X790" i="17" a="1"/>
  <c r="X790" i="17" s="1"/>
  <c r="X825" i="17" a="1"/>
  <c r="X825" i="17" s="1"/>
  <c r="Y825" i="17" s="1"/>
  <c r="Q825" i="17" s="1"/>
  <c r="W825" i="17" s="1"/>
  <c r="X844" i="17" a="1"/>
  <c r="X844" i="17" s="1"/>
  <c r="Y844" i="17" s="1"/>
  <c r="Q844" i="17" s="1"/>
  <c r="W844" i="17" s="1"/>
  <c r="X863" i="17" a="1"/>
  <c r="X863" i="17" s="1"/>
  <c r="X882" i="17" a="1"/>
  <c r="X882" i="17" s="1"/>
  <c r="X901" i="17" a="1"/>
  <c r="X901" i="17" s="1"/>
  <c r="X920" i="17" a="1"/>
  <c r="X920" i="17" s="1"/>
  <c r="X939" i="17" a="1"/>
  <c r="X939" i="17" s="1"/>
  <c r="X958" i="17" a="1"/>
  <c r="X958" i="17" s="1"/>
  <c r="Y958" i="17" s="1"/>
  <c r="Q958" i="17" s="1"/>
  <c r="W958" i="17" s="1"/>
  <c r="X977" i="17" a="1"/>
  <c r="X977" i="17" s="1"/>
  <c r="X996" i="17" a="1"/>
  <c r="X996" i="17" s="1"/>
  <c r="X1015" i="17" a="1"/>
  <c r="X1015" i="17" s="1"/>
  <c r="X1034" i="17" a="1"/>
  <c r="X1034" i="17" s="1"/>
  <c r="X1053" i="17" a="1"/>
  <c r="X1053" i="17" s="1"/>
  <c r="X619" i="17" a="1"/>
  <c r="X619" i="17"/>
  <c r="X620" i="17" a="1"/>
  <c r="X620" i="17" s="1"/>
  <c r="X621" i="17" a="1"/>
  <c r="X621" i="17" s="1"/>
  <c r="Y621" i="17" s="1"/>
  <c r="Q621" i="17" s="1"/>
  <c r="W621" i="17" s="1"/>
  <c r="X622" i="17" a="1"/>
  <c r="X622" i="17" s="1"/>
  <c r="Y622" i="17" s="1"/>
  <c r="Q622" i="17" s="1"/>
  <c r="W622" i="17" s="1"/>
  <c r="X623" i="17" a="1"/>
  <c r="X623" i="17" s="1"/>
  <c r="X624" i="17" a="1"/>
  <c r="X624" i="17" s="1"/>
  <c r="X74" i="17" a="1"/>
  <c r="X74" i="17" s="1"/>
  <c r="X75" i="17" a="1"/>
  <c r="X75" i="17" s="1"/>
  <c r="Y75" i="17" s="1"/>
  <c r="Q75" i="17" s="1"/>
  <c r="W75" i="17" s="1"/>
  <c r="X76" i="17" a="1"/>
  <c r="X76" i="17" s="1"/>
  <c r="Y76" i="17" s="1"/>
  <c r="Q76" i="17" s="1"/>
  <c r="W76" i="17" s="1"/>
  <c r="X77" i="17" a="1"/>
  <c r="X77" i="17" s="1"/>
  <c r="X78" i="17" a="1"/>
  <c r="X78" i="17" s="1"/>
  <c r="X79" i="17" a="1"/>
  <c r="X79" i="17" s="1"/>
  <c r="Y79" i="17" s="1"/>
  <c r="Q79" i="17" s="1"/>
  <c r="W79" i="17" s="1"/>
  <c r="X128" i="17" a="1"/>
  <c r="X128" i="17" s="1"/>
  <c r="Y128" i="17" s="1"/>
  <c r="Q128" i="17" s="1"/>
  <c r="W128" i="17" s="1"/>
  <c r="X147" i="17" a="1"/>
  <c r="X147" i="17" s="1"/>
  <c r="X166" i="17" a="1"/>
  <c r="X166" i="17" s="1"/>
  <c r="X185" i="17" a="1"/>
  <c r="X185" i="17" s="1"/>
  <c r="X228" i="17" a="1"/>
  <c r="X228" i="17" s="1"/>
  <c r="X229" i="17" a="1"/>
  <c r="X229" i="17" s="1"/>
  <c r="X230" i="17" a="1"/>
  <c r="X230" i="17" s="1"/>
  <c r="Y230" i="17" s="1"/>
  <c r="Q230" i="17" s="1"/>
  <c r="W230" i="17" s="1"/>
  <c r="X261" i="17" a="1"/>
  <c r="X261" i="17" s="1"/>
  <c r="X280" i="17" a="1"/>
  <c r="X280" i="17" s="1"/>
  <c r="X299" i="17" a="1"/>
  <c r="X299" i="17" s="1"/>
  <c r="X318" i="17" a="1"/>
  <c r="X318" i="17" s="1"/>
  <c r="X337" i="17" a="1"/>
  <c r="X337" i="17" s="1"/>
  <c r="Y337" i="17" s="1"/>
  <c r="Q337" i="17" s="1"/>
  <c r="W337" i="17" s="1"/>
  <c r="X356" i="17" a="1"/>
  <c r="X356" i="17" s="1"/>
  <c r="X375" i="17" a="1"/>
  <c r="X375" i="17" s="1"/>
  <c r="X394" i="17" a="1"/>
  <c r="X394" i="17" s="1"/>
  <c r="X413" i="17" a="1"/>
  <c r="X413" i="17" s="1"/>
  <c r="X508" i="17" a="1"/>
  <c r="X508" i="17" s="1"/>
  <c r="X527" i="17" a="1"/>
  <c r="X527" i="17" s="1"/>
  <c r="X546" i="17" a="1"/>
  <c r="X546" i="17" s="1"/>
  <c r="Y546" i="17" s="1"/>
  <c r="Q546" i="17" s="1"/>
  <c r="W546" i="17" s="1"/>
  <c r="X456" i="17" a="1"/>
  <c r="X456" i="17" s="1"/>
  <c r="X457" i="17" a="1"/>
  <c r="X457" i="17" s="1"/>
  <c r="X458" i="17" a="1"/>
  <c r="X458" i="17" s="1"/>
  <c r="X489" i="17" a="1"/>
  <c r="X489" i="17"/>
  <c r="X679" i="17" a="1"/>
  <c r="X679" i="17" s="1"/>
  <c r="Y679" i="17" s="1"/>
  <c r="Q679" i="17" s="1"/>
  <c r="W679" i="17" s="1"/>
  <c r="X698" i="17" a="1"/>
  <c r="X698" i="17" s="1"/>
  <c r="X717" i="17" a="1"/>
  <c r="X717" i="17" s="1"/>
  <c r="X736" i="17" a="1"/>
  <c r="X736" i="17" s="1"/>
  <c r="X755" i="17" a="1"/>
  <c r="X755" i="17" s="1"/>
  <c r="Y755" i="17" s="1"/>
  <c r="Q755" i="17" s="1"/>
  <c r="W755" i="17" s="1"/>
  <c r="X774" i="17" a="1"/>
  <c r="X774" i="17" s="1"/>
  <c r="X791" i="17" a="1"/>
  <c r="X791" i="17" s="1"/>
  <c r="X826" i="17" a="1"/>
  <c r="X826" i="17" s="1"/>
  <c r="X845" i="17" a="1"/>
  <c r="X845" i="17" s="1"/>
  <c r="X864" i="17" a="1"/>
  <c r="X864" i="17" s="1"/>
  <c r="Y864" i="17" s="1"/>
  <c r="Q864" i="17" s="1"/>
  <c r="W864" i="17" s="1"/>
  <c r="X883" i="17" a="1"/>
  <c r="X883" i="17" s="1"/>
  <c r="X902" i="17" a="1"/>
  <c r="X902" i="17" s="1"/>
  <c r="X921" i="17" a="1"/>
  <c r="X921" i="17" s="1"/>
  <c r="X940" i="17" a="1"/>
  <c r="X940" i="17" s="1"/>
  <c r="Y940" i="17" s="1"/>
  <c r="Q940" i="17" s="1"/>
  <c r="W940" i="17" s="1"/>
  <c r="X959" i="17" a="1"/>
  <c r="X959" i="17" s="1"/>
  <c r="X978" i="17" a="1"/>
  <c r="X978" i="17" s="1"/>
  <c r="X997" i="17" a="1"/>
  <c r="X997" i="17" s="1"/>
  <c r="X1016" i="17" a="1"/>
  <c r="X1016" i="17" s="1"/>
  <c r="X1035" i="17" a="1"/>
  <c r="X1035" i="17" s="1"/>
  <c r="X1054" i="17" a="1"/>
  <c r="X1054" i="17" s="1"/>
  <c r="X625" i="17" a="1"/>
  <c r="X625" i="17"/>
  <c r="X626" i="17" a="1"/>
  <c r="X626" i="17" s="1"/>
  <c r="X627" i="17" a="1"/>
  <c r="X627" i="17" s="1"/>
  <c r="X628" i="17" a="1"/>
  <c r="X628" i="17" s="1"/>
  <c r="Y628" i="17" s="1"/>
  <c r="Q628" i="17" s="1"/>
  <c r="W628" i="17" s="1"/>
  <c r="X629" i="17" a="1"/>
  <c r="X629" i="17" s="1"/>
  <c r="X630" i="17" a="1"/>
  <c r="X630" i="17" s="1"/>
  <c r="X80" i="17" a="1"/>
  <c r="X80" i="17" s="1"/>
  <c r="X81" i="17" a="1"/>
  <c r="X81" i="17" s="1"/>
  <c r="Y81" i="17" s="1"/>
  <c r="Q81" i="17" s="1"/>
  <c r="W81" i="17" s="1"/>
  <c r="X82" i="17" a="1"/>
  <c r="X82" i="17" s="1"/>
  <c r="X83" i="17" a="1"/>
  <c r="X83" i="17" s="1"/>
  <c r="X84" i="17" a="1"/>
  <c r="X84" i="17" s="1"/>
  <c r="X85" i="17" a="1"/>
  <c r="X85" i="17" s="1"/>
  <c r="Y85" i="17" s="1"/>
  <c r="Q85" i="17" s="1"/>
  <c r="W85" i="17" s="1"/>
  <c r="X129" i="17" a="1"/>
  <c r="X129" i="17" s="1"/>
  <c r="Y129" i="17" s="1"/>
  <c r="Q129" i="17" s="1"/>
  <c r="W129" i="17" s="1"/>
  <c r="X148" i="17" a="1"/>
  <c r="X148" i="17" s="1"/>
  <c r="X167" i="17" a="1"/>
  <c r="X167" i="17" s="1"/>
  <c r="X186" i="17" a="1"/>
  <c r="X186" i="17" s="1"/>
  <c r="X231" i="17" a="1"/>
  <c r="X231" i="17" s="1"/>
  <c r="Y231" i="17" s="1"/>
  <c r="Q231" i="17" s="1"/>
  <c r="W231" i="17" s="1"/>
  <c r="X232" i="17" a="1"/>
  <c r="X232" i="17" s="1"/>
  <c r="X233" i="17" a="1"/>
  <c r="X233" i="17" s="1"/>
  <c r="X262" i="17" a="1"/>
  <c r="X262" i="17" s="1"/>
  <c r="X281" i="17" a="1"/>
  <c r="X281" i="17" s="1"/>
  <c r="Y281" i="17" s="1"/>
  <c r="Q281" i="17" s="1"/>
  <c r="W281" i="17" s="1"/>
  <c r="X300" i="17" a="1"/>
  <c r="X300" i="17" s="1"/>
  <c r="Y300" i="17" s="1"/>
  <c r="Q300" i="17" s="1"/>
  <c r="W300" i="17" s="1"/>
  <c r="X319" i="17" a="1"/>
  <c r="X319" i="17" s="1"/>
  <c r="X338" i="17" a="1"/>
  <c r="X338" i="17" s="1"/>
  <c r="Y338" i="17" s="1"/>
  <c r="Q338" i="17" s="1"/>
  <c r="W338" i="17" s="1"/>
  <c r="X357" i="17" a="1"/>
  <c r="X357" i="17" s="1"/>
  <c r="Y357" i="17" s="1"/>
  <c r="Q357" i="17" s="1"/>
  <c r="W357" i="17" s="1"/>
  <c r="X376" i="17" a="1"/>
  <c r="X376" i="17" s="1"/>
  <c r="Y376" i="17" s="1"/>
  <c r="Q376" i="17" s="1"/>
  <c r="W376" i="17" s="1"/>
  <c r="X395" i="17" a="1"/>
  <c r="X395" i="17" s="1"/>
  <c r="X414" i="17" a="1"/>
  <c r="X414" i="17" s="1"/>
  <c r="Y414" i="17" s="1"/>
  <c r="Q414" i="17" s="1"/>
  <c r="W414" i="17" s="1"/>
  <c r="X509" i="17" a="1"/>
  <c r="X509" i="17" s="1"/>
  <c r="X528" i="17" a="1"/>
  <c r="X528" i="17" s="1"/>
  <c r="X547" i="17" a="1"/>
  <c r="X547" i="17" s="1"/>
  <c r="X459" i="17" a="1"/>
  <c r="X459" i="17" s="1"/>
  <c r="X460" i="17" a="1"/>
  <c r="X460" i="17" s="1"/>
  <c r="Y460" i="17" s="1"/>
  <c r="Q460" i="17" s="1"/>
  <c r="W460" i="17" s="1"/>
  <c r="X461" i="17" a="1"/>
  <c r="X461" i="17" s="1"/>
  <c r="X490" i="17" a="1"/>
  <c r="X490" i="17" s="1"/>
  <c r="X680" i="17" a="1"/>
  <c r="X680" i="17" s="1"/>
  <c r="Y680" i="17" s="1"/>
  <c r="Q680" i="17" s="1"/>
  <c r="W680" i="17" s="1"/>
  <c r="X699" i="17" a="1"/>
  <c r="X699" i="17" s="1"/>
  <c r="Y699" i="17" s="1"/>
  <c r="Q699" i="17" s="1"/>
  <c r="W699" i="17" s="1"/>
  <c r="X718" i="17" a="1"/>
  <c r="X718" i="17" s="1"/>
  <c r="X737" i="17" a="1"/>
  <c r="X737" i="17" s="1"/>
  <c r="X756" i="17" a="1"/>
  <c r="X756" i="17" s="1"/>
  <c r="Y756" i="17" s="1"/>
  <c r="Q756" i="17" s="1"/>
  <c r="W756" i="17" s="1"/>
  <c r="X775" i="17" a="1"/>
  <c r="X775" i="17"/>
  <c r="X792" i="17" a="1"/>
  <c r="X792" i="17" s="1"/>
  <c r="Y792" i="17" s="1"/>
  <c r="Q792" i="17" s="1"/>
  <c r="W792" i="17" s="1"/>
  <c r="X804" i="17" a="1"/>
  <c r="X804" i="17" s="1"/>
  <c r="X827" i="17" a="1"/>
  <c r="X827" i="17"/>
  <c r="X846" i="17" a="1"/>
  <c r="X846" i="17" s="1"/>
  <c r="X865" i="17" a="1"/>
  <c r="X865" i="17" s="1"/>
  <c r="Y865" i="17" s="1"/>
  <c r="Q865" i="17" s="1"/>
  <c r="W865" i="17" s="1"/>
  <c r="X884" i="17" a="1"/>
  <c r="X884" i="17" s="1"/>
  <c r="X903" i="17" a="1"/>
  <c r="X903" i="17" s="1"/>
  <c r="Y903" i="17" s="1"/>
  <c r="Q903" i="17" s="1"/>
  <c r="W903" i="17" s="1"/>
  <c r="X922" i="17" a="1"/>
  <c r="X922" i="17" s="1"/>
  <c r="Y922" i="17" s="1"/>
  <c r="Q922" i="17" s="1"/>
  <c r="W922" i="17" s="1"/>
  <c r="X941" i="17" a="1"/>
  <c r="X941" i="17" s="1"/>
  <c r="Y941" i="17" s="1"/>
  <c r="Q941" i="17" s="1"/>
  <c r="W941" i="17" s="1"/>
  <c r="X960" i="17" a="1"/>
  <c r="X960" i="17" s="1"/>
  <c r="X979" i="17" a="1"/>
  <c r="X979" i="17" s="1"/>
  <c r="Y979" i="17" s="1"/>
  <c r="Q979" i="17" s="1"/>
  <c r="W979" i="17" s="1"/>
  <c r="X998" i="17" a="1"/>
  <c r="X998" i="17" s="1"/>
  <c r="X1017" i="17" a="1"/>
  <c r="X1017" i="17" s="1"/>
  <c r="Y1017" i="17" s="1"/>
  <c r="Q1017" i="17" s="1"/>
  <c r="W1017" i="17" s="1"/>
  <c r="X1036" i="17" a="1"/>
  <c r="X1036" i="17" s="1"/>
  <c r="X1055" i="17" a="1"/>
  <c r="X1055" i="17" s="1"/>
  <c r="Y1055" i="17" s="1"/>
  <c r="Q1055" i="17" s="1"/>
  <c r="W1055" i="17" s="1"/>
  <c r="X631" i="17" a="1"/>
  <c r="X631" i="17" s="1"/>
  <c r="X632" i="17" a="1"/>
  <c r="X632" i="17" s="1"/>
  <c r="Y632" i="17" s="1"/>
  <c r="Q632" i="17" s="1"/>
  <c r="W632" i="17" s="1"/>
  <c r="X633" i="17" a="1"/>
  <c r="X633" i="17" s="1"/>
  <c r="Y633" i="17" s="1"/>
  <c r="Q633" i="17" s="1"/>
  <c r="W633" i="17" s="1"/>
  <c r="X634" i="17" a="1"/>
  <c r="X634" i="17" s="1"/>
  <c r="X635" i="17" a="1"/>
  <c r="X635" i="17" s="1"/>
  <c r="X636" i="17" a="1"/>
  <c r="X636" i="17" s="1"/>
  <c r="X86" i="17" a="1"/>
  <c r="X86" i="17"/>
  <c r="Y86" i="17" s="1"/>
  <c r="Q86" i="17" s="1"/>
  <c r="W86" i="17" s="1"/>
  <c r="X87" i="17" a="1"/>
  <c r="X87" i="17" s="1"/>
  <c r="X88" i="17" a="1"/>
  <c r="X88" i="17" s="1"/>
  <c r="X89" i="17" a="1"/>
  <c r="X89" i="17" s="1"/>
  <c r="Y89" i="17" s="1"/>
  <c r="Q89" i="17" s="1"/>
  <c r="W89" i="17" s="1"/>
  <c r="X90" i="17" a="1"/>
  <c r="X90" i="17" s="1"/>
  <c r="Y90" i="17" s="1"/>
  <c r="Q90" i="17" s="1"/>
  <c r="W90" i="17" s="1"/>
  <c r="X91" i="17" a="1"/>
  <c r="X91" i="17" s="1"/>
  <c r="Y91" i="17" s="1"/>
  <c r="Q91" i="17" s="1"/>
  <c r="W91" i="17" s="1"/>
  <c r="X130" i="17" a="1"/>
  <c r="X130" i="17" s="1"/>
  <c r="X149" i="17" a="1"/>
  <c r="X149" i="17" s="1"/>
  <c r="Y149" i="17" s="1"/>
  <c r="Q149" i="17" s="1"/>
  <c r="W149" i="17" s="1"/>
  <c r="X168" i="17" a="1"/>
  <c r="X168" i="17" s="1"/>
  <c r="X187" i="17" a="1"/>
  <c r="X187" i="17" s="1"/>
  <c r="Y187" i="17" s="1"/>
  <c r="Q187" i="17" s="1"/>
  <c r="W187" i="17" s="1"/>
  <c r="X234" i="17" a="1"/>
  <c r="X234" i="17" s="1"/>
  <c r="X235" i="17" a="1"/>
  <c r="X235" i="17" s="1"/>
  <c r="Y235" i="17" s="1"/>
  <c r="Q235" i="17" s="1"/>
  <c r="W235" i="17" s="1"/>
  <c r="X236" i="17" a="1"/>
  <c r="X236" i="17" s="1"/>
  <c r="Y236" i="17" s="1"/>
  <c r="Q236" i="17" s="1"/>
  <c r="W236" i="17" s="1"/>
  <c r="X263" i="17" a="1"/>
  <c r="X263" i="17" s="1"/>
  <c r="Y263" i="17" s="1"/>
  <c r="Q263" i="17" s="1"/>
  <c r="W263" i="17" s="1"/>
  <c r="X282" i="17" a="1"/>
  <c r="X282" i="17" s="1"/>
  <c r="X301" i="17" a="1"/>
  <c r="X301" i="17" s="1"/>
  <c r="Y301" i="17" s="1"/>
  <c r="Q301" i="17" s="1"/>
  <c r="W301" i="17" s="1"/>
  <c r="X320" i="17" a="1"/>
  <c r="X320" i="17" s="1"/>
  <c r="Y320" i="17" s="1"/>
  <c r="Q320" i="17" s="1"/>
  <c r="W320" i="17" s="1"/>
  <c r="X339" i="17" a="1"/>
  <c r="X339" i="17" s="1"/>
  <c r="Y339" i="17" s="1"/>
  <c r="Q339" i="17" s="1"/>
  <c r="W339" i="17" s="1"/>
  <c r="X358" i="17" a="1"/>
  <c r="X358" i="17" s="1"/>
  <c r="X377" i="17" a="1"/>
  <c r="X377" i="17" s="1"/>
  <c r="Y377" i="17" s="1"/>
  <c r="Q377" i="17" s="1"/>
  <c r="W377" i="17" s="1"/>
  <c r="X396" i="17" a="1"/>
  <c r="X396" i="17" s="1"/>
  <c r="Y396" i="17" s="1"/>
  <c r="Q396" i="17" s="1"/>
  <c r="W396" i="17" s="1"/>
  <c r="X415" i="17" a="1"/>
  <c r="X415" i="17" s="1"/>
  <c r="Y415" i="17" s="1"/>
  <c r="Q415" i="17" s="1"/>
  <c r="W415" i="17" s="1"/>
  <c r="X510" i="17" a="1"/>
  <c r="X510" i="17" s="1"/>
  <c r="X529" i="17" a="1"/>
  <c r="X529" i="17" s="1"/>
  <c r="Y529" i="17" s="1"/>
  <c r="Q529" i="17" s="1"/>
  <c r="W529" i="17" s="1"/>
  <c r="X548" i="17" a="1"/>
  <c r="X548" i="17" s="1"/>
  <c r="Y548" i="17" s="1"/>
  <c r="Q548" i="17" s="1"/>
  <c r="W548" i="17" s="1"/>
  <c r="X462" i="17" a="1"/>
  <c r="X462" i="17" s="1"/>
  <c r="Y462" i="17" s="1"/>
  <c r="Q462" i="17" s="1"/>
  <c r="W462" i="17" s="1"/>
  <c r="X463" i="17" a="1"/>
  <c r="X463" i="17" s="1"/>
  <c r="X464" i="17" a="1"/>
  <c r="X464" i="17" s="1"/>
  <c r="Y464" i="17" s="1"/>
  <c r="Q464" i="17" s="1"/>
  <c r="W464" i="17" s="1"/>
  <c r="X491" i="17" a="1"/>
  <c r="X491" i="17" s="1"/>
  <c r="Y491" i="17" s="1"/>
  <c r="Q491" i="17" s="1"/>
  <c r="W491" i="17" s="1"/>
  <c r="X681" i="17" a="1"/>
  <c r="X681" i="17" s="1"/>
  <c r="Y681" i="17" s="1"/>
  <c r="Q681" i="17" s="1"/>
  <c r="W681" i="17" s="1"/>
  <c r="X700" i="17" a="1"/>
  <c r="X700" i="17" s="1"/>
  <c r="X719" i="17" a="1"/>
  <c r="X719" i="17" s="1"/>
  <c r="X738" i="17" a="1"/>
  <c r="X738" i="17" s="1"/>
  <c r="Y738" i="17" s="1"/>
  <c r="Q738" i="17" s="1"/>
  <c r="W738" i="17" s="1"/>
  <c r="X757" i="17" a="1"/>
  <c r="X757" i="17" s="1"/>
  <c r="X776" i="17" a="1"/>
  <c r="X776" i="17" s="1"/>
  <c r="X793" i="17" a="1"/>
  <c r="X793" i="17" s="1"/>
  <c r="Y793" i="17" s="1"/>
  <c r="Q793" i="17" s="1"/>
  <c r="W793" i="17" s="1"/>
  <c r="X805" i="17" a="1"/>
  <c r="X805" i="17" s="1"/>
  <c r="Y805" i="17" s="1"/>
  <c r="Q805" i="17" s="1"/>
  <c r="W805" i="17" s="1"/>
  <c r="X828" i="17" a="1"/>
  <c r="X828" i="17" s="1"/>
  <c r="Y828" i="17" s="1"/>
  <c r="Q828" i="17" s="1"/>
  <c r="W828" i="17" s="1"/>
  <c r="X847" i="17" a="1"/>
  <c r="X847" i="17" s="1"/>
  <c r="X866" i="17" a="1"/>
  <c r="X866" i="17" s="1"/>
  <c r="Y866" i="17" s="1"/>
  <c r="Q866" i="17" s="1"/>
  <c r="W866" i="17" s="1"/>
  <c r="X885" i="17" a="1"/>
  <c r="X885" i="17" s="1"/>
  <c r="Y885" i="17" s="1"/>
  <c r="Q885" i="17" s="1"/>
  <c r="W885" i="17" s="1"/>
  <c r="X904" i="17" a="1"/>
  <c r="X904" i="17"/>
  <c r="X923" i="17" a="1"/>
  <c r="X923" i="17" s="1"/>
  <c r="X942" i="17" a="1"/>
  <c r="X942" i="17" s="1"/>
  <c r="X961" i="17" a="1"/>
  <c r="X961" i="17" s="1"/>
  <c r="Y961" i="17" s="1"/>
  <c r="Q961" i="17" s="1"/>
  <c r="W961" i="17" s="1"/>
  <c r="X980" i="17" a="1"/>
  <c r="X980" i="17" s="1"/>
  <c r="Y980" i="17" s="1"/>
  <c r="Q980" i="17" s="1"/>
  <c r="W980" i="17" s="1"/>
  <c r="X999" i="17" a="1"/>
  <c r="X999" i="17" s="1"/>
  <c r="X1018" i="17" a="1"/>
  <c r="X1018" i="17"/>
  <c r="X1037" i="17" a="1"/>
  <c r="X1037" i="17" s="1"/>
  <c r="Y1037" i="17" s="1"/>
  <c r="Q1037" i="17" s="1"/>
  <c r="W1037" i="17" s="1"/>
  <c r="X1056" i="17" a="1"/>
  <c r="X1056" i="17" s="1"/>
  <c r="X637" i="17" a="1"/>
  <c r="X637" i="17" s="1"/>
  <c r="X638" i="17" a="1"/>
  <c r="X638" i="17" s="1"/>
  <c r="Y638" i="17" s="1"/>
  <c r="Q638" i="17" s="1"/>
  <c r="W638" i="17" s="1"/>
  <c r="X639" i="17" a="1"/>
  <c r="X639" i="17" s="1"/>
  <c r="Y639" i="17" s="1"/>
  <c r="Q639" i="17" s="1"/>
  <c r="W639" i="17" s="1"/>
  <c r="X640" i="17" a="1"/>
  <c r="X640" i="17" s="1"/>
  <c r="Y640" i="17" s="1"/>
  <c r="Q640" i="17" s="1"/>
  <c r="W640" i="17" s="1"/>
  <c r="X641" i="17" a="1"/>
  <c r="X641" i="17" s="1"/>
  <c r="Y641" i="17" s="1"/>
  <c r="Q641" i="17" s="1"/>
  <c r="W641" i="17" s="1"/>
  <c r="X642" i="17" a="1"/>
  <c r="X642" i="17" s="1"/>
  <c r="X92" i="17" a="1"/>
  <c r="X92" i="17" s="1"/>
  <c r="Y92" i="17" s="1"/>
  <c r="Q92" i="17" s="1"/>
  <c r="W92" i="17" s="1"/>
  <c r="X93" i="17" a="1"/>
  <c r="X93" i="17" s="1"/>
  <c r="Y93" i="17" s="1"/>
  <c r="Q93" i="17" s="1"/>
  <c r="W93" i="17" s="1"/>
  <c r="X94" i="17" a="1"/>
  <c r="X94" i="17" s="1"/>
  <c r="X95" i="17" a="1"/>
  <c r="X95" i="17" s="1"/>
  <c r="Y95" i="17" s="1"/>
  <c r="Q95" i="17" s="1"/>
  <c r="W95" i="17" s="1"/>
  <c r="X96" i="17" a="1"/>
  <c r="X96" i="17" s="1"/>
  <c r="Y96" i="17" s="1"/>
  <c r="Q96" i="17" s="1"/>
  <c r="W96" i="17" s="1"/>
  <c r="X97" i="17" a="1"/>
  <c r="X97" i="17" s="1"/>
  <c r="Y97" i="17" s="1"/>
  <c r="Q97" i="17" s="1"/>
  <c r="W97" i="17" s="1"/>
  <c r="X131" i="17" a="1"/>
  <c r="X131" i="17" s="1"/>
  <c r="X150" i="17" a="1"/>
  <c r="X150" i="17" s="1"/>
  <c r="X169" i="17" a="1"/>
  <c r="X169" i="17"/>
  <c r="X188" i="17" a="1"/>
  <c r="X188" i="17" s="1"/>
  <c r="X237" i="17" a="1"/>
  <c r="X237" i="17" s="1"/>
  <c r="X238" i="17" a="1"/>
  <c r="X238" i="17" s="1"/>
  <c r="Y238" i="17" s="1"/>
  <c r="Q238" i="17" s="1"/>
  <c r="W238" i="17" s="1"/>
  <c r="X239" i="17" a="1"/>
  <c r="X239" i="17" s="1"/>
  <c r="Y239" i="17" s="1"/>
  <c r="Q239" i="17" s="1"/>
  <c r="W239" i="17" s="1"/>
  <c r="X264" i="17" a="1"/>
  <c r="X264" i="17" s="1"/>
  <c r="Y264" i="17" s="1"/>
  <c r="Q264" i="17" s="1"/>
  <c r="W264" i="17" s="1"/>
  <c r="X283" i="17" a="1"/>
  <c r="X283" i="17" s="1"/>
  <c r="Y283" i="17" s="1"/>
  <c r="Q283" i="17" s="1"/>
  <c r="W283" i="17" s="1"/>
  <c r="X302" i="17" a="1"/>
  <c r="X302" i="17" s="1"/>
  <c r="Y302" i="17" s="1"/>
  <c r="Q302" i="17" s="1"/>
  <c r="W302" i="17" s="1"/>
  <c r="X321" i="17" a="1"/>
  <c r="X321" i="17" s="1"/>
  <c r="X340" i="17" a="1"/>
  <c r="X340" i="17" s="1"/>
  <c r="Y340" i="17" s="1"/>
  <c r="Q340" i="17" s="1"/>
  <c r="W340" i="17" s="1"/>
  <c r="X359" i="17" a="1"/>
  <c r="X359" i="17" s="1"/>
  <c r="X378" i="17" a="1"/>
  <c r="X378" i="17" s="1"/>
  <c r="Y378" i="17" s="1"/>
  <c r="Q378" i="17" s="1"/>
  <c r="W378" i="17" s="1"/>
  <c r="X397" i="17" a="1"/>
  <c r="X397" i="17" s="1"/>
  <c r="Y397" i="17" s="1"/>
  <c r="Q397" i="17" s="1"/>
  <c r="W397" i="17" s="1"/>
  <c r="X416" i="17" a="1"/>
  <c r="X416" i="17" s="1"/>
  <c r="Y416" i="17" s="1"/>
  <c r="Q416" i="17" s="1"/>
  <c r="W416" i="17" s="1"/>
  <c r="X511" i="17" a="1"/>
  <c r="X511" i="17" s="1"/>
  <c r="X530" i="17" a="1"/>
  <c r="X530" i="17" s="1"/>
  <c r="Y530" i="17" s="1"/>
  <c r="Q530" i="17" s="1"/>
  <c r="W530" i="17" s="1"/>
  <c r="X549" i="17" a="1"/>
  <c r="X549" i="17" s="1"/>
  <c r="Y549" i="17" s="1"/>
  <c r="Q549" i="17" s="1"/>
  <c r="W549" i="17" s="1"/>
  <c r="X465" i="17" a="1"/>
  <c r="X465" i="17" s="1"/>
  <c r="Y465" i="17" s="1"/>
  <c r="Q465" i="17" s="1"/>
  <c r="W465" i="17" s="1"/>
  <c r="X466" i="17" a="1"/>
  <c r="X466" i="17" s="1"/>
  <c r="X467" i="17" a="1"/>
  <c r="X467" i="17" s="1"/>
  <c r="Y467" i="17" s="1"/>
  <c r="Q467" i="17" s="1"/>
  <c r="W467" i="17" s="1"/>
  <c r="X492" i="17" a="1"/>
  <c r="X492" i="17"/>
  <c r="X682" i="17" a="1"/>
  <c r="X682" i="17" s="1"/>
  <c r="Y682" i="17" s="1"/>
  <c r="Q682" i="17" s="1"/>
  <c r="W682" i="17" s="1"/>
  <c r="X701" i="17" a="1"/>
  <c r="X701" i="17" s="1"/>
  <c r="X720" i="17" a="1"/>
  <c r="X720" i="17" s="1"/>
  <c r="Y720" i="17" s="1"/>
  <c r="Q720" i="17" s="1"/>
  <c r="W720" i="17" s="1"/>
  <c r="X739" i="17" a="1"/>
  <c r="X739" i="17" s="1"/>
  <c r="Y739" i="17" s="1"/>
  <c r="Q739" i="17" s="1"/>
  <c r="W739" i="17" s="1"/>
  <c r="X758" i="17" a="1"/>
  <c r="X758" i="17" s="1"/>
  <c r="Y758" i="17" s="1"/>
  <c r="Q758" i="17" s="1"/>
  <c r="W758" i="17" s="1"/>
  <c r="X777" i="17" a="1"/>
  <c r="X777" i="17" s="1"/>
  <c r="X806" i="17" a="1"/>
  <c r="X806" i="17" s="1"/>
  <c r="Y806" i="17" s="1"/>
  <c r="Q806" i="17" s="1"/>
  <c r="W806" i="17" s="1"/>
  <c r="X812" i="17" a="1"/>
  <c r="X812" i="17" s="1"/>
  <c r="Y812" i="17" s="1"/>
  <c r="Q812" i="17" s="1"/>
  <c r="W812" i="17" s="1"/>
  <c r="X829" i="17" a="1"/>
  <c r="X829" i="17" s="1"/>
  <c r="Y829" i="17" s="1"/>
  <c r="Q829" i="17" s="1"/>
  <c r="W829" i="17" s="1"/>
  <c r="X848" i="17" a="1"/>
  <c r="X848" i="17" s="1"/>
  <c r="Y848" i="17" s="1"/>
  <c r="Q848" i="17" s="1"/>
  <c r="W848" i="17" s="1"/>
  <c r="X867" i="17" a="1"/>
  <c r="X867" i="17"/>
  <c r="X886" i="17" a="1"/>
  <c r="X886" i="17" s="1"/>
  <c r="Y886" i="17" s="1"/>
  <c r="Q886" i="17" s="1"/>
  <c r="W886" i="17" s="1"/>
  <c r="X905" i="17" a="1"/>
  <c r="X905" i="17" s="1"/>
  <c r="X924" i="17" a="1"/>
  <c r="X924" i="17" s="1"/>
  <c r="X943" i="17" a="1"/>
  <c r="X943" i="17" s="1"/>
  <c r="Y943" i="17" s="1"/>
  <c r="Q943" i="17" s="1"/>
  <c r="W943" i="17" s="1"/>
  <c r="X962" i="17" a="1"/>
  <c r="X962" i="17" s="1"/>
  <c r="Y962" i="17" s="1"/>
  <c r="Q962" i="17" s="1"/>
  <c r="W962" i="17" s="1"/>
  <c r="X981" i="17" a="1"/>
  <c r="X981" i="17" s="1"/>
  <c r="Y981" i="17" s="1"/>
  <c r="Q981" i="17" s="1"/>
  <c r="W981" i="17" s="1"/>
  <c r="X1000" i="17" a="1"/>
  <c r="X1000" i="17" s="1"/>
  <c r="X1019" i="17" a="1"/>
  <c r="X1019" i="17" s="1"/>
  <c r="Y1019" i="17" s="1"/>
  <c r="Q1019" i="17" s="1"/>
  <c r="W1019" i="17" s="1"/>
  <c r="X1038" i="17" a="1"/>
  <c r="X1038" i="17" s="1"/>
  <c r="X1057" i="17" a="1"/>
  <c r="X1057" i="17"/>
  <c r="X643" i="17" a="1"/>
  <c r="X643" i="17" s="1"/>
  <c r="X644" i="17" a="1"/>
  <c r="X644" i="17"/>
  <c r="Y644" i="17" s="1"/>
  <c r="Q644" i="17" s="1"/>
  <c r="W644" i="17" s="1"/>
  <c r="X645" i="17" a="1"/>
  <c r="X645" i="17" s="1"/>
  <c r="Y645" i="17" s="1"/>
  <c r="Q645" i="17" s="1"/>
  <c r="W645" i="17" s="1"/>
  <c r="X646" i="17" a="1"/>
  <c r="X646" i="17" s="1"/>
  <c r="Y646" i="17" s="1"/>
  <c r="Q646" i="17" s="1"/>
  <c r="W646" i="17" s="1"/>
  <c r="X647" i="17" a="1"/>
  <c r="X647" i="17" s="1"/>
  <c r="X648" i="17" a="1"/>
  <c r="X648" i="17"/>
  <c r="X98" i="17" a="1"/>
  <c r="X98" i="17" s="1"/>
  <c r="Y98" i="17" s="1"/>
  <c r="Q98" i="17" s="1"/>
  <c r="W98" i="17" s="1"/>
  <c r="X99" i="17" a="1"/>
  <c r="X99" i="17"/>
  <c r="X100" i="17" a="1"/>
  <c r="X100" i="17" s="1"/>
  <c r="X101" i="17" a="1"/>
  <c r="X101" i="17" s="1"/>
  <c r="Y101" i="17" s="1"/>
  <c r="Q101" i="17" s="1"/>
  <c r="W101" i="17" s="1"/>
  <c r="X102" i="17" a="1"/>
  <c r="X102" i="17" s="1"/>
  <c r="Y102" i="17" s="1"/>
  <c r="Q102" i="17" s="1"/>
  <c r="W102" i="17" s="1"/>
  <c r="X103" i="17" a="1"/>
  <c r="X103" i="17" s="1"/>
  <c r="Y103" i="17" s="1"/>
  <c r="Q103" i="17" s="1"/>
  <c r="W103" i="17" s="1"/>
  <c r="X132" i="17" a="1"/>
  <c r="X132" i="17" s="1"/>
  <c r="X151" i="17" a="1"/>
  <c r="X151" i="17" s="1"/>
  <c r="Y151" i="17" s="1"/>
  <c r="Q151" i="17" s="1"/>
  <c r="W151" i="17" s="1"/>
  <c r="X170" i="17" a="1"/>
  <c r="X170" i="17" s="1"/>
  <c r="Y170" i="17" s="1"/>
  <c r="Q170" i="17" s="1"/>
  <c r="W170" i="17" s="1"/>
  <c r="X189" i="17" a="1"/>
  <c r="X189" i="17" s="1"/>
  <c r="Y189" i="17" s="1"/>
  <c r="Q189" i="17" s="1"/>
  <c r="W189" i="17" s="1"/>
  <c r="X240" i="17" a="1"/>
  <c r="X240" i="17" s="1"/>
  <c r="X241" i="17" a="1"/>
  <c r="X241" i="17" s="1"/>
  <c r="Y241" i="17" s="1"/>
  <c r="Q241" i="17" s="1"/>
  <c r="W241" i="17" s="1"/>
  <c r="X242" i="17" a="1"/>
  <c r="X242" i="17" s="1"/>
  <c r="Y242" i="17" s="1"/>
  <c r="Q242" i="17" s="1"/>
  <c r="W242" i="17" s="1"/>
  <c r="X265" i="17" a="1"/>
  <c r="X265" i="17" s="1"/>
  <c r="Y265" i="17" s="1"/>
  <c r="Q265" i="17" s="1"/>
  <c r="W265" i="17" s="1"/>
  <c r="X284" i="17" a="1"/>
  <c r="X284" i="17" s="1"/>
  <c r="X303" i="17" a="1"/>
  <c r="X303" i="17" s="1"/>
  <c r="Y303" i="17" s="1"/>
  <c r="Q303" i="17" s="1"/>
  <c r="W303" i="17" s="1"/>
  <c r="X322" i="17" a="1"/>
  <c r="X322" i="17" s="1"/>
  <c r="Y322" i="17" s="1"/>
  <c r="Q322" i="17" s="1"/>
  <c r="W322" i="17" s="1"/>
  <c r="X341" i="17" a="1"/>
  <c r="X341" i="17" s="1"/>
  <c r="X360" i="17" a="1"/>
  <c r="X360" i="17" s="1"/>
  <c r="X379" i="17" a="1"/>
  <c r="X379" i="17" s="1"/>
  <c r="Y379" i="17" s="1"/>
  <c r="Q379" i="17" s="1"/>
  <c r="W379" i="17" s="1"/>
  <c r="X398" i="17" a="1"/>
  <c r="X398" i="17" s="1"/>
  <c r="Y398" i="17" s="1"/>
  <c r="Q398" i="17" s="1"/>
  <c r="W398" i="17" s="1"/>
  <c r="X417" i="17" a="1"/>
  <c r="X417" i="17" s="1"/>
  <c r="Y417" i="17" s="1"/>
  <c r="Q417" i="17" s="1"/>
  <c r="W417" i="17" s="1"/>
  <c r="X512" i="17" a="1"/>
  <c r="X512" i="17" s="1"/>
  <c r="X531" i="17" a="1"/>
  <c r="X531" i="17" s="1"/>
  <c r="Y531" i="17" s="1"/>
  <c r="Q531" i="17" s="1"/>
  <c r="W531" i="17" s="1"/>
  <c r="X550" i="17" a="1"/>
  <c r="X550" i="17" s="1"/>
  <c r="X468" i="17" a="1"/>
  <c r="X468" i="17" s="1"/>
  <c r="Y468" i="17" s="1"/>
  <c r="Q468" i="17" s="1"/>
  <c r="W468" i="17" s="1"/>
  <c r="X469" i="17" a="1"/>
  <c r="X469" i="17" s="1"/>
  <c r="X470" i="17" a="1"/>
  <c r="X470" i="17" s="1"/>
  <c r="Y470" i="17" s="1"/>
  <c r="Q470" i="17" s="1"/>
  <c r="W470" i="17" s="1"/>
  <c r="X493" i="17" a="1"/>
  <c r="X493" i="17" s="1"/>
  <c r="Y493" i="17" s="1"/>
  <c r="Q493" i="17" s="1"/>
  <c r="W493" i="17" s="1"/>
  <c r="X683" i="17" a="1"/>
  <c r="X683" i="17" s="1"/>
  <c r="Y683" i="17" s="1"/>
  <c r="Q683" i="17" s="1"/>
  <c r="W683" i="17" s="1"/>
  <c r="X702" i="17" a="1"/>
  <c r="X702" i="17" s="1"/>
  <c r="X721" i="17" a="1"/>
  <c r="X721" i="17" s="1"/>
  <c r="Y721" i="17" s="1"/>
  <c r="Q721" i="17" s="1"/>
  <c r="W721" i="17" s="1"/>
  <c r="X740" i="17" a="1"/>
  <c r="X740" i="17" s="1"/>
  <c r="Y740" i="17" s="1"/>
  <c r="Q740" i="17" s="1"/>
  <c r="W740" i="17" s="1"/>
  <c r="X759" i="17" a="1"/>
  <c r="X759" i="17" s="1"/>
  <c r="Y759" i="17" s="1"/>
  <c r="Q759" i="17" s="1"/>
  <c r="W759" i="17" s="1"/>
  <c r="X778" i="17" a="1"/>
  <c r="X778" i="17" s="1"/>
  <c r="Y778" i="17" s="1"/>
  <c r="Q778" i="17" s="1"/>
  <c r="W778" i="17" s="1"/>
  <c r="X794" i="17" a="1"/>
  <c r="X794" i="17" s="1"/>
  <c r="Y794" i="17" s="1"/>
  <c r="Q794" i="17" s="1"/>
  <c r="W794" i="17" s="1"/>
  <c r="X807" i="17" a="1"/>
  <c r="X807" i="17" s="1"/>
  <c r="Y807" i="17" s="1"/>
  <c r="Q807" i="17" s="1"/>
  <c r="W807" i="17" s="1"/>
  <c r="X830" i="17" a="1"/>
  <c r="X830" i="17" s="1"/>
  <c r="Y830" i="17" s="1"/>
  <c r="Q830" i="17" s="1"/>
  <c r="W830" i="17" s="1"/>
  <c r="X849" i="17" a="1"/>
  <c r="X849" i="17" s="1"/>
  <c r="X868" i="17" a="1"/>
  <c r="X868" i="17" s="1"/>
  <c r="Y868" i="17" s="1"/>
  <c r="Q868" i="17" s="1"/>
  <c r="W868" i="17" s="1"/>
  <c r="X887" i="17" a="1"/>
  <c r="X887" i="17" s="1"/>
  <c r="Y887" i="17" s="1"/>
  <c r="Q887" i="17" s="1"/>
  <c r="W887" i="17" s="1"/>
  <c r="X906" i="17" a="1"/>
  <c r="X906" i="17" s="1"/>
  <c r="Y906" i="17" s="1"/>
  <c r="Q906" i="17" s="1"/>
  <c r="W906" i="17" s="1"/>
  <c r="X925" i="17" a="1"/>
  <c r="X925" i="17" s="1"/>
  <c r="X944" i="17" a="1"/>
  <c r="X944" i="17" s="1"/>
  <c r="Y944" i="17" s="1"/>
  <c r="Q944" i="17" s="1"/>
  <c r="W944" i="17" s="1"/>
  <c r="X963" i="17" a="1"/>
  <c r="X963" i="17" s="1"/>
  <c r="Y963" i="17" s="1"/>
  <c r="Q963" i="17" s="1"/>
  <c r="W963" i="17" s="1"/>
  <c r="X982" i="17" a="1"/>
  <c r="X982" i="17" s="1"/>
  <c r="Y982" i="17" s="1"/>
  <c r="Q982" i="17" s="1"/>
  <c r="W982" i="17" s="1"/>
  <c r="X1001" i="17" a="1"/>
  <c r="X1001" i="17" s="1"/>
  <c r="X1020" i="17" a="1"/>
  <c r="X1020" i="17" s="1"/>
  <c r="X1039" i="17" a="1"/>
  <c r="X1039" i="17" s="1"/>
  <c r="Y1039" i="17" s="1"/>
  <c r="Q1039" i="17" s="1"/>
  <c r="W1039" i="17" s="1"/>
  <c r="X1058" i="17" a="1"/>
  <c r="X1058" i="17" s="1"/>
  <c r="X649" i="17" a="1"/>
  <c r="X649" i="17" s="1"/>
  <c r="X650" i="17" a="1"/>
  <c r="X650" i="17" s="1"/>
  <c r="Y650" i="17" s="1"/>
  <c r="Q650" i="17" s="1"/>
  <c r="W650" i="17" s="1"/>
  <c r="X651" i="17" a="1"/>
  <c r="X651" i="17" s="1"/>
  <c r="Y651" i="17" s="1"/>
  <c r="Q651" i="17" s="1"/>
  <c r="W651" i="17" s="1"/>
  <c r="X652" i="17" a="1"/>
  <c r="X652" i="17" s="1"/>
  <c r="Y652" i="17" s="1"/>
  <c r="Q652" i="17" s="1"/>
  <c r="W652" i="17" s="1"/>
  <c r="X653" i="17" a="1"/>
  <c r="X653" i="17" s="1"/>
  <c r="X654" i="17" a="1"/>
  <c r="X654" i="17" s="1"/>
  <c r="Y654" i="17" s="1"/>
  <c r="Q654" i="17" s="1"/>
  <c r="W654" i="17" s="1"/>
  <c r="X104" i="17" a="1"/>
  <c r="X104" i="17" s="1"/>
  <c r="Y104" i="17" s="1"/>
  <c r="Q104" i="17" s="1"/>
  <c r="W104" i="17" s="1"/>
  <c r="X105" i="17" a="1"/>
  <c r="X105" i="17"/>
  <c r="X106" i="17" a="1"/>
  <c r="X106" i="17" s="1"/>
  <c r="X107" i="17" a="1"/>
  <c r="X107" i="17" s="1"/>
  <c r="Y107" i="17" s="1"/>
  <c r="Q107" i="17" s="1"/>
  <c r="W107" i="17" s="1"/>
  <c r="X108" i="17" a="1"/>
  <c r="X108" i="17" s="1"/>
  <c r="Y108" i="17" s="1"/>
  <c r="Q108" i="17" s="1"/>
  <c r="W108" i="17" s="1"/>
  <c r="X109" i="17" a="1"/>
  <c r="X109" i="17" s="1"/>
  <c r="Y109" i="17" s="1"/>
  <c r="Q109" i="17" s="1"/>
  <c r="W109" i="17" s="1"/>
  <c r="X133" i="17" a="1"/>
  <c r="X133" i="17" s="1"/>
  <c r="X152" i="17" a="1"/>
  <c r="X152" i="17"/>
  <c r="Y152" i="17" s="1"/>
  <c r="Q152" i="17" s="1"/>
  <c r="W152" i="17" s="1"/>
  <c r="X171" i="17" a="1"/>
  <c r="X171" i="17" s="1"/>
  <c r="Y171" i="17" s="1"/>
  <c r="Q171" i="17" s="1"/>
  <c r="W171" i="17" s="1"/>
  <c r="X190" i="17" a="1"/>
  <c r="X190" i="17" s="1"/>
  <c r="Y190" i="17" s="1"/>
  <c r="Q190" i="17" s="1"/>
  <c r="W190" i="17" s="1"/>
  <c r="X243" i="17" a="1"/>
  <c r="X243" i="17" s="1"/>
  <c r="X244" i="17" a="1"/>
  <c r="X244" i="17" s="1"/>
  <c r="Y244" i="17" s="1"/>
  <c r="Q244" i="17" s="1"/>
  <c r="W244" i="17" s="1"/>
  <c r="X245" i="17" a="1"/>
  <c r="X245" i="17" s="1"/>
  <c r="Y245" i="17" s="1"/>
  <c r="Q245" i="17" s="1"/>
  <c r="W245" i="17" s="1"/>
  <c r="X266" i="17" a="1"/>
  <c r="X266" i="17" s="1"/>
  <c r="Y266" i="17" s="1"/>
  <c r="Q266" i="17" s="1"/>
  <c r="W266" i="17" s="1"/>
  <c r="X285" i="17" a="1"/>
  <c r="X285" i="17" s="1"/>
  <c r="X304" i="17" a="1"/>
  <c r="X304" i="17" s="1"/>
  <c r="Y304" i="17" s="1"/>
  <c r="Q304" i="17" s="1"/>
  <c r="W304" i="17" s="1"/>
  <c r="X323" i="17" a="1"/>
  <c r="X323" i="17" s="1"/>
  <c r="Y323" i="17" s="1"/>
  <c r="Q323" i="17" s="1"/>
  <c r="W323" i="17" s="1"/>
  <c r="X342" i="17" a="1"/>
  <c r="X342" i="17" s="1"/>
  <c r="Y342" i="17" s="1"/>
  <c r="Q342" i="17" s="1"/>
  <c r="W342" i="17" s="1"/>
  <c r="X361" i="17" a="1"/>
  <c r="X361" i="17" s="1"/>
  <c r="X380" i="17" a="1"/>
  <c r="X380" i="17" s="1"/>
  <c r="Y380" i="17" s="1"/>
  <c r="Q380" i="17" s="1"/>
  <c r="W380" i="17" s="1"/>
  <c r="X399" i="17" a="1"/>
  <c r="X399" i="17" s="1"/>
  <c r="Y399" i="17" s="1"/>
  <c r="Q399" i="17" s="1"/>
  <c r="W399" i="17" s="1"/>
  <c r="X418" i="17" a="1"/>
  <c r="X418" i="17" s="1"/>
  <c r="Y418" i="17" s="1"/>
  <c r="Q418" i="17" s="1"/>
  <c r="W418" i="17" s="1"/>
  <c r="X513" i="17" a="1"/>
  <c r="X513" i="17" s="1"/>
  <c r="X532" i="17" a="1"/>
  <c r="X532" i="17"/>
  <c r="Y532" i="17" s="1"/>
  <c r="Q532" i="17" s="1"/>
  <c r="W532" i="17" s="1"/>
  <c r="X551" i="17" a="1"/>
  <c r="X551" i="17" s="1"/>
  <c r="X471" i="17" a="1"/>
  <c r="X471" i="17"/>
  <c r="X472" i="17" a="1"/>
  <c r="X472" i="17" s="1"/>
  <c r="X473" i="17" a="1"/>
  <c r="X473" i="17" s="1"/>
  <c r="Y473" i="17" s="1"/>
  <c r="Q473" i="17" s="1"/>
  <c r="W473" i="17" s="1"/>
  <c r="X494" i="17" a="1"/>
  <c r="X494" i="17" s="1"/>
  <c r="Y494" i="17" s="1"/>
  <c r="Q494" i="17" s="1"/>
  <c r="W494" i="17" s="1"/>
  <c r="X684" i="17" a="1"/>
  <c r="X684" i="17" s="1"/>
  <c r="Y684" i="17" s="1"/>
  <c r="Q684" i="17" s="1"/>
  <c r="W684" i="17" s="1"/>
  <c r="X703" i="17" a="1"/>
  <c r="X703" i="17" s="1"/>
  <c r="X722" i="17" a="1"/>
  <c r="X722" i="17" s="1"/>
  <c r="Y722" i="17" s="1"/>
  <c r="Q722" i="17" s="1"/>
  <c r="W722" i="17" s="1"/>
  <c r="X741" i="17" a="1"/>
  <c r="X741" i="17" s="1"/>
  <c r="Y741" i="17" s="1"/>
  <c r="Q741" i="17" s="1"/>
  <c r="W741" i="17" s="1"/>
  <c r="X760" i="17" a="1"/>
  <c r="X760" i="17" s="1"/>
  <c r="Y760" i="17" s="1"/>
  <c r="Q760" i="17" s="1"/>
  <c r="W760" i="17" s="1"/>
  <c r="X779" i="17" a="1"/>
  <c r="X779" i="17" s="1"/>
  <c r="X795" i="17" a="1"/>
  <c r="X795" i="17" s="1"/>
  <c r="Y795" i="17" s="1"/>
  <c r="Q795" i="17" s="1"/>
  <c r="W795" i="17" s="1"/>
  <c r="X808" i="17" a="1"/>
  <c r="X808" i="17" s="1"/>
  <c r="Y808" i="17" s="1"/>
  <c r="Q808" i="17" s="1"/>
  <c r="W808" i="17" s="1"/>
  <c r="X831" i="17" a="1"/>
  <c r="X831" i="17" s="1"/>
  <c r="Y831" i="17" s="1"/>
  <c r="Q831" i="17" s="1"/>
  <c r="W831" i="17" s="1"/>
  <c r="X850" i="17" a="1"/>
  <c r="X850" i="17" s="1"/>
  <c r="X869" i="17" a="1"/>
  <c r="X869" i="17"/>
  <c r="X888" i="17" a="1"/>
  <c r="X888" i="17" s="1"/>
  <c r="Y888" i="17" s="1"/>
  <c r="Q888" i="17" s="1"/>
  <c r="W888" i="17" s="1"/>
  <c r="X907" i="17" a="1"/>
  <c r="X907" i="17" s="1"/>
  <c r="Y907" i="17" s="1"/>
  <c r="Q907" i="17" s="1"/>
  <c r="W907" i="17" s="1"/>
  <c r="X926" i="17" a="1"/>
  <c r="X926" i="17" s="1"/>
  <c r="Y926" i="17" s="1"/>
  <c r="Q926" i="17" s="1"/>
  <c r="W926" i="17" s="1"/>
  <c r="X945" i="17" a="1"/>
  <c r="X945" i="17" s="1"/>
  <c r="Y945" i="17" s="1"/>
  <c r="Q945" i="17" s="1"/>
  <c r="W945" i="17" s="1"/>
  <c r="X964" i="17" a="1"/>
  <c r="X964" i="17" s="1"/>
  <c r="Y964" i="17" s="1"/>
  <c r="Q964" i="17" s="1"/>
  <c r="W964" i="17" s="1"/>
  <c r="X983" i="17" a="1"/>
  <c r="X983" i="17" s="1"/>
  <c r="Y983" i="17" s="1"/>
  <c r="Q983" i="17" s="1"/>
  <c r="W983" i="17" s="1"/>
  <c r="X1002" i="17" a="1"/>
  <c r="X1002" i="17" s="1"/>
  <c r="X1021" i="17" a="1"/>
  <c r="X1021" i="17" s="1"/>
  <c r="Y1021" i="17" s="1"/>
  <c r="Q1021" i="17" s="1"/>
  <c r="W1021" i="17" s="1"/>
  <c r="X1040" i="17" a="1"/>
  <c r="X1040" i="17" s="1"/>
  <c r="X1059" i="17" a="1"/>
  <c r="X1059" i="17" s="1"/>
  <c r="Y1059" i="17" s="1"/>
  <c r="Q1059" i="17" s="1"/>
  <c r="W1059" i="17" s="1"/>
  <c r="X655" i="17" a="1"/>
  <c r="X655" i="17" s="1"/>
  <c r="X656" i="17" a="1"/>
  <c r="X656" i="17" s="1"/>
  <c r="Y656" i="17" s="1"/>
  <c r="Q656" i="17" s="1"/>
  <c r="W656" i="17" s="1"/>
  <c r="X657" i="17" a="1"/>
  <c r="X657" i="17" s="1"/>
  <c r="Y657" i="17" s="1"/>
  <c r="Q657" i="17" s="1"/>
  <c r="W657" i="17" s="1"/>
  <c r="X658" i="17" a="1"/>
  <c r="X658" i="17" s="1"/>
  <c r="Y658" i="17" s="1"/>
  <c r="Q658" i="17" s="1"/>
  <c r="W658" i="17" s="1"/>
  <c r="X659" i="17" a="1"/>
  <c r="X659" i="17" s="1"/>
  <c r="X660" i="17" a="1"/>
  <c r="X660" i="17" s="1"/>
  <c r="X110" i="17" a="1"/>
  <c r="X110" i="17"/>
  <c r="X111" i="17" a="1"/>
  <c r="X111" i="17" s="1"/>
  <c r="Y111" i="17" s="1"/>
  <c r="Q111" i="17" s="1"/>
  <c r="W111" i="17" s="1"/>
  <c r="X112" i="17" a="1"/>
  <c r="X112" i="17" s="1"/>
  <c r="X113" i="17" a="1"/>
  <c r="X113" i="17" s="1"/>
  <c r="Y113" i="17" s="1"/>
  <c r="Q113" i="17" s="1"/>
  <c r="W113" i="17" s="1"/>
  <c r="X114" i="17" a="1"/>
  <c r="X114" i="17" s="1"/>
  <c r="Y114" i="17" s="1"/>
  <c r="Q114" i="17" s="1"/>
  <c r="W114" i="17" s="1"/>
  <c r="X115" i="17" a="1"/>
  <c r="X115" i="17" s="1"/>
  <c r="Y115" i="17" s="1"/>
  <c r="Q115" i="17" s="1"/>
  <c r="W115" i="17" s="1"/>
  <c r="X134" i="17" a="1"/>
  <c r="X134" i="17" s="1"/>
  <c r="Y134" i="17" s="1"/>
  <c r="Q134" i="17" s="1"/>
  <c r="W134" i="17" s="1"/>
  <c r="X153" i="17" a="1"/>
  <c r="X153" i="17" s="1"/>
  <c r="Y153" i="17" s="1"/>
  <c r="Q153" i="17" s="1"/>
  <c r="W153" i="17" s="1"/>
  <c r="X172" i="17" a="1"/>
  <c r="X172" i="17" s="1"/>
  <c r="Y172" i="17" s="1"/>
  <c r="Q172" i="17" s="1"/>
  <c r="W172" i="17" s="1"/>
  <c r="X191" i="17" a="1"/>
  <c r="X191" i="17" s="1"/>
  <c r="X246" i="17" a="1"/>
  <c r="X246" i="17" s="1"/>
  <c r="X247" i="17" a="1"/>
  <c r="X247" i="17" s="1"/>
  <c r="Y247" i="17" s="1"/>
  <c r="Q247" i="17" s="1"/>
  <c r="W247" i="17" s="1"/>
  <c r="X248" i="17" a="1"/>
  <c r="X248" i="17" s="1"/>
  <c r="Y248" i="17" s="1"/>
  <c r="Q248" i="17" s="1"/>
  <c r="W248" i="17" s="1"/>
  <c r="X267" i="17" a="1"/>
  <c r="X267" i="17" s="1"/>
  <c r="Y267" i="17" s="1"/>
  <c r="Q267" i="17" s="1"/>
  <c r="W267" i="17" s="1"/>
  <c r="X286" i="17" a="1"/>
  <c r="X286" i="17" s="1"/>
  <c r="X305" i="17" a="1"/>
  <c r="X305" i="17" s="1"/>
  <c r="Y305" i="17" s="1"/>
  <c r="Q305" i="17" s="1"/>
  <c r="W305" i="17" s="1"/>
  <c r="X324" i="17" a="1"/>
  <c r="X324" i="17" s="1"/>
  <c r="Y324" i="17" s="1"/>
  <c r="Q324" i="17" s="1"/>
  <c r="W324" i="17" s="1"/>
  <c r="X343" i="17" a="1"/>
  <c r="X343" i="17" s="1"/>
  <c r="Y343" i="17" s="1"/>
  <c r="Q343" i="17" s="1"/>
  <c r="W343" i="17" s="1"/>
  <c r="X362" i="17" a="1"/>
  <c r="X362" i="17" s="1"/>
  <c r="Y362" i="17" s="1"/>
  <c r="Q362" i="17" s="1"/>
  <c r="W362" i="17" s="1"/>
  <c r="X381" i="17" a="1"/>
  <c r="X381" i="17" s="1"/>
  <c r="Y381" i="17" s="1"/>
  <c r="Q381" i="17" s="1"/>
  <c r="W381" i="17" s="1"/>
  <c r="X400" i="17" a="1"/>
  <c r="X400" i="17" s="1"/>
  <c r="Y400" i="17" s="1"/>
  <c r="Q400" i="17" s="1"/>
  <c r="W400" i="17" s="1"/>
  <c r="X419" i="17" a="1"/>
  <c r="X419" i="17" s="1"/>
  <c r="Y419" i="17" s="1"/>
  <c r="Q419" i="17" s="1"/>
  <c r="W419" i="17" s="1"/>
  <c r="X514" i="17" a="1"/>
  <c r="X514" i="17" s="1"/>
  <c r="Y514" i="17" s="1"/>
  <c r="Q514" i="17" s="1"/>
  <c r="W514" i="17" s="1"/>
  <c r="X533" i="17" a="1"/>
  <c r="X533" i="17" s="1"/>
  <c r="Y533" i="17" s="1"/>
  <c r="Q533" i="17" s="1"/>
  <c r="W533" i="17" s="1"/>
  <c r="X552" i="17" a="1"/>
  <c r="X552" i="17" s="1"/>
  <c r="Y552" i="17" s="1"/>
  <c r="Q552" i="17" s="1"/>
  <c r="W552" i="17" s="1"/>
  <c r="X474" i="17" a="1"/>
  <c r="X474" i="17" s="1"/>
  <c r="Y474" i="17" s="1"/>
  <c r="Q474" i="17" s="1"/>
  <c r="W474" i="17" s="1"/>
  <c r="X475" i="17" a="1"/>
  <c r="X475" i="17" s="1"/>
  <c r="Y475" i="17" s="1"/>
  <c r="Q475" i="17" s="1"/>
  <c r="W475" i="17" s="1"/>
  <c r="X476" i="17" a="1"/>
  <c r="X476" i="17" s="1"/>
  <c r="Y476" i="17" s="1"/>
  <c r="Q476" i="17" s="1"/>
  <c r="W476" i="17" s="1"/>
  <c r="X495" i="17" a="1"/>
  <c r="X495" i="17" s="1"/>
  <c r="Y495" i="17" s="1"/>
  <c r="Q495" i="17" s="1"/>
  <c r="W495" i="17" s="1"/>
  <c r="X685" i="17" a="1"/>
  <c r="X685" i="17" s="1"/>
  <c r="Y685" i="17" s="1"/>
  <c r="Q685" i="17" s="1"/>
  <c r="W685" i="17" s="1"/>
  <c r="X704" i="17" a="1"/>
  <c r="X704" i="17" s="1"/>
  <c r="Y704" i="17" s="1"/>
  <c r="Q704" i="17" s="1"/>
  <c r="W704" i="17" s="1"/>
  <c r="X723" i="17" a="1"/>
  <c r="X723" i="17" s="1"/>
  <c r="Y723" i="17" s="1"/>
  <c r="Q723" i="17" s="1"/>
  <c r="W723" i="17" s="1"/>
  <c r="X742" i="17" a="1"/>
  <c r="X742" i="17" s="1"/>
  <c r="X761" i="17" a="1"/>
  <c r="X761" i="17"/>
  <c r="Y761" i="17" s="1"/>
  <c r="Q761" i="17" s="1"/>
  <c r="W761" i="17" s="1"/>
  <c r="X780" i="17" a="1"/>
  <c r="X780" i="17" s="1"/>
  <c r="Y780" i="17" s="1"/>
  <c r="Q780" i="17" s="1"/>
  <c r="W780" i="17" s="1"/>
  <c r="X796" i="17" a="1"/>
  <c r="X796" i="17" s="1"/>
  <c r="Y796" i="17" s="1"/>
  <c r="Q796" i="17" s="1"/>
  <c r="W796" i="17" s="1"/>
  <c r="X809" i="17" a="1"/>
  <c r="X809" i="17" s="1"/>
  <c r="Y809" i="17" s="1"/>
  <c r="Q809" i="17" s="1"/>
  <c r="W809" i="17" s="1"/>
  <c r="X813" i="17" a="1"/>
  <c r="X813" i="17" s="1"/>
  <c r="Y813" i="17" s="1"/>
  <c r="Q813" i="17" s="1"/>
  <c r="W813" i="17" s="1"/>
  <c r="X832" i="17" a="1"/>
  <c r="X832" i="17" s="1"/>
  <c r="X851" i="17" a="1"/>
  <c r="X851" i="17" s="1"/>
  <c r="Y851" i="17" s="1"/>
  <c r="Q851" i="17" s="1"/>
  <c r="W851" i="17" s="1"/>
  <c r="X870" i="17" a="1"/>
  <c r="X870" i="17"/>
  <c r="Y870" i="17" s="1"/>
  <c r="Q870" i="17" s="1"/>
  <c r="W870" i="17" s="1"/>
  <c r="X889" i="17" a="1"/>
  <c r="X889" i="17"/>
  <c r="Y889" i="17" s="1"/>
  <c r="Q889" i="17" s="1"/>
  <c r="W889" i="17" s="1"/>
  <c r="X908" i="17" a="1"/>
  <c r="X908" i="17" s="1"/>
  <c r="Y908" i="17" s="1"/>
  <c r="Q908" i="17" s="1"/>
  <c r="W908" i="17" s="1"/>
  <c r="X927" i="17" a="1"/>
  <c r="X927" i="17" s="1"/>
  <c r="Y927" i="17" s="1"/>
  <c r="Q927" i="17" s="1"/>
  <c r="W927" i="17" s="1"/>
  <c r="X946" i="17" a="1"/>
  <c r="X946" i="17" s="1"/>
  <c r="Y946" i="17" s="1"/>
  <c r="Q946" i="17" s="1"/>
  <c r="W946" i="17" s="1"/>
  <c r="X965" i="17" a="1"/>
  <c r="X965" i="17" s="1"/>
  <c r="Y965" i="17" s="1"/>
  <c r="Q965" i="17" s="1"/>
  <c r="W965" i="17" s="1"/>
  <c r="X984" i="17" a="1"/>
  <c r="X984" i="17" s="1"/>
  <c r="X1003" i="17" a="1"/>
  <c r="X1003" i="17" s="1"/>
  <c r="Y1003" i="17" s="1"/>
  <c r="Q1003" i="17" s="1"/>
  <c r="W1003" i="17" s="1"/>
  <c r="X1022" i="17" a="1"/>
  <c r="X1022" i="17" s="1"/>
  <c r="Y1022" i="17" s="1"/>
  <c r="Q1022" i="17" s="1"/>
  <c r="W1022" i="17" s="1"/>
  <c r="X1041" i="17" a="1"/>
  <c r="X1041" i="17" s="1"/>
  <c r="Y1041" i="17" s="1"/>
  <c r="Q1041" i="17" s="1"/>
  <c r="W1041" i="17" s="1"/>
  <c r="X1060" i="17" a="1"/>
  <c r="X1060" i="17" s="1"/>
  <c r="Y1060" i="17" s="1"/>
  <c r="Q1060" i="17" s="1"/>
  <c r="W1060" i="17" s="1"/>
  <c r="X661" i="17" a="1"/>
  <c r="X661" i="17" s="1"/>
  <c r="Y661" i="17" s="1"/>
  <c r="Q661" i="17" s="1"/>
  <c r="W661" i="17" s="1"/>
  <c r="X662" i="17" a="1"/>
  <c r="X662" i="17" s="1"/>
  <c r="Y662" i="17" s="1"/>
  <c r="Q662" i="17" s="1"/>
  <c r="W662" i="17" s="1"/>
  <c r="X663" i="17" a="1"/>
  <c r="X663" i="17" s="1"/>
  <c r="Y663" i="17" s="1"/>
  <c r="Q663" i="17" s="1"/>
  <c r="W663" i="17" s="1"/>
  <c r="X664" i="17" a="1"/>
  <c r="X664" i="17" s="1"/>
  <c r="X665" i="17" a="1"/>
  <c r="X665" i="17" s="1"/>
  <c r="Y665" i="17" s="1"/>
  <c r="Q665" i="17" s="1"/>
  <c r="W665" i="17" s="1"/>
  <c r="X666" i="17" a="1"/>
  <c r="X666" i="17" s="1"/>
  <c r="Y666" i="17" s="1"/>
  <c r="Q666" i="17" s="1"/>
  <c r="W666" i="17" s="1"/>
  <c r="Y2" i="17"/>
  <c r="Q2" i="17" s="1"/>
  <c r="W2" i="17" s="1"/>
  <c r="Y3" i="17"/>
  <c r="Q3" i="17" s="1"/>
  <c r="W3" i="17" s="1"/>
  <c r="Y4" i="17"/>
  <c r="Q4" i="17" s="1"/>
  <c r="W4" i="17" s="1"/>
  <c r="Y6" i="17"/>
  <c r="Q6" i="17" s="1"/>
  <c r="W6" i="17" s="1"/>
  <c r="Y7" i="17"/>
  <c r="Q7" i="17" s="1"/>
  <c r="W7" i="17" s="1"/>
  <c r="Y135" i="17"/>
  <c r="Q135" i="17" s="1"/>
  <c r="W135" i="17" s="1"/>
  <c r="Y154" i="17"/>
  <c r="Q154" i="17" s="1"/>
  <c r="W154" i="17" s="1"/>
  <c r="Y173" i="17"/>
  <c r="Q173" i="17" s="1"/>
  <c r="W173" i="17" s="1"/>
  <c r="Y192" i="17"/>
  <c r="Q192" i="17" s="1"/>
  <c r="W192" i="17" s="1"/>
  <c r="Y194" i="17"/>
  <c r="Q194" i="17" s="1"/>
  <c r="W194" i="17" s="1"/>
  <c r="Y249" i="17"/>
  <c r="Q249" i="17" s="1"/>
  <c r="W249" i="17" s="1"/>
  <c r="Y268" i="17"/>
  <c r="Q268" i="17" s="1"/>
  <c r="W268" i="17" s="1"/>
  <c r="Y306" i="17"/>
  <c r="Q306" i="17" s="1"/>
  <c r="W306" i="17" s="1"/>
  <c r="Y325" i="17"/>
  <c r="Q325" i="17" s="1"/>
  <c r="W325" i="17" s="1"/>
  <c r="Y344" i="17"/>
  <c r="Q344" i="17" s="1"/>
  <c r="W344" i="17" s="1"/>
  <c r="Y382" i="17"/>
  <c r="Q382" i="17" s="1"/>
  <c r="W382" i="17" s="1"/>
  <c r="Y401" i="17"/>
  <c r="Q401" i="17" s="1"/>
  <c r="W401" i="17" s="1"/>
  <c r="Y496" i="17"/>
  <c r="Q496" i="17" s="1"/>
  <c r="W496" i="17" s="1"/>
  <c r="Y515" i="17"/>
  <c r="Q515" i="17" s="1"/>
  <c r="W515" i="17" s="1"/>
  <c r="Y534" i="17"/>
  <c r="Q534" i="17" s="1"/>
  <c r="W534" i="17" s="1"/>
  <c r="Y420" i="17"/>
  <c r="Q420" i="17" s="1"/>
  <c r="W420" i="17" s="1"/>
  <c r="Y421" i="17"/>
  <c r="Q421" i="17" s="1"/>
  <c r="W421" i="17" s="1"/>
  <c r="Y477" i="17"/>
  <c r="Q477" i="17" s="1"/>
  <c r="W477" i="17" s="1"/>
  <c r="Y667" i="17"/>
  <c r="Q667" i="17" s="1"/>
  <c r="W667" i="17" s="1"/>
  <c r="Y705" i="17"/>
  <c r="Q705" i="17" s="1"/>
  <c r="W705" i="17" s="1"/>
  <c r="Y724" i="17"/>
  <c r="Q724" i="17" s="1"/>
  <c r="W724" i="17" s="1"/>
  <c r="Y743" i="17"/>
  <c r="Q743" i="17" s="1"/>
  <c r="W743" i="17" s="1"/>
  <c r="Y762" i="17"/>
  <c r="Q762" i="17" s="1"/>
  <c r="W762" i="17" s="1"/>
  <c r="Y797" i="17"/>
  <c r="Q797" i="17" s="1"/>
  <c r="W797" i="17" s="1"/>
  <c r="Y814" i="17"/>
  <c r="Q814" i="17" s="1"/>
  <c r="W814" i="17" s="1"/>
  <c r="Y833" i="17"/>
  <c r="Q833" i="17" s="1"/>
  <c r="W833" i="17" s="1"/>
  <c r="Y871" i="17"/>
  <c r="Q871" i="17" s="1"/>
  <c r="W871" i="17" s="1"/>
  <c r="Y890" i="17"/>
  <c r="Q890" i="17" s="1"/>
  <c r="W890" i="17" s="1"/>
  <c r="Y909" i="17"/>
  <c r="Q909" i="17" s="1"/>
  <c r="W909" i="17" s="1"/>
  <c r="Y947" i="17"/>
  <c r="Q947" i="17" s="1"/>
  <c r="W947" i="17" s="1"/>
  <c r="Y966" i="17"/>
  <c r="Q966" i="17" s="1"/>
  <c r="W966" i="17" s="1"/>
  <c r="Y985" i="17"/>
  <c r="Q985" i="17" s="1"/>
  <c r="W985" i="17" s="1"/>
  <c r="Y1004" i="17"/>
  <c r="Q1004" i="17" s="1"/>
  <c r="W1004" i="17" s="1"/>
  <c r="Y1042" i="17"/>
  <c r="Q1042" i="17" s="1"/>
  <c r="W1042" i="17" s="1"/>
  <c r="Y553" i="17"/>
  <c r="Q553" i="17" s="1"/>
  <c r="W553" i="17" s="1"/>
  <c r="Y556" i="17"/>
  <c r="Q556" i="17" s="1"/>
  <c r="W556" i="17" s="1"/>
  <c r="Y557" i="17"/>
  <c r="Q557" i="17" s="1"/>
  <c r="W557" i="17" s="1"/>
  <c r="Y558" i="17"/>
  <c r="Q558" i="17" s="1"/>
  <c r="W558" i="17" s="1"/>
  <c r="Y8" i="17"/>
  <c r="Q8" i="17" s="1"/>
  <c r="W8" i="17" s="1"/>
  <c r="Y9" i="17"/>
  <c r="Q9" i="17" s="1"/>
  <c r="W9" i="17" s="1"/>
  <c r="Y10" i="17"/>
  <c r="Q10" i="17" s="1"/>
  <c r="W10" i="17" s="1"/>
  <c r="Y12" i="17"/>
  <c r="Q12" i="17" s="1"/>
  <c r="W12" i="17" s="1"/>
  <c r="Y13" i="17"/>
  <c r="Q13" i="17" s="1"/>
  <c r="W13" i="17" s="1"/>
  <c r="Y117" i="17"/>
  <c r="Q117" i="17" s="1"/>
  <c r="W117" i="17" s="1"/>
  <c r="Y136" i="17"/>
  <c r="Q136" i="17" s="1"/>
  <c r="W136" i="17" s="1"/>
  <c r="Y155" i="17"/>
  <c r="Q155" i="17" s="1"/>
  <c r="W155" i="17" s="1"/>
  <c r="Y174" i="17"/>
  <c r="Q174" i="17" s="1"/>
  <c r="W174" i="17" s="1"/>
  <c r="Y195" i="17"/>
  <c r="Q195" i="17" s="1"/>
  <c r="W195" i="17" s="1"/>
  <c r="Y197" i="17"/>
  <c r="Q197" i="17" s="1"/>
  <c r="W197" i="17" s="1"/>
  <c r="Y250" i="17"/>
  <c r="Q250" i="17" s="1"/>
  <c r="W250" i="17" s="1"/>
  <c r="Y269" i="17"/>
  <c r="Q269" i="17" s="1"/>
  <c r="W269" i="17" s="1"/>
  <c r="Y288" i="17"/>
  <c r="Q288" i="17" s="1"/>
  <c r="W288" i="17" s="1"/>
  <c r="Y307" i="17"/>
  <c r="Q307" i="17" s="1"/>
  <c r="W307" i="17" s="1"/>
  <c r="Y326" i="17"/>
  <c r="Q326" i="17" s="1"/>
  <c r="W326" i="17" s="1"/>
  <c r="Y345" i="17"/>
  <c r="Q345" i="17" s="1"/>
  <c r="W345" i="17" s="1"/>
  <c r="Y383" i="17"/>
  <c r="Q383" i="17" s="1"/>
  <c r="W383" i="17" s="1"/>
  <c r="Y402" i="17"/>
  <c r="Q402" i="17" s="1"/>
  <c r="W402" i="17" s="1"/>
  <c r="Y497" i="17"/>
  <c r="Q497" i="17" s="1"/>
  <c r="W497" i="17" s="1"/>
  <c r="Y516" i="17"/>
  <c r="Q516" i="17" s="1"/>
  <c r="W516" i="17" s="1"/>
  <c r="Y535" i="17"/>
  <c r="Q535" i="17" s="1"/>
  <c r="W535" i="17" s="1"/>
  <c r="Y423" i="17"/>
  <c r="Q423" i="17" s="1"/>
  <c r="W423" i="17" s="1"/>
  <c r="Y424" i="17"/>
  <c r="Q424" i="17" s="1"/>
  <c r="W424" i="17" s="1"/>
  <c r="Y478" i="17"/>
  <c r="Q478" i="17" s="1"/>
  <c r="W478" i="17" s="1"/>
  <c r="Y668" i="17"/>
  <c r="Q668" i="17" s="1"/>
  <c r="W668" i="17" s="1"/>
  <c r="Y687" i="17"/>
  <c r="Q687" i="17" s="1"/>
  <c r="W687" i="17" s="1"/>
  <c r="Y706" i="17"/>
  <c r="Q706" i="17" s="1"/>
  <c r="W706" i="17" s="1"/>
  <c r="Y725" i="17"/>
  <c r="Q725" i="17" s="1"/>
  <c r="W725" i="17" s="1"/>
  <c r="Y744" i="17"/>
  <c r="Q744" i="17" s="1"/>
  <c r="W744" i="17" s="1"/>
  <c r="Y763" i="17"/>
  <c r="Q763" i="17" s="1"/>
  <c r="W763" i="17" s="1"/>
  <c r="Y798" i="17"/>
  <c r="Q798" i="17" s="1"/>
  <c r="W798" i="17" s="1"/>
  <c r="Y815" i="17"/>
  <c r="Q815" i="17" s="1"/>
  <c r="W815" i="17" s="1"/>
  <c r="Y853" i="17"/>
  <c r="Q853" i="17" s="1"/>
  <c r="W853" i="17" s="1"/>
  <c r="Y872" i="17"/>
  <c r="Q872" i="17" s="1"/>
  <c r="W872" i="17" s="1"/>
  <c r="Y891" i="17"/>
  <c r="Q891" i="17" s="1"/>
  <c r="W891" i="17" s="1"/>
  <c r="Y910" i="17"/>
  <c r="Q910" i="17" s="1"/>
  <c r="W910" i="17" s="1"/>
  <c r="Y948" i="17"/>
  <c r="Q948" i="17" s="1"/>
  <c r="W948" i="17" s="1"/>
  <c r="Y967" i="17"/>
  <c r="Q967" i="17" s="1"/>
  <c r="W967" i="17" s="1"/>
  <c r="Y986" i="17"/>
  <c r="Q986" i="17" s="1"/>
  <c r="W986" i="17" s="1"/>
  <c r="Y1024" i="17"/>
  <c r="Q1024" i="17" s="1"/>
  <c r="W1024" i="17" s="1"/>
  <c r="Y1043" i="17"/>
  <c r="Q1043" i="17" s="1"/>
  <c r="W1043" i="17" s="1"/>
  <c r="Y559" i="17"/>
  <c r="Q559" i="17" s="1"/>
  <c r="W559" i="17" s="1"/>
  <c r="Y561" i="17"/>
  <c r="Q561" i="17" s="1"/>
  <c r="W561" i="17" s="1"/>
  <c r="Y562" i="17"/>
  <c r="Q562" i="17" s="1"/>
  <c r="W562" i="17" s="1"/>
  <c r="Y563" i="17"/>
  <c r="Q563" i="17" s="1"/>
  <c r="W563" i="17" s="1"/>
  <c r="Y564" i="17"/>
  <c r="Q564" i="17" s="1"/>
  <c r="W564" i="17" s="1"/>
  <c r="Y15" i="17"/>
  <c r="Q15" i="17" s="1"/>
  <c r="W15" i="17" s="1"/>
  <c r="Y16" i="17"/>
  <c r="Q16" i="17" s="1"/>
  <c r="W16" i="17" s="1"/>
  <c r="Y19" i="17"/>
  <c r="Q19" i="17" s="1"/>
  <c r="W19" i="17" s="1"/>
  <c r="Y118" i="17"/>
  <c r="Q118" i="17" s="1"/>
  <c r="W118" i="17" s="1"/>
  <c r="Y137" i="17"/>
  <c r="Q137" i="17" s="1"/>
  <c r="W137" i="17" s="1"/>
  <c r="Y156" i="17"/>
  <c r="Q156" i="17" s="1"/>
  <c r="W156" i="17" s="1"/>
  <c r="Y175" i="17"/>
  <c r="Q175" i="17" s="1"/>
  <c r="W175" i="17" s="1"/>
  <c r="Y198" i="17"/>
  <c r="Q198" i="17" s="1"/>
  <c r="W198" i="17" s="1"/>
  <c r="Y200" i="17"/>
  <c r="Q200" i="17" s="1"/>
  <c r="W200" i="17" s="1"/>
  <c r="Y251" i="17"/>
  <c r="Q251" i="17" s="1"/>
  <c r="W251" i="17" s="1"/>
  <c r="Y270" i="17"/>
  <c r="Q270" i="17" s="1"/>
  <c r="W270" i="17" s="1"/>
  <c r="Y289" i="17"/>
  <c r="Q289" i="17" s="1"/>
  <c r="W289" i="17" s="1"/>
  <c r="Y308" i="17"/>
  <c r="Q308" i="17" s="1"/>
  <c r="W308" i="17" s="1"/>
  <c r="Y327" i="17"/>
  <c r="Q327" i="17" s="1"/>
  <c r="W327" i="17" s="1"/>
  <c r="Y403" i="17"/>
  <c r="Q403" i="17" s="1"/>
  <c r="W403" i="17" s="1"/>
  <c r="Y498" i="17"/>
  <c r="Q498" i="17" s="1"/>
  <c r="W498" i="17" s="1"/>
  <c r="Y517" i="17"/>
  <c r="Q517" i="17" s="1"/>
  <c r="W517" i="17" s="1"/>
  <c r="Y536" i="17"/>
  <c r="Q536" i="17" s="1"/>
  <c r="W536" i="17" s="1"/>
  <c r="Y426" i="17"/>
  <c r="Q426" i="17" s="1"/>
  <c r="W426" i="17" s="1"/>
  <c r="Y427" i="17"/>
  <c r="Q427" i="17" s="1"/>
  <c r="W427" i="17" s="1"/>
  <c r="Y479" i="17"/>
  <c r="Q479" i="17" s="1"/>
  <c r="W479" i="17" s="1"/>
  <c r="Y669" i="17"/>
  <c r="Q669" i="17" s="1"/>
  <c r="W669" i="17" s="1"/>
  <c r="Y688" i="17"/>
  <c r="Q688" i="17" s="1"/>
  <c r="W688" i="17" s="1"/>
  <c r="Y707" i="17"/>
  <c r="Q707" i="17" s="1"/>
  <c r="W707" i="17" s="1"/>
  <c r="Y726" i="17"/>
  <c r="Q726" i="17" s="1"/>
  <c r="W726" i="17" s="1"/>
  <c r="Y745" i="17"/>
  <c r="Q745" i="17" s="1"/>
  <c r="W745" i="17" s="1"/>
  <c r="Y799" i="17"/>
  <c r="Q799" i="17" s="1"/>
  <c r="W799" i="17" s="1"/>
  <c r="Y816" i="17"/>
  <c r="Q816" i="17" s="1"/>
  <c r="W816" i="17" s="1"/>
  <c r="Y835" i="17"/>
  <c r="Q835" i="17" s="1"/>
  <c r="W835" i="17" s="1"/>
  <c r="Y854" i="17"/>
  <c r="Q854" i="17" s="1"/>
  <c r="W854" i="17" s="1"/>
  <c r="Y873" i="17"/>
  <c r="Q873" i="17" s="1"/>
  <c r="W873" i="17" s="1"/>
  <c r="Y892" i="17"/>
  <c r="Q892" i="17" s="1"/>
  <c r="W892" i="17" s="1"/>
  <c r="Y911" i="17"/>
  <c r="Q911" i="17" s="1"/>
  <c r="W911" i="17" s="1"/>
  <c r="Y949" i="17"/>
  <c r="Q949" i="17" s="1"/>
  <c r="W949" i="17" s="1"/>
  <c r="Y968" i="17"/>
  <c r="Q968" i="17" s="1"/>
  <c r="W968" i="17" s="1"/>
  <c r="Y987" i="17"/>
  <c r="Q987" i="17" s="1"/>
  <c r="W987" i="17" s="1"/>
  <c r="Y1006" i="17"/>
  <c r="Q1006" i="17" s="1"/>
  <c r="W1006" i="17" s="1"/>
  <c r="Y1044" i="17"/>
  <c r="Q1044" i="17" s="1"/>
  <c r="W1044" i="17" s="1"/>
  <c r="Y565" i="17"/>
  <c r="Q565" i="17" s="1"/>
  <c r="W565" i="17" s="1"/>
  <c r="Y567" i="17"/>
  <c r="Q567" i="17" s="1"/>
  <c r="W567" i="17" s="1"/>
  <c r="Y568" i="17"/>
  <c r="Q568" i="17" s="1"/>
  <c r="W568" i="17" s="1"/>
  <c r="Y569" i="17"/>
  <c r="Q569" i="17" s="1"/>
  <c r="W569" i="17" s="1"/>
  <c r="Y570" i="17"/>
  <c r="Q570" i="17" s="1"/>
  <c r="W570" i="17" s="1"/>
  <c r="Y20" i="17"/>
  <c r="Q20" i="17" s="1"/>
  <c r="W20" i="17" s="1"/>
  <c r="Y21" i="17"/>
  <c r="Q21" i="17" s="1"/>
  <c r="W21" i="17" s="1"/>
  <c r="Y22" i="17"/>
  <c r="Q22" i="17" s="1"/>
  <c r="W22" i="17" s="1"/>
  <c r="Y24" i="17"/>
  <c r="Q24" i="17" s="1"/>
  <c r="W24" i="17" s="1"/>
  <c r="Y25" i="17"/>
  <c r="Q25" i="17" s="1"/>
  <c r="W25" i="17" s="1"/>
  <c r="Y138" i="17"/>
  <c r="Q138" i="17" s="1"/>
  <c r="W138" i="17" s="1"/>
  <c r="Y157" i="17"/>
  <c r="Q157" i="17" s="1"/>
  <c r="W157" i="17" s="1"/>
  <c r="Y176" i="17"/>
  <c r="Q176" i="17" s="1"/>
  <c r="W176" i="17" s="1"/>
  <c r="Y201" i="17"/>
  <c r="Q201" i="17" s="1"/>
  <c r="W201" i="17" s="1"/>
  <c r="Y203" i="17"/>
  <c r="Q203" i="17" s="1"/>
  <c r="W203" i="17" s="1"/>
  <c r="Y252" i="17"/>
  <c r="Q252" i="17" s="1"/>
  <c r="W252" i="17" s="1"/>
  <c r="Y271" i="17"/>
  <c r="Q271" i="17" s="1"/>
  <c r="W271" i="17" s="1"/>
  <c r="Y290" i="17"/>
  <c r="Q290" i="17" s="1"/>
  <c r="W290" i="17" s="1"/>
  <c r="Y309" i="17"/>
  <c r="Q309" i="17" s="1"/>
  <c r="W309" i="17" s="1"/>
  <c r="Y328" i="17"/>
  <c r="Q328" i="17" s="1"/>
  <c r="W328" i="17" s="1"/>
  <c r="Y347" i="17"/>
  <c r="Q347" i="17" s="1"/>
  <c r="W347" i="17" s="1"/>
  <c r="Y385" i="17"/>
  <c r="Q385" i="17" s="1"/>
  <c r="W385" i="17" s="1"/>
  <c r="Y404" i="17"/>
  <c r="Q404" i="17" s="1"/>
  <c r="W404" i="17" s="1"/>
  <c r="Y518" i="17"/>
  <c r="Q518" i="17" s="1"/>
  <c r="W518" i="17" s="1"/>
  <c r="Y537" i="17"/>
  <c r="Q537" i="17" s="1"/>
  <c r="W537" i="17" s="1"/>
  <c r="Y429" i="17"/>
  <c r="Q429" i="17" s="1"/>
  <c r="W429" i="17" s="1"/>
  <c r="Y430" i="17"/>
  <c r="Q430" i="17" s="1"/>
  <c r="W430" i="17" s="1"/>
  <c r="Y480" i="17"/>
  <c r="Q480" i="17" s="1"/>
  <c r="W480" i="17" s="1"/>
  <c r="Y670" i="17"/>
  <c r="Q670" i="17" s="1"/>
  <c r="W670" i="17" s="1"/>
  <c r="Y689" i="17"/>
  <c r="Q689" i="17" s="1"/>
  <c r="W689" i="17" s="1"/>
  <c r="Y727" i="17"/>
  <c r="Q727" i="17" s="1"/>
  <c r="W727" i="17" s="1"/>
  <c r="Y746" i="17"/>
  <c r="Q746" i="17" s="1"/>
  <c r="W746" i="17" s="1"/>
  <c r="Y765" i="17"/>
  <c r="Q765" i="17" s="1"/>
  <c r="W765" i="17" s="1"/>
  <c r="Y810" i="17"/>
  <c r="Q810" i="17" s="1"/>
  <c r="W810" i="17" s="1"/>
  <c r="Y817" i="17"/>
  <c r="Q817" i="17" s="1"/>
  <c r="W817" i="17" s="1"/>
  <c r="Y836" i="17"/>
  <c r="Q836" i="17" s="1"/>
  <c r="W836" i="17" s="1"/>
  <c r="Y855" i="17"/>
  <c r="Q855" i="17" s="1"/>
  <c r="W855" i="17" s="1"/>
  <c r="Y893" i="17"/>
  <c r="Q893" i="17" s="1"/>
  <c r="W893" i="17" s="1"/>
  <c r="Y950" i="17"/>
  <c r="Q950" i="17" s="1"/>
  <c r="W950" i="17" s="1"/>
  <c r="Y969" i="17"/>
  <c r="Q969" i="17" s="1"/>
  <c r="W969" i="17" s="1"/>
  <c r="Y988" i="17"/>
  <c r="Q988" i="17" s="1"/>
  <c r="W988" i="17" s="1"/>
  <c r="Y1026" i="17"/>
  <c r="Q1026" i="17" s="1"/>
  <c r="W1026" i="17" s="1"/>
  <c r="Y1045" i="17"/>
  <c r="Q1045" i="17" s="1"/>
  <c r="W1045" i="17" s="1"/>
  <c r="Y571" i="17"/>
  <c r="Q571" i="17" s="1"/>
  <c r="W571" i="17" s="1"/>
  <c r="Y573" i="17"/>
  <c r="Q573" i="17" s="1"/>
  <c r="W573" i="17" s="1"/>
  <c r="Y574" i="17"/>
  <c r="Q574" i="17" s="1"/>
  <c r="W574" i="17" s="1"/>
  <c r="Y575" i="17"/>
  <c r="Q575" i="17" s="1"/>
  <c r="W575" i="17" s="1"/>
  <c r="Y576" i="17"/>
  <c r="Q576" i="17" s="1"/>
  <c r="W576" i="17" s="1"/>
  <c r="Y26" i="17"/>
  <c r="Q26" i="17" s="1"/>
  <c r="W26" i="17" s="1"/>
  <c r="Y27" i="17"/>
  <c r="Q27" i="17" s="1"/>
  <c r="W27" i="17" s="1"/>
  <c r="Y28" i="17"/>
  <c r="Q28" i="17" s="1"/>
  <c r="W28" i="17" s="1"/>
  <c r="Y31" i="17"/>
  <c r="Q31" i="17" s="1"/>
  <c r="W31" i="17" s="1"/>
  <c r="Y120" i="17"/>
  <c r="Q120" i="17" s="1"/>
  <c r="W120" i="17" s="1"/>
  <c r="Y158" i="17"/>
  <c r="Q158" i="17" s="1"/>
  <c r="W158" i="17" s="1"/>
  <c r="Y177" i="17"/>
  <c r="Q177" i="17" s="1"/>
  <c r="W177" i="17" s="1"/>
  <c r="Y204" i="17"/>
  <c r="Q204" i="17" s="1"/>
  <c r="W204" i="17" s="1"/>
  <c r="Y206" i="17"/>
  <c r="Q206" i="17" s="1"/>
  <c r="W206" i="17" s="1"/>
  <c r="Y253" i="17"/>
  <c r="Q253" i="17" s="1"/>
  <c r="W253" i="17" s="1"/>
  <c r="Y272" i="17"/>
  <c r="Q272" i="17" s="1"/>
  <c r="W272" i="17" s="1"/>
  <c r="Y291" i="17"/>
  <c r="Q291" i="17" s="1"/>
  <c r="W291" i="17" s="1"/>
  <c r="Y329" i="17"/>
  <c r="Q329" i="17" s="1"/>
  <c r="W329" i="17" s="1"/>
  <c r="Y386" i="17"/>
  <c r="Q386" i="17" s="1"/>
  <c r="W386" i="17" s="1"/>
  <c r="Y405" i="17"/>
  <c r="Q405" i="17" s="1"/>
  <c r="W405" i="17" s="1"/>
  <c r="Y500" i="17"/>
  <c r="Q500" i="17" s="1"/>
  <c r="W500" i="17" s="1"/>
  <c r="Y538" i="17"/>
  <c r="Q538" i="17" s="1"/>
  <c r="W538" i="17" s="1"/>
  <c r="Y432" i="17"/>
  <c r="Q432" i="17" s="1"/>
  <c r="W432" i="17" s="1"/>
  <c r="Y481" i="17"/>
  <c r="Q481" i="17" s="1"/>
  <c r="W481" i="17" s="1"/>
  <c r="Y671" i="17"/>
  <c r="Q671" i="17" s="1"/>
  <c r="W671" i="17" s="1"/>
  <c r="Y690" i="17"/>
  <c r="Q690" i="17" s="1"/>
  <c r="W690" i="17" s="1"/>
  <c r="Y747" i="17"/>
  <c r="Q747" i="17" s="1"/>
  <c r="W747" i="17" s="1"/>
  <c r="Y818" i="17"/>
  <c r="Q818" i="17" s="1"/>
  <c r="W818" i="17" s="1"/>
  <c r="Y837" i="17"/>
  <c r="Q837" i="17" s="1"/>
  <c r="W837" i="17" s="1"/>
  <c r="Y875" i="17"/>
  <c r="Q875" i="17" s="1"/>
  <c r="W875" i="17" s="1"/>
  <c r="Y913" i="17"/>
  <c r="Q913" i="17" s="1"/>
  <c r="W913" i="17" s="1"/>
  <c r="Y932" i="17"/>
  <c r="Q932" i="17" s="1"/>
  <c r="W932" i="17" s="1"/>
  <c r="Y989" i="17"/>
  <c r="Q989" i="17" s="1"/>
  <c r="W989" i="17" s="1"/>
  <c r="Y1046" i="17"/>
  <c r="Q1046" i="17" s="1"/>
  <c r="W1046" i="17" s="1"/>
  <c r="Y577" i="17"/>
  <c r="Q577" i="17" s="1"/>
  <c r="W577" i="17" s="1"/>
  <c r="Y578" i="17"/>
  <c r="Q578" i="17" s="1"/>
  <c r="W578" i="17" s="1"/>
  <c r="Y581" i="17"/>
  <c r="Q581" i="17" s="1"/>
  <c r="W581" i="17" s="1"/>
  <c r="Y34" i="17"/>
  <c r="Q34" i="17" s="1"/>
  <c r="W34" i="17" s="1"/>
  <c r="Y35" i="17"/>
  <c r="Q35" i="17" s="1"/>
  <c r="W35" i="17" s="1"/>
  <c r="Y37" i="17"/>
  <c r="Q37" i="17" s="1"/>
  <c r="W37" i="17" s="1"/>
  <c r="Y121" i="17"/>
  <c r="Q121" i="17" s="1"/>
  <c r="W121" i="17" s="1"/>
  <c r="Y140" i="17"/>
  <c r="Q140" i="17" s="1"/>
  <c r="W140" i="17" s="1"/>
  <c r="Y207" i="17"/>
  <c r="Q207" i="17" s="1"/>
  <c r="W207" i="17" s="1"/>
  <c r="Y209" i="17"/>
  <c r="Q209" i="17" s="1"/>
  <c r="W209" i="17" s="1"/>
  <c r="Y254" i="17"/>
  <c r="Q254" i="17" s="1"/>
  <c r="W254" i="17" s="1"/>
  <c r="Y273" i="17"/>
  <c r="Q273" i="17" s="1"/>
  <c r="W273" i="17" s="1"/>
  <c r="Y349" i="17"/>
  <c r="Q349" i="17" s="1"/>
  <c r="W349" i="17" s="1"/>
  <c r="Y368" i="17"/>
  <c r="Q368" i="17" s="1"/>
  <c r="W368" i="17" s="1"/>
  <c r="Y406" i="17"/>
  <c r="Q406" i="17" s="1"/>
  <c r="W406" i="17" s="1"/>
  <c r="Y501" i="17"/>
  <c r="Q501" i="17" s="1"/>
  <c r="W501" i="17" s="1"/>
  <c r="Y436" i="17"/>
  <c r="Q436" i="17" s="1"/>
  <c r="W436" i="17" s="1"/>
  <c r="Y437" i="17"/>
  <c r="Q437" i="17" s="1"/>
  <c r="W437" i="17" s="1"/>
  <c r="Y482" i="17"/>
  <c r="Q482" i="17" s="1"/>
  <c r="W482" i="17" s="1"/>
  <c r="Y691" i="17"/>
  <c r="Q691" i="17" s="1"/>
  <c r="W691" i="17" s="1"/>
  <c r="Y767" i="17"/>
  <c r="Q767" i="17" s="1"/>
  <c r="W767" i="17" s="1"/>
  <c r="Y819" i="17"/>
  <c r="Q819" i="17" s="1"/>
  <c r="W819" i="17" s="1"/>
  <c r="Y838" i="17"/>
  <c r="Q838" i="17" s="1"/>
  <c r="W838" i="17" s="1"/>
  <c r="Y857" i="17"/>
  <c r="Q857" i="17" s="1"/>
  <c r="W857" i="17" s="1"/>
  <c r="Y876" i="17"/>
  <c r="Q876" i="17" s="1"/>
  <c r="W876" i="17" s="1"/>
  <c r="Y952" i="17"/>
  <c r="Q952" i="17" s="1"/>
  <c r="W952" i="17" s="1"/>
  <c r="Y990" i="17"/>
  <c r="Q990" i="17" s="1"/>
  <c r="W990" i="17" s="1"/>
  <c r="Y1009" i="17"/>
  <c r="Q1009" i="17" s="1"/>
  <c r="W1009" i="17" s="1"/>
  <c r="Y1028" i="17"/>
  <c r="Q1028" i="17" s="1"/>
  <c r="W1028" i="17" s="1"/>
  <c r="Y583" i="17"/>
  <c r="Q583" i="17" s="1"/>
  <c r="W583" i="17" s="1"/>
  <c r="Y585" i="17"/>
  <c r="Q585" i="17" s="1"/>
  <c r="W585" i="17" s="1"/>
  <c r="Y586" i="17"/>
  <c r="Q586" i="17" s="1"/>
  <c r="W586" i="17" s="1"/>
  <c r="Y588" i="17"/>
  <c r="Q588" i="17" s="1"/>
  <c r="W588" i="17" s="1"/>
  <c r="Y38" i="17"/>
  <c r="Q38" i="17" s="1"/>
  <c r="W38" i="17" s="1"/>
  <c r="Y42" i="17"/>
  <c r="Q42" i="17" s="1"/>
  <c r="W42" i="17" s="1"/>
  <c r="Y122" i="17"/>
  <c r="Q122" i="17" s="1"/>
  <c r="W122" i="17" s="1"/>
  <c r="Y160" i="17"/>
  <c r="Q160" i="17" s="1"/>
  <c r="W160" i="17" s="1"/>
  <c r="Y212" i="17"/>
  <c r="Q212" i="17" s="1"/>
  <c r="W212" i="17" s="1"/>
  <c r="Y255" i="17"/>
  <c r="Q255" i="17" s="1"/>
  <c r="W255" i="17" s="1"/>
  <c r="Y274" i="17"/>
  <c r="Q274" i="17" s="1"/>
  <c r="W274" i="17" s="1"/>
  <c r="Y293" i="17"/>
  <c r="Q293" i="17" s="1"/>
  <c r="W293" i="17" s="1"/>
  <c r="Y312" i="17"/>
  <c r="Q312" i="17" s="1"/>
  <c r="W312" i="17" s="1"/>
  <c r="Y388" i="17"/>
  <c r="Q388" i="17" s="1"/>
  <c r="W388" i="17" s="1"/>
  <c r="Y502" i="17"/>
  <c r="Q502" i="17" s="1"/>
  <c r="W502" i="17" s="1"/>
  <c r="Y521" i="17"/>
  <c r="Q521" i="17" s="1"/>
  <c r="W521" i="17" s="1"/>
  <c r="Y540" i="17"/>
  <c r="Q540" i="17" s="1"/>
  <c r="W540" i="17" s="1"/>
  <c r="Y483" i="17"/>
  <c r="Q483" i="17" s="1"/>
  <c r="W483" i="17" s="1"/>
  <c r="Y673" i="17"/>
  <c r="Q673" i="17" s="1"/>
  <c r="W673" i="17" s="1"/>
  <c r="Y711" i="17"/>
  <c r="Q711" i="17" s="1"/>
  <c r="W711" i="17" s="1"/>
  <c r="Y730" i="17"/>
  <c r="Q730" i="17" s="1"/>
  <c r="W730" i="17" s="1"/>
  <c r="Y785" i="17"/>
  <c r="Q785" i="17" s="1"/>
  <c r="W785" i="17" s="1"/>
  <c r="Y801" i="17"/>
  <c r="Q801" i="17" s="1"/>
  <c r="W801" i="17" s="1"/>
  <c r="Y820" i="17"/>
  <c r="Q820" i="17" s="1"/>
  <c r="W820" i="17" s="1"/>
  <c r="Y839" i="17"/>
  <c r="Q839" i="17" s="1"/>
  <c r="W839" i="17" s="1"/>
  <c r="Y877" i="17"/>
  <c r="Q877" i="17" s="1"/>
  <c r="W877" i="17" s="1"/>
  <c r="Y953" i="17"/>
  <c r="Q953" i="17" s="1"/>
  <c r="W953" i="17" s="1"/>
  <c r="Y972" i="17"/>
  <c r="Q972" i="17" s="1"/>
  <c r="W972" i="17" s="1"/>
  <c r="Y1010" i="17"/>
  <c r="Q1010" i="17" s="1"/>
  <c r="W1010" i="17" s="1"/>
  <c r="Y1029" i="17"/>
  <c r="Q1029" i="17" s="1"/>
  <c r="W1029" i="17" s="1"/>
  <c r="Y591" i="17"/>
  <c r="Q591" i="17" s="1"/>
  <c r="W591" i="17" s="1"/>
  <c r="Y593" i="17"/>
  <c r="Q593" i="17" s="1"/>
  <c r="W593" i="17" s="1"/>
  <c r="Y594" i="17"/>
  <c r="Q594" i="17" s="1"/>
  <c r="W594" i="17" s="1"/>
  <c r="Y44" i="17"/>
  <c r="Q44" i="17" s="1"/>
  <c r="W44" i="17" s="1"/>
  <c r="Y48" i="17"/>
  <c r="Q48" i="17" s="1"/>
  <c r="W48" i="17" s="1"/>
  <c r="Y49" i="17"/>
  <c r="Q49" i="17" s="1"/>
  <c r="W49" i="17" s="1"/>
  <c r="Y142" i="17"/>
  <c r="Q142" i="17" s="1"/>
  <c r="W142" i="17" s="1"/>
  <c r="Y161" i="17"/>
  <c r="Q161" i="17" s="1"/>
  <c r="W161" i="17" s="1"/>
  <c r="Y215" i="17"/>
  <c r="Q215" i="17" s="1"/>
  <c r="W215" i="17" s="1"/>
  <c r="Y256" i="17"/>
  <c r="Q256" i="17" s="1"/>
  <c r="W256" i="17" s="1"/>
  <c r="Y275" i="17"/>
  <c r="Q275" i="17" s="1"/>
  <c r="W275" i="17" s="1"/>
  <c r="Y313" i="17"/>
  <c r="Q313" i="17" s="1"/>
  <c r="W313" i="17" s="1"/>
  <c r="Y389" i="17"/>
  <c r="Q389" i="17" s="1"/>
  <c r="W389" i="17" s="1"/>
  <c r="Y408" i="17"/>
  <c r="Q408" i="17" s="1"/>
  <c r="W408" i="17" s="1"/>
  <c r="Y503" i="17"/>
  <c r="Q503" i="17" s="1"/>
  <c r="W503" i="17" s="1"/>
  <c r="Y522" i="17"/>
  <c r="Q522" i="17" s="1"/>
  <c r="W522" i="17" s="1"/>
  <c r="Y541" i="17"/>
  <c r="Q541" i="17" s="1"/>
  <c r="W541" i="17" s="1"/>
  <c r="Y484" i="17"/>
  <c r="Q484" i="17" s="1"/>
  <c r="W484" i="17" s="1"/>
  <c r="Y693" i="17"/>
  <c r="Q693" i="17" s="1"/>
  <c r="W693" i="17" s="1"/>
  <c r="Y712" i="17"/>
  <c r="Q712" i="17" s="1"/>
  <c r="W712" i="17" s="1"/>
  <c r="Y731" i="17"/>
  <c r="Q731" i="17" s="1"/>
  <c r="W731" i="17" s="1"/>
  <c r="Y802" i="17"/>
  <c r="Q802" i="17" s="1"/>
  <c r="W802" i="17" s="1"/>
  <c r="Y821" i="17"/>
  <c r="Q821" i="17" s="1"/>
  <c r="W821" i="17" s="1"/>
  <c r="Y859" i="17"/>
  <c r="Q859" i="17" s="1"/>
  <c r="W859" i="17" s="1"/>
  <c r="Y878" i="17"/>
  <c r="Q878" i="17" s="1"/>
  <c r="W878" i="17" s="1"/>
  <c r="Y935" i="17"/>
  <c r="Q935" i="17" s="1"/>
  <c r="W935" i="17" s="1"/>
  <c r="Y954" i="17"/>
  <c r="Q954" i="17" s="1"/>
  <c r="W954" i="17" s="1"/>
  <c r="Y973" i="17"/>
  <c r="Q973" i="17" s="1"/>
  <c r="W973" i="17" s="1"/>
  <c r="Y1030" i="17"/>
  <c r="Q1030" i="17" s="1"/>
  <c r="W1030" i="17" s="1"/>
  <c r="Y597" i="17"/>
  <c r="Q597" i="17" s="1"/>
  <c r="W597" i="17" s="1"/>
  <c r="Y598" i="17"/>
  <c r="Q598" i="17" s="1"/>
  <c r="W598" i="17" s="1"/>
  <c r="Y599" i="17"/>
  <c r="Q599" i="17" s="1"/>
  <c r="W599" i="17" s="1"/>
  <c r="Y600" i="17"/>
  <c r="Q600" i="17" s="1"/>
  <c r="W600" i="17" s="1"/>
  <c r="Y50" i="17"/>
  <c r="Q50" i="17" s="1"/>
  <c r="W50" i="17" s="1"/>
  <c r="Y54" i="17"/>
  <c r="Q54" i="17" s="1"/>
  <c r="W54" i="17" s="1"/>
  <c r="Y143" i="17"/>
  <c r="Q143" i="17" s="1"/>
  <c r="W143" i="17" s="1"/>
  <c r="Y162" i="17"/>
  <c r="Q162" i="17" s="1"/>
  <c r="W162" i="17" s="1"/>
  <c r="Y218" i="17"/>
  <c r="Q218" i="17" s="1"/>
  <c r="W218" i="17" s="1"/>
  <c r="Y257" i="17"/>
  <c r="Q257" i="17" s="1"/>
  <c r="W257" i="17" s="1"/>
  <c r="Y295" i="17"/>
  <c r="Q295" i="17" s="1"/>
  <c r="W295" i="17" s="1"/>
  <c r="Y314" i="17"/>
  <c r="Q314" i="17" s="1"/>
  <c r="W314" i="17" s="1"/>
  <c r="Y371" i="17"/>
  <c r="Q371" i="17" s="1"/>
  <c r="W371" i="17" s="1"/>
  <c r="Y390" i="17"/>
  <c r="Q390" i="17" s="1"/>
  <c r="W390" i="17" s="1"/>
  <c r="Y409" i="17"/>
  <c r="Q409" i="17" s="1"/>
  <c r="W409" i="17" s="1"/>
  <c r="Y504" i="17"/>
  <c r="Q504" i="17" s="1"/>
  <c r="W504" i="17" s="1"/>
  <c r="Y542" i="17"/>
  <c r="Q542" i="17" s="1"/>
  <c r="W542" i="17" s="1"/>
  <c r="Y485" i="17"/>
  <c r="Q485" i="17" s="1"/>
  <c r="W485" i="17" s="1"/>
  <c r="Y675" i="17"/>
  <c r="Q675" i="17" s="1"/>
  <c r="W675" i="17" s="1"/>
  <c r="Y694" i="17"/>
  <c r="Q694" i="17" s="1"/>
  <c r="W694" i="17" s="1"/>
  <c r="Y713" i="17"/>
  <c r="Q713" i="17" s="1"/>
  <c r="W713" i="17" s="1"/>
  <c r="Y732" i="17"/>
  <c r="Q732" i="17" s="1"/>
  <c r="W732" i="17" s="1"/>
  <c r="Y822" i="17"/>
  <c r="Q822" i="17" s="1"/>
  <c r="W822" i="17" s="1"/>
  <c r="Y860" i="17"/>
  <c r="Q860" i="17" s="1"/>
  <c r="W860" i="17" s="1"/>
  <c r="Y879" i="17"/>
  <c r="Q879" i="17" s="1"/>
  <c r="W879" i="17" s="1"/>
  <c r="Y898" i="17"/>
  <c r="Q898" i="17" s="1"/>
  <c r="W898" i="17" s="1"/>
  <c r="Y974" i="17"/>
  <c r="Q974" i="17" s="1"/>
  <c r="W974" i="17" s="1"/>
  <c r="Y993" i="17"/>
  <c r="Q993" i="17" s="1"/>
  <c r="W993" i="17" s="1"/>
  <c r="Y1031" i="17"/>
  <c r="Q1031" i="17" s="1"/>
  <c r="W1031" i="17" s="1"/>
  <c r="Y1050" i="17"/>
  <c r="Q1050" i="17" s="1"/>
  <c r="W1050" i="17" s="1"/>
  <c r="Y604" i="17"/>
  <c r="Q604" i="17" s="1"/>
  <c r="W604" i="17" s="1"/>
  <c r="Y605" i="17"/>
  <c r="Q605" i="17" s="1"/>
  <c r="W605" i="17" s="1"/>
  <c r="Y606" i="17"/>
  <c r="Q606" i="17" s="1"/>
  <c r="W606" i="17" s="1"/>
  <c r="Y57" i="17"/>
  <c r="Q57" i="17" s="1"/>
  <c r="W57" i="17" s="1"/>
  <c r="Y61" i="17"/>
  <c r="Q61" i="17" s="1"/>
  <c r="W61" i="17" s="1"/>
  <c r="Y125" i="17"/>
  <c r="Q125" i="17" s="1"/>
  <c r="W125" i="17" s="1"/>
  <c r="Y144" i="17"/>
  <c r="Q144" i="17" s="1"/>
  <c r="W144" i="17" s="1"/>
  <c r="Y182" i="17"/>
  <c r="Q182" i="17" s="1"/>
  <c r="W182" i="17" s="1"/>
  <c r="Y258" i="17"/>
  <c r="Q258" i="17" s="1"/>
  <c r="W258" i="17" s="1"/>
  <c r="Y296" i="17"/>
  <c r="Q296" i="17" s="1"/>
  <c r="W296" i="17" s="1"/>
  <c r="Y315" i="17"/>
  <c r="Q315" i="17" s="1"/>
  <c r="W315" i="17" s="1"/>
  <c r="Y334" i="17"/>
  <c r="Q334" i="17" s="1"/>
  <c r="W334" i="17" s="1"/>
  <c r="Y372" i="17"/>
  <c r="Q372" i="17" s="1"/>
  <c r="W372" i="17" s="1"/>
  <c r="Y391" i="17"/>
  <c r="Q391" i="17" s="1"/>
  <c r="W391" i="17" s="1"/>
  <c r="Y524" i="17"/>
  <c r="Q524" i="17" s="1"/>
  <c r="W524" i="17" s="1"/>
  <c r="Y543" i="17"/>
  <c r="Q543" i="17" s="1"/>
  <c r="W543" i="17" s="1"/>
  <c r="Y447" i="17"/>
  <c r="Q447" i="17" s="1"/>
  <c r="W447" i="17" s="1"/>
  <c r="Y449" i="17"/>
  <c r="Q449" i="17" s="1"/>
  <c r="W449" i="17" s="1"/>
  <c r="Y676" i="17"/>
  <c r="Q676" i="17" s="1"/>
  <c r="W676" i="17" s="1"/>
  <c r="Y714" i="17"/>
  <c r="Q714" i="17" s="1"/>
  <c r="W714" i="17" s="1"/>
  <c r="Y752" i="17"/>
  <c r="Q752" i="17" s="1"/>
  <c r="W752" i="17" s="1"/>
  <c r="Y811" i="17"/>
  <c r="Q811" i="17" s="1"/>
  <c r="W811" i="17" s="1"/>
  <c r="Y842" i="17"/>
  <c r="Q842" i="17" s="1"/>
  <c r="W842" i="17" s="1"/>
  <c r="Y880" i="17"/>
  <c r="Q880" i="17" s="1"/>
  <c r="W880" i="17" s="1"/>
  <c r="Y918" i="17"/>
  <c r="Q918" i="17" s="1"/>
  <c r="W918" i="17" s="1"/>
  <c r="Y937" i="17"/>
  <c r="Q937" i="17" s="1"/>
  <c r="W937" i="17" s="1"/>
  <c r="Y956" i="17"/>
  <c r="Q956" i="17" s="1"/>
  <c r="W956" i="17" s="1"/>
  <c r="Y975" i="17"/>
  <c r="Q975" i="17" s="1"/>
  <c r="W975" i="17" s="1"/>
  <c r="Y1032" i="17"/>
  <c r="Q1032" i="17" s="1"/>
  <c r="W1032" i="17" s="1"/>
  <c r="Y1051" i="17"/>
  <c r="Q1051" i="17" s="1"/>
  <c r="W1051" i="17" s="1"/>
  <c r="Y608" i="17"/>
  <c r="Q608" i="17" s="1"/>
  <c r="W608" i="17" s="1"/>
  <c r="Y609" i="17"/>
  <c r="Q609" i="17" s="1"/>
  <c r="W609" i="17" s="1"/>
  <c r="Y611" i="17"/>
  <c r="Q611" i="17" s="1"/>
  <c r="W611" i="17" s="1"/>
  <c r="Y62" i="17"/>
  <c r="Q62" i="17" s="1"/>
  <c r="W62" i="17" s="1"/>
  <c r="Y63" i="17"/>
  <c r="Q63" i="17" s="1"/>
  <c r="W63" i="17" s="1"/>
  <c r="Y66" i="17"/>
  <c r="Q66" i="17" s="1"/>
  <c r="W66" i="17" s="1"/>
  <c r="Y67" i="17"/>
  <c r="Q67" i="17" s="1"/>
  <c r="W67" i="17" s="1"/>
  <c r="Y145" i="17"/>
  <c r="Q145" i="17" s="1"/>
  <c r="W145" i="17" s="1"/>
  <c r="Y164" i="17"/>
  <c r="Q164" i="17" s="1"/>
  <c r="W164" i="17" s="1"/>
  <c r="Y183" i="17"/>
  <c r="Q183" i="17" s="1"/>
  <c r="W183" i="17" s="1"/>
  <c r="Y222" i="17"/>
  <c r="Q222" i="17" s="1"/>
  <c r="W222" i="17" s="1"/>
  <c r="Y223" i="17"/>
  <c r="Q223" i="17" s="1"/>
  <c r="W223" i="17" s="1"/>
  <c r="Y224" i="17"/>
  <c r="Q224" i="17" s="1"/>
  <c r="W224" i="17" s="1"/>
  <c r="Y278" i="17"/>
  <c r="Q278" i="17" s="1"/>
  <c r="W278" i="17" s="1"/>
  <c r="Y316" i="17"/>
  <c r="Q316" i="17" s="1"/>
  <c r="W316" i="17" s="1"/>
  <c r="Y354" i="17"/>
  <c r="Q354" i="17" s="1"/>
  <c r="W354" i="17" s="1"/>
  <c r="Y373" i="17"/>
  <c r="Q373" i="17" s="1"/>
  <c r="W373" i="17" s="1"/>
  <c r="Y392" i="17"/>
  <c r="Q392" i="17" s="1"/>
  <c r="W392" i="17" s="1"/>
  <c r="Y411" i="17"/>
  <c r="Q411" i="17" s="1"/>
  <c r="W411" i="17" s="1"/>
  <c r="Y525" i="17"/>
  <c r="Q525" i="17" s="1"/>
  <c r="W525" i="17" s="1"/>
  <c r="Y544" i="17"/>
  <c r="Q544" i="17" s="1"/>
  <c r="W544" i="17" s="1"/>
  <c r="Y450" i="17"/>
  <c r="Q450" i="17" s="1"/>
  <c r="W450" i="17" s="1"/>
  <c r="Y452" i="17"/>
  <c r="Q452" i="17" s="1"/>
  <c r="W452" i="17" s="1"/>
  <c r="Y487" i="17"/>
  <c r="Q487" i="17" s="1"/>
  <c r="W487" i="17" s="1"/>
  <c r="Y696" i="17"/>
  <c r="Q696" i="17" s="1"/>
  <c r="W696" i="17" s="1"/>
  <c r="Y734" i="17"/>
  <c r="Q734" i="17" s="1"/>
  <c r="W734" i="17" s="1"/>
  <c r="Y753" i="17"/>
  <c r="Q753" i="17" s="1"/>
  <c r="W753" i="17" s="1"/>
  <c r="Y772" i="17"/>
  <c r="Q772" i="17" s="1"/>
  <c r="W772" i="17" s="1"/>
  <c r="Y824" i="17"/>
  <c r="Q824" i="17" s="1"/>
  <c r="W824" i="17" s="1"/>
  <c r="Y843" i="17"/>
  <c r="Q843" i="17" s="1"/>
  <c r="W843" i="17" s="1"/>
  <c r="Y881" i="17"/>
  <c r="Q881" i="17" s="1"/>
  <c r="W881" i="17" s="1"/>
  <c r="Y900" i="17"/>
  <c r="Q900" i="17" s="1"/>
  <c r="W900" i="17" s="1"/>
  <c r="Y919" i="17"/>
  <c r="Q919" i="17" s="1"/>
  <c r="W919" i="17" s="1"/>
  <c r="Y938" i="17"/>
  <c r="Q938" i="17" s="1"/>
  <c r="W938" i="17" s="1"/>
  <c r="Y957" i="17"/>
  <c r="Q957" i="17" s="1"/>
  <c r="W957" i="17" s="1"/>
  <c r="Y976" i="17"/>
  <c r="Q976" i="17" s="1"/>
  <c r="W976" i="17" s="1"/>
  <c r="Y1052" i="17"/>
  <c r="Q1052" i="17" s="1"/>
  <c r="W1052" i="17" s="1"/>
  <c r="Y616" i="17"/>
  <c r="Q616" i="17" s="1"/>
  <c r="W616" i="17" s="1"/>
  <c r="Y617" i="17"/>
  <c r="Q617" i="17" s="1"/>
  <c r="W617" i="17" s="1"/>
  <c r="Y68" i="17"/>
  <c r="Q68" i="17" s="1"/>
  <c r="W68" i="17" s="1"/>
  <c r="Y69" i="17"/>
  <c r="Q69" i="17" s="1"/>
  <c r="W69" i="17" s="1"/>
  <c r="Y70" i="17"/>
  <c r="Q70" i="17" s="1"/>
  <c r="W70" i="17" s="1"/>
  <c r="Y72" i="17"/>
  <c r="Q72" i="17" s="1"/>
  <c r="W72" i="17" s="1"/>
  <c r="Y73" i="17"/>
  <c r="Q73" i="17" s="1"/>
  <c r="W73" i="17" s="1"/>
  <c r="Y165" i="17"/>
  <c r="Q165" i="17" s="1"/>
  <c r="W165" i="17" s="1"/>
  <c r="Y184" i="17"/>
  <c r="Q184" i="17" s="1"/>
  <c r="W184" i="17" s="1"/>
  <c r="Y225" i="17"/>
  <c r="Q225" i="17" s="1"/>
  <c r="W225" i="17" s="1"/>
  <c r="Y227" i="17"/>
  <c r="Q227" i="17" s="1"/>
  <c r="W227" i="17" s="1"/>
  <c r="Y260" i="17"/>
  <c r="Q260" i="17" s="1"/>
  <c r="W260" i="17" s="1"/>
  <c r="Y279" i="17"/>
  <c r="Q279" i="17" s="1"/>
  <c r="W279" i="17" s="1"/>
  <c r="Y298" i="17"/>
  <c r="Q298" i="17" s="1"/>
  <c r="W298" i="17" s="1"/>
  <c r="Y355" i="17"/>
  <c r="Q355" i="17" s="1"/>
  <c r="W355" i="17" s="1"/>
  <c r="Y374" i="17"/>
  <c r="Q374" i="17" s="1"/>
  <c r="W374" i="17" s="1"/>
  <c r="Y412" i="17"/>
  <c r="Q412" i="17" s="1"/>
  <c r="W412" i="17" s="1"/>
  <c r="Y507" i="17"/>
  <c r="Q507" i="17" s="1"/>
  <c r="W507" i="17" s="1"/>
  <c r="Y526" i="17"/>
  <c r="Q526" i="17" s="1"/>
  <c r="W526" i="17" s="1"/>
  <c r="Y545" i="17"/>
  <c r="Q545" i="17" s="1"/>
  <c r="W545" i="17" s="1"/>
  <c r="Y453" i="17"/>
  <c r="Q453" i="17" s="1"/>
  <c r="W453" i="17" s="1"/>
  <c r="Y455" i="17"/>
  <c r="Q455" i="17" s="1"/>
  <c r="W455" i="17" s="1"/>
  <c r="Y488" i="17"/>
  <c r="Q488" i="17" s="1"/>
  <c r="W488" i="17" s="1"/>
  <c r="Y697" i="17"/>
  <c r="Q697" i="17" s="1"/>
  <c r="W697" i="17" s="1"/>
  <c r="Y735" i="17"/>
  <c r="Q735" i="17" s="1"/>
  <c r="W735" i="17" s="1"/>
  <c r="Y754" i="17"/>
  <c r="Q754" i="17" s="1"/>
  <c r="W754" i="17" s="1"/>
  <c r="Y773" i="17"/>
  <c r="Q773" i="17" s="1"/>
  <c r="W773" i="17" s="1"/>
  <c r="Y790" i="17"/>
  <c r="Q790" i="17" s="1"/>
  <c r="W790" i="17" s="1"/>
  <c r="Y863" i="17"/>
  <c r="Q863" i="17" s="1"/>
  <c r="W863" i="17" s="1"/>
  <c r="Y882" i="17"/>
  <c r="Q882" i="17" s="1"/>
  <c r="W882" i="17" s="1"/>
  <c r="Y901" i="17"/>
  <c r="Q901" i="17" s="1"/>
  <c r="W901" i="17" s="1"/>
  <c r="Y920" i="17"/>
  <c r="Q920" i="17" s="1"/>
  <c r="W920" i="17" s="1"/>
  <c r="Y939" i="17"/>
  <c r="Q939" i="17" s="1"/>
  <c r="W939" i="17" s="1"/>
  <c r="Y977" i="17"/>
  <c r="Q977" i="17" s="1"/>
  <c r="W977" i="17" s="1"/>
  <c r="Y996" i="17"/>
  <c r="Q996" i="17" s="1"/>
  <c r="W996" i="17" s="1"/>
  <c r="Y1015" i="17"/>
  <c r="Q1015" i="17" s="1"/>
  <c r="W1015" i="17" s="1"/>
  <c r="Y1034" i="17"/>
  <c r="Q1034" i="17" s="1"/>
  <c r="W1034" i="17" s="1"/>
  <c r="Y1053" i="17"/>
  <c r="Q1053" i="17" s="1"/>
  <c r="W1053" i="17" s="1"/>
  <c r="Y619" i="17"/>
  <c r="Q619" i="17" s="1"/>
  <c r="W619" i="17" s="1"/>
  <c r="Y620" i="17"/>
  <c r="Q620" i="17" s="1"/>
  <c r="W620" i="17" s="1"/>
  <c r="Y623" i="17"/>
  <c r="Q623" i="17" s="1"/>
  <c r="W623" i="17" s="1"/>
  <c r="Y624" i="17"/>
  <c r="Q624" i="17" s="1"/>
  <c r="W624" i="17" s="1"/>
  <c r="Y74" i="17"/>
  <c r="Q74" i="17" s="1"/>
  <c r="W74" i="17" s="1"/>
  <c r="Y77" i="17"/>
  <c r="Q77" i="17" s="1"/>
  <c r="W77" i="17" s="1"/>
  <c r="Y78" i="17"/>
  <c r="Q78" i="17" s="1"/>
  <c r="W78" i="17" s="1"/>
  <c r="Y147" i="17"/>
  <c r="Q147" i="17" s="1"/>
  <c r="W147" i="17" s="1"/>
  <c r="Y166" i="17"/>
  <c r="Q166" i="17" s="1"/>
  <c r="W166" i="17" s="1"/>
  <c r="Y185" i="17"/>
  <c r="Q185" i="17" s="1"/>
  <c r="W185" i="17" s="1"/>
  <c r="Y228" i="17"/>
  <c r="Q228" i="17" s="1"/>
  <c r="W228" i="17" s="1"/>
  <c r="Y229" i="17"/>
  <c r="Q229" i="17" s="1"/>
  <c r="W229" i="17" s="1"/>
  <c r="Y261" i="17"/>
  <c r="Q261" i="17" s="1"/>
  <c r="W261" i="17" s="1"/>
  <c r="Y280" i="17"/>
  <c r="Q280" i="17" s="1"/>
  <c r="W280" i="17" s="1"/>
  <c r="Y299" i="17"/>
  <c r="Q299" i="17" s="1"/>
  <c r="W299" i="17" s="1"/>
  <c r="Y318" i="17"/>
  <c r="Q318" i="17" s="1"/>
  <c r="W318" i="17" s="1"/>
  <c r="Y356" i="17"/>
  <c r="Q356" i="17" s="1"/>
  <c r="W356" i="17" s="1"/>
  <c r="Y375" i="17"/>
  <c r="Q375" i="17" s="1"/>
  <c r="W375" i="17" s="1"/>
  <c r="Y394" i="17"/>
  <c r="Q394" i="17" s="1"/>
  <c r="W394" i="17" s="1"/>
  <c r="Y413" i="17"/>
  <c r="Q413" i="17" s="1"/>
  <c r="W413" i="17" s="1"/>
  <c r="Y508" i="17"/>
  <c r="Q508" i="17" s="1"/>
  <c r="W508" i="17" s="1"/>
  <c r="Y527" i="17"/>
  <c r="Q527" i="17" s="1"/>
  <c r="W527" i="17" s="1"/>
  <c r="Y456" i="17"/>
  <c r="Q456" i="17" s="1"/>
  <c r="W456" i="17" s="1"/>
  <c r="Y457" i="17"/>
  <c r="Q457" i="17" s="1"/>
  <c r="W457" i="17" s="1"/>
  <c r="Y458" i="17"/>
  <c r="Q458" i="17" s="1"/>
  <c r="W458" i="17" s="1"/>
  <c r="Y489" i="17"/>
  <c r="Q489" i="17" s="1"/>
  <c r="W489" i="17" s="1"/>
  <c r="Y698" i="17"/>
  <c r="Q698" i="17" s="1"/>
  <c r="W698" i="17" s="1"/>
  <c r="Y717" i="17"/>
  <c r="Q717" i="17" s="1"/>
  <c r="W717" i="17" s="1"/>
  <c r="Y736" i="17"/>
  <c r="Q736" i="17" s="1"/>
  <c r="W736" i="17" s="1"/>
  <c r="Y774" i="17"/>
  <c r="Q774" i="17" s="1"/>
  <c r="W774" i="17" s="1"/>
  <c r="Y791" i="17"/>
  <c r="Q791" i="17" s="1"/>
  <c r="W791" i="17" s="1"/>
  <c r="Y826" i="17"/>
  <c r="Q826" i="17" s="1"/>
  <c r="W826" i="17" s="1"/>
  <c r="Y845" i="17"/>
  <c r="Q845" i="17" s="1"/>
  <c r="W845" i="17" s="1"/>
  <c r="Y883" i="17"/>
  <c r="Q883" i="17" s="1"/>
  <c r="W883" i="17" s="1"/>
  <c r="Y902" i="17"/>
  <c r="Q902" i="17" s="1"/>
  <c r="W902" i="17" s="1"/>
  <c r="Y921" i="17"/>
  <c r="Q921" i="17" s="1"/>
  <c r="W921" i="17" s="1"/>
  <c r="Y959" i="17"/>
  <c r="Q959" i="17" s="1"/>
  <c r="W959" i="17" s="1"/>
  <c r="Y978" i="17"/>
  <c r="Q978" i="17" s="1"/>
  <c r="W978" i="17" s="1"/>
  <c r="Y997" i="17"/>
  <c r="Q997" i="17" s="1"/>
  <c r="W997" i="17" s="1"/>
  <c r="Y1016" i="17"/>
  <c r="Q1016" i="17" s="1"/>
  <c r="W1016" i="17" s="1"/>
  <c r="Y1035" i="17"/>
  <c r="Q1035" i="17" s="1"/>
  <c r="W1035" i="17" s="1"/>
  <c r="Y1054" i="17"/>
  <c r="Q1054" i="17" s="1"/>
  <c r="W1054" i="17" s="1"/>
  <c r="Y625" i="17"/>
  <c r="Q625" i="17" s="1"/>
  <c r="W625" i="17" s="1"/>
  <c r="Y626" i="17"/>
  <c r="Q626" i="17" s="1"/>
  <c r="W626" i="17" s="1"/>
  <c r="Y627" i="17"/>
  <c r="Q627" i="17" s="1"/>
  <c r="W627" i="17" s="1"/>
  <c r="Y629" i="17"/>
  <c r="Q629" i="17" s="1"/>
  <c r="W629" i="17" s="1"/>
  <c r="Y630" i="17"/>
  <c r="Q630" i="17" s="1"/>
  <c r="W630" i="17" s="1"/>
  <c r="Y80" i="17"/>
  <c r="Q80" i="17" s="1"/>
  <c r="W80" i="17" s="1"/>
  <c r="Y82" i="17"/>
  <c r="Q82" i="17" s="1"/>
  <c r="W82" i="17" s="1"/>
  <c r="Y83" i="17"/>
  <c r="Q83" i="17" s="1"/>
  <c r="W83" i="17" s="1"/>
  <c r="Y84" i="17"/>
  <c r="Q84" i="17" s="1"/>
  <c r="W84" i="17" s="1"/>
  <c r="Y148" i="17"/>
  <c r="Q148" i="17" s="1"/>
  <c r="W148" i="17" s="1"/>
  <c r="Y167" i="17"/>
  <c r="Q167" i="17" s="1"/>
  <c r="W167" i="17" s="1"/>
  <c r="Y186" i="17"/>
  <c r="Q186" i="17" s="1"/>
  <c r="W186" i="17" s="1"/>
  <c r="Y232" i="17"/>
  <c r="Q232" i="17" s="1"/>
  <c r="W232" i="17" s="1"/>
  <c r="Y233" i="17"/>
  <c r="Q233" i="17" s="1"/>
  <c r="W233" i="17" s="1"/>
  <c r="Y262" i="17"/>
  <c r="Q262" i="17" s="1"/>
  <c r="W262" i="17" s="1"/>
  <c r="Y319" i="17"/>
  <c r="Q319" i="17" s="1"/>
  <c r="W319" i="17" s="1"/>
  <c r="Y395" i="17"/>
  <c r="Q395" i="17" s="1"/>
  <c r="W395" i="17" s="1"/>
  <c r="Y509" i="17"/>
  <c r="Q509" i="17" s="1"/>
  <c r="W509" i="17" s="1"/>
  <c r="Y528" i="17"/>
  <c r="Q528" i="17" s="1"/>
  <c r="W528" i="17" s="1"/>
  <c r="Y547" i="17"/>
  <c r="Q547" i="17" s="1"/>
  <c r="W547" i="17" s="1"/>
  <c r="Y459" i="17"/>
  <c r="Q459" i="17" s="1"/>
  <c r="W459" i="17" s="1"/>
  <c r="Y461" i="17"/>
  <c r="Q461" i="17" s="1"/>
  <c r="W461" i="17" s="1"/>
  <c r="Y490" i="17"/>
  <c r="Q490" i="17" s="1"/>
  <c r="W490" i="17" s="1"/>
  <c r="Y718" i="17"/>
  <c r="Q718" i="17" s="1"/>
  <c r="W718" i="17" s="1"/>
  <c r="Y737" i="17"/>
  <c r="Q737" i="17" s="1"/>
  <c r="W737" i="17" s="1"/>
  <c r="Y775" i="17"/>
  <c r="Q775" i="17" s="1"/>
  <c r="W775" i="17" s="1"/>
  <c r="Y804" i="17"/>
  <c r="Q804" i="17" s="1"/>
  <c r="W804" i="17" s="1"/>
  <c r="Y827" i="17"/>
  <c r="Q827" i="17" s="1"/>
  <c r="W827" i="17" s="1"/>
  <c r="Y846" i="17"/>
  <c r="Q846" i="17" s="1"/>
  <c r="W846" i="17" s="1"/>
  <c r="Y884" i="17"/>
  <c r="Q884" i="17" s="1"/>
  <c r="W884" i="17" s="1"/>
  <c r="Y960" i="17"/>
  <c r="Q960" i="17" s="1"/>
  <c r="W960" i="17" s="1"/>
  <c r="Y998" i="17"/>
  <c r="Q998" i="17" s="1"/>
  <c r="W998" i="17" s="1"/>
  <c r="Y1036" i="17"/>
  <c r="Q1036" i="17" s="1"/>
  <c r="W1036" i="17" s="1"/>
  <c r="Y631" i="17"/>
  <c r="Q631" i="17" s="1"/>
  <c r="W631" i="17" s="1"/>
  <c r="Y634" i="17"/>
  <c r="Q634" i="17" s="1"/>
  <c r="W634" i="17" s="1"/>
  <c r="Y635" i="17"/>
  <c r="Q635" i="17" s="1"/>
  <c r="W635" i="17" s="1"/>
  <c r="Y636" i="17"/>
  <c r="Q636" i="17" s="1"/>
  <c r="W636" i="17" s="1"/>
  <c r="Y87" i="17"/>
  <c r="Q87" i="17" s="1"/>
  <c r="W87" i="17" s="1"/>
  <c r="Y88" i="17"/>
  <c r="Q88" i="17" s="1"/>
  <c r="W88" i="17" s="1"/>
  <c r="Y130" i="17"/>
  <c r="Q130" i="17" s="1"/>
  <c r="W130" i="17" s="1"/>
  <c r="Y168" i="17"/>
  <c r="Q168" i="17" s="1"/>
  <c r="W168" i="17" s="1"/>
  <c r="Y234" i="17"/>
  <c r="Q234" i="17" s="1"/>
  <c r="W234" i="17" s="1"/>
  <c r="Y282" i="17"/>
  <c r="Q282" i="17" s="1"/>
  <c r="W282" i="17" s="1"/>
  <c r="Y358" i="17"/>
  <c r="Q358" i="17" s="1"/>
  <c r="W358" i="17" s="1"/>
  <c r="Y510" i="17"/>
  <c r="Q510" i="17" s="1"/>
  <c r="W510" i="17" s="1"/>
  <c r="Y463" i="17"/>
  <c r="Q463" i="17" s="1"/>
  <c r="W463" i="17" s="1"/>
  <c r="Y700" i="17"/>
  <c r="Q700" i="17" s="1"/>
  <c r="W700" i="17" s="1"/>
  <c r="Y719" i="17"/>
  <c r="Q719" i="17" s="1"/>
  <c r="W719" i="17" s="1"/>
  <c r="Y757" i="17"/>
  <c r="Q757" i="17" s="1"/>
  <c r="W757" i="17" s="1"/>
  <c r="Y776" i="17"/>
  <c r="Q776" i="17" s="1"/>
  <c r="W776" i="17" s="1"/>
  <c r="Y847" i="17"/>
  <c r="Q847" i="17" s="1"/>
  <c r="W847" i="17" s="1"/>
  <c r="Y904" i="17"/>
  <c r="Q904" i="17" s="1"/>
  <c r="W904" i="17" s="1"/>
  <c r="Y923" i="17"/>
  <c r="Q923" i="17" s="1"/>
  <c r="W923" i="17" s="1"/>
  <c r="Y942" i="17"/>
  <c r="Q942" i="17" s="1"/>
  <c r="W942" i="17" s="1"/>
  <c r="Y999" i="17"/>
  <c r="Q999" i="17" s="1"/>
  <c r="W999" i="17" s="1"/>
  <c r="Y1018" i="17"/>
  <c r="Q1018" i="17" s="1"/>
  <c r="W1018" i="17" s="1"/>
  <c r="Y1056" i="17"/>
  <c r="Q1056" i="17" s="1"/>
  <c r="W1056" i="17" s="1"/>
  <c r="Y637" i="17"/>
  <c r="Q637" i="17" s="1"/>
  <c r="W637" i="17" s="1"/>
  <c r="Y642" i="17"/>
  <c r="Q642" i="17" s="1"/>
  <c r="W642" i="17" s="1"/>
  <c r="Y94" i="17"/>
  <c r="Q94" i="17" s="1"/>
  <c r="W94" i="17" s="1"/>
  <c r="Y131" i="17"/>
  <c r="Q131" i="17" s="1"/>
  <c r="W131" i="17" s="1"/>
  <c r="Y150" i="17"/>
  <c r="Q150" i="17" s="1"/>
  <c r="W150" i="17" s="1"/>
  <c r="Y169" i="17"/>
  <c r="Q169" i="17" s="1"/>
  <c r="W169" i="17" s="1"/>
  <c r="Y188" i="17"/>
  <c r="Q188" i="17" s="1"/>
  <c r="W188" i="17" s="1"/>
  <c r="Y237" i="17"/>
  <c r="Q237" i="17" s="1"/>
  <c r="W237" i="17" s="1"/>
  <c r="Y321" i="17"/>
  <c r="Q321" i="17" s="1"/>
  <c r="W321" i="17" s="1"/>
  <c r="Y359" i="17"/>
  <c r="Q359" i="17" s="1"/>
  <c r="W359" i="17" s="1"/>
  <c r="Y511" i="17"/>
  <c r="Q511" i="17" s="1"/>
  <c r="W511" i="17" s="1"/>
  <c r="Y466" i="17"/>
  <c r="Q466" i="17" s="1"/>
  <c r="W466" i="17" s="1"/>
  <c r="Y492" i="17"/>
  <c r="Q492" i="17" s="1"/>
  <c r="W492" i="17" s="1"/>
  <c r="Y701" i="17"/>
  <c r="Q701" i="17" s="1"/>
  <c r="W701" i="17" s="1"/>
  <c r="Y777" i="17"/>
  <c r="Q777" i="17" s="1"/>
  <c r="W777" i="17" s="1"/>
  <c r="Y867" i="17"/>
  <c r="Q867" i="17" s="1"/>
  <c r="W867" i="17" s="1"/>
  <c r="Y905" i="17"/>
  <c r="Q905" i="17" s="1"/>
  <c r="W905" i="17" s="1"/>
  <c r="Y924" i="17"/>
  <c r="Q924" i="17" s="1"/>
  <c r="W924" i="17" s="1"/>
  <c r="Y1000" i="17"/>
  <c r="Q1000" i="17" s="1"/>
  <c r="W1000" i="17" s="1"/>
  <c r="Y1038" i="17"/>
  <c r="Q1038" i="17" s="1"/>
  <c r="W1038" i="17" s="1"/>
  <c r="Y1057" i="17"/>
  <c r="Q1057" i="17" s="1"/>
  <c r="W1057" i="17" s="1"/>
  <c r="Y643" i="17"/>
  <c r="Q643" i="17" s="1"/>
  <c r="W643" i="17" s="1"/>
  <c r="Y647" i="17"/>
  <c r="Q647" i="17" s="1"/>
  <c r="W647" i="17" s="1"/>
  <c r="Y648" i="17"/>
  <c r="Q648" i="17" s="1"/>
  <c r="W648" i="17" s="1"/>
  <c r="Y99" i="17"/>
  <c r="Q99" i="17" s="1"/>
  <c r="W99" i="17" s="1"/>
  <c r="Y100" i="17"/>
  <c r="Q100" i="17" s="1"/>
  <c r="W100" i="17" s="1"/>
  <c r="Y132" i="17"/>
  <c r="Q132" i="17" s="1"/>
  <c r="W132" i="17" s="1"/>
  <c r="Y240" i="17"/>
  <c r="Q240" i="17" s="1"/>
  <c r="W240" i="17" s="1"/>
  <c r="Y284" i="17"/>
  <c r="Q284" i="17" s="1"/>
  <c r="W284" i="17" s="1"/>
  <c r="Y341" i="17"/>
  <c r="Q341" i="17" s="1"/>
  <c r="W341" i="17" s="1"/>
  <c r="Y360" i="17"/>
  <c r="Q360" i="17" s="1"/>
  <c r="W360" i="17" s="1"/>
  <c r="Y512" i="17"/>
  <c r="Q512" i="17" s="1"/>
  <c r="W512" i="17" s="1"/>
  <c r="Y550" i="17"/>
  <c r="Q550" i="17" s="1"/>
  <c r="W550" i="17" s="1"/>
  <c r="Y469" i="17"/>
  <c r="Q469" i="17" s="1"/>
  <c r="W469" i="17" s="1"/>
  <c r="Y702" i="17"/>
  <c r="Q702" i="17" s="1"/>
  <c r="W702" i="17" s="1"/>
  <c r="Y849" i="17"/>
  <c r="Q849" i="17" s="1"/>
  <c r="W849" i="17" s="1"/>
  <c r="Y925" i="17"/>
  <c r="Q925" i="17" s="1"/>
  <c r="W925" i="17" s="1"/>
  <c r="Y1001" i="17"/>
  <c r="Q1001" i="17" s="1"/>
  <c r="W1001" i="17" s="1"/>
  <c r="Y1020" i="17"/>
  <c r="Q1020" i="17" s="1"/>
  <c r="W1020" i="17" s="1"/>
  <c r="Y1058" i="17"/>
  <c r="Q1058" i="17" s="1"/>
  <c r="W1058" i="17" s="1"/>
  <c r="Y649" i="17"/>
  <c r="Q649" i="17" s="1"/>
  <c r="W649" i="17" s="1"/>
  <c r="Y653" i="17"/>
  <c r="Q653" i="17" s="1"/>
  <c r="W653" i="17" s="1"/>
  <c r="Y105" i="17"/>
  <c r="Q105" i="17" s="1"/>
  <c r="W105" i="17" s="1"/>
  <c r="Y106" i="17"/>
  <c r="Q106" i="17" s="1"/>
  <c r="W106" i="17" s="1"/>
  <c r="Y133" i="17"/>
  <c r="Q133" i="17" s="1"/>
  <c r="W133" i="17" s="1"/>
  <c r="Y243" i="17"/>
  <c r="Q243" i="17" s="1"/>
  <c r="W243" i="17" s="1"/>
  <c r="Y285" i="17"/>
  <c r="Q285" i="17" s="1"/>
  <c r="W285" i="17" s="1"/>
  <c r="Y361" i="17"/>
  <c r="Q361" i="17" s="1"/>
  <c r="W361" i="17" s="1"/>
  <c r="Y513" i="17"/>
  <c r="Q513" i="17" s="1"/>
  <c r="W513" i="17" s="1"/>
  <c r="Y551" i="17"/>
  <c r="Q551" i="17" s="1"/>
  <c r="W551" i="17" s="1"/>
  <c r="Y471" i="17"/>
  <c r="Q471" i="17" s="1"/>
  <c r="W471" i="17" s="1"/>
  <c r="Y472" i="17"/>
  <c r="Q472" i="17" s="1"/>
  <c r="W472" i="17" s="1"/>
  <c r="Y703" i="17"/>
  <c r="Q703" i="17" s="1"/>
  <c r="W703" i="17" s="1"/>
  <c r="Y779" i="17"/>
  <c r="Q779" i="17" s="1"/>
  <c r="W779" i="17" s="1"/>
  <c r="Y850" i="17"/>
  <c r="Q850" i="17" s="1"/>
  <c r="W850" i="17" s="1"/>
  <c r="Y869" i="17"/>
  <c r="Q869" i="17" s="1"/>
  <c r="W869" i="17" s="1"/>
  <c r="Y1002" i="17"/>
  <c r="Q1002" i="17" s="1"/>
  <c r="W1002" i="17" s="1"/>
  <c r="Y1040" i="17"/>
  <c r="Q1040" i="17" s="1"/>
  <c r="W1040" i="17" s="1"/>
  <c r="Y655" i="17"/>
  <c r="Q655" i="17" s="1"/>
  <c r="W655" i="17" s="1"/>
  <c r="Y659" i="17"/>
  <c r="Q659" i="17" s="1"/>
  <c r="W659" i="17" s="1"/>
  <c r="Y660" i="17"/>
  <c r="Q660" i="17" s="1"/>
  <c r="W660" i="17" s="1"/>
  <c r="Y110" i="17"/>
  <c r="Q110" i="17" s="1"/>
  <c r="W110" i="17" s="1"/>
  <c r="Y112" i="17"/>
  <c r="Q112" i="17" s="1"/>
  <c r="W112" i="17" s="1"/>
  <c r="Y191" i="17"/>
  <c r="Q191" i="17" s="1"/>
  <c r="W191" i="17" s="1"/>
  <c r="Y246" i="17"/>
  <c r="Q246" i="17" s="1"/>
  <c r="W246" i="17" s="1"/>
  <c r="Y286" i="17"/>
  <c r="Q286" i="17" s="1"/>
  <c r="W286" i="17" s="1"/>
  <c r="Y742" i="17"/>
  <c r="Q742" i="17" s="1"/>
  <c r="W742" i="17" s="1"/>
  <c r="Y832" i="17"/>
  <c r="Q832" i="17" s="1"/>
  <c r="W832" i="17" s="1"/>
  <c r="Y984" i="17"/>
  <c r="Q984" i="17" s="1"/>
  <c r="W984" i="17" s="1"/>
  <c r="Y664" i="17"/>
  <c r="Q664" i="17" s="1"/>
  <c r="W664" i="17" s="1"/>
  <c r="G2" i="16"/>
  <c r="N368" i="20" l="1"/>
  <c r="N332" i="20"/>
  <c r="K9" i="20" a="1"/>
  <c r="K9" i="20" s="1"/>
  <c r="K10" i="20" a="1"/>
  <c r="K10" i="20" s="1"/>
  <c r="K6" i="20" a="1"/>
  <c r="K6" i="20" s="1"/>
  <c r="K29" i="20" a="1"/>
  <c r="K29" i="20" s="1"/>
  <c r="K14" i="20" a="1"/>
  <c r="K14" i="20" s="1"/>
  <c r="K22" i="20" a="1"/>
  <c r="K22" i="20" s="1"/>
  <c r="K13" i="20" a="1"/>
  <c r="K13" i="20" s="1"/>
  <c r="K20" i="20" a="1"/>
  <c r="K20" i="20" s="1"/>
  <c r="K12" i="20" a="1"/>
  <c r="K12" i="20" s="1"/>
  <c r="K27" i="20" a="1"/>
  <c r="K27" i="20" s="1"/>
  <c r="K19" i="20" a="1"/>
  <c r="K19" i="20" s="1"/>
  <c r="N360" i="20"/>
  <c r="N222" i="20"/>
  <c r="N96" i="20"/>
  <c r="N64" i="20"/>
  <c r="N30" i="20"/>
  <c r="K18" i="20" a="1"/>
  <c r="K18" i="20" s="1"/>
  <c r="K11" i="20" a="1"/>
  <c r="K11" i="20" s="1"/>
  <c r="K25" i="20" a="1"/>
  <c r="K25" i="20" s="1"/>
  <c r="K17" i="20" a="1"/>
  <c r="K17" i="20" s="1"/>
  <c r="K3" i="20" a="1"/>
  <c r="K3" i="20" s="1"/>
  <c r="K4" i="20" a="1"/>
  <c r="K4" i="20" s="1"/>
  <c r="K5" i="20" a="1"/>
  <c r="K5" i="20" s="1"/>
  <c r="K2" i="20" a="1"/>
  <c r="K2" i="20" s="1"/>
  <c r="K7" i="20" a="1"/>
  <c r="K7" i="20" s="1"/>
  <c r="K21" i="20" a="1"/>
  <c r="K21" i="20" s="1"/>
  <c r="K8" i="20" a="1"/>
  <c r="K8" i="20" s="1"/>
  <c r="R359" i="18"/>
  <c r="U359" i="18" s="1"/>
  <c r="R339" i="18"/>
  <c r="U339" i="18" s="1"/>
  <c r="R331" i="18"/>
  <c r="U331" i="18" s="1"/>
  <c r="R324" i="18"/>
  <c r="U324" i="18" s="1"/>
  <c r="R311" i="18"/>
  <c r="U311" i="18" s="1"/>
  <c r="R304" i="18"/>
  <c r="U304" i="18" s="1"/>
  <c r="R187" i="18"/>
  <c r="U187" i="18" s="1"/>
  <c r="R217" i="18"/>
  <c r="U217" i="18" s="1"/>
  <c r="O53" i="18" a="1"/>
  <c r="O53" i="18" s="1"/>
  <c r="O46" i="18" a="1"/>
  <c r="O46" i="18" s="1"/>
  <c r="O68" i="18" a="1"/>
  <c r="O68" i="18" s="1"/>
  <c r="O65" i="18" a="1"/>
  <c r="O65" i="18" s="1"/>
  <c r="O41" i="18" a="1"/>
  <c r="O41" i="18" s="1"/>
  <c r="O33" i="18" a="1"/>
  <c r="O33" i="18" s="1"/>
  <c r="O8" i="18" a="1"/>
  <c r="O8" i="18" s="1"/>
  <c r="R31" i="18"/>
  <c r="U31" i="18" s="1"/>
  <c r="R4" i="18"/>
  <c r="U4" i="18" s="1"/>
  <c r="O77" i="18" a="1"/>
  <c r="O77" i="18" s="1"/>
  <c r="O63" i="18" a="1"/>
  <c r="O63" i="18" s="1"/>
  <c r="O55" i="18" a="1"/>
  <c r="O55" i="18" s="1"/>
  <c r="O35" i="18" a="1"/>
  <c r="O35" i="18" s="1"/>
  <c r="O3" i="18" a="1"/>
  <c r="O3" i="18" s="1"/>
  <c r="R199" i="18"/>
  <c r="U199" i="18" s="1"/>
  <c r="R167" i="18"/>
  <c r="U167" i="18" s="1"/>
  <c r="R135" i="18"/>
  <c r="U135" i="18" s="1"/>
  <c r="R109" i="18"/>
  <c r="U109" i="18" s="1"/>
  <c r="O71" i="18" a="1"/>
  <c r="O71" i="18" s="1"/>
  <c r="O54" i="18" a="1"/>
  <c r="O54" i="18" s="1"/>
  <c r="O34" i="18" a="1"/>
  <c r="O34" i="18" s="1"/>
  <c r="R218" i="18"/>
  <c r="U218" i="18" s="1"/>
  <c r="R154" i="18"/>
  <c r="U154" i="18" s="1"/>
  <c r="R83" i="18"/>
  <c r="U83" i="18" s="1"/>
  <c r="R36" i="18"/>
  <c r="U36" i="18" s="1"/>
  <c r="R350" i="18"/>
  <c r="U350" i="18" s="1"/>
  <c r="O87" i="18" a="1"/>
  <c r="O87" i="18" s="1"/>
  <c r="O82" i="18" a="1"/>
  <c r="O82" i="18" s="1"/>
  <c r="O75" i="18" a="1"/>
  <c r="O75" i="18" s="1"/>
  <c r="O62" i="18" a="1"/>
  <c r="O62" i="18" s="1"/>
  <c r="O52" i="18" a="1"/>
  <c r="O52" i="18" s="1"/>
  <c r="O26" i="18" a="1"/>
  <c r="O26" i="18" s="1"/>
  <c r="R75" i="18"/>
  <c r="U75" i="18" s="1"/>
  <c r="R8" i="18"/>
  <c r="U8" i="18" s="1"/>
  <c r="O98" i="18" a="1"/>
  <c r="O98" i="18" s="1"/>
  <c r="O93" i="18" a="1"/>
  <c r="O93" i="18" s="1"/>
  <c r="O86" i="18" a="1"/>
  <c r="O86" i="18" s="1"/>
  <c r="O81" i="18" a="1"/>
  <c r="O81" i="18" s="1"/>
  <c r="O70" i="18" a="1"/>
  <c r="O70" i="18" s="1"/>
  <c r="O49" i="18" a="1"/>
  <c r="O49" i="18" s="1"/>
  <c r="O25" i="18" a="1"/>
  <c r="O25" i="18" s="1"/>
  <c r="R305" i="18"/>
  <c r="U305" i="18" s="1"/>
  <c r="R292" i="18"/>
  <c r="U292" i="18" s="1"/>
  <c r="R159" i="18"/>
  <c r="U159" i="18" s="1"/>
  <c r="R68" i="18"/>
  <c r="U68" i="18" s="1"/>
  <c r="R27" i="18"/>
  <c r="U27" i="18" s="1"/>
  <c r="O92" i="18" a="1"/>
  <c r="O92" i="18" s="1"/>
  <c r="O80" i="18" a="1"/>
  <c r="O80" i="18" s="1"/>
  <c r="O74" i="18" a="1"/>
  <c r="O74" i="18" s="1"/>
  <c r="O69" i="18" a="1"/>
  <c r="O69" i="18" s="1"/>
  <c r="O61" i="18" a="1"/>
  <c r="O61" i="18" s="1"/>
  <c r="O20" i="18" a="1"/>
  <c r="O20" i="18" s="1"/>
  <c r="O85" i="18" a="1"/>
  <c r="O85" i="18" s="1"/>
  <c r="O67" i="18" a="1"/>
  <c r="O67" i="18" s="1"/>
  <c r="O58" i="18" a="1"/>
  <c r="O58" i="18" s="1"/>
  <c r="O47" i="18" a="1"/>
  <c r="O47" i="18" s="1"/>
  <c r="O17" i="18" a="1"/>
  <c r="O17" i="18" s="1"/>
  <c r="R343" i="18"/>
  <c r="U343" i="18" s="1"/>
  <c r="R315" i="18"/>
  <c r="U315" i="18" s="1"/>
  <c r="R297" i="18"/>
  <c r="U297" i="18" s="1"/>
  <c r="R241" i="18"/>
  <c r="U241" i="18" s="1"/>
  <c r="O73" i="18" a="1"/>
  <c r="O73" i="18" s="1"/>
  <c r="O12" i="18" a="1"/>
  <c r="O12" i="18" s="1"/>
  <c r="R337" i="18"/>
  <c r="U337" i="18" s="1"/>
  <c r="R275" i="18"/>
  <c r="U275" i="18" s="1"/>
  <c r="R351" i="18"/>
  <c r="U351" i="18" s="1"/>
  <c r="R360" i="18"/>
  <c r="U360" i="18" s="1"/>
  <c r="R355" i="18"/>
  <c r="U355" i="18" s="1"/>
  <c r="R287" i="18"/>
  <c r="U287" i="18" s="1"/>
  <c r="O48" i="18" a="1"/>
  <c r="O48" i="18" s="1"/>
  <c r="O39" i="18" a="1"/>
  <c r="O39" i="18" s="1"/>
  <c r="O30" i="18" a="1"/>
  <c r="O30" i="18" s="1"/>
  <c r="O21" i="18" a="1"/>
  <c r="O21" i="18" s="1"/>
  <c r="O16" i="18" a="1"/>
  <c r="O16" i="18" s="1"/>
  <c r="O7" i="18" a="1"/>
  <c r="O7" i="18" s="1"/>
  <c r="O2" i="18" a="1"/>
  <c r="O2" i="18" s="1"/>
  <c r="O38" i="18" a="1"/>
  <c r="O38" i="18" s="1"/>
  <c r="O29" i="18" a="1"/>
  <c r="O29" i="18" s="1"/>
  <c r="O24" i="18" a="1"/>
  <c r="O24" i="18" s="1"/>
  <c r="O15" i="18" a="1"/>
  <c r="O15" i="18" s="1"/>
  <c r="O6" i="18" a="1"/>
  <c r="O6" i="18" s="1"/>
  <c r="O60" i="18" a="1"/>
  <c r="O60" i="18" s="1"/>
  <c r="O51" i="18" a="1"/>
  <c r="O51" i="18" s="1"/>
  <c r="O42" i="18" a="1"/>
  <c r="O42" i="18" s="1"/>
  <c r="O28" i="18" a="1"/>
  <c r="O28" i="18" s="1"/>
  <c r="O19" i="18" a="1"/>
  <c r="O19" i="18" s="1"/>
  <c r="O10" i="18" a="1"/>
  <c r="O10" i="18" s="1"/>
  <c r="O37" i="18" a="1"/>
  <c r="O37" i="18" s="1"/>
  <c r="O32" i="18" a="1"/>
  <c r="O32" i="18" s="1"/>
  <c r="O23" i="18" a="1"/>
  <c r="O23" i="18" s="1"/>
  <c r="O14" i="18" a="1"/>
  <c r="O14" i="18" s="1"/>
  <c r="O5" i="18" a="1"/>
  <c r="O5" i="18" s="1"/>
  <c r="O59" i="18" a="1"/>
  <c r="O59" i="18" s="1"/>
  <c r="O50" i="18" a="1"/>
  <c r="O50" i="18" s="1"/>
  <c r="O36" i="18" a="1"/>
  <c r="O36" i="18" s="1"/>
  <c r="O27" i="18" a="1"/>
  <c r="O27" i="18" s="1"/>
  <c r="O18" i="18" a="1"/>
  <c r="O18" i="18" s="1"/>
  <c r="O9" i="18" a="1"/>
  <c r="O9" i="18" s="1"/>
  <c r="O4" i="18" a="1"/>
  <c r="O4" i="18" s="1"/>
  <c r="O45" i="18" a="1"/>
  <c r="O45" i="18" s="1"/>
  <c r="O40" i="18" a="1"/>
  <c r="O40" i="18" s="1"/>
  <c r="O31" i="18" a="1"/>
  <c r="O31" i="18" s="1"/>
  <c r="O22" i="18" a="1"/>
  <c r="O22" i="18" s="1"/>
  <c r="O13" i="18" a="1"/>
  <c r="O13" i="18" s="1"/>
  <c r="N671" i="17" a="1"/>
  <c r="N671" i="17" s="1"/>
  <c r="N272" i="17" a="1"/>
  <c r="N272" i="17" s="1"/>
  <c r="N1026" i="17" a="1"/>
  <c r="N1026" i="17" s="1"/>
  <c r="N893" i="17" a="1"/>
  <c r="N893" i="17" s="1"/>
  <c r="N765" i="17" a="1"/>
  <c r="N765" i="17" s="1"/>
  <c r="N430" i="17" a="1"/>
  <c r="N430" i="17" s="1"/>
  <c r="N366" i="17" a="1"/>
  <c r="N366" i="17" s="1"/>
  <c r="N203" i="17" a="1"/>
  <c r="N203" i="17" s="1"/>
  <c r="N569" i="17" a="1"/>
  <c r="N569" i="17" s="1"/>
  <c r="N873" i="17" a="1"/>
  <c r="N873" i="17" s="1"/>
  <c r="N764" i="17" a="1"/>
  <c r="N764" i="17" s="1"/>
  <c r="N479" i="17" a="1"/>
  <c r="N479" i="17" s="1"/>
  <c r="N498" i="17" a="1"/>
  <c r="N498" i="17" s="1"/>
  <c r="N1043" i="17" a="1"/>
  <c r="N1043" i="17" s="1"/>
  <c r="N891" i="17" a="1"/>
  <c r="N891" i="17" s="1"/>
  <c r="N744" i="17" a="1"/>
  <c r="N744" i="17" s="1"/>
  <c r="N423" i="17" a="1"/>
  <c r="N423" i="17" s="1"/>
  <c r="N326" i="17" a="1"/>
  <c r="N326" i="17" s="1"/>
  <c r="N174" i="17" a="1"/>
  <c r="N174" i="17" s="1"/>
  <c r="N9" i="17" a="1"/>
  <c r="N9" i="17" s="1"/>
  <c r="N553" i="17" a="1"/>
  <c r="N553" i="17" s="1"/>
  <c r="N781" i="17" a="1"/>
  <c r="N781" i="17" s="1"/>
  <c r="N422" i="17" a="1"/>
  <c r="N422" i="17" s="1"/>
  <c r="N363" i="17" a="1"/>
  <c r="N363" i="17" s="1"/>
  <c r="N193" i="17" a="1"/>
  <c r="N193" i="17" s="1"/>
  <c r="N746" i="17" a="1"/>
  <c r="N746" i="17" s="1"/>
  <c r="N429" i="17" a="1"/>
  <c r="N429" i="17" s="1"/>
  <c r="N347" i="17" a="1"/>
  <c r="N347" i="17" s="1"/>
  <c r="N202" i="17" a="1"/>
  <c r="N202" i="17" s="1"/>
  <c r="N25" i="17" a="1"/>
  <c r="N25" i="17" s="1"/>
  <c r="N568" i="17" a="1"/>
  <c r="N568" i="17" s="1"/>
  <c r="N987" i="17" a="1"/>
  <c r="N987" i="17" s="1"/>
  <c r="N428" i="17" a="1"/>
  <c r="N428" i="17" s="1"/>
  <c r="N403" i="17" a="1"/>
  <c r="N403" i="17" s="1"/>
  <c r="N270" i="17" a="1"/>
  <c r="N270" i="17" s="1"/>
  <c r="N118" i="17" a="1"/>
  <c r="N118" i="17" s="1"/>
  <c r="N563" i="17" a="1"/>
  <c r="N563" i="17" s="1"/>
  <c r="N1024" i="17" a="1"/>
  <c r="N1024" i="17" s="1"/>
  <c r="N872" i="17" a="1"/>
  <c r="N872" i="17" s="1"/>
  <c r="N725" i="17" a="1"/>
  <c r="N725" i="17" s="1"/>
  <c r="N535" i="17" a="1"/>
  <c r="N535" i="17" s="1"/>
  <c r="N307" i="17" a="1"/>
  <c r="N307" i="17" s="1"/>
  <c r="N155" i="17" a="1"/>
  <c r="N155" i="17" s="1"/>
  <c r="N8" i="17" a="1"/>
  <c r="N8" i="17" s="1"/>
  <c r="N1042" i="17" a="1"/>
  <c r="N1042" i="17" s="1"/>
  <c r="N909" i="17" a="1"/>
  <c r="N909" i="17" s="1"/>
  <c r="N762" i="17" a="1"/>
  <c r="N762" i="17" s="1"/>
  <c r="N421" i="17" a="1"/>
  <c r="N421" i="17" s="1"/>
  <c r="N344" i="17" a="1"/>
  <c r="N344" i="17" s="1"/>
  <c r="N192" i="17" a="1"/>
  <c r="N192" i="17" s="1"/>
  <c r="N116" i="17" a="1"/>
  <c r="N116" i="17" s="1"/>
  <c r="N577" i="17" a="1"/>
  <c r="N577" i="17" s="1"/>
  <c r="N932" i="17" a="1"/>
  <c r="N932" i="17" s="1"/>
  <c r="N766" i="17" a="1"/>
  <c r="N766" i="17" s="1"/>
  <c r="N434" i="17" a="1"/>
  <c r="N434" i="17" s="1"/>
  <c r="N386" i="17" a="1"/>
  <c r="N386" i="17" s="1"/>
  <c r="N206" i="17" a="1"/>
  <c r="N206" i="17" s="1"/>
  <c r="N31" i="17" a="1"/>
  <c r="N31" i="17" s="1"/>
  <c r="N575" i="17" a="1"/>
  <c r="N575" i="17" s="1"/>
  <c r="N727" i="17" a="1"/>
  <c r="N727" i="17" s="1"/>
  <c r="N537" i="17" a="1"/>
  <c r="N537" i="17" s="1"/>
  <c r="N328" i="17" a="1"/>
  <c r="N328" i="17" s="1"/>
  <c r="N201" i="17" a="1"/>
  <c r="N201" i="17" s="1"/>
  <c r="N24" i="17" a="1"/>
  <c r="N24" i="17" s="1"/>
  <c r="N567" i="17" a="1"/>
  <c r="N567" i="17" s="1"/>
  <c r="N745" i="17" a="1"/>
  <c r="N745" i="17" s="1"/>
  <c r="N384" i="17" a="1"/>
  <c r="N384" i="17" s="1"/>
  <c r="N251" i="17" a="1"/>
  <c r="N251" i="17" s="1"/>
  <c r="N19" i="17" a="1"/>
  <c r="N19" i="17" s="1"/>
  <c r="N562" i="17" a="1"/>
  <c r="N562" i="17" s="1"/>
  <c r="N1023" i="17" a="1"/>
  <c r="N1023" i="17" s="1"/>
  <c r="N890" i="17" a="1"/>
  <c r="N890" i="17" s="1"/>
  <c r="N743" i="17" a="1"/>
  <c r="N743" i="17" s="1"/>
  <c r="N420" i="17" a="1"/>
  <c r="N420" i="17" s="1"/>
  <c r="N325" i="17" a="1"/>
  <c r="N325" i="17" s="1"/>
  <c r="N173" i="17" a="1"/>
  <c r="N173" i="17" s="1"/>
  <c r="N747" i="17" a="1"/>
  <c r="N747" i="17" s="1"/>
  <c r="N433" i="17" a="1"/>
  <c r="N433" i="17" s="1"/>
  <c r="N367" i="17" a="1"/>
  <c r="N367" i="17" s="1"/>
  <c r="N205" i="17" a="1"/>
  <c r="N205" i="17" s="1"/>
  <c r="N30" i="17" a="1"/>
  <c r="N30" i="17" s="1"/>
  <c r="N574" i="17" a="1"/>
  <c r="N574" i="17" s="1"/>
  <c r="N988" i="17" a="1"/>
  <c r="N988" i="17" s="1"/>
  <c r="N309" i="17" a="1"/>
  <c r="N309" i="17" s="1"/>
  <c r="N176" i="17" a="1"/>
  <c r="N176" i="17" s="1"/>
  <c r="N23" i="17" a="1"/>
  <c r="N23" i="17" s="1"/>
  <c r="N566" i="17" a="1"/>
  <c r="N566" i="17" s="1"/>
  <c r="N968" i="17" a="1"/>
  <c r="N968" i="17" s="1"/>
  <c r="N835" i="17" a="1"/>
  <c r="N835" i="17" s="1"/>
  <c r="N726" i="17" a="1"/>
  <c r="N726" i="17" s="1"/>
  <c r="N427" i="17" a="1"/>
  <c r="N427" i="17" s="1"/>
  <c r="N365" i="17" a="1"/>
  <c r="N365" i="17" s="1"/>
  <c r="N200" i="17" a="1"/>
  <c r="N200" i="17" s="1"/>
  <c r="N18" i="17" a="1"/>
  <c r="N18" i="17" s="1"/>
  <c r="N986" i="17" a="1"/>
  <c r="N986" i="17" s="1"/>
  <c r="N834" i="17" a="1"/>
  <c r="N834" i="17" s="1"/>
  <c r="N687" i="17" a="1"/>
  <c r="N687" i="17" s="1"/>
  <c r="N497" i="17" a="1"/>
  <c r="N497" i="17" s="1"/>
  <c r="N269" i="17" a="1"/>
  <c r="N269" i="17" s="1"/>
  <c r="N117" i="17" a="1"/>
  <c r="N117" i="17" s="1"/>
  <c r="N871" i="17" a="1"/>
  <c r="N871" i="17" s="1"/>
  <c r="N724" i="17" a="1"/>
  <c r="N724" i="17" s="1"/>
  <c r="N534" i="17" a="1"/>
  <c r="N534" i="17" s="1"/>
  <c r="N306" i="17" a="1"/>
  <c r="N306" i="17" s="1"/>
  <c r="N154" i="17" a="1"/>
  <c r="N154" i="17" s="1"/>
  <c r="N121" i="17" a="1"/>
  <c r="N121" i="17" s="1"/>
  <c r="N582" i="17" a="1"/>
  <c r="N582" i="17" s="1"/>
  <c r="N894" i="17" a="1"/>
  <c r="N894" i="17" s="1"/>
  <c r="N728" i="17" a="1"/>
  <c r="N728" i="17" s="1"/>
  <c r="N432" i="17" a="1"/>
  <c r="N432" i="17" s="1"/>
  <c r="N348" i="17" a="1"/>
  <c r="N348" i="17" s="1"/>
  <c r="N204" i="17" a="1"/>
  <c r="N204" i="17" s="1"/>
  <c r="N29" i="17" a="1"/>
  <c r="N29" i="17" s="1"/>
  <c r="N573" i="17" a="1"/>
  <c r="N573" i="17" s="1"/>
  <c r="N969" i="17" a="1"/>
  <c r="N969" i="17" s="1"/>
  <c r="N836" i="17" a="1"/>
  <c r="N836" i="17" s="1"/>
  <c r="N689" i="17" a="1"/>
  <c r="N689" i="17" s="1"/>
  <c r="N157" i="17" a="1"/>
  <c r="N157" i="17" s="1"/>
  <c r="N22" i="17" a="1"/>
  <c r="N22" i="17" s="1"/>
  <c r="N565" i="17" a="1"/>
  <c r="N565" i="17" s="1"/>
  <c r="N949" i="17" a="1"/>
  <c r="N949" i="17" s="1"/>
  <c r="N426" i="17" a="1"/>
  <c r="N426" i="17" s="1"/>
  <c r="N199" i="17" a="1"/>
  <c r="N199" i="17" s="1"/>
  <c r="N17" i="17" a="1"/>
  <c r="N17" i="17" s="1"/>
  <c r="N561" i="17" a="1"/>
  <c r="N561" i="17" s="1"/>
  <c r="N967" i="17" a="1"/>
  <c r="N967" i="17" s="1"/>
  <c r="N815" i="17" a="1"/>
  <c r="N815" i="17" s="1"/>
  <c r="N668" i="17" a="1"/>
  <c r="N668" i="17" s="1"/>
  <c r="N402" i="17" a="1"/>
  <c r="N402" i="17" s="1"/>
  <c r="N250" i="17" a="1"/>
  <c r="N250" i="17" s="1"/>
  <c r="N13" i="17" a="1"/>
  <c r="N13" i="17" s="1"/>
  <c r="N557" i="17" a="1"/>
  <c r="N557" i="17" s="1"/>
  <c r="N985" i="17" a="1"/>
  <c r="N985" i="17" s="1"/>
  <c r="N950" i="17" a="1"/>
  <c r="N950" i="17" s="1"/>
  <c r="N817" i="17" a="1"/>
  <c r="N817" i="17" s="1"/>
  <c r="N670" i="17" a="1"/>
  <c r="N670" i="17" s="1"/>
  <c r="N499" i="17" a="1"/>
  <c r="N499" i="17" s="1"/>
  <c r="N271" i="17" a="1"/>
  <c r="N271" i="17" s="1"/>
  <c r="N21" i="17" a="1"/>
  <c r="N21" i="17" s="1"/>
  <c r="N1044" i="17" a="1"/>
  <c r="N1044" i="17" s="1"/>
  <c r="N930" i="17" a="1"/>
  <c r="N930" i="17" s="1"/>
  <c r="N816" i="17" a="1"/>
  <c r="N816" i="17" s="1"/>
  <c r="N536" i="17" a="1"/>
  <c r="N536" i="17" s="1"/>
  <c r="N346" i="17" a="1"/>
  <c r="N346" i="17" s="1"/>
  <c r="N198" i="17" a="1"/>
  <c r="N198" i="17" s="1"/>
  <c r="N16" i="17" a="1"/>
  <c r="N16" i="17" s="1"/>
  <c r="N560" i="17" a="1"/>
  <c r="N560" i="17" s="1"/>
  <c r="N948" i="17" a="1"/>
  <c r="N948" i="17" s="1"/>
  <c r="N798" i="17" a="1"/>
  <c r="N798" i="17" s="1"/>
  <c r="N478" i="17" a="1"/>
  <c r="N478" i="17" s="1"/>
  <c r="N383" i="17" a="1"/>
  <c r="N383" i="17" s="1"/>
  <c r="N197" i="17" a="1"/>
  <c r="N197" i="17" s="1"/>
  <c r="N12" i="17" a="1"/>
  <c r="N12" i="17" s="1"/>
  <c r="N556" i="17" a="1"/>
  <c r="N556" i="17" s="1"/>
  <c r="N966" i="17" a="1"/>
  <c r="N966" i="17" s="1"/>
  <c r="N833" i="17" a="1"/>
  <c r="N833" i="17" s="1"/>
  <c r="N686" i="17" a="1"/>
  <c r="N686" i="17" s="1"/>
  <c r="N496" i="17" a="1"/>
  <c r="N496" i="17" s="1"/>
  <c r="N268" i="17" a="1"/>
  <c r="N268" i="17" s="1"/>
  <c r="N7" i="17" a="1"/>
  <c r="N7" i="17" s="1"/>
  <c r="N931" i="17" a="1"/>
  <c r="N931" i="17" s="1"/>
  <c r="N810" i="17" a="1"/>
  <c r="N810" i="17" s="1"/>
  <c r="N480" i="17" a="1"/>
  <c r="N480" i="17" s="1"/>
  <c r="N404" i="17" a="1"/>
  <c r="N404" i="17" s="1"/>
  <c r="N20" i="17" a="1"/>
  <c r="N20" i="17" s="1"/>
  <c r="N1025" i="17" a="1"/>
  <c r="N1025" i="17" s="1"/>
  <c r="N911" i="17" a="1"/>
  <c r="N911" i="17" s="1"/>
  <c r="N799" i="17" a="1"/>
  <c r="N799" i="17" s="1"/>
  <c r="N688" i="17" a="1"/>
  <c r="N688" i="17" s="1"/>
  <c r="N327" i="17" a="1"/>
  <c r="N327" i="17" s="1"/>
  <c r="N175" i="17" a="1"/>
  <c r="N175" i="17" s="1"/>
  <c r="N15" i="17" a="1"/>
  <c r="N15" i="17" s="1"/>
  <c r="N929" i="17" a="1"/>
  <c r="N929" i="17" s="1"/>
  <c r="N782" i="17" a="1"/>
  <c r="N782" i="17" s="1"/>
  <c r="N425" i="17" a="1"/>
  <c r="N425" i="17" s="1"/>
  <c r="N364" i="17" a="1"/>
  <c r="N364" i="17" s="1"/>
  <c r="N196" i="17" a="1"/>
  <c r="N196" i="17" s="1"/>
  <c r="N11" i="17" a="1"/>
  <c r="N11" i="17" s="1"/>
  <c r="N555" i="17" a="1"/>
  <c r="N555" i="17" s="1"/>
  <c r="N947" i="17" a="1"/>
  <c r="N947" i="17" s="1"/>
  <c r="N814" i="17" a="1"/>
  <c r="N814" i="17" s="1"/>
  <c r="N667" i="17" a="1"/>
  <c r="N667" i="17" s="1"/>
  <c r="N401" i="17" a="1"/>
  <c r="N401" i="17" s="1"/>
  <c r="N249" i="17" a="1"/>
  <c r="N249" i="17" s="1"/>
  <c r="N6" i="17" a="1"/>
  <c r="N6" i="17" s="1"/>
  <c r="N3" i="17" a="1"/>
  <c r="N3" i="17" s="1"/>
  <c r="N2" i="17" a="1"/>
  <c r="N2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nicolas\documents\u. sabana\semestre 6\simulación\corte 3\proyecto final\final soluciones\simulación viernes - soluciones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nicolas\documents\u. sabana\semestre 6\simulación\corte 3\proyecto final\final soluciones\simulación viernes - soluciones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nicolas\documents\u. sabana\semestre 6\simulación\corte 3\proyecto final\final soluciones\simulación viernes - soluciones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nicolas\documents\u. sabana\semestre 6\simulación\corte 3\proyecto final\final soluciones\simulación viernes - soluciones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nicolas\documents\u. sabana\semestre 6\simulación\corte 3\proyecto final\final soluciones\simulación viernes - soluciones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nicolas\documents\u. sabana\semestre 6\simulación\corte 3\proyecto final\final soluciones\simulación viernes - soluciones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<sst xmlns="http://schemas.openxmlformats.org/spreadsheetml/2006/main" count="9534" uniqueCount="173">
  <si>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</si>
  <si>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</si>
  <si>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</si>
  <si>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</si>
  <si>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</si>
  <si>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</si>
  <si>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</si>
  <si>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</si>
  <si>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</si>
  <si>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</si>
  <si>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</si>
  <si>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</si>
  <si>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</si>
  <si>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</si>
  <si>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</si>
  <si>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</si>
  <si>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</si>
  <si>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</si>
  <si>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</si>
  <si>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</si>
  <si>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</si>
  <si>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</si>
  <si>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</si>
  <si>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</si>
  <si>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</si>
  <si>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</si>
  <si>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</si>
  <si>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</si>
  <si>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</si>
  <si>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</si>
  <si>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</si>
  <si>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</si>
  <si>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</si>
  <si>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</si>
  <si>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</si>
  <si>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</si>
  <si>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</si>
  <si>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</si>
  <si>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</si>
  <si>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</si>
  <si>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</si>
  <si>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</si>
  <si>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</si>
  <si>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</si>
  <si>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</si>
  <si>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</si>
  <si>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</si>
  <si>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</si>
  <si>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</si>
  <si>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</si>
  <si>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</si>
  <si>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</si>
  <si>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</si>
  <si>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</si>
  <si>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</si>
  <si>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</si>
  <si>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</si>
  <si>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</si>
  <si>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</si>
  <si>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</si>
  <si>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</si>
  <si>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</si>
  <si>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</si>
  <si>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</si>
  <si>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</si>
  <si>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</si>
  <si>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IncludeOption</t>
  </si>
  <si>
    <t>Friday (Solucion: datafono, gofre, cocina y caja compartida)</t>
  </si>
  <si>
    <t>C:\Users\Nicolas\Documents\U. Sabana\Semestre 6\Simulación\Corte 3\Proyecto final\Final soluciones\Simulación viernes - soluciones.p</t>
  </si>
  <si>
    <t>2025-05-18 18:56:05</t>
  </si>
  <si>
    <t>Cliente</t>
  </si>
  <si>
    <t>NVA Time</t>
  </si>
  <si>
    <t>Entity</t>
  </si>
  <si>
    <t>Other Time</t>
  </si>
  <si>
    <t>Total Time</t>
  </si>
  <si>
    <t>Transfer Time</t>
  </si>
  <si>
    <t>VA Time</t>
  </si>
  <si>
    <t>Wait Time</t>
  </si>
  <si>
    <t>ClientesEnSistema</t>
  </si>
  <si>
    <t>Expression</t>
  </si>
  <si>
    <t>User Specified</t>
  </si>
  <si>
    <t>ClientesSisH1</t>
  </si>
  <si>
    <t>ClientesSisH2</t>
  </si>
  <si>
    <t>ClientesSisH3</t>
  </si>
  <si>
    <t>Comer en Mesa</t>
  </si>
  <si>
    <t>Total Time Per Entity</t>
  </si>
  <si>
    <t>Process</t>
  </si>
  <si>
    <t>VA Time Per Entity</t>
  </si>
  <si>
    <t>Wait Time Per Entity</t>
  </si>
  <si>
    <t>Comer en Mesa.Queue</t>
  </si>
  <si>
    <t>Waiting Time</t>
  </si>
  <si>
    <t>Queue</t>
  </si>
  <si>
    <t>Entrega pedido.Queue</t>
  </si>
  <si>
    <t>EsperaPedidoH1</t>
  </si>
  <si>
    <t>EsperaPedidoH2</t>
  </si>
  <si>
    <t>EsperaPedidoH3</t>
  </si>
  <si>
    <t>FilaCajaH1</t>
  </si>
  <si>
    <t>FilaCajaH2</t>
  </si>
  <si>
    <t>FilaCajaH3</t>
  </si>
  <si>
    <t>Pasar a Caja.Queue</t>
  </si>
  <si>
    <t>PrepPedidoH1</t>
  </si>
  <si>
    <t>PrepPedidoH2</t>
  </si>
  <si>
    <t>PrepPedidoH3</t>
  </si>
  <si>
    <t>Preparacion</t>
  </si>
  <si>
    <t>Preparacion.Queue</t>
  </si>
  <si>
    <t>TiempoEnMesa</t>
  </si>
  <si>
    <t>TiempoEnSistemaMesa</t>
  </si>
  <si>
    <t>Interval</t>
  </si>
  <si>
    <t>TiempoEnSistemaNoMesa</t>
  </si>
  <si>
    <t>TiempoEnSistemaNoMesaCantProd1</t>
  </si>
  <si>
    <t>TiempoEnSistemaNoMesaCantProd2</t>
  </si>
  <si>
    <t>TiempoEnSistemaNoMesaCantProd3</t>
  </si>
  <si>
    <t>TiempoEnSistemaNoMesaCantProd4</t>
  </si>
  <si>
    <t>TiempoEnSistemaNoMesaCantProd5</t>
  </si>
  <si>
    <t>TiempoEnSistemaTodos</t>
  </si>
  <si>
    <t>TiempoPago</t>
  </si>
  <si>
    <t>TiempoPedido</t>
  </si>
  <si>
    <t>TiempoPromEnMesa</t>
  </si>
  <si>
    <t>TiempoSistemaTodosH1</t>
  </si>
  <si>
    <t>TiempoSistemaTodosH2</t>
  </si>
  <si>
    <t>TiempoSistemaTodosH3</t>
  </si>
  <si>
    <t>UtilizacionCajeroH1</t>
  </si>
  <si>
    <t>UtilizacionCajeroH2</t>
  </si>
  <si>
    <t>UtilizacionCajeroH3</t>
  </si>
  <si>
    <t>UtilizacionCocinaH1</t>
  </si>
  <si>
    <t>UtilizacionCocinaH2</t>
  </si>
  <si>
    <t>UtilizacionCocinaH3</t>
  </si>
  <si>
    <t>reloj</t>
  </si>
  <si>
    <t>TiempoEnSistemaNoMesaCantProd7</t>
  </si>
  <si>
    <t>WIP</t>
  </si>
  <si>
    <t>Number Waiting</t>
  </si>
  <si>
    <t>Orden</t>
  </si>
  <si>
    <t>TP_Mesas</t>
  </si>
  <si>
    <t>Time Persistent</t>
  </si>
  <si>
    <t>rCajero</t>
  </si>
  <si>
    <t>Instantaneous Utilization</t>
  </si>
  <si>
    <t>Resource</t>
  </si>
  <si>
    <t>Number Busy</t>
  </si>
  <si>
    <t>Number Scheduled</t>
  </si>
  <si>
    <t>rCocina</t>
  </si>
  <si>
    <t>rMesa</t>
  </si>
  <si>
    <t>vClientesEnSistema</t>
  </si>
  <si>
    <t>Variable</t>
  </si>
  <si>
    <t>vMesasLibres</t>
  </si>
  <si>
    <t>Cliente.NumberIn</t>
  </si>
  <si>
    <t>Number In</t>
  </si>
  <si>
    <t>Cliente.NumberOut</t>
  </si>
  <si>
    <t>Number Out</t>
  </si>
  <si>
    <t>Comer en Mesa Accum VA Time</t>
  </si>
  <si>
    <t>Accum VA Time</t>
  </si>
  <si>
    <t>Comer en Mesa Accum Wait Time</t>
  </si>
  <si>
    <t>Accum Wait Time</t>
  </si>
  <si>
    <t>Comer en Mesa Number In</t>
  </si>
  <si>
    <t>Comer en Mesa Number Out</t>
  </si>
  <si>
    <t>Orden.NumberIn</t>
  </si>
  <si>
    <t>Orden.NumberOut</t>
  </si>
  <si>
    <t>Preparacion Accum VA Time</t>
  </si>
  <si>
    <t>Preparacion Accum Wait Time</t>
  </si>
  <si>
    <t>Preparacion Number In</t>
  </si>
  <si>
    <t>Preparacion Number Out</t>
  </si>
  <si>
    <t>System.NumberOut</t>
  </si>
  <si>
    <t>System</t>
  </si>
  <si>
    <t>rCajero.NumberSeized</t>
  </si>
  <si>
    <t>Total Number Seized</t>
  </si>
  <si>
    <t>rCajero.ScheduledUtilization</t>
  </si>
  <si>
    <t>Scheduled Utilization</t>
  </si>
  <si>
    <t>rCocina.NumberSeized</t>
  </si>
  <si>
    <t>rCocina.ScheduledUtilization</t>
  </si>
  <si>
    <t>rMesa.NumberSeized</t>
  </si>
  <si>
    <t>rMesa.ScheduledUtilization</t>
  </si>
  <si>
    <t>reloj.NumberIn</t>
  </si>
  <si>
    <t>reloj.NumberOut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</si>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</sst>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" refreshedDate="45795.789130092591" createdVersion="7" refreshedVersion="8" minRefreshableVersion="3" recordCount="399" xr:uid="{CD99054F-849B-4F05-A210-6C45A1A34EDA}">
  <cacheSource type="worksheet">
    <worksheetSource name="OutputTable"/>
  </cacheSource>
  <cacheFields count="16">
    <cacheField name="ProjectName" numFmtId="0">
      <sharedItems containsBlank="1" count="5">
        <s v="Friday (Solucion: datafono, gofre, cocina y caja compartida)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9"/>
    </cacheField>
    <cacheField name="Name" numFmtId="0">
      <sharedItems containsBlank="1" count="99">
        <s v="Cliente.NumberIn"/>
        <s v="Cliente.NumberOut"/>
        <s v="Comer en Mesa Accum VA Time"/>
        <s v="Comer en Mesa Accum Wait Time"/>
        <s v="Comer en Mesa Number In"/>
        <s v="Comer en Mesa Number Out"/>
        <s v="Orden.NumberIn"/>
        <s v="Orden.NumberOut"/>
        <s v="Preparacion Accum VA Time"/>
        <s v="Preparacion Accum Wait Time"/>
        <s v="Preparacion Number In"/>
        <s v="Preparacion Number Out"/>
        <s v="System.NumberOut"/>
        <s v="rCajero.NumberSeized"/>
        <s v="rCajero.ScheduledUtilization"/>
        <s v="rCocina.NumberSeized"/>
        <s v="rCocina.ScheduledUtilization"/>
        <s v="rMesa.NumberSeized"/>
        <s v="rMesa.ScheduledUtilization"/>
        <s v="reloj.NumberIn"/>
        <s v="reloj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Accum VA Time"/>
        <s v="Accum Wait Time"/>
        <s v="Total Number Seized"/>
        <s v="Scheduled Utilization"/>
        <m u="1"/>
      </sharedItems>
    </cacheField>
    <cacheField name="Source" numFmtId="0">
      <sharedItems containsBlank="1" count="5">
        <s v="Entity"/>
        <s v="Process"/>
        <s v="System"/>
        <s v="Resource"/>
        <m u="1"/>
      </sharedItems>
    </cacheField>
    <cacheField name="RecordedValue" numFmtId="0">
      <sharedItems containsSemiMixedTypes="0" containsString="0" containsNumber="1" minValue="0" maxValue="514.98711600717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9" maxValue="19"/>
    </cacheField>
    <cacheField name="Average" numFmtId="0">
      <sharedItems containsSemiMixedTypes="0" containsString="0" containsNumber="1" minValue="0" maxValue="366.63157894736844"/>
    </cacheField>
    <cacheField name="StandardDeviation" numFmtId="0">
      <sharedItems containsSemiMixedTypes="0" containsString="0" containsNumber="1" minValue="0" maxValue="109.5306112357473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52.79206474085742"/>
    </cacheField>
    <cacheField name="Minimum" numFmtId="0">
      <sharedItems containsSemiMixedTypes="0" containsString="0" containsNumber="1" minValue="0" maxValue="331"/>
    </cacheField>
    <cacheField name="Maximum" numFmtId="0">
      <sharedItems containsSemiMixedTypes="0" containsString="0" containsNumber="1" minValue="0" maxValue="514.9871160071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" refreshedDate="45795.789130439814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" refreshedDate="45795.789130902776" createdVersion="7" refreshedVersion="8" minRefreshableVersion="3" recordCount="361" xr:uid="{98BDAE34-4484-421D-B96E-804CE77A1811}">
  <cacheSource type="worksheet">
    <worksheetSource name="ContinuousStatsTable"/>
  </cacheSource>
  <cacheFields count="21">
    <cacheField name="ProjectName" numFmtId="0">
      <sharedItems containsBlank="1" count="5">
        <s v="Friday (Solucion: datafono, gofre, cocina y caja compartida)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9"/>
    </cacheField>
    <cacheField name="Name" numFmtId="0">
      <sharedItems containsBlank="1" count="137">
        <s v="Cliente"/>
        <s v="Comer en Mesa.Queue"/>
        <s v="Entrega pedido.Queue"/>
        <s v="Orden"/>
        <s v="Pasar a Caja.Queue"/>
        <s v="Preparacion.Queue"/>
        <s v="TP_Mesas"/>
        <s v="rCajero"/>
        <s v="rCocina"/>
        <s v="rMesa"/>
        <s v="reloj"/>
        <s v="vClientesEnSistema"/>
        <s v="vMesasLibres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9">
        <s v="WIP"/>
        <s v="Number Waiting"/>
        <s v="Time Persistent"/>
        <s v="Instantaneous Utilization"/>
        <s v="Number Busy"/>
        <s v="Number Scheduled"/>
        <s v="Variable"/>
        <m u="1"/>
        <s v="Levels" u="1"/>
      </sharedItems>
    </cacheField>
    <cacheField name="Source" numFmtId="0">
      <sharedItems containsBlank="1" count="5">
        <s v="Entity"/>
        <s v="Queue"/>
        <s v="User Specified"/>
        <s v="Resource"/>
        <m u="1"/>
      </sharedItems>
    </cacheField>
    <cacheField name="Average" numFmtId="0">
      <sharedItems containsSemiMixedTypes="0" containsString="0" containsNumber="1" minValue="0" maxValue="10.9337547677616"/>
    </cacheField>
    <cacheField name="BatchMeansHalfWidth" numFmtId="0">
      <sharedItems containsSemiMixedTypes="0" containsString="0" containsNumber="1" minValue="0.68505524765151404" maxValue="3E+20"/>
    </cacheField>
    <cacheField name="Minimum" numFmtId="0">
      <sharedItems containsSemiMixedTypes="0" containsString="0" containsNumber="1" containsInteger="1" minValue="0" maxValue="5"/>
    </cacheField>
    <cacheField name="Maximum" numFmtId="0">
      <sharedItems containsSemiMixedTypes="0" containsString="0" containsNumber="1" minValue="0" maxValue="28"/>
    </cacheField>
    <cacheField name="LastRecordedValue" numFmtId="0">
      <sharedItems containsSemiMixedTypes="0" containsString="0" containsNumber="1" minValue="0" maxValue="1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9" maxValue="19"/>
    </cacheField>
    <cacheField name="AverageOfAverage" numFmtId="0">
      <sharedItems containsSemiMixedTypes="0" containsString="0" containsNumber="1" minValue="0" maxValue="5.695207969173218"/>
    </cacheField>
    <cacheField name="StDevOfAverage" numFmtId="0">
      <sharedItems containsSemiMixedTypes="0" containsString="0" containsNumber="1" minValue="0" maxValue="1.529371222466506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7371333335799507"/>
    </cacheField>
    <cacheField name="MinimumAverage" numFmtId="0">
      <sharedItems containsSemiMixedTypes="0" containsString="0" containsNumber="1" minValue="0" maxValue="5"/>
    </cacheField>
    <cacheField name="MaximumAverage" numFmtId="0">
      <sharedItems containsSemiMixedTypes="0" containsString="0" containsNumber="1" minValue="0" maxValue="10.9337547677616"/>
    </cacheField>
    <cacheField name="SummaryHalfWidth" numFmtId="0">
      <sharedItems containsSemiMixedTypes="0" containsString="0" containsNumber="1" minValue="0" maxValue="0.73713333357995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" refreshedDate="45795.789131365738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" refreshedDate="45795.7891318287" createdVersion="7" refreshedVersion="8" minRefreshableVersion="3" recordCount="1059" xr:uid="{B84A8B69-002E-494F-8DC0-5D2F7796C835}">
  <cacheSource type="worksheet">
    <worksheetSource name="DiscreteStatsTable"/>
  </cacheSource>
  <cacheFields count="25">
    <cacheField name="ProjectName" numFmtId="0">
      <sharedItems containsBlank="1" count="5">
        <s v="Friday (Solucion: datafono, gofre, cocina y caja compartida)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9"/>
    </cacheField>
    <cacheField name="Name" numFmtId="0">
      <sharedItems containsBlank="1" count="142">
        <s v="Cliente"/>
        <s v="ClientesEnSistema"/>
        <s v="ClientesSisH1"/>
        <s v="ClientesSisH2"/>
        <s v="ClientesSisH3"/>
        <s v="Comer en Mesa"/>
        <s v="Comer en Mesa.Queue"/>
        <s v="Entrega pedido.Queue"/>
        <s v="EsperaPedidoH1"/>
        <s v="EsperaPedidoH2"/>
        <s v="EsperaPedidoH3"/>
        <s v="FilaCajaH1"/>
        <s v="FilaCajaH2"/>
        <s v="FilaCajaH3"/>
        <s v="Pasar a Caja.Queue"/>
        <s v="Preparacion"/>
        <s v="Preparacion.Queue"/>
        <s v="PrepPedidoH1"/>
        <s v="PrepPedidoH2"/>
        <s v="PrepPedidoH3"/>
        <s v="reloj"/>
        <s v="TiempoEnMesa"/>
        <s v="TiempoEnSistemaMesa"/>
        <s v="TiempoEnSistemaNoMesa"/>
        <s v="TiempoEnSistemaNoMesaCantProd1"/>
        <s v="TiempoEnSistemaNoMesaCantProd2"/>
        <s v="TiempoEnSistemaNoMesaCantProd3"/>
        <s v="TiempoEnSistemaNoMesaCantProd4"/>
        <s v="TiempoEnSistemaNoMesaCantProd5"/>
        <s v="TiempoEnSistemaNoMesaCantProd7"/>
        <s v="TiempoEnSistemaTodos"/>
        <s v="TiempoPago"/>
        <s v="TiempoPedido"/>
        <s v="TiempoPromEnMesa"/>
        <s v="TiempoSistemaTodosH1"/>
        <s v="TiempoSistemaTodosH2"/>
        <s v="TiempoSistemaTodosH3"/>
        <s v="UtilizacionCajeroH1"/>
        <s v="UtilizacionCajeroH2"/>
        <s v="UtilizacionCajeroH3"/>
        <s v="UtilizacionCocinaH1"/>
        <s v="UtilizacionCocinaH2"/>
        <s v="UtilizacionCocinaH3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3">
        <s v="NVA Time"/>
        <s v="Other Time"/>
        <s v="Total Time"/>
        <s v="Transfer Time"/>
        <s v="VA Time"/>
        <s v="Wait Time"/>
        <s v="Expression"/>
        <s v="Total Time Per Entity"/>
        <s v="VA Time Per Entity"/>
        <s v="Wait Time Per Entity"/>
        <s v="Waiting Time"/>
        <s v="Interval"/>
        <m u="1"/>
      </sharedItems>
    </cacheField>
    <cacheField name="Source" numFmtId="0">
      <sharedItems containsBlank="1" count="5">
        <s v="Entity"/>
        <s v="User Specified"/>
        <s v="Process"/>
        <s v="Queue"/>
        <m u="1"/>
      </sharedItems>
    </cacheField>
    <cacheField name="Average" numFmtId="0">
      <sharedItems containsSemiMixedTypes="0" containsString="0" containsNumber="1" minValue="0" maxValue="36.863589442352897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23.5684194805701"/>
    </cacheField>
    <cacheField name="Maximum" numFmtId="0">
      <sharedItems containsSemiMixedTypes="0" containsString="0" containsNumber="1" minValue="0" maxValue="61.164243616895902"/>
    </cacheField>
    <cacheField name="NumberObservations" numFmtId="0">
      <sharedItems containsSemiMixedTypes="0" containsString="0" containsNumber="1" containsInteger="1" minValue="1" maxValue="300"/>
    </cacheField>
    <cacheField name="GroupByKey" numFmtId="0">
      <sharedItems/>
    </cacheField>
    <cacheField name="RepsRequested" numFmtId="0">
      <sharedItems containsSemiMixedTypes="0" containsString="0" containsNumber="1" containsInteger="1" minValue="19" maxValue="19"/>
    </cacheField>
    <cacheField name="AverageOfAverage" numFmtId="0">
      <sharedItems containsSemiMixedTypes="0" containsString="0" containsNumber="1" minValue="0" maxValue="22.08644356402899"/>
    </cacheField>
    <cacheField name="StDevOfAverage" numFmtId="0">
      <sharedItems containsSemiMixedTypes="0" containsString="0" containsNumber="1" minValue="0" maxValue="5.886045207145891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4.4000502738810683"/>
    </cacheField>
    <cacheField name="MinimumAverage" numFmtId="0">
      <sharedItems containsSemiMixedTypes="0" containsString="0" containsNumber="1" minValue="0" maxValue="15.7816894791909"/>
    </cacheField>
    <cacheField name="MaximumAverage" numFmtId="0">
      <sharedItems containsSemiMixedTypes="0" containsString="0" containsNumber="1" minValue="0" maxValue="36.863589442352897"/>
    </cacheField>
    <cacheField name="OverallMinimum" numFmtId="0">
      <sharedItems containsSemiMixedTypes="0" containsString="0" containsNumber="1" minValue="0" maxValue="6.1857392610640201"/>
    </cacheField>
    <cacheField name="OverallMaximum" numFmtId="0">
      <sharedItems containsSemiMixedTypes="0" containsString="0" containsNumber="1" minValue="0" maxValue="61.164243616895902"/>
    </cacheField>
    <cacheField name="AverageNumberObservations" numFmtId="0">
      <sharedItems containsSemiMixedTypes="0" containsString="0" containsNumber="1" minValue="1" maxValue="244.63157894736841"/>
    </cacheField>
    <cacheField name="SummaryHalfWidth" numFmtId="0">
      <sharedItems containsSemiMixedTypes="0" containsString="0" containsNumber="1" minValue="0" maxValue="4.4000502738810683"/>
    </cacheField>
    <cacheField name="RepsWithStatObserved" numFmtId="0">
      <sharedItems containsSemiMixedTypes="0" containsString="0" containsNumber="1" containsInteger="1" minValue="4" maxValue="19"/>
    </cacheField>
    <cacheField name="Observed=Requested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9">
  <r>
    <x v="0"/>
    <s v="2025-05-18 18:56:05"/>
    <n v="1"/>
    <x v="0"/>
    <x v="0"/>
    <x v="0"/>
    <n v="427"/>
    <n v="0"/>
    <s v="Friday (Solucion: datafono, gofre, cocina y caja compartida)Cliente.NumberInNumber InEntity"/>
    <n v="19"/>
    <n v="366.21052631578948"/>
    <n v="28.665850661580702"/>
    <n v="0.95"/>
    <n v="13.816497752584581"/>
    <n v="331"/>
    <n v="427"/>
  </r>
  <r>
    <x v="0"/>
    <s v="2025-05-18 18:56:05"/>
    <n v="1"/>
    <x v="1"/>
    <x v="1"/>
    <x v="0"/>
    <n v="443"/>
    <n v="0"/>
    <s v="Friday (Solucion: datafono, gofre, cocina y caja compartida)Cliente.NumberOutNumber OutEntity"/>
    <n v="19"/>
    <n v="366.63157894736844"/>
    <n v="29.957767544617038"/>
    <n v="0.95"/>
    <n v="14.439181758083874"/>
    <n v="329"/>
    <n v="443"/>
  </r>
  <r>
    <x v="0"/>
    <s v="2025-05-18 18:56:05"/>
    <n v="1"/>
    <x v="2"/>
    <x v="2"/>
    <x v="1"/>
    <n v="402.97015039838902"/>
    <n v="0"/>
    <s v="Friday (Solucion: datafono, gofre, cocina y caja compartida)Comer en Mesa Accum VA TimeAccum VA TimeProcess"/>
    <n v="19"/>
    <n v="283.12549562397913"/>
    <n v="55.763238037894645"/>
    <n v="0.95"/>
    <n v="26.877020400444863"/>
    <n v="157.05073652574001"/>
    <n v="402.97015039838902"/>
  </r>
  <r>
    <x v="0"/>
    <s v="2025-05-18 18:56:05"/>
    <n v="1"/>
    <x v="3"/>
    <x v="3"/>
    <x v="1"/>
    <n v="0"/>
    <n v="0"/>
    <s v="Friday (Solucion: datafono, gofre, cocina y caja compartida)Comer en Mesa Accum Wait TimeAccum Wait TimeProcess"/>
    <n v="19"/>
    <n v="0"/>
    <n v="0"/>
    <n v="0.95"/>
    <n v="0"/>
    <n v="0"/>
    <n v="0"/>
  </r>
  <r>
    <x v="0"/>
    <s v="2025-05-18 18:56:05"/>
    <n v="1"/>
    <x v="4"/>
    <x v="0"/>
    <x v="1"/>
    <n v="19"/>
    <n v="0"/>
    <s v="Friday (Solucion: datafono, gofre, cocina y caja compartida)Comer en Mesa Number InNumber InProcess"/>
    <n v="19"/>
    <n v="16.157894736842106"/>
    <n v="3.8044295512634076"/>
    <n v="0.95"/>
    <n v="1.8336763477019644"/>
    <n v="9"/>
    <n v="24"/>
  </r>
  <r>
    <x v="0"/>
    <s v="2025-05-18 18:56:05"/>
    <n v="1"/>
    <x v="5"/>
    <x v="1"/>
    <x v="1"/>
    <n v="19"/>
    <n v="0"/>
    <s v="Friday (Solucion: datafono, gofre, cocina y caja compartida)Comer en Mesa Number OutNumber OutProcess"/>
    <n v="19"/>
    <n v="16.263157894736842"/>
    <n v="3.3803698887540881"/>
    <n v="0.95"/>
    <n v="1.6292861329062698"/>
    <n v="8"/>
    <n v="22"/>
  </r>
  <r>
    <x v="0"/>
    <s v="2025-05-18 18:56:05"/>
    <n v="1"/>
    <x v="6"/>
    <x v="0"/>
    <x v="0"/>
    <n v="143"/>
    <n v="0"/>
    <s v="Friday (Solucion: datafono, gofre, cocina y caja compartida)Orden.NumberInNumber InEntity"/>
    <n v="19"/>
    <n v="121.89473684210526"/>
    <n v="9.971597090637573"/>
    <n v="0.95"/>
    <n v="4.8061559525642172"/>
    <n v="109"/>
    <n v="143"/>
  </r>
  <r>
    <x v="0"/>
    <s v="2025-05-18 18:56:05"/>
    <n v="1"/>
    <x v="7"/>
    <x v="1"/>
    <x v="0"/>
    <n v="150"/>
    <n v="0"/>
    <s v="Friday (Solucion: datafono, gofre, cocina y caja compartida)Orden.NumberOutNumber OutEntity"/>
    <n v="19"/>
    <n v="122.36842105263158"/>
    <n v="10.160984894934533"/>
    <n v="0.95"/>
    <n v="4.8974379522971905"/>
    <n v="109"/>
    <n v="150"/>
  </r>
  <r>
    <x v="0"/>
    <s v="2025-05-18 18:56:05"/>
    <n v="1"/>
    <x v="8"/>
    <x v="2"/>
    <x v="1"/>
    <n v="210.18722493890999"/>
    <n v="0"/>
    <s v="Friday (Solucion: datafono, gofre, cocina y caja compartida)Preparacion Accum VA TimeAccum VA TimeProcess"/>
    <n v="19"/>
    <n v="174.13537587676447"/>
    <n v="19.65074675456297"/>
    <n v="0.95"/>
    <n v="9.4713567574295272"/>
    <n v="139.22471453685199"/>
    <n v="210.18722493890999"/>
  </r>
  <r>
    <x v="0"/>
    <s v="2025-05-18 18:56:05"/>
    <n v="1"/>
    <x v="9"/>
    <x v="3"/>
    <x v="1"/>
    <n v="514.987116007179"/>
    <n v="0"/>
    <s v="Friday (Solucion: datafono, gofre, cocina y caja compartida)Preparacion Accum Wait TimeAccum Wait TimeProcess"/>
    <n v="19"/>
    <n v="89.754366677107924"/>
    <n v="109.53061123574736"/>
    <n v="0.95"/>
    <n v="52.79206474085742"/>
    <n v="22.316256244919199"/>
    <n v="514.987116007179"/>
  </r>
  <r>
    <x v="0"/>
    <s v="2025-05-18 18:56:05"/>
    <n v="1"/>
    <x v="10"/>
    <x v="0"/>
    <x v="1"/>
    <n v="143"/>
    <n v="0"/>
    <s v="Friday (Solucion: datafono, gofre, cocina y caja compartida)Preparacion Number InNumber InProcess"/>
    <n v="19"/>
    <n v="121.89473684210526"/>
    <n v="9.971597090637573"/>
    <n v="0.95"/>
    <n v="4.8061559525642172"/>
    <n v="109"/>
    <n v="143"/>
  </r>
  <r>
    <x v="0"/>
    <s v="2025-05-18 18:56:05"/>
    <n v="1"/>
    <x v="11"/>
    <x v="1"/>
    <x v="1"/>
    <n v="150"/>
    <n v="0"/>
    <s v="Friday (Solucion: datafono, gofre, cocina y caja compartida)Preparacion Number OutNumber OutProcess"/>
    <n v="19"/>
    <n v="122.31578947368421"/>
    <n v="10.127260414780096"/>
    <n v="0.95"/>
    <n v="4.8811832731752718"/>
    <n v="111"/>
    <n v="150"/>
  </r>
  <r>
    <x v="0"/>
    <s v="2025-05-18 18:56:05"/>
    <n v="1"/>
    <x v="12"/>
    <x v="1"/>
    <x v="2"/>
    <n v="153"/>
    <n v="0"/>
    <s v="Friday (Solucion: datafono, gofre, cocina y caja compartida)System.NumberOutNumber OutSystem"/>
    <n v="19"/>
    <n v="125.36842105263158"/>
    <n v="10.160984894934533"/>
    <n v="0.95"/>
    <n v="4.8974379522971905"/>
    <n v="112"/>
    <n v="153"/>
  </r>
  <r>
    <x v="0"/>
    <s v="2025-05-18 18:56:05"/>
    <n v="1"/>
    <x v="13"/>
    <x v="4"/>
    <x v="3"/>
    <n v="157"/>
    <n v="0"/>
    <s v="Friday (Solucion: datafono, gofre, cocina y caja compartida)rCajero.NumberSeizedTotal Number SeizedResource"/>
    <n v="19"/>
    <n v="131.63157894736841"/>
    <n v="13.988926280438102"/>
    <n v="0.95"/>
    <n v="6.7424466413544986"/>
    <n v="113"/>
    <n v="157"/>
  </r>
  <r>
    <x v="0"/>
    <s v="2025-05-18 18:56:05"/>
    <n v="1"/>
    <x v="14"/>
    <x v="5"/>
    <x v="3"/>
    <n v="0.82897119936997599"/>
    <n v="0"/>
    <s v="Friday (Solucion: datafono, gofre, cocina y caja compartida)rCajero.ScheduledUtilizationScheduled UtilizationResource"/>
    <n v="19"/>
    <n v="0.68474836505339687"/>
    <n v="6.2272947935973065E-2"/>
    <n v="0.95"/>
    <n v="3.0014600137344902E-2"/>
    <n v="0.59592290927233305"/>
    <n v="0.82897119936997599"/>
  </r>
  <r>
    <x v="0"/>
    <s v="2025-05-18 18:56:05"/>
    <n v="1"/>
    <x v="15"/>
    <x v="4"/>
    <x v="3"/>
    <n v="135"/>
    <n v="0"/>
    <s v="Friday (Solucion: datafono, gofre, cocina y caja compartida)rCocina.NumberSeizedTotal Number SeizedResource"/>
    <n v="19"/>
    <n v="112.73684210526316"/>
    <n v="9.1155673027772668"/>
    <n v="0.95"/>
    <n v="4.3935628019284003"/>
    <n v="102"/>
    <n v="135"/>
  </r>
  <r>
    <x v="0"/>
    <s v="2025-05-18 18:56:05"/>
    <n v="1"/>
    <x v="16"/>
    <x v="5"/>
    <x v="3"/>
    <n v="0.86361037821575004"/>
    <n v="0"/>
    <s v="Friday (Solucion: datafono, gofre, cocina y caja compartida)rCocina.ScheduledUtilizationScheduled UtilizationResource"/>
    <n v="19"/>
    <n v="0.71670342302257706"/>
    <n v="7.0907274842727658E-2"/>
    <n v="0.95"/>
    <n v="3.4176212493127585E-2"/>
    <n v="0.60463940272025996"/>
    <n v="0.86361037821575004"/>
  </r>
  <r>
    <x v="0"/>
    <s v="2025-05-18 18:56:05"/>
    <n v="1"/>
    <x v="17"/>
    <x v="4"/>
    <x v="3"/>
    <n v="19"/>
    <n v="0"/>
    <s v="Friday (Solucion: datafono, gofre, cocina y caja compartida)rMesa.NumberSeizedTotal Number SeizedResource"/>
    <n v="19"/>
    <n v="16.157894736842106"/>
    <n v="3.8044295512634076"/>
    <n v="0.95"/>
    <n v="1.8336763477019644"/>
    <n v="9"/>
    <n v="24"/>
  </r>
  <r>
    <x v="0"/>
    <s v="2025-05-18 18:56:05"/>
    <n v="1"/>
    <x v="18"/>
    <x v="5"/>
    <x v="3"/>
    <n v="0.39418627273567902"/>
    <n v="0"/>
    <s v="Friday (Solucion: datafono, gofre, cocina y caja compartida)rMesa.ScheduledUtilizationScheduled UtilizationResource"/>
    <n v="19"/>
    <n v="0.30850610959128744"/>
    <n v="6.2586127702931107E-2"/>
    <n v="0.95"/>
    <n v="3.0165547953176861E-2"/>
    <n v="0.156206445320244"/>
    <n v="0.44942505379986802"/>
  </r>
  <r>
    <x v="0"/>
    <s v="2025-05-18 18:56:05"/>
    <n v="1"/>
    <x v="19"/>
    <x v="0"/>
    <x v="0"/>
    <n v="3"/>
    <n v="0"/>
    <s v="Friday (Solucion: datafono, gofre, cocina y caja compartida)reloj.NumberInNumber InEntity"/>
    <n v="19"/>
    <n v="3"/>
    <n v="0"/>
    <n v="0.95"/>
    <n v="0"/>
    <n v="3"/>
    <n v="3"/>
  </r>
  <r>
    <x v="0"/>
    <s v="2025-05-18 18:56:05"/>
    <n v="1"/>
    <x v="20"/>
    <x v="1"/>
    <x v="0"/>
    <n v="3"/>
    <n v="0"/>
    <s v="Friday (Solucion: datafono, gofre, cocina y caja compartida)reloj.NumberOutNumber OutEntity"/>
    <n v="19"/>
    <n v="3"/>
    <n v="0"/>
    <n v="0.95"/>
    <n v="0"/>
    <n v="3"/>
    <n v="3"/>
  </r>
  <r>
    <x v="0"/>
    <s v="2025-05-18 18:56:05"/>
    <n v="2"/>
    <x v="0"/>
    <x v="0"/>
    <x v="0"/>
    <n v="334"/>
    <n v="0"/>
    <s v="Friday (Solucion: datafono, gofre, cocina y caja compartida)Cliente.NumberInNumber InEntity"/>
    <n v="19"/>
    <n v="366.21052631578948"/>
    <n v="28.665850661580702"/>
    <n v="0.95"/>
    <n v="13.816497752584581"/>
    <n v="331"/>
    <n v="427"/>
  </r>
  <r>
    <x v="0"/>
    <s v="2025-05-18 18:56:05"/>
    <n v="2"/>
    <x v="1"/>
    <x v="1"/>
    <x v="0"/>
    <n v="329"/>
    <n v="0"/>
    <s v="Friday (Solucion: datafono, gofre, cocina y caja compartida)Cliente.NumberOutNumber OutEntity"/>
    <n v="19"/>
    <n v="366.63157894736844"/>
    <n v="29.957767544617038"/>
    <n v="0.95"/>
    <n v="14.439181758083874"/>
    <n v="329"/>
    <n v="443"/>
  </r>
  <r>
    <x v="0"/>
    <s v="2025-05-18 18:56:05"/>
    <n v="2"/>
    <x v="2"/>
    <x v="2"/>
    <x v="1"/>
    <n v="157.05073652574001"/>
    <n v="0"/>
    <s v="Friday (Solucion: datafono, gofre, cocina y caja compartida)Comer en Mesa Accum VA TimeAccum VA TimeProcess"/>
    <n v="19"/>
    <n v="283.12549562397913"/>
    <n v="55.763238037894645"/>
    <n v="0.95"/>
    <n v="26.877020400444863"/>
    <n v="157.05073652574001"/>
    <n v="402.97015039838902"/>
  </r>
  <r>
    <x v="0"/>
    <s v="2025-05-18 18:56:05"/>
    <n v="2"/>
    <x v="3"/>
    <x v="3"/>
    <x v="1"/>
    <n v="0"/>
    <n v="0"/>
    <s v="Friday (Solucion: datafono, gofre, cocina y caja compartida)Comer en Mesa Accum Wait TimeAccum Wait TimeProcess"/>
    <n v="19"/>
    <n v="0"/>
    <n v="0"/>
    <n v="0.95"/>
    <n v="0"/>
    <n v="0"/>
    <n v="0"/>
  </r>
  <r>
    <x v="0"/>
    <s v="2025-05-18 18:56:05"/>
    <n v="2"/>
    <x v="4"/>
    <x v="0"/>
    <x v="1"/>
    <n v="9"/>
    <n v="0"/>
    <s v="Friday (Solucion: datafono, gofre, cocina y caja compartida)Comer en Mesa Number InNumber InProcess"/>
    <n v="19"/>
    <n v="16.157894736842106"/>
    <n v="3.8044295512634076"/>
    <n v="0.95"/>
    <n v="1.8336763477019644"/>
    <n v="9"/>
    <n v="24"/>
  </r>
  <r>
    <x v="0"/>
    <s v="2025-05-18 18:56:05"/>
    <n v="2"/>
    <x v="5"/>
    <x v="1"/>
    <x v="1"/>
    <n v="8"/>
    <n v="0"/>
    <s v="Friday (Solucion: datafono, gofre, cocina y caja compartida)Comer en Mesa Number OutNumber OutProcess"/>
    <n v="19"/>
    <n v="16.263157894736842"/>
    <n v="3.3803698887540881"/>
    <n v="0.95"/>
    <n v="1.6292861329062698"/>
    <n v="8"/>
    <n v="22"/>
  </r>
  <r>
    <x v="0"/>
    <s v="2025-05-18 18:56:05"/>
    <n v="2"/>
    <x v="6"/>
    <x v="0"/>
    <x v="0"/>
    <n v="111"/>
    <n v="0"/>
    <s v="Friday (Solucion: datafono, gofre, cocina y caja compartida)Orden.NumberInNumber InEntity"/>
    <n v="19"/>
    <n v="121.89473684210526"/>
    <n v="9.971597090637573"/>
    <n v="0.95"/>
    <n v="4.8061559525642172"/>
    <n v="109"/>
    <n v="143"/>
  </r>
  <r>
    <x v="0"/>
    <s v="2025-05-18 18:56:05"/>
    <n v="2"/>
    <x v="7"/>
    <x v="1"/>
    <x v="0"/>
    <n v="109"/>
    <n v="0"/>
    <s v="Friday (Solucion: datafono, gofre, cocina y caja compartida)Orden.NumberOutNumber OutEntity"/>
    <n v="19"/>
    <n v="122.36842105263158"/>
    <n v="10.160984894934533"/>
    <n v="0.95"/>
    <n v="4.8974379522971905"/>
    <n v="109"/>
    <n v="150"/>
  </r>
  <r>
    <x v="0"/>
    <s v="2025-05-18 18:56:05"/>
    <n v="2"/>
    <x v="8"/>
    <x v="2"/>
    <x v="1"/>
    <n v="155.39278043105699"/>
    <n v="0"/>
    <s v="Friday (Solucion: datafono, gofre, cocina y caja compartida)Preparacion Accum VA TimeAccum VA TimeProcess"/>
    <n v="19"/>
    <n v="174.13537587676447"/>
    <n v="19.65074675456297"/>
    <n v="0.95"/>
    <n v="9.4713567574295272"/>
    <n v="139.22471453685199"/>
    <n v="210.18722493890999"/>
  </r>
  <r>
    <x v="0"/>
    <s v="2025-05-18 18:56:05"/>
    <n v="2"/>
    <x v="9"/>
    <x v="3"/>
    <x v="1"/>
    <n v="51.8314564867024"/>
    <n v="0"/>
    <s v="Friday (Solucion: datafono, gofre, cocina y caja compartida)Preparacion Accum Wait TimeAccum Wait TimeProcess"/>
    <n v="19"/>
    <n v="89.754366677107924"/>
    <n v="109.53061123574736"/>
    <n v="0.95"/>
    <n v="52.79206474085742"/>
    <n v="22.316256244919199"/>
    <n v="514.987116007179"/>
  </r>
  <r>
    <x v="0"/>
    <s v="2025-05-18 18:56:05"/>
    <n v="2"/>
    <x v="10"/>
    <x v="0"/>
    <x v="1"/>
    <n v="111"/>
    <n v="0"/>
    <s v="Friday (Solucion: datafono, gofre, cocina y caja compartida)Preparacion Number InNumber InProcess"/>
    <n v="19"/>
    <n v="121.89473684210526"/>
    <n v="9.971597090637573"/>
    <n v="0.95"/>
    <n v="4.8061559525642172"/>
    <n v="109"/>
    <n v="143"/>
  </r>
  <r>
    <x v="0"/>
    <s v="2025-05-18 18:56:05"/>
    <n v="2"/>
    <x v="11"/>
    <x v="1"/>
    <x v="1"/>
    <n v="111"/>
    <n v="0"/>
    <s v="Friday (Solucion: datafono, gofre, cocina y caja compartida)Preparacion Number OutNumber OutProcess"/>
    <n v="19"/>
    <n v="122.31578947368421"/>
    <n v="10.127260414780096"/>
    <n v="0.95"/>
    <n v="4.8811832731752718"/>
    <n v="111"/>
    <n v="150"/>
  </r>
  <r>
    <x v="0"/>
    <s v="2025-05-18 18:56:05"/>
    <n v="2"/>
    <x v="12"/>
    <x v="1"/>
    <x v="2"/>
    <n v="112"/>
    <n v="0"/>
    <s v="Friday (Solucion: datafono, gofre, cocina y caja compartida)System.NumberOutNumber OutSystem"/>
    <n v="19"/>
    <n v="125.36842105263158"/>
    <n v="10.160984894934533"/>
    <n v="0.95"/>
    <n v="4.8974379522971905"/>
    <n v="112"/>
    <n v="153"/>
  </r>
  <r>
    <x v="0"/>
    <s v="2025-05-18 18:56:05"/>
    <n v="2"/>
    <x v="13"/>
    <x v="4"/>
    <x v="3"/>
    <n v="113"/>
    <n v="0"/>
    <s v="Friday (Solucion: datafono, gofre, cocina y caja compartida)rCajero.NumberSeizedTotal Number SeizedResource"/>
    <n v="19"/>
    <n v="131.63157894736841"/>
    <n v="13.988926280438102"/>
    <n v="0.95"/>
    <n v="6.7424466413544986"/>
    <n v="113"/>
    <n v="157"/>
  </r>
  <r>
    <x v="0"/>
    <s v="2025-05-18 18:56:05"/>
    <n v="2"/>
    <x v="14"/>
    <x v="5"/>
    <x v="3"/>
    <n v="0.63054559860404802"/>
    <n v="0"/>
    <s v="Friday (Solucion: datafono, gofre, cocina y caja compartida)rCajero.ScheduledUtilizationScheduled UtilizationResource"/>
    <n v="19"/>
    <n v="0.68474836505339687"/>
    <n v="6.2272947935973065E-2"/>
    <n v="0.95"/>
    <n v="3.0014600137344902E-2"/>
    <n v="0.59592290927233305"/>
    <n v="0.82897119936997599"/>
  </r>
  <r>
    <x v="0"/>
    <s v="2025-05-18 18:56:05"/>
    <n v="2"/>
    <x v="15"/>
    <x v="4"/>
    <x v="3"/>
    <n v="109"/>
    <n v="0"/>
    <s v="Friday (Solucion: datafono, gofre, cocina y caja compartida)rCocina.NumberSeizedTotal Number SeizedResource"/>
    <n v="19"/>
    <n v="112.73684210526316"/>
    <n v="9.1155673027772668"/>
    <n v="0.95"/>
    <n v="4.3935628019284003"/>
    <n v="102"/>
    <n v="135"/>
  </r>
  <r>
    <x v="0"/>
    <s v="2025-05-18 18:56:05"/>
    <n v="2"/>
    <x v="16"/>
    <x v="5"/>
    <x v="3"/>
    <n v="0.62735626430673996"/>
    <n v="0"/>
    <s v="Friday (Solucion: datafono, gofre, cocina y caja compartida)rCocina.ScheduledUtilizationScheduled UtilizationResource"/>
    <n v="19"/>
    <n v="0.71670342302257706"/>
    <n v="7.0907274842727658E-2"/>
    <n v="0.95"/>
    <n v="3.4176212493127585E-2"/>
    <n v="0.60463940272025996"/>
    <n v="0.86361037821575004"/>
  </r>
  <r>
    <x v="0"/>
    <s v="2025-05-18 18:56:05"/>
    <n v="2"/>
    <x v="17"/>
    <x v="4"/>
    <x v="3"/>
    <n v="9"/>
    <n v="0"/>
    <s v="Friday (Solucion: datafono, gofre, cocina y caja compartida)rMesa.NumberSeizedTotal Number SeizedResource"/>
    <n v="19"/>
    <n v="16.157894736842106"/>
    <n v="3.8044295512634076"/>
    <n v="0.95"/>
    <n v="1.8336763477019644"/>
    <n v="9"/>
    <n v="24"/>
  </r>
  <r>
    <x v="0"/>
    <s v="2025-05-18 18:56:05"/>
    <n v="2"/>
    <x v="18"/>
    <x v="5"/>
    <x v="3"/>
    <n v="0.156206445320244"/>
    <n v="0"/>
    <s v="Friday (Solucion: datafono, gofre, cocina y caja compartida)rMesa.ScheduledUtilizationScheduled UtilizationResource"/>
    <n v="19"/>
    <n v="0.30850610959128744"/>
    <n v="6.2586127702931107E-2"/>
    <n v="0.95"/>
    <n v="3.0165547953176861E-2"/>
    <n v="0.156206445320244"/>
    <n v="0.44942505379986802"/>
  </r>
  <r>
    <x v="0"/>
    <s v="2025-05-18 18:56:05"/>
    <n v="2"/>
    <x v="19"/>
    <x v="0"/>
    <x v="0"/>
    <n v="3"/>
    <n v="0"/>
    <s v="Friday (Solucion: datafono, gofre, cocina y caja compartida)reloj.NumberInNumber InEntity"/>
    <n v="19"/>
    <n v="3"/>
    <n v="0"/>
    <n v="0.95"/>
    <n v="0"/>
    <n v="3"/>
    <n v="3"/>
  </r>
  <r>
    <x v="0"/>
    <s v="2025-05-18 18:56:05"/>
    <n v="2"/>
    <x v="20"/>
    <x v="1"/>
    <x v="0"/>
    <n v="3"/>
    <n v="0"/>
    <s v="Friday (Solucion: datafono, gofre, cocina y caja compartida)reloj.NumberOutNumber OutEntity"/>
    <n v="19"/>
    <n v="3"/>
    <n v="0"/>
    <n v="0.95"/>
    <n v="0"/>
    <n v="3"/>
    <n v="3"/>
  </r>
  <r>
    <x v="0"/>
    <s v="2025-05-18 18:56:05"/>
    <n v="3"/>
    <x v="0"/>
    <x v="0"/>
    <x v="0"/>
    <n v="331"/>
    <n v="0"/>
    <s v="Friday (Solucion: datafono, gofre, cocina y caja compartida)Cliente.NumberInNumber InEntity"/>
    <n v="19"/>
    <n v="366.21052631578948"/>
    <n v="28.665850661580702"/>
    <n v="0.95"/>
    <n v="13.816497752584581"/>
    <n v="331"/>
    <n v="427"/>
  </r>
  <r>
    <x v="0"/>
    <s v="2025-05-18 18:56:05"/>
    <n v="3"/>
    <x v="1"/>
    <x v="1"/>
    <x v="0"/>
    <n v="339"/>
    <n v="0"/>
    <s v="Friday (Solucion: datafono, gofre, cocina y caja compartida)Cliente.NumberOutNumber OutEntity"/>
    <n v="19"/>
    <n v="366.63157894736844"/>
    <n v="29.957767544617038"/>
    <n v="0.95"/>
    <n v="14.439181758083874"/>
    <n v="329"/>
    <n v="443"/>
  </r>
  <r>
    <x v="0"/>
    <s v="2025-05-18 18:56:05"/>
    <n v="3"/>
    <x v="2"/>
    <x v="2"/>
    <x v="1"/>
    <n v="328.13266969253198"/>
    <n v="0"/>
    <s v="Friday (Solucion: datafono, gofre, cocina y caja compartida)Comer en Mesa Accum VA TimeAccum VA TimeProcess"/>
    <n v="19"/>
    <n v="283.12549562397913"/>
    <n v="55.763238037894645"/>
    <n v="0.95"/>
    <n v="26.877020400444863"/>
    <n v="157.05073652574001"/>
    <n v="402.97015039838902"/>
  </r>
  <r>
    <x v="0"/>
    <s v="2025-05-18 18:56:05"/>
    <n v="3"/>
    <x v="3"/>
    <x v="3"/>
    <x v="1"/>
    <n v="0"/>
    <n v="0"/>
    <s v="Friday (Solucion: datafono, gofre, cocina y caja compartida)Comer en Mesa Accum Wait TimeAccum Wait TimeProcess"/>
    <n v="19"/>
    <n v="0"/>
    <n v="0"/>
    <n v="0.95"/>
    <n v="0"/>
    <n v="0"/>
    <n v="0"/>
  </r>
  <r>
    <x v="0"/>
    <s v="2025-05-18 18:56:05"/>
    <n v="3"/>
    <x v="4"/>
    <x v="0"/>
    <x v="1"/>
    <n v="14"/>
    <n v="0"/>
    <s v="Friday (Solucion: datafono, gofre, cocina y caja compartida)Comer en Mesa Number InNumber InProcess"/>
    <n v="19"/>
    <n v="16.157894736842106"/>
    <n v="3.8044295512634076"/>
    <n v="0.95"/>
    <n v="1.8336763477019644"/>
    <n v="9"/>
    <n v="24"/>
  </r>
  <r>
    <x v="0"/>
    <s v="2025-05-18 18:56:05"/>
    <n v="3"/>
    <x v="5"/>
    <x v="1"/>
    <x v="1"/>
    <n v="16"/>
    <n v="0"/>
    <s v="Friday (Solucion: datafono, gofre, cocina y caja compartida)Comer en Mesa Number OutNumber OutProcess"/>
    <n v="19"/>
    <n v="16.263157894736842"/>
    <n v="3.3803698887540881"/>
    <n v="0.95"/>
    <n v="1.6292861329062698"/>
    <n v="8"/>
    <n v="22"/>
  </r>
  <r>
    <x v="0"/>
    <s v="2025-05-18 18:56:05"/>
    <n v="3"/>
    <x v="6"/>
    <x v="0"/>
    <x v="0"/>
    <n v="109"/>
    <n v="0"/>
    <s v="Friday (Solucion: datafono, gofre, cocina y caja compartida)Orden.NumberInNumber InEntity"/>
    <n v="19"/>
    <n v="121.89473684210526"/>
    <n v="9.971597090637573"/>
    <n v="0.95"/>
    <n v="4.8061559525642172"/>
    <n v="109"/>
    <n v="143"/>
  </r>
  <r>
    <x v="0"/>
    <s v="2025-05-18 18:56:05"/>
    <n v="3"/>
    <x v="7"/>
    <x v="1"/>
    <x v="0"/>
    <n v="115"/>
    <n v="0"/>
    <s v="Friday (Solucion: datafono, gofre, cocina y caja compartida)Orden.NumberOutNumber OutEntity"/>
    <n v="19"/>
    <n v="122.36842105263158"/>
    <n v="10.160984894934533"/>
    <n v="0.95"/>
    <n v="4.8974379522971905"/>
    <n v="109"/>
    <n v="150"/>
  </r>
  <r>
    <x v="0"/>
    <s v="2025-05-18 18:56:05"/>
    <n v="3"/>
    <x v="8"/>
    <x v="2"/>
    <x v="1"/>
    <n v="193.295793025514"/>
    <n v="0"/>
    <s v="Friday (Solucion: datafono, gofre, cocina y caja compartida)Preparacion Accum VA TimeAccum VA TimeProcess"/>
    <n v="19"/>
    <n v="174.13537587676447"/>
    <n v="19.65074675456297"/>
    <n v="0.95"/>
    <n v="9.4713567574295272"/>
    <n v="139.22471453685199"/>
    <n v="210.18722493890999"/>
  </r>
  <r>
    <x v="0"/>
    <s v="2025-05-18 18:56:05"/>
    <n v="3"/>
    <x v="9"/>
    <x v="3"/>
    <x v="1"/>
    <n v="169.183485654809"/>
    <n v="0"/>
    <s v="Friday (Solucion: datafono, gofre, cocina y caja compartida)Preparacion Accum Wait TimeAccum Wait TimeProcess"/>
    <n v="19"/>
    <n v="89.754366677107924"/>
    <n v="109.53061123574736"/>
    <n v="0.95"/>
    <n v="52.79206474085742"/>
    <n v="22.316256244919199"/>
    <n v="514.987116007179"/>
  </r>
  <r>
    <x v="0"/>
    <s v="2025-05-18 18:56:05"/>
    <n v="3"/>
    <x v="10"/>
    <x v="0"/>
    <x v="1"/>
    <n v="109"/>
    <n v="0"/>
    <s v="Friday (Solucion: datafono, gofre, cocina y caja compartida)Preparacion Number InNumber InProcess"/>
    <n v="19"/>
    <n v="121.89473684210526"/>
    <n v="9.971597090637573"/>
    <n v="0.95"/>
    <n v="4.8061559525642172"/>
    <n v="109"/>
    <n v="143"/>
  </r>
  <r>
    <x v="0"/>
    <s v="2025-05-18 18:56:05"/>
    <n v="3"/>
    <x v="11"/>
    <x v="1"/>
    <x v="1"/>
    <n v="114"/>
    <n v="0"/>
    <s v="Friday (Solucion: datafono, gofre, cocina y caja compartida)Preparacion Number OutNumber OutProcess"/>
    <n v="19"/>
    <n v="122.31578947368421"/>
    <n v="10.127260414780096"/>
    <n v="0.95"/>
    <n v="4.8811832731752718"/>
    <n v="111"/>
    <n v="150"/>
  </r>
  <r>
    <x v="0"/>
    <s v="2025-05-18 18:56:05"/>
    <n v="3"/>
    <x v="12"/>
    <x v="1"/>
    <x v="2"/>
    <n v="118"/>
    <n v="0"/>
    <s v="Friday (Solucion: datafono, gofre, cocina y caja compartida)System.NumberOutNumber OutSystem"/>
    <n v="19"/>
    <n v="125.36842105263158"/>
    <n v="10.160984894934533"/>
    <n v="0.95"/>
    <n v="4.8974379522971905"/>
    <n v="112"/>
    <n v="153"/>
  </r>
  <r>
    <x v="0"/>
    <s v="2025-05-18 18:56:05"/>
    <n v="3"/>
    <x v="13"/>
    <x v="4"/>
    <x v="3"/>
    <n v="117"/>
    <n v="0"/>
    <s v="Friday (Solucion: datafono, gofre, cocina y caja compartida)rCajero.NumberSeizedTotal Number SeizedResource"/>
    <n v="19"/>
    <n v="131.63157894736841"/>
    <n v="13.988926280438102"/>
    <n v="0.95"/>
    <n v="6.7424466413544986"/>
    <n v="113"/>
    <n v="157"/>
  </r>
  <r>
    <x v="0"/>
    <s v="2025-05-18 18:56:05"/>
    <n v="3"/>
    <x v="14"/>
    <x v="5"/>
    <x v="3"/>
    <n v="0.71651890712748101"/>
    <n v="0"/>
    <s v="Friday (Solucion: datafono, gofre, cocina y caja compartida)rCajero.ScheduledUtilizationScheduled UtilizationResource"/>
    <n v="19"/>
    <n v="0.68474836505339687"/>
    <n v="6.2272947935973065E-2"/>
    <n v="0.95"/>
    <n v="3.0014600137344902E-2"/>
    <n v="0.59592290927233305"/>
    <n v="0.82897119936997599"/>
  </r>
  <r>
    <x v="0"/>
    <s v="2025-05-18 18:56:05"/>
    <n v="3"/>
    <x v="15"/>
    <x v="4"/>
    <x v="3"/>
    <n v="106"/>
    <n v="0"/>
    <s v="Friday (Solucion: datafono, gofre, cocina y caja compartida)rCocina.NumberSeizedTotal Number SeizedResource"/>
    <n v="19"/>
    <n v="112.73684210526316"/>
    <n v="9.1155673027772668"/>
    <n v="0.95"/>
    <n v="4.3935628019284003"/>
    <n v="102"/>
    <n v="135"/>
  </r>
  <r>
    <x v="0"/>
    <s v="2025-05-18 18:56:05"/>
    <n v="3"/>
    <x v="16"/>
    <x v="5"/>
    <x v="3"/>
    <n v="0.74862036628543105"/>
    <n v="0"/>
    <s v="Friday (Solucion: datafono, gofre, cocina y caja compartida)rCocina.ScheduledUtilizationScheduled UtilizationResource"/>
    <n v="19"/>
    <n v="0.71670342302257706"/>
    <n v="7.0907274842727658E-2"/>
    <n v="0.95"/>
    <n v="3.4176212493127585E-2"/>
    <n v="0.60463940272025996"/>
    <n v="0.86361037821575004"/>
  </r>
  <r>
    <x v="0"/>
    <s v="2025-05-18 18:56:05"/>
    <n v="3"/>
    <x v="17"/>
    <x v="4"/>
    <x v="3"/>
    <n v="14"/>
    <n v="0"/>
    <s v="Friday (Solucion: datafono, gofre, cocina y caja compartida)rMesa.NumberSeizedTotal Number SeizedResource"/>
    <n v="19"/>
    <n v="16.157894736842106"/>
    <n v="3.8044295512634076"/>
    <n v="0.95"/>
    <n v="1.8336763477019644"/>
    <n v="9"/>
    <n v="24"/>
  </r>
  <r>
    <x v="0"/>
    <s v="2025-05-18 18:56:05"/>
    <n v="3"/>
    <x v="18"/>
    <x v="5"/>
    <x v="3"/>
    <n v="0.34120312107449902"/>
    <n v="0"/>
    <s v="Friday (Solucion: datafono, gofre, cocina y caja compartida)rMesa.ScheduledUtilizationScheduled UtilizationResource"/>
    <n v="19"/>
    <n v="0.30850610959128744"/>
    <n v="6.2586127702931107E-2"/>
    <n v="0.95"/>
    <n v="3.0165547953176861E-2"/>
    <n v="0.156206445320244"/>
    <n v="0.44942505379986802"/>
  </r>
  <r>
    <x v="0"/>
    <s v="2025-05-18 18:56:05"/>
    <n v="3"/>
    <x v="19"/>
    <x v="0"/>
    <x v="0"/>
    <n v="3"/>
    <n v="0"/>
    <s v="Friday (Solucion: datafono, gofre, cocina y caja compartida)reloj.NumberInNumber InEntity"/>
    <n v="19"/>
    <n v="3"/>
    <n v="0"/>
    <n v="0.95"/>
    <n v="0"/>
    <n v="3"/>
    <n v="3"/>
  </r>
  <r>
    <x v="0"/>
    <s v="2025-05-18 18:56:05"/>
    <n v="3"/>
    <x v="20"/>
    <x v="1"/>
    <x v="0"/>
    <n v="3"/>
    <n v="0"/>
    <s v="Friday (Solucion: datafono, gofre, cocina y caja compartida)reloj.NumberOutNumber OutEntity"/>
    <n v="19"/>
    <n v="3"/>
    <n v="0"/>
    <n v="0.95"/>
    <n v="0"/>
    <n v="3"/>
    <n v="3"/>
  </r>
  <r>
    <x v="0"/>
    <s v="2025-05-18 18:56:05"/>
    <n v="4"/>
    <x v="0"/>
    <x v="0"/>
    <x v="0"/>
    <n v="351"/>
    <n v="0"/>
    <s v="Friday (Solucion: datafono, gofre, cocina y caja compartida)Cliente.NumberInNumber InEntity"/>
    <n v="19"/>
    <n v="366.21052631578948"/>
    <n v="28.665850661580702"/>
    <n v="0.95"/>
    <n v="13.816497752584581"/>
    <n v="331"/>
    <n v="427"/>
  </r>
  <r>
    <x v="0"/>
    <s v="2025-05-18 18:56:05"/>
    <n v="4"/>
    <x v="1"/>
    <x v="1"/>
    <x v="0"/>
    <n v="349"/>
    <n v="0"/>
    <s v="Friday (Solucion: datafono, gofre, cocina y caja compartida)Cliente.NumberOutNumber OutEntity"/>
    <n v="19"/>
    <n v="366.63157894736844"/>
    <n v="29.957767544617038"/>
    <n v="0.95"/>
    <n v="14.439181758083874"/>
    <n v="329"/>
    <n v="443"/>
  </r>
  <r>
    <x v="0"/>
    <s v="2025-05-18 18:56:05"/>
    <n v="4"/>
    <x v="2"/>
    <x v="2"/>
    <x v="1"/>
    <n v="216.21678192778501"/>
    <n v="0"/>
    <s v="Friday (Solucion: datafono, gofre, cocina y caja compartida)Comer en Mesa Accum VA TimeAccum VA TimeProcess"/>
    <n v="19"/>
    <n v="283.12549562397913"/>
    <n v="55.763238037894645"/>
    <n v="0.95"/>
    <n v="26.877020400444863"/>
    <n v="157.05073652574001"/>
    <n v="402.97015039838902"/>
  </r>
  <r>
    <x v="0"/>
    <s v="2025-05-18 18:56:05"/>
    <n v="4"/>
    <x v="3"/>
    <x v="3"/>
    <x v="1"/>
    <n v="0"/>
    <n v="0"/>
    <s v="Friday (Solucion: datafono, gofre, cocina y caja compartida)Comer en Mesa Accum Wait TimeAccum Wait TimeProcess"/>
    <n v="19"/>
    <n v="0"/>
    <n v="0"/>
    <n v="0.95"/>
    <n v="0"/>
    <n v="0"/>
    <n v="0"/>
  </r>
  <r>
    <x v="0"/>
    <s v="2025-05-18 18:56:05"/>
    <n v="4"/>
    <x v="4"/>
    <x v="0"/>
    <x v="1"/>
    <n v="17"/>
    <n v="0"/>
    <s v="Friday (Solucion: datafono, gofre, cocina y caja compartida)Comer en Mesa Number InNumber InProcess"/>
    <n v="19"/>
    <n v="16.157894736842106"/>
    <n v="3.8044295512634076"/>
    <n v="0.95"/>
    <n v="1.8336763477019644"/>
    <n v="9"/>
    <n v="24"/>
  </r>
  <r>
    <x v="0"/>
    <s v="2025-05-18 18:56:05"/>
    <n v="4"/>
    <x v="5"/>
    <x v="1"/>
    <x v="1"/>
    <n v="15"/>
    <n v="0"/>
    <s v="Friday (Solucion: datafono, gofre, cocina y caja compartida)Comer en Mesa Number OutNumber OutProcess"/>
    <n v="19"/>
    <n v="16.263157894736842"/>
    <n v="3.3803698887540881"/>
    <n v="0.95"/>
    <n v="1.6292861329062698"/>
    <n v="8"/>
    <n v="22"/>
  </r>
  <r>
    <x v="0"/>
    <s v="2025-05-18 18:56:05"/>
    <n v="4"/>
    <x v="6"/>
    <x v="0"/>
    <x v="0"/>
    <n v="117"/>
    <n v="0"/>
    <s v="Friday (Solucion: datafono, gofre, cocina y caja compartida)Orden.NumberInNumber InEntity"/>
    <n v="19"/>
    <n v="121.89473684210526"/>
    <n v="9.971597090637573"/>
    <n v="0.95"/>
    <n v="4.8061559525642172"/>
    <n v="109"/>
    <n v="143"/>
  </r>
  <r>
    <x v="0"/>
    <s v="2025-05-18 18:56:05"/>
    <n v="4"/>
    <x v="7"/>
    <x v="1"/>
    <x v="0"/>
    <n v="116"/>
    <n v="0"/>
    <s v="Friday (Solucion: datafono, gofre, cocina y caja compartida)Orden.NumberOutNumber OutEntity"/>
    <n v="19"/>
    <n v="122.36842105263158"/>
    <n v="10.160984894934533"/>
    <n v="0.95"/>
    <n v="4.8974379522971905"/>
    <n v="109"/>
    <n v="150"/>
  </r>
  <r>
    <x v="0"/>
    <s v="2025-05-18 18:56:05"/>
    <n v="4"/>
    <x v="8"/>
    <x v="2"/>
    <x v="1"/>
    <n v="177.77474485518101"/>
    <n v="0"/>
    <s v="Friday (Solucion: datafono, gofre, cocina y caja compartida)Preparacion Accum VA TimeAccum VA TimeProcess"/>
    <n v="19"/>
    <n v="174.13537587676447"/>
    <n v="19.65074675456297"/>
    <n v="0.95"/>
    <n v="9.4713567574295272"/>
    <n v="139.22471453685199"/>
    <n v="210.18722493890999"/>
  </r>
  <r>
    <x v="0"/>
    <s v="2025-05-18 18:56:05"/>
    <n v="4"/>
    <x v="9"/>
    <x v="3"/>
    <x v="1"/>
    <n v="24.0910383948241"/>
    <n v="0"/>
    <s v="Friday (Solucion: datafono, gofre, cocina y caja compartida)Preparacion Accum Wait TimeAccum Wait TimeProcess"/>
    <n v="19"/>
    <n v="89.754366677107924"/>
    <n v="109.53061123574736"/>
    <n v="0.95"/>
    <n v="52.79206474085742"/>
    <n v="22.316256244919199"/>
    <n v="514.987116007179"/>
  </r>
  <r>
    <x v="0"/>
    <s v="2025-05-18 18:56:05"/>
    <n v="4"/>
    <x v="10"/>
    <x v="0"/>
    <x v="1"/>
    <n v="117"/>
    <n v="0"/>
    <s v="Friday (Solucion: datafono, gofre, cocina y caja compartida)Preparacion Number InNumber InProcess"/>
    <n v="19"/>
    <n v="121.89473684210526"/>
    <n v="9.971597090637573"/>
    <n v="0.95"/>
    <n v="4.8061559525642172"/>
    <n v="109"/>
    <n v="143"/>
  </r>
  <r>
    <x v="0"/>
    <s v="2025-05-18 18:56:05"/>
    <n v="4"/>
    <x v="11"/>
    <x v="1"/>
    <x v="1"/>
    <n v="117"/>
    <n v="0"/>
    <s v="Friday (Solucion: datafono, gofre, cocina y caja compartida)Preparacion Number OutNumber OutProcess"/>
    <n v="19"/>
    <n v="122.31578947368421"/>
    <n v="10.127260414780096"/>
    <n v="0.95"/>
    <n v="4.8811832731752718"/>
    <n v="111"/>
    <n v="150"/>
  </r>
  <r>
    <x v="0"/>
    <s v="2025-05-18 18:56:05"/>
    <n v="4"/>
    <x v="12"/>
    <x v="1"/>
    <x v="2"/>
    <n v="119"/>
    <n v="0"/>
    <s v="Friday (Solucion: datafono, gofre, cocina y caja compartida)System.NumberOutNumber OutSystem"/>
    <n v="19"/>
    <n v="125.36842105263158"/>
    <n v="10.160984894934533"/>
    <n v="0.95"/>
    <n v="4.8974379522971905"/>
    <n v="112"/>
    <n v="153"/>
  </r>
  <r>
    <x v="0"/>
    <s v="2025-05-18 18:56:05"/>
    <n v="4"/>
    <x v="13"/>
    <x v="4"/>
    <x v="3"/>
    <n v="129"/>
    <n v="0"/>
    <s v="Friday (Solucion: datafono, gofre, cocina y caja compartida)rCajero.NumberSeizedTotal Number SeizedResource"/>
    <n v="19"/>
    <n v="131.63157894736841"/>
    <n v="13.988926280438102"/>
    <n v="0.95"/>
    <n v="6.7424466413544986"/>
    <n v="113"/>
    <n v="157"/>
  </r>
  <r>
    <x v="0"/>
    <s v="2025-05-18 18:56:05"/>
    <n v="4"/>
    <x v="14"/>
    <x v="5"/>
    <x v="3"/>
    <n v="0.65540630966095803"/>
    <n v="0"/>
    <s v="Friday (Solucion: datafono, gofre, cocina y caja compartida)rCajero.ScheduledUtilizationScheduled UtilizationResource"/>
    <n v="19"/>
    <n v="0.68474836505339687"/>
    <n v="6.2272947935973065E-2"/>
    <n v="0.95"/>
    <n v="3.0014600137344902E-2"/>
    <n v="0.59592290927233305"/>
    <n v="0.82897119936997599"/>
  </r>
  <r>
    <x v="0"/>
    <s v="2025-05-18 18:56:05"/>
    <n v="4"/>
    <x v="15"/>
    <x v="4"/>
    <x v="3"/>
    <n v="105"/>
    <n v="0"/>
    <s v="Friday (Solucion: datafono, gofre, cocina y caja compartida)rCocina.NumberSeizedTotal Number SeizedResource"/>
    <n v="19"/>
    <n v="112.73684210526316"/>
    <n v="9.1155673027772668"/>
    <n v="0.95"/>
    <n v="4.3935628019284003"/>
    <n v="102"/>
    <n v="135"/>
  </r>
  <r>
    <x v="0"/>
    <s v="2025-05-18 18:56:05"/>
    <n v="4"/>
    <x v="16"/>
    <x v="5"/>
    <x v="3"/>
    <n v="0.75258580226755301"/>
    <n v="0"/>
    <s v="Friday (Solucion: datafono, gofre, cocina y caja compartida)rCocina.ScheduledUtilizationScheduled UtilizationResource"/>
    <n v="19"/>
    <n v="0.71670342302257706"/>
    <n v="7.0907274842727658E-2"/>
    <n v="0.95"/>
    <n v="3.4176212493127585E-2"/>
    <n v="0.60463940272025996"/>
    <n v="0.86361037821575004"/>
  </r>
  <r>
    <x v="0"/>
    <s v="2025-05-18 18:56:05"/>
    <n v="4"/>
    <x v="17"/>
    <x v="4"/>
    <x v="3"/>
    <n v="17"/>
    <n v="0"/>
    <s v="Friday (Solucion: datafono, gofre, cocina y caja compartida)rMesa.NumberSeizedTotal Number SeizedResource"/>
    <n v="19"/>
    <n v="16.157894736842106"/>
    <n v="3.8044295512634076"/>
    <n v="0.95"/>
    <n v="1.8336763477019644"/>
    <n v="9"/>
    <n v="24"/>
  </r>
  <r>
    <x v="0"/>
    <s v="2025-05-18 18:56:05"/>
    <n v="4"/>
    <x v="18"/>
    <x v="5"/>
    <x v="3"/>
    <n v="0.26300608836325801"/>
    <n v="0"/>
    <s v="Friday (Solucion: datafono, gofre, cocina y caja compartida)rMesa.ScheduledUtilizationScheduled UtilizationResource"/>
    <n v="19"/>
    <n v="0.30850610959128744"/>
    <n v="6.2586127702931107E-2"/>
    <n v="0.95"/>
    <n v="3.0165547953176861E-2"/>
    <n v="0.156206445320244"/>
    <n v="0.44942505379986802"/>
  </r>
  <r>
    <x v="0"/>
    <s v="2025-05-18 18:56:05"/>
    <n v="4"/>
    <x v="19"/>
    <x v="0"/>
    <x v="0"/>
    <n v="3"/>
    <n v="0"/>
    <s v="Friday (Solucion: datafono, gofre, cocina y caja compartida)reloj.NumberInNumber InEntity"/>
    <n v="19"/>
    <n v="3"/>
    <n v="0"/>
    <n v="0.95"/>
    <n v="0"/>
    <n v="3"/>
    <n v="3"/>
  </r>
  <r>
    <x v="0"/>
    <s v="2025-05-18 18:56:05"/>
    <n v="4"/>
    <x v="20"/>
    <x v="1"/>
    <x v="0"/>
    <n v="3"/>
    <n v="0"/>
    <s v="Friday (Solucion: datafono, gofre, cocina y caja compartida)reloj.NumberOutNumber OutEntity"/>
    <n v="19"/>
    <n v="3"/>
    <n v="0"/>
    <n v="0.95"/>
    <n v="0"/>
    <n v="3"/>
    <n v="3"/>
  </r>
  <r>
    <x v="0"/>
    <s v="2025-05-18 18:56:05"/>
    <n v="5"/>
    <x v="0"/>
    <x v="0"/>
    <x v="0"/>
    <n v="393"/>
    <n v="0"/>
    <s v="Friday (Solucion: datafono, gofre, cocina y caja compartida)Cliente.NumberInNumber InEntity"/>
    <n v="19"/>
    <n v="366.21052631578948"/>
    <n v="28.665850661580702"/>
    <n v="0.95"/>
    <n v="13.816497752584581"/>
    <n v="331"/>
    <n v="427"/>
  </r>
  <r>
    <x v="0"/>
    <s v="2025-05-18 18:56:05"/>
    <n v="5"/>
    <x v="1"/>
    <x v="1"/>
    <x v="0"/>
    <n v="389"/>
    <n v="0"/>
    <s v="Friday (Solucion: datafono, gofre, cocina y caja compartida)Cliente.NumberOutNumber OutEntity"/>
    <n v="19"/>
    <n v="366.63157894736844"/>
    <n v="29.957767544617038"/>
    <n v="0.95"/>
    <n v="14.439181758083874"/>
    <n v="329"/>
    <n v="443"/>
  </r>
  <r>
    <x v="0"/>
    <s v="2025-05-18 18:56:05"/>
    <n v="5"/>
    <x v="2"/>
    <x v="2"/>
    <x v="1"/>
    <n v="286.92332040460002"/>
    <n v="0"/>
    <s v="Friday (Solucion: datafono, gofre, cocina y caja compartida)Comer en Mesa Accum VA TimeAccum VA TimeProcess"/>
    <n v="19"/>
    <n v="283.12549562397913"/>
    <n v="55.763238037894645"/>
    <n v="0.95"/>
    <n v="26.877020400444863"/>
    <n v="157.05073652574001"/>
    <n v="402.97015039838902"/>
  </r>
  <r>
    <x v="0"/>
    <s v="2025-05-18 18:56:05"/>
    <n v="5"/>
    <x v="3"/>
    <x v="3"/>
    <x v="1"/>
    <n v="0"/>
    <n v="0"/>
    <s v="Friday (Solucion: datafono, gofre, cocina y caja compartida)Comer en Mesa Accum Wait TimeAccum Wait TimeProcess"/>
    <n v="19"/>
    <n v="0"/>
    <n v="0"/>
    <n v="0.95"/>
    <n v="0"/>
    <n v="0"/>
    <n v="0"/>
  </r>
  <r>
    <x v="0"/>
    <s v="2025-05-18 18:56:05"/>
    <n v="5"/>
    <x v="4"/>
    <x v="0"/>
    <x v="1"/>
    <n v="17"/>
    <n v="0"/>
    <s v="Friday (Solucion: datafono, gofre, cocina y caja compartida)Comer en Mesa Number InNumber InProcess"/>
    <n v="19"/>
    <n v="16.157894736842106"/>
    <n v="3.8044295512634076"/>
    <n v="0.95"/>
    <n v="1.8336763477019644"/>
    <n v="9"/>
    <n v="24"/>
  </r>
  <r>
    <x v="0"/>
    <s v="2025-05-18 18:56:05"/>
    <n v="5"/>
    <x v="5"/>
    <x v="1"/>
    <x v="1"/>
    <n v="15"/>
    <n v="0"/>
    <s v="Friday (Solucion: datafono, gofre, cocina y caja compartida)Comer en Mesa Number OutNumber OutProcess"/>
    <n v="19"/>
    <n v="16.263157894736842"/>
    <n v="3.3803698887540881"/>
    <n v="0.95"/>
    <n v="1.6292861329062698"/>
    <n v="8"/>
    <n v="22"/>
  </r>
  <r>
    <x v="0"/>
    <s v="2025-05-18 18:56:05"/>
    <n v="5"/>
    <x v="6"/>
    <x v="0"/>
    <x v="0"/>
    <n v="131"/>
    <n v="0"/>
    <s v="Friday (Solucion: datafono, gofre, cocina y caja compartida)Orden.NumberInNumber InEntity"/>
    <n v="19"/>
    <n v="121.89473684210526"/>
    <n v="9.971597090637573"/>
    <n v="0.95"/>
    <n v="4.8061559525642172"/>
    <n v="109"/>
    <n v="143"/>
  </r>
  <r>
    <x v="0"/>
    <s v="2025-05-18 18:56:05"/>
    <n v="5"/>
    <x v="7"/>
    <x v="1"/>
    <x v="0"/>
    <n v="129"/>
    <n v="0"/>
    <s v="Friday (Solucion: datafono, gofre, cocina y caja compartida)Orden.NumberOutNumber OutEntity"/>
    <n v="19"/>
    <n v="122.36842105263158"/>
    <n v="10.160984894934533"/>
    <n v="0.95"/>
    <n v="4.8974379522971905"/>
    <n v="109"/>
    <n v="150"/>
  </r>
  <r>
    <x v="0"/>
    <s v="2025-05-18 18:56:05"/>
    <n v="5"/>
    <x v="8"/>
    <x v="2"/>
    <x v="1"/>
    <n v="155.75036908148701"/>
    <n v="0"/>
    <s v="Friday (Solucion: datafono, gofre, cocina y caja compartida)Preparacion Accum VA TimeAccum VA TimeProcess"/>
    <n v="19"/>
    <n v="174.13537587676447"/>
    <n v="19.65074675456297"/>
    <n v="0.95"/>
    <n v="9.4713567574295272"/>
    <n v="139.22471453685199"/>
    <n v="210.18722493890999"/>
  </r>
  <r>
    <x v="0"/>
    <s v="2025-05-18 18:56:05"/>
    <n v="5"/>
    <x v="9"/>
    <x v="3"/>
    <x v="1"/>
    <n v="38.598690272104399"/>
    <n v="0"/>
    <s v="Friday (Solucion: datafono, gofre, cocina y caja compartida)Preparacion Accum Wait TimeAccum Wait TimeProcess"/>
    <n v="19"/>
    <n v="89.754366677107924"/>
    <n v="109.53061123574736"/>
    <n v="0.95"/>
    <n v="52.79206474085742"/>
    <n v="22.316256244919199"/>
    <n v="514.987116007179"/>
  </r>
  <r>
    <x v="0"/>
    <s v="2025-05-18 18:56:05"/>
    <n v="5"/>
    <x v="10"/>
    <x v="0"/>
    <x v="1"/>
    <n v="131"/>
    <n v="0"/>
    <s v="Friday (Solucion: datafono, gofre, cocina y caja compartida)Preparacion Number InNumber InProcess"/>
    <n v="19"/>
    <n v="121.89473684210526"/>
    <n v="9.971597090637573"/>
    <n v="0.95"/>
    <n v="4.8061559525642172"/>
    <n v="109"/>
    <n v="143"/>
  </r>
  <r>
    <x v="0"/>
    <s v="2025-05-18 18:56:05"/>
    <n v="5"/>
    <x v="11"/>
    <x v="1"/>
    <x v="1"/>
    <n v="131"/>
    <n v="0"/>
    <s v="Friday (Solucion: datafono, gofre, cocina y caja compartida)Preparacion Number OutNumber OutProcess"/>
    <n v="19"/>
    <n v="122.31578947368421"/>
    <n v="10.127260414780096"/>
    <n v="0.95"/>
    <n v="4.8811832731752718"/>
    <n v="111"/>
    <n v="150"/>
  </r>
  <r>
    <x v="0"/>
    <s v="2025-05-18 18:56:05"/>
    <n v="5"/>
    <x v="12"/>
    <x v="1"/>
    <x v="2"/>
    <n v="132"/>
    <n v="0"/>
    <s v="Friday (Solucion: datafono, gofre, cocina y caja compartida)System.NumberOutNumber OutSystem"/>
    <n v="19"/>
    <n v="125.36842105263158"/>
    <n v="10.160984894934533"/>
    <n v="0.95"/>
    <n v="4.8974379522971905"/>
    <n v="112"/>
    <n v="153"/>
  </r>
  <r>
    <x v="0"/>
    <s v="2025-05-18 18:56:05"/>
    <n v="5"/>
    <x v="13"/>
    <x v="4"/>
    <x v="3"/>
    <n v="147"/>
    <n v="0"/>
    <s v="Friday (Solucion: datafono, gofre, cocina y caja compartida)rCajero.NumberSeizedTotal Number SeizedResource"/>
    <n v="19"/>
    <n v="131.63157894736841"/>
    <n v="13.988926280438102"/>
    <n v="0.95"/>
    <n v="6.7424466413544986"/>
    <n v="113"/>
    <n v="157"/>
  </r>
  <r>
    <x v="0"/>
    <s v="2025-05-18 18:56:05"/>
    <n v="5"/>
    <x v="14"/>
    <x v="5"/>
    <x v="3"/>
    <n v="0.59861794843566096"/>
    <n v="0"/>
    <s v="Friday (Solucion: datafono, gofre, cocina y caja compartida)rCajero.ScheduledUtilizationScheduled UtilizationResource"/>
    <n v="19"/>
    <n v="0.68474836505339687"/>
    <n v="6.2272947935973065E-2"/>
    <n v="0.95"/>
    <n v="3.0014600137344902E-2"/>
    <n v="0.59592290927233305"/>
    <n v="0.82897119936997599"/>
  </r>
  <r>
    <x v="0"/>
    <s v="2025-05-18 18:56:05"/>
    <n v="5"/>
    <x v="15"/>
    <x v="4"/>
    <x v="3"/>
    <n v="115"/>
    <n v="0"/>
    <s v="Friday (Solucion: datafono, gofre, cocina y caja compartida)rCocina.NumberSeizedTotal Number SeizedResource"/>
    <n v="19"/>
    <n v="112.73684210526316"/>
    <n v="9.1155673027772668"/>
    <n v="0.95"/>
    <n v="4.3935628019284003"/>
    <n v="102"/>
    <n v="135"/>
  </r>
  <r>
    <x v="0"/>
    <s v="2025-05-18 18:56:05"/>
    <n v="5"/>
    <x v="16"/>
    <x v="5"/>
    <x v="3"/>
    <n v="0.66997210543508001"/>
    <n v="0"/>
    <s v="Friday (Solucion: datafono, gofre, cocina y caja compartida)rCocina.ScheduledUtilizationScheduled UtilizationResource"/>
    <n v="19"/>
    <n v="0.71670342302257706"/>
    <n v="7.0907274842727658E-2"/>
    <n v="0.95"/>
    <n v="3.4176212493127585E-2"/>
    <n v="0.60463940272025996"/>
    <n v="0.86361037821575004"/>
  </r>
  <r>
    <x v="0"/>
    <s v="2025-05-18 18:56:05"/>
    <n v="5"/>
    <x v="17"/>
    <x v="4"/>
    <x v="3"/>
    <n v="17"/>
    <n v="0"/>
    <s v="Friday (Solucion: datafono, gofre, cocina y caja compartida)rMesa.NumberSeizedTotal Number SeizedResource"/>
    <n v="19"/>
    <n v="16.157894736842106"/>
    <n v="3.8044295512634076"/>
    <n v="0.95"/>
    <n v="1.8336763477019644"/>
    <n v="9"/>
    <n v="24"/>
  </r>
  <r>
    <x v="0"/>
    <s v="2025-05-18 18:56:05"/>
    <n v="5"/>
    <x v="18"/>
    <x v="5"/>
    <x v="3"/>
    <n v="0.33058218989107502"/>
    <n v="0"/>
    <s v="Friday (Solucion: datafono, gofre, cocina y caja compartida)rMesa.ScheduledUtilizationScheduled UtilizationResource"/>
    <n v="19"/>
    <n v="0.30850610959128744"/>
    <n v="6.2586127702931107E-2"/>
    <n v="0.95"/>
    <n v="3.0165547953176861E-2"/>
    <n v="0.156206445320244"/>
    <n v="0.44942505379986802"/>
  </r>
  <r>
    <x v="0"/>
    <s v="2025-05-18 18:56:05"/>
    <n v="5"/>
    <x v="19"/>
    <x v="0"/>
    <x v="0"/>
    <n v="3"/>
    <n v="0"/>
    <s v="Friday (Solucion: datafono, gofre, cocina y caja compartida)reloj.NumberInNumber InEntity"/>
    <n v="19"/>
    <n v="3"/>
    <n v="0"/>
    <n v="0.95"/>
    <n v="0"/>
    <n v="3"/>
    <n v="3"/>
  </r>
  <r>
    <x v="0"/>
    <s v="2025-05-18 18:56:05"/>
    <n v="5"/>
    <x v="20"/>
    <x v="1"/>
    <x v="0"/>
    <n v="3"/>
    <n v="0"/>
    <s v="Friday (Solucion: datafono, gofre, cocina y caja compartida)reloj.NumberOutNumber OutEntity"/>
    <n v="19"/>
    <n v="3"/>
    <n v="0"/>
    <n v="0.95"/>
    <n v="0"/>
    <n v="3"/>
    <n v="3"/>
  </r>
  <r>
    <x v="0"/>
    <s v="2025-05-18 18:56:05"/>
    <n v="6"/>
    <x v="0"/>
    <x v="0"/>
    <x v="0"/>
    <n v="352"/>
    <n v="0"/>
    <s v="Friday (Solucion: datafono, gofre, cocina y caja compartida)Cliente.NumberInNumber InEntity"/>
    <n v="19"/>
    <n v="366.21052631578948"/>
    <n v="28.665850661580702"/>
    <n v="0.95"/>
    <n v="13.816497752584581"/>
    <n v="331"/>
    <n v="427"/>
  </r>
  <r>
    <x v="0"/>
    <s v="2025-05-18 18:56:05"/>
    <n v="6"/>
    <x v="1"/>
    <x v="1"/>
    <x v="0"/>
    <n v="352"/>
    <n v="0"/>
    <s v="Friday (Solucion: datafono, gofre, cocina y caja compartida)Cliente.NumberOutNumber OutEntity"/>
    <n v="19"/>
    <n v="366.63157894736844"/>
    <n v="29.957767544617038"/>
    <n v="0.95"/>
    <n v="14.439181758083874"/>
    <n v="329"/>
    <n v="443"/>
  </r>
  <r>
    <x v="0"/>
    <s v="2025-05-18 18:56:05"/>
    <n v="6"/>
    <x v="2"/>
    <x v="2"/>
    <x v="1"/>
    <n v="271.26666091773001"/>
    <n v="0"/>
    <s v="Friday (Solucion: datafono, gofre, cocina y caja compartida)Comer en Mesa Accum VA TimeAccum VA TimeProcess"/>
    <n v="19"/>
    <n v="283.12549562397913"/>
    <n v="55.763238037894645"/>
    <n v="0.95"/>
    <n v="26.877020400444863"/>
    <n v="157.05073652574001"/>
    <n v="402.97015039838902"/>
  </r>
  <r>
    <x v="0"/>
    <s v="2025-05-18 18:56:05"/>
    <n v="6"/>
    <x v="3"/>
    <x v="3"/>
    <x v="1"/>
    <n v="0"/>
    <n v="0"/>
    <s v="Friday (Solucion: datafono, gofre, cocina y caja compartida)Comer en Mesa Accum Wait TimeAccum Wait TimeProcess"/>
    <n v="19"/>
    <n v="0"/>
    <n v="0"/>
    <n v="0.95"/>
    <n v="0"/>
    <n v="0"/>
    <n v="0"/>
  </r>
  <r>
    <x v="0"/>
    <s v="2025-05-18 18:56:05"/>
    <n v="6"/>
    <x v="4"/>
    <x v="0"/>
    <x v="1"/>
    <n v="15"/>
    <n v="0"/>
    <s v="Friday (Solucion: datafono, gofre, cocina y caja compartida)Comer en Mesa Number InNumber InProcess"/>
    <n v="19"/>
    <n v="16.157894736842106"/>
    <n v="3.8044295512634076"/>
    <n v="0.95"/>
    <n v="1.8336763477019644"/>
    <n v="9"/>
    <n v="24"/>
  </r>
  <r>
    <x v="0"/>
    <s v="2025-05-18 18:56:05"/>
    <n v="6"/>
    <x v="5"/>
    <x v="1"/>
    <x v="1"/>
    <n v="17"/>
    <n v="0"/>
    <s v="Friday (Solucion: datafono, gofre, cocina y caja compartida)Comer en Mesa Number OutNumber OutProcess"/>
    <n v="19"/>
    <n v="16.263157894736842"/>
    <n v="3.3803698887540881"/>
    <n v="0.95"/>
    <n v="1.6292861329062698"/>
    <n v="8"/>
    <n v="22"/>
  </r>
  <r>
    <x v="0"/>
    <s v="2025-05-18 18:56:05"/>
    <n v="6"/>
    <x v="6"/>
    <x v="0"/>
    <x v="0"/>
    <n v="118"/>
    <n v="0"/>
    <s v="Friday (Solucion: datafono, gofre, cocina y caja compartida)Orden.NumberInNumber InEntity"/>
    <n v="19"/>
    <n v="121.89473684210526"/>
    <n v="9.971597090637573"/>
    <n v="0.95"/>
    <n v="4.8061559525642172"/>
    <n v="109"/>
    <n v="143"/>
  </r>
  <r>
    <x v="0"/>
    <s v="2025-05-18 18:56:05"/>
    <n v="6"/>
    <x v="7"/>
    <x v="1"/>
    <x v="0"/>
    <n v="117"/>
    <n v="0"/>
    <s v="Friday (Solucion: datafono, gofre, cocina y caja compartida)Orden.NumberOutNumber OutEntity"/>
    <n v="19"/>
    <n v="122.36842105263158"/>
    <n v="10.160984894934533"/>
    <n v="0.95"/>
    <n v="4.8974379522971905"/>
    <n v="109"/>
    <n v="150"/>
  </r>
  <r>
    <x v="0"/>
    <s v="2025-05-18 18:56:05"/>
    <n v="6"/>
    <x v="8"/>
    <x v="2"/>
    <x v="1"/>
    <n v="147.67848873215999"/>
    <n v="0"/>
    <s v="Friday (Solucion: datafono, gofre, cocina y caja compartida)Preparacion Accum VA TimeAccum VA TimeProcess"/>
    <n v="19"/>
    <n v="174.13537587676447"/>
    <n v="19.65074675456297"/>
    <n v="0.95"/>
    <n v="9.4713567574295272"/>
    <n v="139.22471453685199"/>
    <n v="210.18722493890999"/>
  </r>
  <r>
    <x v="0"/>
    <s v="2025-05-18 18:56:05"/>
    <n v="6"/>
    <x v="9"/>
    <x v="3"/>
    <x v="1"/>
    <n v="22.316256244919199"/>
    <n v="0"/>
    <s v="Friday (Solucion: datafono, gofre, cocina y caja compartida)Preparacion Accum Wait TimeAccum Wait TimeProcess"/>
    <n v="19"/>
    <n v="89.754366677107924"/>
    <n v="109.53061123574736"/>
    <n v="0.95"/>
    <n v="52.79206474085742"/>
    <n v="22.316256244919199"/>
    <n v="514.987116007179"/>
  </r>
  <r>
    <x v="0"/>
    <s v="2025-05-18 18:56:05"/>
    <n v="6"/>
    <x v="10"/>
    <x v="0"/>
    <x v="1"/>
    <n v="118"/>
    <n v="0"/>
    <s v="Friday (Solucion: datafono, gofre, cocina y caja compartida)Preparacion Number InNumber InProcess"/>
    <n v="19"/>
    <n v="121.89473684210526"/>
    <n v="9.971597090637573"/>
    <n v="0.95"/>
    <n v="4.8061559525642172"/>
    <n v="109"/>
    <n v="143"/>
  </r>
  <r>
    <x v="0"/>
    <s v="2025-05-18 18:56:05"/>
    <n v="6"/>
    <x v="11"/>
    <x v="1"/>
    <x v="1"/>
    <n v="115"/>
    <n v="0"/>
    <s v="Friday (Solucion: datafono, gofre, cocina y caja compartida)Preparacion Number OutNumber OutProcess"/>
    <n v="19"/>
    <n v="122.31578947368421"/>
    <n v="10.127260414780096"/>
    <n v="0.95"/>
    <n v="4.8811832731752718"/>
    <n v="111"/>
    <n v="150"/>
  </r>
  <r>
    <x v="0"/>
    <s v="2025-05-18 18:56:05"/>
    <n v="6"/>
    <x v="12"/>
    <x v="1"/>
    <x v="2"/>
    <n v="120"/>
    <n v="0"/>
    <s v="Friday (Solucion: datafono, gofre, cocina y caja compartida)System.NumberOutNumber OutSystem"/>
    <n v="19"/>
    <n v="125.36842105263158"/>
    <n v="10.160984894934533"/>
    <n v="0.95"/>
    <n v="4.8974379522971905"/>
    <n v="112"/>
    <n v="153"/>
  </r>
  <r>
    <x v="0"/>
    <s v="2025-05-18 18:56:05"/>
    <n v="6"/>
    <x v="13"/>
    <x v="4"/>
    <x v="3"/>
    <n v="128"/>
    <n v="0"/>
    <s v="Friday (Solucion: datafono, gofre, cocina y caja compartida)rCajero.NumberSeizedTotal Number SeizedResource"/>
    <n v="19"/>
    <n v="131.63157894736841"/>
    <n v="13.988926280438102"/>
    <n v="0.95"/>
    <n v="6.7424466413544986"/>
    <n v="113"/>
    <n v="157"/>
  </r>
  <r>
    <x v="0"/>
    <s v="2025-05-18 18:56:05"/>
    <n v="6"/>
    <x v="14"/>
    <x v="5"/>
    <x v="3"/>
    <n v="0.64480330756614701"/>
    <n v="0"/>
    <s v="Friday (Solucion: datafono, gofre, cocina y caja compartida)rCajero.ScheduledUtilizationScheduled UtilizationResource"/>
    <n v="19"/>
    <n v="0.68474836505339687"/>
    <n v="6.2272947935973065E-2"/>
    <n v="0.95"/>
    <n v="3.0014600137344902E-2"/>
    <n v="0.59592290927233305"/>
    <n v="0.82897119936997599"/>
  </r>
  <r>
    <x v="0"/>
    <s v="2025-05-18 18:56:05"/>
    <n v="6"/>
    <x v="15"/>
    <x v="4"/>
    <x v="3"/>
    <n v="105"/>
    <n v="0"/>
    <s v="Friday (Solucion: datafono, gofre, cocina y caja compartida)rCocina.NumberSeizedTotal Number SeizedResource"/>
    <n v="19"/>
    <n v="112.73684210526316"/>
    <n v="9.1155673027772668"/>
    <n v="0.95"/>
    <n v="4.3935628019284003"/>
    <n v="102"/>
    <n v="135"/>
  </r>
  <r>
    <x v="0"/>
    <s v="2025-05-18 18:56:05"/>
    <n v="6"/>
    <x v="16"/>
    <x v="5"/>
    <x v="3"/>
    <n v="0.61204789609759702"/>
    <n v="0"/>
    <s v="Friday (Solucion: datafono, gofre, cocina y caja compartida)rCocina.ScheduledUtilizationScheduled UtilizationResource"/>
    <n v="19"/>
    <n v="0.71670342302257706"/>
    <n v="7.0907274842727658E-2"/>
    <n v="0.95"/>
    <n v="3.4176212493127585E-2"/>
    <n v="0.60463940272025996"/>
    <n v="0.86361037821575004"/>
  </r>
  <r>
    <x v="0"/>
    <s v="2025-05-18 18:56:05"/>
    <n v="6"/>
    <x v="17"/>
    <x v="4"/>
    <x v="3"/>
    <n v="15"/>
    <n v="0"/>
    <s v="Friday (Solucion: datafono, gofre, cocina y caja compartida)rMesa.NumberSeizedTotal Number SeizedResource"/>
    <n v="19"/>
    <n v="16.157894736842106"/>
    <n v="3.8044295512634076"/>
    <n v="0.95"/>
    <n v="1.8336763477019644"/>
    <n v="9"/>
    <n v="24"/>
  </r>
  <r>
    <x v="0"/>
    <s v="2025-05-18 18:56:05"/>
    <n v="6"/>
    <x v="18"/>
    <x v="5"/>
    <x v="3"/>
    <n v="0.29119375209356801"/>
    <n v="0"/>
    <s v="Friday (Solucion: datafono, gofre, cocina y caja compartida)rMesa.ScheduledUtilizationScheduled UtilizationResource"/>
    <n v="19"/>
    <n v="0.30850610959128744"/>
    <n v="6.2586127702931107E-2"/>
    <n v="0.95"/>
    <n v="3.0165547953176861E-2"/>
    <n v="0.156206445320244"/>
    <n v="0.44942505379986802"/>
  </r>
  <r>
    <x v="0"/>
    <s v="2025-05-18 18:56:05"/>
    <n v="6"/>
    <x v="19"/>
    <x v="0"/>
    <x v="0"/>
    <n v="3"/>
    <n v="0"/>
    <s v="Friday (Solucion: datafono, gofre, cocina y caja compartida)reloj.NumberInNumber InEntity"/>
    <n v="19"/>
    <n v="3"/>
    <n v="0"/>
    <n v="0.95"/>
    <n v="0"/>
    <n v="3"/>
    <n v="3"/>
  </r>
  <r>
    <x v="0"/>
    <s v="2025-05-18 18:56:05"/>
    <n v="6"/>
    <x v="20"/>
    <x v="1"/>
    <x v="0"/>
    <n v="3"/>
    <n v="0"/>
    <s v="Friday (Solucion: datafono, gofre, cocina y caja compartida)reloj.NumberOutNumber OutEntity"/>
    <n v="19"/>
    <n v="3"/>
    <n v="0"/>
    <n v="0.95"/>
    <n v="0"/>
    <n v="3"/>
    <n v="3"/>
  </r>
  <r>
    <x v="0"/>
    <s v="2025-05-18 18:56:05"/>
    <n v="7"/>
    <x v="0"/>
    <x v="0"/>
    <x v="0"/>
    <n v="336"/>
    <n v="0"/>
    <s v="Friday (Solucion: datafono, gofre, cocina y caja compartida)Cliente.NumberInNumber InEntity"/>
    <n v="19"/>
    <n v="366.21052631578948"/>
    <n v="28.665850661580702"/>
    <n v="0.95"/>
    <n v="13.816497752584581"/>
    <n v="331"/>
    <n v="427"/>
  </r>
  <r>
    <x v="0"/>
    <s v="2025-05-18 18:56:05"/>
    <n v="7"/>
    <x v="1"/>
    <x v="1"/>
    <x v="0"/>
    <n v="335"/>
    <n v="0"/>
    <s v="Friday (Solucion: datafono, gofre, cocina y caja compartida)Cliente.NumberOutNumber OutEntity"/>
    <n v="19"/>
    <n v="366.63157894736844"/>
    <n v="29.957767544617038"/>
    <n v="0.95"/>
    <n v="14.439181758083874"/>
    <n v="329"/>
    <n v="443"/>
  </r>
  <r>
    <x v="0"/>
    <s v="2025-05-18 18:56:05"/>
    <n v="7"/>
    <x v="2"/>
    <x v="2"/>
    <x v="1"/>
    <n v="265.09835716446099"/>
    <n v="0"/>
    <s v="Friday (Solucion: datafono, gofre, cocina y caja compartida)Comer en Mesa Accum VA TimeAccum VA TimeProcess"/>
    <n v="19"/>
    <n v="283.12549562397913"/>
    <n v="55.763238037894645"/>
    <n v="0.95"/>
    <n v="26.877020400444863"/>
    <n v="157.05073652574001"/>
    <n v="402.97015039838902"/>
  </r>
  <r>
    <x v="0"/>
    <s v="2025-05-18 18:56:05"/>
    <n v="7"/>
    <x v="3"/>
    <x v="3"/>
    <x v="1"/>
    <n v="0"/>
    <n v="0"/>
    <s v="Friday (Solucion: datafono, gofre, cocina y caja compartida)Comer en Mesa Accum Wait TimeAccum Wait TimeProcess"/>
    <n v="19"/>
    <n v="0"/>
    <n v="0"/>
    <n v="0.95"/>
    <n v="0"/>
    <n v="0"/>
    <n v="0"/>
  </r>
  <r>
    <x v="0"/>
    <s v="2025-05-18 18:56:05"/>
    <n v="7"/>
    <x v="4"/>
    <x v="0"/>
    <x v="1"/>
    <n v="21"/>
    <n v="0"/>
    <s v="Friday (Solucion: datafono, gofre, cocina y caja compartida)Comer en Mesa Number InNumber InProcess"/>
    <n v="19"/>
    <n v="16.157894736842106"/>
    <n v="3.8044295512634076"/>
    <n v="0.95"/>
    <n v="1.8336763477019644"/>
    <n v="9"/>
    <n v="24"/>
  </r>
  <r>
    <x v="0"/>
    <s v="2025-05-18 18:56:05"/>
    <n v="7"/>
    <x v="5"/>
    <x v="1"/>
    <x v="1"/>
    <n v="19"/>
    <n v="0"/>
    <s v="Friday (Solucion: datafono, gofre, cocina y caja compartida)Comer en Mesa Number OutNumber OutProcess"/>
    <n v="19"/>
    <n v="16.263157894736842"/>
    <n v="3.3803698887540881"/>
    <n v="0.95"/>
    <n v="1.6292861329062698"/>
    <n v="8"/>
    <n v="22"/>
  </r>
  <r>
    <x v="0"/>
    <s v="2025-05-18 18:56:05"/>
    <n v="7"/>
    <x v="6"/>
    <x v="0"/>
    <x v="0"/>
    <n v="111"/>
    <n v="0"/>
    <s v="Friday (Solucion: datafono, gofre, cocina y caja compartida)Orden.NumberInNumber InEntity"/>
    <n v="19"/>
    <n v="121.89473684210526"/>
    <n v="9.971597090637573"/>
    <n v="0.95"/>
    <n v="4.8061559525642172"/>
    <n v="109"/>
    <n v="143"/>
  </r>
  <r>
    <x v="0"/>
    <s v="2025-05-18 18:56:05"/>
    <n v="7"/>
    <x v="7"/>
    <x v="1"/>
    <x v="0"/>
    <n v="112"/>
    <n v="0"/>
    <s v="Friday (Solucion: datafono, gofre, cocina y caja compartida)Orden.NumberOutNumber OutEntity"/>
    <n v="19"/>
    <n v="122.36842105263158"/>
    <n v="10.160984894934533"/>
    <n v="0.95"/>
    <n v="4.8974379522971905"/>
    <n v="109"/>
    <n v="150"/>
  </r>
  <r>
    <x v="0"/>
    <s v="2025-05-18 18:56:05"/>
    <n v="7"/>
    <x v="8"/>
    <x v="2"/>
    <x v="1"/>
    <n v="139.22471453685199"/>
    <n v="0"/>
    <s v="Friday (Solucion: datafono, gofre, cocina y caja compartida)Preparacion Accum VA TimeAccum VA TimeProcess"/>
    <n v="19"/>
    <n v="174.13537587676447"/>
    <n v="19.65074675456297"/>
    <n v="0.95"/>
    <n v="9.4713567574295272"/>
    <n v="139.22471453685199"/>
    <n v="210.18722493890999"/>
  </r>
  <r>
    <x v="0"/>
    <s v="2025-05-18 18:56:05"/>
    <n v="7"/>
    <x v="9"/>
    <x v="3"/>
    <x v="1"/>
    <n v="44.997053936535998"/>
    <n v="0"/>
    <s v="Friday (Solucion: datafono, gofre, cocina y caja compartida)Preparacion Accum Wait TimeAccum Wait TimeProcess"/>
    <n v="19"/>
    <n v="89.754366677107924"/>
    <n v="109.53061123574736"/>
    <n v="0.95"/>
    <n v="52.79206474085742"/>
    <n v="22.316256244919199"/>
    <n v="514.987116007179"/>
  </r>
  <r>
    <x v="0"/>
    <s v="2025-05-18 18:56:05"/>
    <n v="7"/>
    <x v="10"/>
    <x v="0"/>
    <x v="1"/>
    <n v="111"/>
    <n v="0"/>
    <s v="Friday (Solucion: datafono, gofre, cocina y caja compartida)Preparacion Number InNumber InProcess"/>
    <n v="19"/>
    <n v="121.89473684210526"/>
    <n v="9.971597090637573"/>
    <n v="0.95"/>
    <n v="4.8061559525642172"/>
    <n v="109"/>
    <n v="143"/>
  </r>
  <r>
    <x v="0"/>
    <s v="2025-05-18 18:56:05"/>
    <n v="7"/>
    <x v="11"/>
    <x v="1"/>
    <x v="1"/>
    <n v="114"/>
    <n v="0"/>
    <s v="Friday (Solucion: datafono, gofre, cocina y caja compartida)Preparacion Number OutNumber OutProcess"/>
    <n v="19"/>
    <n v="122.31578947368421"/>
    <n v="10.127260414780096"/>
    <n v="0.95"/>
    <n v="4.8811832731752718"/>
    <n v="111"/>
    <n v="150"/>
  </r>
  <r>
    <x v="0"/>
    <s v="2025-05-18 18:56:05"/>
    <n v="7"/>
    <x v="12"/>
    <x v="1"/>
    <x v="2"/>
    <n v="115"/>
    <n v="0"/>
    <s v="Friday (Solucion: datafono, gofre, cocina y caja compartida)System.NumberOutNumber OutSystem"/>
    <n v="19"/>
    <n v="125.36842105263158"/>
    <n v="10.160984894934533"/>
    <n v="0.95"/>
    <n v="4.8974379522971905"/>
    <n v="112"/>
    <n v="153"/>
  </r>
  <r>
    <x v="0"/>
    <s v="2025-05-18 18:56:05"/>
    <n v="7"/>
    <x v="13"/>
    <x v="4"/>
    <x v="3"/>
    <n v="120"/>
    <n v="0"/>
    <s v="Friday (Solucion: datafono, gofre, cocina y caja compartida)rCajero.NumberSeizedTotal Number SeizedResource"/>
    <n v="19"/>
    <n v="131.63157894736841"/>
    <n v="13.988926280438102"/>
    <n v="0.95"/>
    <n v="6.7424466413544986"/>
    <n v="113"/>
    <n v="157"/>
  </r>
  <r>
    <x v="0"/>
    <s v="2025-05-18 18:56:05"/>
    <n v="7"/>
    <x v="14"/>
    <x v="5"/>
    <x v="3"/>
    <n v="0.59592290927233305"/>
    <n v="0"/>
    <s v="Friday (Solucion: datafono, gofre, cocina y caja compartida)rCajero.ScheduledUtilizationScheduled UtilizationResource"/>
    <n v="19"/>
    <n v="0.68474836505339687"/>
    <n v="6.2272947935973065E-2"/>
    <n v="0.95"/>
    <n v="3.0014600137344902E-2"/>
    <n v="0.59592290927233305"/>
    <n v="0.82897119936997599"/>
  </r>
  <r>
    <x v="0"/>
    <s v="2025-05-18 18:56:05"/>
    <n v="7"/>
    <x v="15"/>
    <x v="4"/>
    <x v="3"/>
    <n v="103"/>
    <n v="0"/>
    <s v="Friday (Solucion: datafono, gofre, cocina y caja compartida)rCocina.NumberSeizedTotal Number SeizedResource"/>
    <n v="19"/>
    <n v="112.73684210526316"/>
    <n v="9.1155673027772668"/>
    <n v="0.95"/>
    <n v="4.3935628019284003"/>
    <n v="102"/>
    <n v="135"/>
  </r>
  <r>
    <x v="0"/>
    <s v="2025-05-18 18:56:05"/>
    <n v="7"/>
    <x v="16"/>
    <x v="5"/>
    <x v="3"/>
    <n v="0.60463940272025996"/>
    <n v="0"/>
    <s v="Friday (Solucion: datafono, gofre, cocina y caja compartida)rCocina.ScheduledUtilizationScheduled UtilizationResource"/>
    <n v="19"/>
    <n v="0.71670342302257706"/>
    <n v="7.0907274842727658E-2"/>
    <n v="0.95"/>
    <n v="3.4176212493127585E-2"/>
    <n v="0.60463940272025996"/>
    <n v="0.86361037821575004"/>
  </r>
  <r>
    <x v="0"/>
    <s v="2025-05-18 18:56:05"/>
    <n v="7"/>
    <x v="17"/>
    <x v="4"/>
    <x v="3"/>
    <n v="21"/>
    <n v="0"/>
    <s v="Friday (Solucion: datafono, gofre, cocina y caja compartida)rMesa.NumberSeizedTotal Number SeizedResource"/>
    <n v="19"/>
    <n v="16.157894736842106"/>
    <n v="3.8044295512634076"/>
    <n v="0.95"/>
    <n v="1.8336763477019644"/>
    <n v="9"/>
    <n v="24"/>
  </r>
  <r>
    <x v="0"/>
    <s v="2025-05-18 18:56:05"/>
    <n v="7"/>
    <x v="18"/>
    <x v="5"/>
    <x v="3"/>
    <n v="0.323274100726959"/>
    <n v="0"/>
    <s v="Friday (Solucion: datafono, gofre, cocina y caja compartida)rMesa.ScheduledUtilizationScheduled UtilizationResource"/>
    <n v="19"/>
    <n v="0.30850610959128744"/>
    <n v="6.2586127702931107E-2"/>
    <n v="0.95"/>
    <n v="3.0165547953176861E-2"/>
    <n v="0.156206445320244"/>
    <n v="0.44942505379986802"/>
  </r>
  <r>
    <x v="0"/>
    <s v="2025-05-18 18:56:05"/>
    <n v="7"/>
    <x v="19"/>
    <x v="0"/>
    <x v="0"/>
    <n v="3"/>
    <n v="0"/>
    <s v="Friday (Solucion: datafono, gofre, cocina y caja compartida)reloj.NumberInNumber InEntity"/>
    <n v="19"/>
    <n v="3"/>
    <n v="0"/>
    <n v="0.95"/>
    <n v="0"/>
    <n v="3"/>
    <n v="3"/>
  </r>
  <r>
    <x v="0"/>
    <s v="2025-05-18 18:56:05"/>
    <n v="7"/>
    <x v="20"/>
    <x v="1"/>
    <x v="0"/>
    <n v="3"/>
    <n v="0"/>
    <s v="Friday (Solucion: datafono, gofre, cocina y caja compartida)reloj.NumberOutNumber OutEntity"/>
    <n v="19"/>
    <n v="3"/>
    <n v="0"/>
    <n v="0.95"/>
    <n v="0"/>
    <n v="3"/>
    <n v="3"/>
  </r>
  <r>
    <x v="0"/>
    <s v="2025-05-18 18:56:05"/>
    <n v="8"/>
    <x v="0"/>
    <x v="0"/>
    <x v="0"/>
    <n v="409"/>
    <n v="0"/>
    <s v="Friday (Solucion: datafono, gofre, cocina y caja compartida)Cliente.NumberInNumber InEntity"/>
    <n v="19"/>
    <n v="366.21052631578948"/>
    <n v="28.665850661580702"/>
    <n v="0.95"/>
    <n v="13.816497752584581"/>
    <n v="331"/>
    <n v="427"/>
  </r>
  <r>
    <x v="0"/>
    <s v="2025-05-18 18:56:05"/>
    <n v="8"/>
    <x v="1"/>
    <x v="1"/>
    <x v="0"/>
    <n v="406"/>
    <n v="0"/>
    <s v="Friday (Solucion: datafono, gofre, cocina y caja compartida)Cliente.NumberOutNumber OutEntity"/>
    <n v="19"/>
    <n v="366.63157894736844"/>
    <n v="29.957767544617038"/>
    <n v="0.95"/>
    <n v="14.439181758083874"/>
    <n v="329"/>
    <n v="443"/>
  </r>
  <r>
    <x v="0"/>
    <s v="2025-05-18 18:56:05"/>
    <n v="8"/>
    <x v="2"/>
    <x v="2"/>
    <x v="1"/>
    <n v="283.58952750524401"/>
    <n v="0"/>
    <s v="Friday (Solucion: datafono, gofre, cocina y caja compartida)Comer en Mesa Accum VA TimeAccum VA TimeProcess"/>
    <n v="19"/>
    <n v="283.12549562397913"/>
    <n v="55.763238037894645"/>
    <n v="0.95"/>
    <n v="26.877020400444863"/>
    <n v="157.05073652574001"/>
    <n v="402.97015039838902"/>
  </r>
  <r>
    <x v="0"/>
    <s v="2025-05-18 18:56:05"/>
    <n v="8"/>
    <x v="3"/>
    <x v="3"/>
    <x v="1"/>
    <n v="0"/>
    <n v="0"/>
    <s v="Friday (Solucion: datafono, gofre, cocina y caja compartida)Comer en Mesa Accum Wait TimeAccum Wait TimeProcess"/>
    <n v="19"/>
    <n v="0"/>
    <n v="0"/>
    <n v="0.95"/>
    <n v="0"/>
    <n v="0"/>
    <n v="0"/>
  </r>
  <r>
    <x v="0"/>
    <s v="2025-05-18 18:56:05"/>
    <n v="8"/>
    <x v="4"/>
    <x v="0"/>
    <x v="1"/>
    <n v="17"/>
    <n v="0"/>
    <s v="Friday (Solucion: datafono, gofre, cocina y caja compartida)Comer en Mesa Number InNumber InProcess"/>
    <n v="19"/>
    <n v="16.157894736842106"/>
    <n v="3.8044295512634076"/>
    <n v="0.95"/>
    <n v="1.8336763477019644"/>
    <n v="9"/>
    <n v="24"/>
  </r>
  <r>
    <x v="0"/>
    <s v="2025-05-18 18:56:05"/>
    <n v="8"/>
    <x v="5"/>
    <x v="1"/>
    <x v="1"/>
    <n v="16"/>
    <n v="0"/>
    <s v="Friday (Solucion: datafono, gofre, cocina y caja compartida)Comer en Mesa Number OutNumber OutProcess"/>
    <n v="19"/>
    <n v="16.263157894736842"/>
    <n v="3.3803698887540881"/>
    <n v="0.95"/>
    <n v="1.6292861329062698"/>
    <n v="8"/>
    <n v="22"/>
  </r>
  <r>
    <x v="0"/>
    <s v="2025-05-18 18:56:05"/>
    <n v="8"/>
    <x v="6"/>
    <x v="0"/>
    <x v="0"/>
    <n v="136"/>
    <n v="0"/>
    <s v="Friday (Solucion: datafono, gofre, cocina y caja compartida)Orden.NumberInNumber InEntity"/>
    <n v="19"/>
    <n v="121.89473684210526"/>
    <n v="9.971597090637573"/>
    <n v="0.95"/>
    <n v="4.8061559525642172"/>
    <n v="109"/>
    <n v="143"/>
  </r>
  <r>
    <x v="0"/>
    <s v="2025-05-18 18:56:05"/>
    <n v="8"/>
    <x v="7"/>
    <x v="1"/>
    <x v="0"/>
    <n v="135"/>
    <n v="0"/>
    <s v="Friday (Solucion: datafono, gofre, cocina y caja compartida)Orden.NumberOutNumber OutEntity"/>
    <n v="19"/>
    <n v="122.36842105263158"/>
    <n v="10.160984894934533"/>
    <n v="0.95"/>
    <n v="4.8974379522971905"/>
    <n v="109"/>
    <n v="150"/>
  </r>
  <r>
    <x v="0"/>
    <s v="2025-05-18 18:56:05"/>
    <n v="8"/>
    <x v="8"/>
    <x v="2"/>
    <x v="1"/>
    <n v="198.204210985218"/>
    <n v="0"/>
    <s v="Friday (Solucion: datafono, gofre, cocina y caja compartida)Preparacion Accum VA TimeAccum VA TimeProcess"/>
    <n v="19"/>
    <n v="174.13537587676447"/>
    <n v="19.65074675456297"/>
    <n v="0.95"/>
    <n v="9.4713567574295272"/>
    <n v="139.22471453685199"/>
    <n v="210.18722493890999"/>
  </r>
  <r>
    <x v="0"/>
    <s v="2025-05-18 18:56:05"/>
    <n v="8"/>
    <x v="9"/>
    <x v="3"/>
    <x v="1"/>
    <n v="92.085764179473102"/>
    <n v="0"/>
    <s v="Friday (Solucion: datafono, gofre, cocina y caja compartida)Preparacion Accum Wait TimeAccum Wait TimeProcess"/>
    <n v="19"/>
    <n v="89.754366677107924"/>
    <n v="109.53061123574736"/>
    <n v="0.95"/>
    <n v="52.79206474085742"/>
    <n v="22.316256244919199"/>
    <n v="514.987116007179"/>
  </r>
  <r>
    <x v="0"/>
    <s v="2025-05-18 18:56:05"/>
    <n v="8"/>
    <x v="10"/>
    <x v="0"/>
    <x v="1"/>
    <n v="136"/>
    <n v="0"/>
    <s v="Friday (Solucion: datafono, gofre, cocina y caja compartida)Preparacion Number InNumber InProcess"/>
    <n v="19"/>
    <n v="121.89473684210526"/>
    <n v="9.971597090637573"/>
    <n v="0.95"/>
    <n v="4.8061559525642172"/>
    <n v="109"/>
    <n v="143"/>
  </r>
  <r>
    <x v="0"/>
    <s v="2025-05-18 18:56:05"/>
    <n v="8"/>
    <x v="11"/>
    <x v="1"/>
    <x v="1"/>
    <n v="136"/>
    <n v="0"/>
    <s v="Friday (Solucion: datafono, gofre, cocina y caja compartida)Preparacion Number OutNumber OutProcess"/>
    <n v="19"/>
    <n v="122.31578947368421"/>
    <n v="10.127260414780096"/>
    <n v="0.95"/>
    <n v="4.8811832731752718"/>
    <n v="111"/>
    <n v="150"/>
  </r>
  <r>
    <x v="0"/>
    <s v="2025-05-18 18:56:05"/>
    <n v="8"/>
    <x v="12"/>
    <x v="1"/>
    <x v="2"/>
    <n v="138"/>
    <n v="0"/>
    <s v="Friday (Solucion: datafono, gofre, cocina y caja compartida)System.NumberOutNumber OutSystem"/>
    <n v="19"/>
    <n v="125.36842105263158"/>
    <n v="10.160984894934533"/>
    <n v="0.95"/>
    <n v="4.8974379522971905"/>
    <n v="112"/>
    <n v="153"/>
  </r>
  <r>
    <x v="0"/>
    <s v="2025-05-18 18:56:05"/>
    <n v="8"/>
    <x v="13"/>
    <x v="4"/>
    <x v="3"/>
    <n v="144"/>
    <n v="0"/>
    <s v="Friday (Solucion: datafono, gofre, cocina y caja compartida)rCajero.NumberSeizedTotal Number SeizedResource"/>
    <n v="19"/>
    <n v="131.63157894736841"/>
    <n v="13.988926280438102"/>
    <n v="0.95"/>
    <n v="6.7424466413544986"/>
    <n v="113"/>
    <n v="157"/>
  </r>
  <r>
    <x v="0"/>
    <s v="2025-05-18 18:56:05"/>
    <n v="8"/>
    <x v="14"/>
    <x v="5"/>
    <x v="3"/>
    <n v="0.77465536357210296"/>
    <n v="0"/>
    <s v="Friday (Solucion: datafono, gofre, cocina y caja compartida)rCajero.ScheduledUtilizationScheduled UtilizationResource"/>
    <n v="19"/>
    <n v="0.68474836505339687"/>
    <n v="6.2272947935973065E-2"/>
    <n v="0.95"/>
    <n v="3.0014600137344902E-2"/>
    <n v="0.59592290927233305"/>
    <n v="0.82897119936997599"/>
  </r>
  <r>
    <x v="0"/>
    <s v="2025-05-18 18:56:05"/>
    <n v="8"/>
    <x v="15"/>
    <x v="4"/>
    <x v="3"/>
    <n v="129"/>
    <n v="0"/>
    <s v="Friday (Solucion: datafono, gofre, cocina y caja compartida)rCocina.NumberSeizedTotal Number SeizedResource"/>
    <n v="19"/>
    <n v="112.73684210526316"/>
    <n v="9.1155673027772668"/>
    <n v="0.95"/>
    <n v="4.3935628019284003"/>
    <n v="102"/>
    <n v="135"/>
  </r>
  <r>
    <x v="0"/>
    <s v="2025-05-18 18:56:05"/>
    <n v="8"/>
    <x v="16"/>
    <x v="5"/>
    <x v="3"/>
    <n v="0.82790473697885303"/>
    <n v="0"/>
    <s v="Friday (Solucion: datafono, gofre, cocina y caja compartida)rCocina.ScheduledUtilizationScheduled UtilizationResource"/>
    <n v="19"/>
    <n v="0.71670342302257706"/>
    <n v="7.0907274842727658E-2"/>
    <n v="0.95"/>
    <n v="3.4176212493127585E-2"/>
    <n v="0.60463940272025996"/>
    <n v="0.86361037821575004"/>
  </r>
  <r>
    <x v="0"/>
    <s v="2025-05-18 18:56:05"/>
    <n v="8"/>
    <x v="17"/>
    <x v="4"/>
    <x v="3"/>
    <n v="17"/>
    <n v="0"/>
    <s v="Friday (Solucion: datafono, gofre, cocina y caja compartida)rMesa.NumberSeizedTotal Number SeizedResource"/>
    <n v="19"/>
    <n v="16.157894736842106"/>
    <n v="3.8044295512634076"/>
    <n v="0.95"/>
    <n v="1.8336763477019644"/>
    <n v="9"/>
    <n v="24"/>
  </r>
  <r>
    <x v="0"/>
    <s v="2025-05-18 18:56:05"/>
    <n v="8"/>
    <x v="18"/>
    <x v="5"/>
    <x v="3"/>
    <n v="0.31656196184782198"/>
    <n v="0"/>
    <s v="Friday (Solucion: datafono, gofre, cocina y caja compartida)rMesa.ScheduledUtilizationScheduled UtilizationResource"/>
    <n v="19"/>
    <n v="0.30850610959128744"/>
    <n v="6.2586127702931107E-2"/>
    <n v="0.95"/>
    <n v="3.0165547953176861E-2"/>
    <n v="0.156206445320244"/>
    <n v="0.44942505379986802"/>
  </r>
  <r>
    <x v="0"/>
    <s v="2025-05-18 18:56:05"/>
    <n v="8"/>
    <x v="19"/>
    <x v="0"/>
    <x v="0"/>
    <n v="3"/>
    <n v="0"/>
    <s v="Friday (Solucion: datafono, gofre, cocina y caja compartida)reloj.NumberInNumber InEntity"/>
    <n v="19"/>
    <n v="3"/>
    <n v="0"/>
    <n v="0.95"/>
    <n v="0"/>
    <n v="3"/>
    <n v="3"/>
  </r>
  <r>
    <x v="0"/>
    <s v="2025-05-18 18:56:05"/>
    <n v="8"/>
    <x v="20"/>
    <x v="1"/>
    <x v="0"/>
    <n v="3"/>
    <n v="0"/>
    <s v="Friday (Solucion: datafono, gofre, cocina y caja compartida)reloj.NumberOutNumber OutEntity"/>
    <n v="19"/>
    <n v="3"/>
    <n v="0"/>
    <n v="0.95"/>
    <n v="0"/>
    <n v="3"/>
    <n v="3"/>
  </r>
  <r>
    <x v="0"/>
    <s v="2025-05-18 18:56:05"/>
    <n v="9"/>
    <x v="0"/>
    <x v="0"/>
    <x v="0"/>
    <n v="339"/>
    <n v="0"/>
    <s v="Friday (Solucion: datafono, gofre, cocina y caja compartida)Cliente.NumberInNumber InEntity"/>
    <n v="19"/>
    <n v="366.21052631578948"/>
    <n v="28.665850661580702"/>
    <n v="0.95"/>
    <n v="13.816497752584581"/>
    <n v="331"/>
    <n v="427"/>
  </r>
  <r>
    <x v="0"/>
    <s v="2025-05-18 18:56:05"/>
    <n v="9"/>
    <x v="1"/>
    <x v="1"/>
    <x v="0"/>
    <n v="341"/>
    <n v="0"/>
    <s v="Friday (Solucion: datafono, gofre, cocina y caja compartida)Cliente.NumberOutNumber OutEntity"/>
    <n v="19"/>
    <n v="366.63157894736844"/>
    <n v="29.957767544617038"/>
    <n v="0.95"/>
    <n v="14.439181758083874"/>
    <n v="329"/>
    <n v="443"/>
  </r>
  <r>
    <x v="0"/>
    <s v="2025-05-18 18:56:05"/>
    <n v="9"/>
    <x v="2"/>
    <x v="2"/>
    <x v="1"/>
    <n v="289.06783045069898"/>
    <n v="0"/>
    <s v="Friday (Solucion: datafono, gofre, cocina y caja compartida)Comer en Mesa Accum VA TimeAccum VA TimeProcess"/>
    <n v="19"/>
    <n v="283.12549562397913"/>
    <n v="55.763238037894645"/>
    <n v="0.95"/>
    <n v="26.877020400444863"/>
    <n v="157.05073652574001"/>
    <n v="402.97015039838902"/>
  </r>
  <r>
    <x v="0"/>
    <s v="2025-05-18 18:56:05"/>
    <n v="9"/>
    <x v="3"/>
    <x v="3"/>
    <x v="1"/>
    <n v="0"/>
    <n v="0"/>
    <s v="Friday (Solucion: datafono, gofre, cocina y caja compartida)Comer en Mesa Accum Wait TimeAccum Wait TimeProcess"/>
    <n v="19"/>
    <n v="0"/>
    <n v="0"/>
    <n v="0.95"/>
    <n v="0"/>
    <n v="0"/>
    <n v="0"/>
  </r>
  <r>
    <x v="0"/>
    <s v="2025-05-18 18:56:05"/>
    <n v="9"/>
    <x v="4"/>
    <x v="0"/>
    <x v="1"/>
    <n v="16"/>
    <n v="0"/>
    <s v="Friday (Solucion: datafono, gofre, cocina y caja compartida)Comer en Mesa Number InNumber InProcess"/>
    <n v="19"/>
    <n v="16.157894736842106"/>
    <n v="3.8044295512634076"/>
    <n v="0.95"/>
    <n v="1.8336763477019644"/>
    <n v="9"/>
    <n v="24"/>
  </r>
  <r>
    <x v="0"/>
    <s v="2025-05-18 18:56:05"/>
    <n v="9"/>
    <x v="5"/>
    <x v="1"/>
    <x v="1"/>
    <n v="19"/>
    <n v="0"/>
    <s v="Friday (Solucion: datafono, gofre, cocina y caja compartida)Comer en Mesa Number OutNumber OutProcess"/>
    <n v="19"/>
    <n v="16.263157894736842"/>
    <n v="3.3803698887540881"/>
    <n v="0.95"/>
    <n v="1.6292861329062698"/>
    <n v="8"/>
    <n v="22"/>
  </r>
  <r>
    <x v="0"/>
    <s v="2025-05-18 18:56:05"/>
    <n v="9"/>
    <x v="6"/>
    <x v="0"/>
    <x v="0"/>
    <n v="113"/>
    <n v="0"/>
    <s v="Friday (Solucion: datafono, gofre, cocina y caja compartida)Orden.NumberInNumber InEntity"/>
    <n v="19"/>
    <n v="121.89473684210526"/>
    <n v="9.971597090637573"/>
    <n v="0.95"/>
    <n v="4.8061559525642172"/>
    <n v="109"/>
    <n v="143"/>
  </r>
  <r>
    <x v="0"/>
    <s v="2025-05-18 18:56:05"/>
    <n v="9"/>
    <x v="7"/>
    <x v="1"/>
    <x v="0"/>
    <n v="114"/>
    <n v="0"/>
    <s v="Friday (Solucion: datafono, gofre, cocina y caja compartida)Orden.NumberOutNumber OutEntity"/>
    <n v="19"/>
    <n v="122.36842105263158"/>
    <n v="10.160984894934533"/>
    <n v="0.95"/>
    <n v="4.8974379522971905"/>
    <n v="109"/>
    <n v="150"/>
  </r>
  <r>
    <x v="0"/>
    <s v="2025-05-18 18:56:05"/>
    <n v="9"/>
    <x v="8"/>
    <x v="2"/>
    <x v="1"/>
    <n v="176.57448788028"/>
    <n v="0"/>
    <s v="Friday (Solucion: datafono, gofre, cocina y caja compartida)Preparacion Accum VA TimeAccum VA TimeProcess"/>
    <n v="19"/>
    <n v="174.13537587676447"/>
    <n v="19.65074675456297"/>
    <n v="0.95"/>
    <n v="9.4713567574295272"/>
    <n v="139.22471453685199"/>
    <n v="210.18722493890999"/>
  </r>
  <r>
    <x v="0"/>
    <s v="2025-05-18 18:56:05"/>
    <n v="9"/>
    <x v="9"/>
    <x v="3"/>
    <x v="1"/>
    <n v="40.635226869421601"/>
    <n v="0"/>
    <s v="Friday (Solucion: datafono, gofre, cocina y caja compartida)Preparacion Accum Wait TimeAccum Wait TimeProcess"/>
    <n v="19"/>
    <n v="89.754366677107924"/>
    <n v="109.53061123574736"/>
    <n v="0.95"/>
    <n v="52.79206474085742"/>
    <n v="22.316256244919199"/>
    <n v="514.987116007179"/>
  </r>
  <r>
    <x v="0"/>
    <s v="2025-05-18 18:56:05"/>
    <n v="9"/>
    <x v="10"/>
    <x v="0"/>
    <x v="1"/>
    <n v="113"/>
    <n v="0"/>
    <s v="Friday (Solucion: datafono, gofre, cocina y caja compartida)Preparacion Number InNumber InProcess"/>
    <n v="19"/>
    <n v="121.89473684210526"/>
    <n v="9.971597090637573"/>
    <n v="0.95"/>
    <n v="4.8061559525642172"/>
    <n v="109"/>
    <n v="143"/>
  </r>
  <r>
    <x v="0"/>
    <s v="2025-05-18 18:56:05"/>
    <n v="9"/>
    <x v="11"/>
    <x v="1"/>
    <x v="1"/>
    <n v="111"/>
    <n v="0"/>
    <s v="Friday (Solucion: datafono, gofre, cocina y caja compartida)Preparacion Number OutNumber OutProcess"/>
    <n v="19"/>
    <n v="122.31578947368421"/>
    <n v="10.127260414780096"/>
    <n v="0.95"/>
    <n v="4.8811832731752718"/>
    <n v="111"/>
    <n v="150"/>
  </r>
  <r>
    <x v="0"/>
    <s v="2025-05-18 18:56:05"/>
    <n v="9"/>
    <x v="12"/>
    <x v="1"/>
    <x v="2"/>
    <n v="117"/>
    <n v="0"/>
    <s v="Friday (Solucion: datafono, gofre, cocina y caja compartida)System.NumberOutNumber OutSystem"/>
    <n v="19"/>
    <n v="125.36842105263158"/>
    <n v="10.160984894934533"/>
    <n v="0.95"/>
    <n v="4.8974379522971905"/>
    <n v="112"/>
    <n v="153"/>
  </r>
  <r>
    <x v="0"/>
    <s v="2025-05-18 18:56:05"/>
    <n v="9"/>
    <x v="13"/>
    <x v="4"/>
    <x v="3"/>
    <n v="124"/>
    <n v="0"/>
    <s v="Friday (Solucion: datafono, gofre, cocina y caja compartida)rCajero.NumberSeizedTotal Number SeizedResource"/>
    <n v="19"/>
    <n v="131.63157894736841"/>
    <n v="13.988926280438102"/>
    <n v="0.95"/>
    <n v="6.7424466413544986"/>
    <n v="113"/>
    <n v="157"/>
  </r>
  <r>
    <x v="0"/>
    <s v="2025-05-18 18:56:05"/>
    <n v="9"/>
    <x v="14"/>
    <x v="5"/>
    <x v="3"/>
    <n v="0.70138866139720901"/>
    <n v="0"/>
    <s v="Friday (Solucion: datafono, gofre, cocina y caja compartida)rCajero.ScheduledUtilizationScheduled UtilizationResource"/>
    <n v="19"/>
    <n v="0.68474836505339687"/>
    <n v="6.2272947935973065E-2"/>
    <n v="0.95"/>
    <n v="3.0014600137344902E-2"/>
    <n v="0.59592290927233305"/>
    <n v="0.82897119936997599"/>
  </r>
  <r>
    <x v="0"/>
    <s v="2025-05-18 18:56:05"/>
    <n v="9"/>
    <x v="15"/>
    <x v="4"/>
    <x v="3"/>
    <n v="102"/>
    <n v="0"/>
    <s v="Friday (Solucion: datafono, gofre, cocina y caja compartida)rCocina.NumberSeizedTotal Number SeizedResource"/>
    <n v="19"/>
    <n v="112.73684210526316"/>
    <n v="9.1155673027772668"/>
    <n v="0.95"/>
    <n v="4.3935628019284003"/>
    <n v="102"/>
    <n v="135"/>
  </r>
  <r>
    <x v="0"/>
    <s v="2025-05-18 18:56:05"/>
    <n v="9"/>
    <x v="16"/>
    <x v="5"/>
    <x v="3"/>
    <n v="0.73211488746139697"/>
    <n v="0"/>
    <s v="Friday (Solucion: datafono, gofre, cocina y caja compartida)rCocina.ScheduledUtilizationScheduled UtilizationResource"/>
    <n v="19"/>
    <n v="0.71670342302257706"/>
    <n v="7.0907274842727658E-2"/>
    <n v="0.95"/>
    <n v="3.4176212493127585E-2"/>
    <n v="0.60463940272025996"/>
    <n v="0.86361037821575004"/>
  </r>
  <r>
    <x v="0"/>
    <s v="2025-05-18 18:56:05"/>
    <n v="9"/>
    <x v="17"/>
    <x v="4"/>
    <x v="3"/>
    <n v="16"/>
    <n v="0"/>
    <s v="Friday (Solucion: datafono, gofre, cocina y caja compartida)rMesa.NumberSeizedTotal Number SeizedResource"/>
    <n v="19"/>
    <n v="16.157894736842106"/>
    <n v="3.8044295512634076"/>
    <n v="0.95"/>
    <n v="1.8336763477019644"/>
    <n v="9"/>
    <n v="24"/>
  </r>
  <r>
    <x v="0"/>
    <s v="2025-05-18 18:56:05"/>
    <n v="9"/>
    <x v="18"/>
    <x v="5"/>
    <x v="3"/>
    <n v="0.28949122695742902"/>
    <n v="0"/>
    <s v="Friday (Solucion: datafono, gofre, cocina y caja compartida)rMesa.ScheduledUtilizationScheduled UtilizationResource"/>
    <n v="19"/>
    <n v="0.30850610959128744"/>
    <n v="6.2586127702931107E-2"/>
    <n v="0.95"/>
    <n v="3.0165547953176861E-2"/>
    <n v="0.156206445320244"/>
    <n v="0.44942505379986802"/>
  </r>
  <r>
    <x v="0"/>
    <s v="2025-05-18 18:56:05"/>
    <n v="9"/>
    <x v="19"/>
    <x v="0"/>
    <x v="0"/>
    <n v="3"/>
    <n v="0"/>
    <s v="Friday (Solucion: datafono, gofre, cocina y caja compartida)reloj.NumberInNumber InEntity"/>
    <n v="19"/>
    <n v="3"/>
    <n v="0"/>
    <n v="0.95"/>
    <n v="0"/>
    <n v="3"/>
    <n v="3"/>
  </r>
  <r>
    <x v="0"/>
    <s v="2025-05-18 18:56:05"/>
    <n v="9"/>
    <x v="20"/>
    <x v="1"/>
    <x v="0"/>
    <n v="3"/>
    <n v="0"/>
    <s v="Friday (Solucion: datafono, gofre, cocina y caja compartida)reloj.NumberOutNumber OutEntity"/>
    <n v="19"/>
    <n v="3"/>
    <n v="0"/>
    <n v="0.95"/>
    <n v="0"/>
    <n v="3"/>
    <n v="3"/>
  </r>
  <r>
    <x v="0"/>
    <s v="2025-05-18 18:56:05"/>
    <n v="10"/>
    <x v="0"/>
    <x v="0"/>
    <x v="0"/>
    <n v="353"/>
    <n v="0"/>
    <s v="Friday (Solucion: datafono, gofre, cocina y caja compartida)Cliente.NumberInNumber InEntity"/>
    <n v="19"/>
    <n v="366.21052631578948"/>
    <n v="28.665850661580702"/>
    <n v="0.95"/>
    <n v="13.816497752584581"/>
    <n v="331"/>
    <n v="427"/>
  </r>
  <r>
    <x v="0"/>
    <s v="2025-05-18 18:56:05"/>
    <n v="10"/>
    <x v="1"/>
    <x v="1"/>
    <x v="0"/>
    <n v="350"/>
    <n v="0"/>
    <s v="Friday (Solucion: datafono, gofre, cocina y caja compartida)Cliente.NumberOutNumber OutEntity"/>
    <n v="19"/>
    <n v="366.63157894736844"/>
    <n v="29.957767544617038"/>
    <n v="0.95"/>
    <n v="14.439181758083874"/>
    <n v="329"/>
    <n v="443"/>
  </r>
  <r>
    <x v="0"/>
    <s v="2025-05-18 18:56:05"/>
    <n v="10"/>
    <x v="2"/>
    <x v="2"/>
    <x v="1"/>
    <n v="385.83591523559897"/>
    <n v="0"/>
    <s v="Friday (Solucion: datafono, gofre, cocina y caja compartida)Comer en Mesa Accum VA TimeAccum VA TimeProcess"/>
    <n v="19"/>
    <n v="283.12549562397913"/>
    <n v="55.763238037894645"/>
    <n v="0.95"/>
    <n v="26.877020400444863"/>
    <n v="157.05073652574001"/>
    <n v="402.97015039838902"/>
  </r>
  <r>
    <x v="0"/>
    <s v="2025-05-18 18:56:05"/>
    <n v="10"/>
    <x v="3"/>
    <x v="3"/>
    <x v="1"/>
    <n v="0"/>
    <n v="0"/>
    <s v="Friday (Solucion: datafono, gofre, cocina y caja compartida)Comer en Mesa Accum Wait TimeAccum Wait TimeProcess"/>
    <n v="19"/>
    <n v="0"/>
    <n v="0"/>
    <n v="0.95"/>
    <n v="0"/>
    <n v="0"/>
    <n v="0"/>
  </r>
  <r>
    <x v="0"/>
    <s v="2025-05-18 18:56:05"/>
    <n v="10"/>
    <x v="4"/>
    <x v="0"/>
    <x v="1"/>
    <n v="24"/>
    <n v="0"/>
    <s v="Friday (Solucion: datafono, gofre, cocina y caja compartida)Comer en Mesa Number InNumber InProcess"/>
    <n v="19"/>
    <n v="16.157894736842106"/>
    <n v="3.8044295512634076"/>
    <n v="0.95"/>
    <n v="1.8336763477019644"/>
    <n v="9"/>
    <n v="24"/>
  </r>
  <r>
    <x v="0"/>
    <s v="2025-05-18 18:56:05"/>
    <n v="10"/>
    <x v="5"/>
    <x v="1"/>
    <x v="1"/>
    <n v="22"/>
    <n v="0"/>
    <s v="Friday (Solucion: datafono, gofre, cocina y caja compartida)Comer en Mesa Number OutNumber OutProcess"/>
    <n v="19"/>
    <n v="16.263157894736842"/>
    <n v="3.3803698887540881"/>
    <n v="0.95"/>
    <n v="1.6292861329062698"/>
    <n v="8"/>
    <n v="22"/>
  </r>
  <r>
    <x v="0"/>
    <s v="2025-05-18 18:56:05"/>
    <n v="10"/>
    <x v="6"/>
    <x v="0"/>
    <x v="0"/>
    <n v="118"/>
    <n v="0"/>
    <s v="Friday (Solucion: datafono, gofre, cocina y caja compartida)Orden.NumberInNumber InEntity"/>
    <n v="19"/>
    <n v="121.89473684210526"/>
    <n v="9.971597090637573"/>
    <n v="0.95"/>
    <n v="4.8061559525642172"/>
    <n v="109"/>
    <n v="143"/>
  </r>
  <r>
    <x v="0"/>
    <s v="2025-05-18 18:56:05"/>
    <n v="10"/>
    <x v="7"/>
    <x v="1"/>
    <x v="0"/>
    <n v="116"/>
    <n v="0"/>
    <s v="Friday (Solucion: datafono, gofre, cocina y caja compartida)Orden.NumberOutNumber OutEntity"/>
    <n v="19"/>
    <n v="122.36842105263158"/>
    <n v="10.160984894934533"/>
    <n v="0.95"/>
    <n v="4.8974379522971905"/>
    <n v="109"/>
    <n v="150"/>
  </r>
  <r>
    <x v="0"/>
    <s v="2025-05-18 18:56:05"/>
    <n v="10"/>
    <x v="8"/>
    <x v="2"/>
    <x v="1"/>
    <n v="184.25899040465799"/>
    <n v="0"/>
    <s v="Friday (Solucion: datafono, gofre, cocina y caja compartida)Preparacion Accum VA TimeAccum VA TimeProcess"/>
    <n v="19"/>
    <n v="174.13537587676447"/>
    <n v="19.65074675456297"/>
    <n v="0.95"/>
    <n v="9.4713567574295272"/>
    <n v="139.22471453685199"/>
    <n v="210.18722493890999"/>
  </r>
  <r>
    <x v="0"/>
    <s v="2025-05-18 18:56:05"/>
    <n v="10"/>
    <x v="9"/>
    <x v="3"/>
    <x v="1"/>
    <n v="108.216585264275"/>
    <n v="0"/>
    <s v="Friday (Solucion: datafono, gofre, cocina y caja compartida)Preparacion Accum Wait TimeAccum Wait TimeProcess"/>
    <n v="19"/>
    <n v="89.754366677107924"/>
    <n v="109.53061123574736"/>
    <n v="0.95"/>
    <n v="52.79206474085742"/>
    <n v="22.316256244919199"/>
    <n v="514.987116007179"/>
  </r>
  <r>
    <x v="0"/>
    <s v="2025-05-18 18:56:05"/>
    <n v="10"/>
    <x v="10"/>
    <x v="0"/>
    <x v="1"/>
    <n v="118"/>
    <n v="0"/>
    <s v="Friday (Solucion: datafono, gofre, cocina y caja compartida)Preparacion Number InNumber InProcess"/>
    <n v="19"/>
    <n v="121.89473684210526"/>
    <n v="9.971597090637573"/>
    <n v="0.95"/>
    <n v="4.8061559525642172"/>
    <n v="109"/>
    <n v="143"/>
  </r>
  <r>
    <x v="0"/>
    <s v="2025-05-18 18:56:05"/>
    <n v="10"/>
    <x v="11"/>
    <x v="1"/>
    <x v="1"/>
    <n v="118"/>
    <n v="0"/>
    <s v="Friday (Solucion: datafono, gofre, cocina y caja compartida)Preparacion Number OutNumber OutProcess"/>
    <n v="19"/>
    <n v="122.31578947368421"/>
    <n v="10.127260414780096"/>
    <n v="0.95"/>
    <n v="4.8811832731752718"/>
    <n v="111"/>
    <n v="150"/>
  </r>
  <r>
    <x v="0"/>
    <s v="2025-05-18 18:56:05"/>
    <n v="10"/>
    <x v="12"/>
    <x v="1"/>
    <x v="2"/>
    <n v="119"/>
    <n v="0"/>
    <s v="Friday (Solucion: datafono, gofre, cocina y caja compartida)System.NumberOutNumber OutSystem"/>
    <n v="19"/>
    <n v="125.36842105263158"/>
    <n v="10.160984894934533"/>
    <n v="0.95"/>
    <n v="4.8974379522971905"/>
    <n v="112"/>
    <n v="153"/>
  </r>
  <r>
    <x v="0"/>
    <s v="2025-05-18 18:56:05"/>
    <n v="10"/>
    <x v="13"/>
    <x v="4"/>
    <x v="3"/>
    <n v="113"/>
    <n v="0"/>
    <s v="Friday (Solucion: datafono, gofre, cocina y caja compartida)rCajero.NumberSeizedTotal Number SeizedResource"/>
    <n v="19"/>
    <n v="131.63157894736841"/>
    <n v="13.988926280438102"/>
    <n v="0.95"/>
    <n v="6.7424466413544986"/>
    <n v="113"/>
    <n v="157"/>
  </r>
  <r>
    <x v="0"/>
    <s v="2025-05-18 18:56:05"/>
    <n v="10"/>
    <x v="14"/>
    <x v="5"/>
    <x v="3"/>
    <n v="0.73240339248557995"/>
    <n v="0"/>
    <s v="Friday (Solucion: datafono, gofre, cocina y caja compartida)rCajero.ScheduledUtilizationScheduled UtilizationResource"/>
    <n v="19"/>
    <n v="0.68474836505339687"/>
    <n v="6.2272947935973065E-2"/>
    <n v="0.95"/>
    <n v="3.0014600137344902E-2"/>
    <n v="0.59592290927233305"/>
    <n v="0.82897119936997599"/>
  </r>
  <r>
    <x v="0"/>
    <s v="2025-05-18 18:56:05"/>
    <n v="10"/>
    <x v="15"/>
    <x v="4"/>
    <x v="3"/>
    <n v="122"/>
    <n v="0"/>
    <s v="Friday (Solucion: datafono, gofre, cocina y caja compartida)rCocina.NumberSeizedTotal Number SeizedResource"/>
    <n v="19"/>
    <n v="112.73684210526316"/>
    <n v="9.1155673027772668"/>
    <n v="0.95"/>
    <n v="4.3935628019284003"/>
    <n v="102"/>
    <n v="135"/>
  </r>
  <r>
    <x v="0"/>
    <s v="2025-05-18 18:56:05"/>
    <n v="10"/>
    <x v="16"/>
    <x v="5"/>
    <x v="3"/>
    <n v="0.73693591264165603"/>
    <n v="0"/>
    <s v="Friday (Solucion: datafono, gofre, cocina y caja compartida)rCocina.ScheduledUtilizationScheduled UtilizationResource"/>
    <n v="19"/>
    <n v="0.71670342302257706"/>
    <n v="7.0907274842727658E-2"/>
    <n v="0.95"/>
    <n v="3.4176212493127585E-2"/>
    <n v="0.60463940272025996"/>
    <n v="0.86361037821575004"/>
  </r>
  <r>
    <x v="0"/>
    <s v="2025-05-18 18:56:05"/>
    <n v="10"/>
    <x v="17"/>
    <x v="4"/>
    <x v="3"/>
    <n v="24"/>
    <n v="0"/>
    <s v="Friday (Solucion: datafono, gofre, cocina y caja compartida)rMesa.NumberSeizedTotal Number SeizedResource"/>
    <n v="19"/>
    <n v="16.157894736842106"/>
    <n v="3.8044295512634076"/>
    <n v="0.95"/>
    <n v="1.8336763477019644"/>
    <n v="9"/>
    <n v="24"/>
  </r>
  <r>
    <x v="0"/>
    <s v="2025-05-18 18:56:05"/>
    <n v="10"/>
    <x v="18"/>
    <x v="5"/>
    <x v="3"/>
    <n v="0.44942505379986802"/>
    <n v="0"/>
    <s v="Friday (Solucion: datafono, gofre, cocina y caja compartida)rMesa.ScheduledUtilizationScheduled UtilizationResource"/>
    <n v="19"/>
    <n v="0.30850610959128744"/>
    <n v="6.2586127702931107E-2"/>
    <n v="0.95"/>
    <n v="3.0165547953176861E-2"/>
    <n v="0.156206445320244"/>
    <n v="0.44942505379986802"/>
  </r>
  <r>
    <x v="0"/>
    <s v="2025-05-18 18:56:05"/>
    <n v="10"/>
    <x v="19"/>
    <x v="0"/>
    <x v="0"/>
    <n v="3"/>
    <n v="0"/>
    <s v="Friday (Solucion: datafono, gofre, cocina y caja compartida)reloj.NumberInNumber InEntity"/>
    <n v="19"/>
    <n v="3"/>
    <n v="0"/>
    <n v="0.95"/>
    <n v="0"/>
    <n v="3"/>
    <n v="3"/>
  </r>
  <r>
    <x v="0"/>
    <s v="2025-05-18 18:56:05"/>
    <n v="10"/>
    <x v="20"/>
    <x v="1"/>
    <x v="0"/>
    <n v="3"/>
    <n v="0"/>
    <s v="Friday (Solucion: datafono, gofre, cocina y caja compartida)reloj.NumberOutNumber OutEntity"/>
    <n v="19"/>
    <n v="3"/>
    <n v="0"/>
    <n v="0.95"/>
    <n v="0"/>
    <n v="3"/>
    <n v="3"/>
  </r>
  <r>
    <x v="0"/>
    <s v="2025-05-18 18:56:05"/>
    <n v="11"/>
    <x v="0"/>
    <x v="0"/>
    <x v="0"/>
    <n v="346"/>
    <n v="0"/>
    <s v="Friday (Solucion: datafono, gofre, cocina y caja compartida)Cliente.NumberInNumber InEntity"/>
    <n v="19"/>
    <n v="366.21052631578948"/>
    <n v="28.665850661580702"/>
    <n v="0.95"/>
    <n v="13.816497752584581"/>
    <n v="331"/>
    <n v="427"/>
  </r>
  <r>
    <x v="0"/>
    <s v="2025-05-18 18:56:05"/>
    <n v="11"/>
    <x v="1"/>
    <x v="1"/>
    <x v="0"/>
    <n v="344"/>
    <n v="0"/>
    <s v="Friday (Solucion: datafono, gofre, cocina y caja compartida)Cliente.NumberOutNumber OutEntity"/>
    <n v="19"/>
    <n v="366.63157894736844"/>
    <n v="29.957767544617038"/>
    <n v="0.95"/>
    <n v="14.439181758083874"/>
    <n v="329"/>
    <n v="443"/>
  </r>
  <r>
    <x v="0"/>
    <s v="2025-05-18 18:56:05"/>
    <n v="11"/>
    <x v="2"/>
    <x v="2"/>
    <x v="1"/>
    <n v="270.83883613929203"/>
    <n v="0"/>
    <s v="Friday (Solucion: datafono, gofre, cocina y caja compartida)Comer en Mesa Accum VA TimeAccum VA TimeProcess"/>
    <n v="19"/>
    <n v="283.12549562397913"/>
    <n v="55.763238037894645"/>
    <n v="0.95"/>
    <n v="26.877020400444863"/>
    <n v="157.05073652574001"/>
    <n v="402.97015039838902"/>
  </r>
  <r>
    <x v="0"/>
    <s v="2025-05-18 18:56:05"/>
    <n v="11"/>
    <x v="3"/>
    <x v="3"/>
    <x v="1"/>
    <n v="0"/>
    <n v="0"/>
    <s v="Friday (Solucion: datafono, gofre, cocina y caja compartida)Comer en Mesa Accum Wait TimeAccum Wait TimeProcess"/>
    <n v="19"/>
    <n v="0"/>
    <n v="0"/>
    <n v="0.95"/>
    <n v="0"/>
    <n v="0"/>
    <n v="0"/>
  </r>
  <r>
    <x v="0"/>
    <s v="2025-05-18 18:56:05"/>
    <n v="11"/>
    <x v="4"/>
    <x v="0"/>
    <x v="1"/>
    <n v="20"/>
    <n v="0"/>
    <s v="Friday (Solucion: datafono, gofre, cocina y caja compartida)Comer en Mesa Number InNumber InProcess"/>
    <n v="19"/>
    <n v="16.157894736842106"/>
    <n v="3.8044295512634076"/>
    <n v="0.95"/>
    <n v="1.8336763477019644"/>
    <n v="9"/>
    <n v="24"/>
  </r>
  <r>
    <x v="0"/>
    <s v="2025-05-18 18:56:05"/>
    <n v="11"/>
    <x v="5"/>
    <x v="1"/>
    <x v="1"/>
    <n v="19"/>
    <n v="0"/>
    <s v="Friday (Solucion: datafono, gofre, cocina y caja compartida)Comer en Mesa Number OutNumber OutProcess"/>
    <n v="19"/>
    <n v="16.263157894736842"/>
    <n v="3.3803698887540881"/>
    <n v="0.95"/>
    <n v="1.6292861329062698"/>
    <n v="8"/>
    <n v="22"/>
  </r>
  <r>
    <x v="0"/>
    <s v="2025-05-18 18:56:05"/>
    <n v="11"/>
    <x v="6"/>
    <x v="0"/>
    <x v="0"/>
    <n v="114"/>
    <n v="0"/>
    <s v="Friday (Solucion: datafono, gofre, cocina y caja compartida)Orden.NumberInNumber InEntity"/>
    <n v="19"/>
    <n v="121.89473684210526"/>
    <n v="9.971597090637573"/>
    <n v="0.95"/>
    <n v="4.8061559525642172"/>
    <n v="109"/>
    <n v="143"/>
  </r>
  <r>
    <x v="0"/>
    <s v="2025-05-18 18:56:05"/>
    <n v="11"/>
    <x v="7"/>
    <x v="1"/>
    <x v="0"/>
    <n v="115"/>
    <n v="0"/>
    <s v="Friday (Solucion: datafono, gofre, cocina y caja compartida)Orden.NumberOutNumber OutEntity"/>
    <n v="19"/>
    <n v="122.36842105263158"/>
    <n v="10.160984894934533"/>
    <n v="0.95"/>
    <n v="4.8974379522971905"/>
    <n v="109"/>
    <n v="150"/>
  </r>
  <r>
    <x v="0"/>
    <s v="2025-05-18 18:56:05"/>
    <n v="11"/>
    <x v="8"/>
    <x v="2"/>
    <x v="1"/>
    <n v="162.772718568188"/>
    <n v="0"/>
    <s v="Friday (Solucion: datafono, gofre, cocina y caja compartida)Preparacion Accum VA TimeAccum VA TimeProcess"/>
    <n v="19"/>
    <n v="174.13537587676447"/>
    <n v="19.65074675456297"/>
    <n v="0.95"/>
    <n v="9.4713567574295272"/>
    <n v="139.22471453685199"/>
    <n v="210.18722493890999"/>
  </r>
  <r>
    <x v="0"/>
    <s v="2025-05-18 18:56:05"/>
    <n v="11"/>
    <x v="9"/>
    <x v="3"/>
    <x v="1"/>
    <n v="69.869334863747795"/>
    <n v="0"/>
    <s v="Friday (Solucion: datafono, gofre, cocina y caja compartida)Preparacion Accum Wait TimeAccum Wait TimeProcess"/>
    <n v="19"/>
    <n v="89.754366677107924"/>
    <n v="109.53061123574736"/>
    <n v="0.95"/>
    <n v="52.79206474085742"/>
    <n v="22.316256244919199"/>
    <n v="514.987116007179"/>
  </r>
  <r>
    <x v="0"/>
    <s v="2025-05-18 18:56:05"/>
    <n v="11"/>
    <x v="10"/>
    <x v="0"/>
    <x v="1"/>
    <n v="114"/>
    <n v="0"/>
    <s v="Friday (Solucion: datafono, gofre, cocina y caja compartida)Preparacion Number InNumber InProcess"/>
    <n v="19"/>
    <n v="121.89473684210526"/>
    <n v="9.971597090637573"/>
    <n v="0.95"/>
    <n v="4.8061559525642172"/>
    <n v="109"/>
    <n v="143"/>
  </r>
  <r>
    <x v="0"/>
    <s v="2025-05-18 18:56:05"/>
    <n v="11"/>
    <x v="11"/>
    <x v="1"/>
    <x v="1"/>
    <n v="116"/>
    <n v="0"/>
    <s v="Friday (Solucion: datafono, gofre, cocina y caja compartida)Preparacion Number OutNumber OutProcess"/>
    <n v="19"/>
    <n v="122.31578947368421"/>
    <n v="10.127260414780096"/>
    <n v="0.95"/>
    <n v="4.8811832731752718"/>
    <n v="111"/>
    <n v="150"/>
  </r>
  <r>
    <x v="0"/>
    <s v="2025-05-18 18:56:05"/>
    <n v="11"/>
    <x v="12"/>
    <x v="1"/>
    <x v="2"/>
    <n v="118"/>
    <n v="0"/>
    <s v="Friday (Solucion: datafono, gofre, cocina y caja compartida)System.NumberOutNumber OutSystem"/>
    <n v="19"/>
    <n v="125.36842105263158"/>
    <n v="10.160984894934533"/>
    <n v="0.95"/>
    <n v="4.8974379522971905"/>
    <n v="112"/>
    <n v="153"/>
  </r>
  <r>
    <x v="0"/>
    <s v="2025-05-18 18:56:05"/>
    <n v="11"/>
    <x v="13"/>
    <x v="4"/>
    <x v="3"/>
    <n v="122"/>
    <n v="0"/>
    <s v="Friday (Solucion: datafono, gofre, cocina y caja compartida)rCajero.NumberSeizedTotal Number SeizedResource"/>
    <n v="19"/>
    <n v="131.63157894736841"/>
    <n v="13.988926280438102"/>
    <n v="0.95"/>
    <n v="6.7424466413544986"/>
    <n v="113"/>
    <n v="157"/>
  </r>
  <r>
    <x v="0"/>
    <s v="2025-05-18 18:56:05"/>
    <n v="11"/>
    <x v="14"/>
    <x v="5"/>
    <x v="3"/>
    <n v="0.62130605304115805"/>
    <n v="0"/>
    <s v="Friday (Solucion: datafono, gofre, cocina y caja compartida)rCajero.ScheduledUtilizationScheduled UtilizationResource"/>
    <n v="19"/>
    <n v="0.68474836505339687"/>
    <n v="6.2272947935973065E-2"/>
    <n v="0.95"/>
    <n v="3.0014600137344902E-2"/>
    <n v="0.59592290927233305"/>
    <n v="0.82897119936997599"/>
  </r>
  <r>
    <x v="0"/>
    <s v="2025-05-18 18:56:05"/>
    <n v="11"/>
    <x v="15"/>
    <x v="4"/>
    <x v="3"/>
    <n v="108"/>
    <n v="0"/>
    <s v="Friday (Solucion: datafono, gofre, cocina y caja compartida)rCocina.NumberSeizedTotal Number SeizedResource"/>
    <n v="19"/>
    <n v="112.73684210526316"/>
    <n v="9.1155673027772668"/>
    <n v="0.95"/>
    <n v="4.3935628019284003"/>
    <n v="102"/>
    <n v="135"/>
  </r>
  <r>
    <x v="0"/>
    <s v="2025-05-18 18:56:05"/>
    <n v="11"/>
    <x v="16"/>
    <x v="5"/>
    <x v="3"/>
    <n v="0.67954937168977902"/>
    <n v="0"/>
    <s v="Friday (Solucion: datafono, gofre, cocina y caja compartida)rCocina.ScheduledUtilizationScheduled UtilizationResource"/>
    <n v="19"/>
    <n v="0.71670342302257706"/>
    <n v="7.0907274842727658E-2"/>
    <n v="0.95"/>
    <n v="3.4176212493127585E-2"/>
    <n v="0.60463940272025996"/>
    <n v="0.86361037821575004"/>
  </r>
  <r>
    <x v="0"/>
    <s v="2025-05-18 18:56:05"/>
    <n v="11"/>
    <x v="17"/>
    <x v="4"/>
    <x v="3"/>
    <n v="20"/>
    <n v="0"/>
    <s v="Friday (Solucion: datafono, gofre, cocina y caja compartida)rMesa.NumberSeizedTotal Number SeizedResource"/>
    <n v="19"/>
    <n v="16.157894736842106"/>
    <n v="3.8044295512634076"/>
    <n v="0.95"/>
    <n v="1.8336763477019644"/>
    <n v="9"/>
    <n v="24"/>
  </r>
  <r>
    <x v="0"/>
    <s v="2025-05-18 18:56:05"/>
    <n v="11"/>
    <x v="18"/>
    <x v="5"/>
    <x v="3"/>
    <n v="0.30630040762326299"/>
    <n v="0"/>
    <s v="Friday (Solucion: datafono, gofre, cocina y caja compartida)rMesa.ScheduledUtilizationScheduled UtilizationResource"/>
    <n v="19"/>
    <n v="0.30850610959128744"/>
    <n v="6.2586127702931107E-2"/>
    <n v="0.95"/>
    <n v="3.0165547953176861E-2"/>
    <n v="0.156206445320244"/>
    <n v="0.44942505379986802"/>
  </r>
  <r>
    <x v="0"/>
    <s v="2025-05-18 18:56:05"/>
    <n v="11"/>
    <x v="19"/>
    <x v="0"/>
    <x v="0"/>
    <n v="3"/>
    <n v="0"/>
    <s v="Friday (Solucion: datafono, gofre, cocina y caja compartida)reloj.NumberInNumber InEntity"/>
    <n v="19"/>
    <n v="3"/>
    <n v="0"/>
    <n v="0.95"/>
    <n v="0"/>
    <n v="3"/>
    <n v="3"/>
  </r>
  <r>
    <x v="0"/>
    <s v="2025-05-18 18:56:05"/>
    <n v="11"/>
    <x v="20"/>
    <x v="1"/>
    <x v="0"/>
    <n v="3"/>
    <n v="0"/>
    <s v="Friday (Solucion: datafono, gofre, cocina y caja compartida)reloj.NumberOutNumber OutEntity"/>
    <n v="19"/>
    <n v="3"/>
    <n v="0"/>
    <n v="0.95"/>
    <n v="0"/>
    <n v="3"/>
    <n v="3"/>
  </r>
  <r>
    <x v="0"/>
    <s v="2025-05-18 18:56:05"/>
    <n v="12"/>
    <x v="0"/>
    <x v="0"/>
    <x v="0"/>
    <n v="347"/>
    <n v="0"/>
    <s v="Friday (Solucion: datafono, gofre, cocina y caja compartida)Cliente.NumberInNumber InEntity"/>
    <n v="19"/>
    <n v="366.21052631578948"/>
    <n v="28.665850661580702"/>
    <n v="0.95"/>
    <n v="13.816497752584581"/>
    <n v="331"/>
    <n v="427"/>
  </r>
  <r>
    <x v="0"/>
    <s v="2025-05-18 18:56:05"/>
    <n v="12"/>
    <x v="1"/>
    <x v="1"/>
    <x v="0"/>
    <n v="354"/>
    <n v="0"/>
    <s v="Friday (Solucion: datafono, gofre, cocina y caja compartida)Cliente.NumberOutNumber OutEntity"/>
    <n v="19"/>
    <n v="366.63157894736844"/>
    <n v="29.957767544617038"/>
    <n v="0.95"/>
    <n v="14.439181758083874"/>
    <n v="329"/>
    <n v="443"/>
  </r>
  <r>
    <x v="0"/>
    <s v="2025-05-18 18:56:05"/>
    <n v="12"/>
    <x v="2"/>
    <x v="2"/>
    <x v="1"/>
    <n v="266.68862103262501"/>
    <n v="0"/>
    <s v="Friday (Solucion: datafono, gofre, cocina y caja compartida)Comer en Mesa Accum VA TimeAccum VA TimeProcess"/>
    <n v="19"/>
    <n v="283.12549562397913"/>
    <n v="55.763238037894645"/>
    <n v="0.95"/>
    <n v="26.877020400444863"/>
    <n v="157.05073652574001"/>
    <n v="402.97015039838902"/>
  </r>
  <r>
    <x v="0"/>
    <s v="2025-05-18 18:56:05"/>
    <n v="12"/>
    <x v="3"/>
    <x v="3"/>
    <x v="1"/>
    <n v="0"/>
    <n v="0"/>
    <s v="Friday (Solucion: datafono, gofre, cocina y caja compartida)Comer en Mesa Accum Wait TimeAccum Wait TimeProcess"/>
    <n v="19"/>
    <n v="0"/>
    <n v="0"/>
    <n v="0.95"/>
    <n v="0"/>
    <n v="0"/>
    <n v="0"/>
  </r>
  <r>
    <x v="0"/>
    <s v="2025-05-18 18:56:05"/>
    <n v="12"/>
    <x v="4"/>
    <x v="0"/>
    <x v="1"/>
    <n v="13"/>
    <n v="0"/>
    <s v="Friday (Solucion: datafono, gofre, cocina y caja compartida)Comer en Mesa Number InNumber InProcess"/>
    <n v="19"/>
    <n v="16.157894736842106"/>
    <n v="3.8044295512634076"/>
    <n v="0.95"/>
    <n v="1.8336763477019644"/>
    <n v="9"/>
    <n v="24"/>
  </r>
  <r>
    <x v="0"/>
    <s v="2025-05-18 18:56:05"/>
    <n v="12"/>
    <x v="5"/>
    <x v="1"/>
    <x v="1"/>
    <n v="14"/>
    <n v="0"/>
    <s v="Friday (Solucion: datafono, gofre, cocina y caja compartida)Comer en Mesa Number OutNumber OutProcess"/>
    <n v="19"/>
    <n v="16.263157894736842"/>
    <n v="3.3803698887540881"/>
    <n v="0.95"/>
    <n v="1.6292861329062698"/>
    <n v="8"/>
    <n v="22"/>
  </r>
  <r>
    <x v="0"/>
    <s v="2025-05-18 18:56:05"/>
    <n v="12"/>
    <x v="6"/>
    <x v="0"/>
    <x v="0"/>
    <n v="114"/>
    <n v="0"/>
    <s v="Friday (Solucion: datafono, gofre, cocina y caja compartida)Orden.NumberInNumber InEntity"/>
    <n v="19"/>
    <n v="121.89473684210526"/>
    <n v="9.971597090637573"/>
    <n v="0.95"/>
    <n v="4.8061559525642172"/>
    <n v="109"/>
    <n v="143"/>
  </r>
  <r>
    <x v="0"/>
    <s v="2025-05-18 18:56:05"/>
    <n v="12"/>
    <x v="7"/>
    <x v="1"/>
    <x v="0"/>
    <n v="120"/>
    <n v="0"/>
    <s v="Friday (Solucion: datafono, gofre, cocina y caja compartida)Orden.NumberOutNumber OutEntity"/>
    <n v="19"/>
    <n v="122.36842105263158"/>
    <n v="10.160984894934533"/>
    <n v="0.95"/>
    <n v="4.8974379522971905"/>
    <n v="109"/>
    <n v="150"/>
  </r>
  <r>
    <x v="0"/>
    <s v="2025-05-18 18:56:05"/>
    <n v="12"/>
    <x v="8"/>
    <x v="2"/>
    <x v="1"/>
    <n v="176.89802034552301"/>
    <n v="0"/>
    <s v="Friday (Solucion: datafono, gofre, cocina y caja compartida)Preparacion Accum VA TimeAccum VA TimeProcess"/>
    <n v="19"/>
    <n v="174.13537587676447"/>
    <n v="19.65074675456297"/>
    <n v="0.95"/>
    <n v="9.4713567574295272"/>
    <n v="139.22471453685199"/>
    <n v="210.18722493890999"/>
  </r>
  <r>
    <x v="0"/>
    <s v="2025-05-18 18:56:05"/>
    <n v="12"/>
    <x v="9"/>
    <x v="3"/>
    <x v="1"/>
    <n v="92.697639692437605"/>
    <n v="0"/>
    <s v="Friday (Solucion: datafono, gofre, cocina y caja compartida)Preparacion Accum Wait TimeAccum Wait TimeProcess"/>
    <n v="19"/>
    <n v="89.754366677107924"/>
    <n v="109.53061123574736"/>
    <n v="0.95"/>
    <n v="52.79206474085742"/>
    <n v="22.316256244919199"/>
    <n v="514.987116007179"/>
  </r>
  <r>
    <x v="0"/>
    <s v="2025-05-18 18:56:05"/>
    <n v="12"/>
    <x v="10"/>
    <x v="0"/>
    <x v="1"/>
    <n v="114"/>
    <n v="0"/>
    <s v="Friday (Solucion: datafono, gofre, cocina y caja compartida)Preparacion Number InNumber InProcess"/>
    <n v="19"/>
    <n v="121.89473684210526"/>
    <n v="9.971597090637573"/>
    <n v="0.95"/>
    <n v="4.8061559525642172"/>
    <n v="109"/>
    <n v="143"/>
  </r>
  <r>
    <x v="0"/>
    <s v="2025-05-18 18:56:05"/>
    <n v="12"/>
    <x v="11"/>
    <x v="1"/>
    <x v="1"/>
    <n v="119"/>
    <n v="0"/>
    <s v="Friday (Solucion: datafono, gofre, cocina y caja compartida)Preparacion Number OutNumber OutProcess"/>
    <n v="19"/>
    <n v="122.31578947368421"/>
    <n v="10.127260414780096"/>
    <n v="0.95"/>
    <n v="4.8811832731752718"/>
    <n v="111"/>
    <n v="150"/>
  </r>
  <r>
    <x v="0"/>
    <s v="2025-05-18 18:56:05"/>
    <n v="12"/>
    <x v="12"/>
    <x v="1"/>
    <x v="2"/>
    <n v="123"/>
    <n v="0"/>
    <s v="Friday (Solucion: datafono, gofre, cocina y caja compartida)System.NumberOutNumber OutSystem"/>
    <n v="19"/>
    <n v="125.36842105263158"/>
    <n v="10.160984894934533"/>
    <n v="0.95"/>
    <n v="4.8974379522971905"/>
    <n v="112"/>
    <n v="153"/>
  </r>
  <r>
    <x v="0"/>
    <s v="2025-05-18 18:56:05"/>
    <n v="12"/>
    <x v="13"/>
    <x v="4"/>
    <x v="3"/>
    <n v="127"/>
    <n v="0"/>
    <s v="Friday (Solucion: datafono, gofre, cocina y caja compartida)rCajero.NumberSeizedTotal Number SeizedResource"/>
    <n v="19"/>
    <n v="131.63157894736841"/>
    <n v="13.988926280438102"/>
    <n v="0.95"/>
    <n v="6.7424466413544986"/>
    <n v="113"/>
    <n v="157"/>
  </r>
  <r>
    <x v="0"/>
    <s v="2025-05-18 18:56:05"/>
    <n v="12"/>
    <x v="14"/>
    <x v="5"/>
    <x v="3"/>
    <n v="0.68321371392804497"/>
    <n v="0"/>
    <s v="Friday (Solucion: datafono, gofre, cocina y caja compartida)rCajero.ScheduledUtilizationScheduled UtilizationResource"/>
    <n v="19"/>
    <n v="0.68474836505339687"/>
    <n v="6.2272947935973065E-2"/>
    <n v="0.95"/>
    <n v="3.0014600137344902E-2"/>
    <n v="0.59592290927233305"/>
    <n v="0.82897119936997599"/>
  </r>
  <r>
    <x v="0"/>
    <s v="2025-05-18 18:56:05"/>
    <n v="12"/>
    <x v="15"/>
    <x v="4"/>
    <x v="3"/>
    <n v="106"/>
    <n v="0"/>
    <s v="Friday (Solucion: datafono, gofre, cocina y caja compartida)rCocina.NumberSeizedTotal Number SeizedResource"/>
    <n v="19"/>
    <n v="112.73684210526316"/>
    <n v="9.1155673027772668"/>
    <n v="0.95"/>
    <n v="4.3935628019284003"/>
    <n v="102"/>
    <n v="135"/>
  </r>
  <r>
    <x v="0"/>
    <s v="2025-05-18 18:56:05"/>
    <n v="12"/>
    <x v="16"/>
    <x v="5"/>
    <x v="3"/>
    <n v="0.70645570909393796"/>
    <n v="0"/>
    <s v="Friday (Solucion: datafono, gofre, cocina y caja compartida)rCocina.ScheduledUtilizationScheduled UtilizationResource"/>
    <n v="19"/>
    <n v="0.71670342302257706"/>
    <n v="7.0907274842727658E-2"/>
    <n v="0.95"/>
    <n v="3.4176212493127585E-2"/>
    <n v="0.60463940272025996"/>
    <n v="0.86361037821575004"/>
  </r>
  <r>
    <x v="0"/>
    <s v="2025-05-18 18:56:05"/>
    <n v="12"/>
    <x v="17"/>
    <x v="4"/>
    <x v="3"/>
    <n v="13"/>
    <n v="0"/>
    <s v="Friday (Solucion: datafono, gofre, cocina y caja compartida)rMesa.NumberSeizedTotal Number SeizedResource"/>
    <n v="19"/>
    <n v="16.157894736842106"/>
    <n v="3.8044295512634076"/>
    <n v="0.95"/>
    <n v="1.8336763477019644"/>
    <n v="9"/>
    <n v="24"/>
  </r>
  <r>
    <x v="0"/>
    <s v="2025-05-18 18:56:05"/>
    <n v="12"/>
    <x v="18"/>
    <x v="5"/>
    <x v="3"/>
    <n v="0.25383421733885397"/>
    <n v="0"/>
    <s v="Friday (Solucion: datafono, gofre, cocina y caja compartida)rMesa.ScheduledUtilizationScheduled UtilizationResource"/>
    <n v="19"/>
    <n v="0.30850610959128744"/>
    <n v="6.2586127702931107E-2"/>
    <n v="0.95"/>
    <n v="3.0165547953176861E-2"/>
    <n v="0.156206445320244"/>
    <n v="0.44942505379986802"/>
  </r>
  <r>
    <x v="0"/>
    <s v="2025-05-18 18:56:05"/>
    <n v="12"/>
    <x v="19"/>
    <x v="0"/>
    <x v="0"/>
    <n v="3"/>
    <n v="0"/>
    <s v="Friday (Solucion: datafono, gofre, cocina y caja compartida)reloj.NumberInNumber InEntity"/>
    <n v="19"/>
    <n v="3"/>
    <n v="0"/>
    <n v="0.95"/>
    <n v="0"/>
    <n v="3"/>
    <n v="3"/>
  </r>
  <r>
    <x v="0"/>
    <s v="2025-05-18 18:56:05"/>
    <n v="12"/>
    <x v="20"/>
    <x v="1"/>
    <x v="0"/>
    <n v="3"/>
    <n v="0"/>
    <s v="Friday (Solucion: datafono, gofre, cocina y caja compartida)reloj.NumberOutNumber OutEntity"/>
    <n v="19"/>
    <n v="3"/>
    <n v="0"/>
    <n v="0.95"/>
    <n v="0"/>
    <n v="3"/>
    <n v="3"/>
  </r>
  <r>
    <x v="0"/>
    <s v="2025-05-18 18:56:05"/>
    <n v="13"/>
    <x v="0"/>
    <x v="0"/>
    <x v="0"/>
    <n v="352"/>
    <n v="0"/>
    <s v="Friday (Solucion: datafono, gofre, cocina y caja compartida)Cliente.NumberInNumber InEntity"/>
    <n v="19"/>
    <n v="366.21052631578948"/>
    <n v="28.665850661580702"/>
    <n v="0.95"/>
    <n v="13.816497752584581"/>
    <n v="331"/>
    <n v="427"/>
  </r>
  <r>
    <x v="0"/>
    <s v="2025-05-18 18:56:05"/>
    <n v="13"/>
    <x v="1"/>
    <x v="1"/>
    <x v="0"/>
    <n v="350"/>
    <n v="0"/>
    <s v="Friday (Solucion: datafono, gofre, cocina y caja compartida)Cliente.NumberOutNumber OutEntity"/>
    <n v="19"/>
    <n v="366.63157894736844"/>
    <n v="29.957767544617038"/>
    <n v="0.95"/>
    <n v="14.439181758083874"/>
    <n v="329"/>
    <n v="443"/>
  </r>
  <r>
    <x v="0"/>
    <s v="2025-05-18 18:56:05"/>
    <n v="13"/>
    <x v="2"/>
    <x v="2"/>
    <x v="1"/>
    <n v="275.708360896096"/>
    <n v="0"/>
    <s v="Friday (Solucion: datafono, gofre, cocina y caja compartida)Comer en Mesa Accum VA TimeAccum VA TimeProcess"/>
    <n v="19"/>
    <n v="283.12549562397913"/>
    <n v="55.763238037894645"/>
    <n v="0.95"/>
    <n v="26.877020400444863"/>
    <n v="157.05073652574001"/>
    <n v="402.97015039838902"/>
  </r>
  <r>
    <x v="0"/>
    <s v="2025-05-18 18:56:05"/>
    <n v="13"/>
    <x v="3"/>
    <x v="3"/>
    <x v="1"/>
    <n v="0"/>
    <n v="0"/>
    <s v="Friday (Solucion: datafono, gofre, cocina y caja compartida)Comer en Mesa Accum Wait TimeAccum Wait TimeProcess"/>
    <n v="19"/>
    <n v="0"/>
    <n v="0"/>
    <n v="0.95"/>
    <n v="0"/>
    <n v="0"/>
    <n v="0"/>
  </r>
  <r>
    <x v="0"/>
    <s v="2025-05-18 18:56:05"/>
    <n v="13"/>
    <x v="4"/>
    <x v="0"/>
    <x v="1"/>
    <n v="11"/>
    <n v="0"/>
    <s v="Friday (Solucion: datafono, gofre, cocina y caja compartida)Comer en Mesa Number InNumber InProcess"/>
    <n v="19"/>
    <n v="16.157894736842106"/>
    <n v="3.8044295512634076"/>
    <n v="0.95"/>
    <n v="1.8336763477019644"/>
    <n v="9"/>
    <n v="24"/>
  </r>
  <r>
    <x v="0"/>
    <s v="2025-05-18 18:56:05"/>
    <n v="13"/>
    <x v="5"/>
    <x v="1"/>
    <x v="1"/>
    <n v="12"/>
    <n v="0"/>
    <s v="Friday (Solucion: datafono, gofre, cocina y caja compartida)Comer en Mesa Number OutNumber OutProcess"/>
    <n v="19"/>
    <n v="16.263157894736842"/>
    <n v="3.3803698887540881"/>
    <n v="0.95"/>
    <n v="1.6292861329062698"/>
    <n v="8"/>
    <n v="22"/>
  </r>
  <r>
    <x v="0"/>
    <s v="2025-05-18 18:56:05"/>
    <n v="13"/>
    <x v="6"/>
    <x v="0"/>
    <x v="0"/>
    <n v="118"/>
    <n v="0"/>
    <s v="Friday (Solucion: datafono, gofre, cocina y caja compartida)Orden.NumberInNumber InEntity"/>
    <n v="19"/>
    <n v="121.89473684210526"/>
    <n v="9.971597090637573"/>
    <n v="0.95"/>
    <n v="4.8061559525642172"/>
    <n v="109"/>
    <n v="143"/>
  </r>
  <r>
    <x v="0"/>
    <s v="2025-05-18 18:56:05"/>
    <n v="13"/>
    <x v="7"/>
    <x v="1"/>
    <x v="0"/>
    <n v="116"/>
    <n v="0"/>
    <s v="Friday (Solucion: datafono, gofre, cocina y caja compartida)Orden.NumberOutNumber OutEntity"/>
    <n v="19"/>
    <n v="122.36842105263158"/>
    <n v="10.160984894934533"/>
    <n v="0.95"/>
    <n v="4.8974379522971905"/>
    <n v="109"/>
    <n v="150"/>
  </r>
  <r>
    <x v="0"/>
    <s v="2025-05-18 18:56:05"/>
    <n v="13"/>
    <x v="8"/>
    <x v="2"/>
    <x v="1"/>
    <n v="174.03124835288801"/>
    <n v="0"/>
    <s v="Friday (Solucion: datafono, gofre, cocina y caja compartida)Preparacion Accum VA TimeAccum VA TimeProcess"/>
    <n v="19"/>
    <n v="174.13537587676447"/>
    <n v="19.65074675456297"/>
    <n v="0.95"/>
    <n v="9.4713567574295272"/>
    <n v="139.22471453685199"/>
    <n v="210.18722493890999"/>
  </r>
  <r>
    <x v="0"/>
    <s v="2025-05-18 18:56:05"/>
    <n v="13"/>
    <x v="9"/>
    <x v="3"/>
    <x v="1"/>
    <n v="52.356957933220798"/>
    <n v="0"/>
    <s v="Friday (Solucion: datafono, gofre, cocina y caja compartida)Preparacion Accum Wait TimeAccum Wait TimeProcess"/>
    <n v="19"/>
    <n v="89.754366677107924"/>
    <n v="109.53061123574736"/>
    <n v="0.95"/>
    <n v="52.79206474085742"/>
    <n v="22.316256244919199"/>
    <n v="514.987116007179"/>
  </r>
  <r>
    <x v="0"/>
    <s v="2025-05-18 18:56:05"/>
    <n v="13"/>
    <x v="10"/>
    <x v="0"/>
    <x v="1"/>
    <n v="118"/>
    <n v="0"/>
    <s v="Friday (Solucion: datafono, gofre, cocina y caja compartida)Preparacion Number InNumber InProcess"/>
    <n v="19"/>
    <n v="121.89473684210526"/>
    <n v="9.971597090637573"/>
    <n v="0.95"/>
    <n v="4.8061559525642172"/>
    <n v="109"/>
    <n v="143"/>
  </r>
  <r>
    <x v="0"/>
    <s v="2025-05-18 18:56:05"/>
    <n v="13"/>
    <x v="11"/>
    <x v="1"/>
    <x v="1"/>
    <n v="115"/>
    <n v="0"/>
    <s v="Friday (Solucion: datafono, gofre, cocina y caja compartida)Preparacion Number OutNumber OutProcess"/>
    <n v="19"/>
    <n v="122.31578947368421"/>
    <n v="10.127260414780096"/>
    <n v="0.95"/>
    <n v="4.8811832731752718"/>
    <n v="111"/>
    <n v="150"/>
  </r>
  <r>
    <x v="0"/>
    <s v="2025-05-18 18:56:05"/>
    <n v="13"/>
    <x v="12"/>
    <x v="1"/>
    <x v="2"/>
    <n v="119"/>
    <n v="0"/>
    <s v="Friday (Solucion: datafono, gofre, cocina y caja compartida)System.NumberOutNumber OutSystem"/>
    <n v="19"/>
    <n v="125.36842105263158"/>
    <n v="10.160984894934533"/>
    <n v="0.95"/>
    <n v="4.8974379522971905"/>
    <n v="112"/>
    <n v="153"/>
  </r>
  <r>
    <x v="0"/>
    <s v="2025-05-18 18:56:05"/>
    <n v="13"/>
    <x v="13"/>
    <x v="4"/>
    <x v="3"/>
    <n v="124"/>
    <n v="0"/>
    <s v="Friday (Solucion: datafono, gofre, cocina y caja compartida)rCajero.NumberSeizedTotal Number SeizedResource"/>
    <n v="19"/>
    <n v="131.63157894736841"/>
    <n v="13.988926280438102"/>
    <n v="0.95"/>
    <n v="6.7424466413544986"/>
    <n v="113"/>
    <n v="157"/>
  </r>
  <r>
    <x v="0"/>
    <s v="2025-05-18 18:56:05"/>
    <n v="13"/>
    <x v="14"/>
    <x v="5"/>
    <x v="3"/>
    <n v="0.66710192957718595"/>
    <n v="0"/>
    <s v="Friday (Solucion: datafono, gofre, cocina y caja compartida)rCajero.ScheduledUtilizationScheduled UtilizationResource"/>
    <n v="19"/>
    <n v="0.68474836505339687"/>
    <n v="6.2272947935973065E-2"/>
    <n v="0.95"/>
    <n v="3.0014600137344902E-2"/>
    <n v="0.59592290927233305"/>
    <n v="0.82897119936997599"/>
  </r>
  <r>
    <x v="0"/>
    <s v="2025-05-18 18:56:05"/>
    <n v="13"/>
    <x v="15"/>
    <x v="4"/>
    <x v="3"/>
    <n v="110"/>
    <n v="0"/>
    <s v="Friday (Solucion: datafono, gofre, cocina y caja compartida)rCocina.NumberSeizedTotal Number SeizedResource"/>
    <n v="19"/>
    <n v="112.73684210526316"/>
    <n v="9.1155673027772668"/>
    <n v="0.95"/>
    <n v="4.3935628019284003"/>
    <n v="102"/>
    <n v="135"/>
  </r>
  <r>
    <x v="0"/>
    <s v="2025-05-18 18:56:05"/>
    <n v="13"/>
    <x v="16"/>
    <x v="5"/>
    <x v="3"/>
    <n v="0.69419990127037201"/>
    <n v="0"/>
    <s v="Friday (Solucion: datafono, gofre, cocina y caja compartida)rCocina.ScheduledUtilizationScheduled UtilizationResource"/>
    <n v="19"/>
    <n v="0.71670342302257706"/>
    <n v="7.0907274842727658E-2"/>
    <n v="0.95"/>
    <n v="3.4176212493127585E-2"/>
    <n v="0.60463940272025996"/>
    <n v="0.86361037821575004"/>
  </r>
  <r>
    <x v="0"/>
    <s v="2025-05-18 18:56:05"/>
    <n v="13"/>
    <x v="17"/>
    <x v="4"/>
    <x v="3"/>
    <n v="11"/>
    <n v="0"/>
    <s v="Friday (Solucion: datafono, gofre, cocina y caja compartida)rMesa.NumberSeizedTotal Number SeizedResource"/>
    <n v="19"/>
    <n v="16.157894736842106"/>
    <n v="3.8044295512634076"/>
    <n v="0.95"/>
    <n v="1.8336763477019644"/>
    <n v="9"/>
    <n v="24"/>
  </r>
  <r>
    <x v="0"/>
    <s v="2025-05-18 18:56:05"/>
    <n v="13"/>
    <x v="18"/>
    <x v="5"/>
    <x v="3"/>
    <n v="0.296214525218502"/>
    <n v="0"/>
    <s v="Friday (Solucion: datafono, gofre, cocina y caja compartida)rMesa.ScheduledUtilizationScheduled UtilizationResource"/>
    <n v="19"/>
    <n v="0.30850610959128744"/>
    <n v="6.2586127702931107E-2"/>
    <n v="0.95"/>
    <n v="3.0165547953176861E-2"/>
    <n v="0.156206445320244"/>
    <n v="0.44942505379986802"/>
  </r>
  <r>
    <x v="0"/>
    <s v="2025-05-18 18:56:05"/>
    <n v="13"/>
    <x v="19"/>
    <x v="0"/>
    <x v="0"/>
    <n v="3"/>
    <n v="0"/>
    <s v="Friday (Solucion: datafono, gofre, cocina y caja compartida)reloj.NumberInNumber InEntity"/>
    <n v="19"/>
    <n v="3"/>
    <n v="0"/>
    <n v="0.95"/>
    <n v="0"/>
    <n v="3"/>
    <n v="3"/>
  </r>
  <r>
    <x v="0"/>
    <s v="2025-05-18 18:56:05"/>
    <n v="13"/>
    <x v="20"/>
    <x v="1"/>
    <x v="0"/>
    <n v="3"/>
    <n v="0"/>
    <s v="Friday (Solucion: datafono, gofre, cocina y caja compartida)reloj.NumberOutNumber OutEntity"/>
    <n v="19"/>
    <n v="3"/>
    <n v="0"/>
    <n v="0.95"/>
    <n v="0"/>
    <n v="3"/>
    <n v="3"/>
  </r>
  <r>
    <x v="0"/>
    <s v="2025-05-18 18:56:05"/>
    <n v="14"/>
    <x v="0"/>
    <x v="0"/>
    <x v="0"/>
    <n v="413"/>
    <n v="0"/>
    <s v="Friday (Solucion: datafono, gofre, cocina y caja compartida)Cliente.NumberInNumber InEntity"/>
    <n v="19"/>
    <n v="366.21052631578948"/>
    <n v="28.665850661580702"/>
    <n v="0.95"/>
    <n v="13.816497752584581"/>
    <n v="331"/>
    <n v="427"/>
  </r>
  <r>
    <x v="0"/>
    <s v="2025-05-18 18:56:05"/>
    <n v="14"/>
    <x v="1"/>
    <x v="1"/>
    <x v="0"/>
    <n v="409"/>
    <n v="0"/>
    <s v="Friday (Solucion: datafono, gofre, cocina y caja compartida)Cliente.NumberOutNumber OutEntity"/>
    <n v="19"/>
    <n v="366.63157894736844"/>
    <n v="29.957767544617038"/>
    <n v="0.95"/>
    <n v="14.439181758083874"/>
    <n v="329"/>
    <n v="443"/>
  </r>
  <r>
    <x v="0"/>
    <s v="2025-05-18 18:56:05"/>
    <n v="14"/>
    <x v="2"/>
    <x v="2"/>
    <x v="1"/>
    <n v="316.41484372811402"/>
    <n v="0"/>
    <s v="Friday (Solucion: datafono, gofre, cocina y caja compartida)Comer en Mesa Accum VA TimeAccum VA TimeProcess"/>
    <n v="19"/>
    <n v="283.12549562397913"/>
    <n v="55.763238037894645"/>
    <n v="0.95"/>
    <n v="26.877020400444863"/>
    <n v="157.05073652574001"/>
    <n v="402.97015039838902"/>
  </r>
  <r>
    <x v="0"/>
    <s v="2025-05-18 18:56:05"/>
    <n v="14"/>
    <x v="3"/>
    <x v="3"/>
    <x v="1"/>
    <n v="0"/>
    <n v="0"/>
    <s v="Friday (Solucion: datafono, gofre, cocina y caja compartida)Comer en Mesa Accum Wait TimeAccum Wait TimeProcess"/>
    <n v="19"/>
    <n v="0"/>
    <n v="0"/>
    <n v="0.95"/>
    <n v="0"/>
    <n v="0"/>
    <n v="0"/>
  </r>
  <r>
    <x v="0"/>
    <s v="2025-05-18 18:56:05"/>
    <n v="14"/>
    <x v="4"/>
    <x v="0"/>
    <x v="1"/>
    <n v="16"/>
    <n v="0"/>
    <s v="Friday (Solucion: datafono, gofre, cocina y caja compartida)Comer en Mesa Number InNumber InProcess"/>
    <n v="19"/>
    <n v="16.157894736842106"/>
    <n v="3.8044295512634076"/>
    <n v="0.95"/>
    <n v="1.8336763477019644"/>
    <n v="9"/>
    <n v="24"/>
  </r>
  <r>
    <x v="0"/>
    <s v="2025-05-18 18:56:05"/>
    <n v="14"/>
    <x v="5"/>
    <x v="1"/>
    <x v="1"/>
    <n v="18"/>
    <n v="0"/>
    <s v="Friday (Solucion: datafono, gofre, cocina y caja compartida)Comer en Mesa Number OutNumber OutProcess"/>
    <n v="19"/>
    <n v="16.263157894736842"/>
    <n v="3.3803698887540881"/>
    <n v="0.95"/>
    <n v="1.6292861329062698"/>
    <n v="8"/>
    <n v="22"/>
  </r>
  <r>
    <x v="0"/>
    <s v="2025-05-18 18:56:05"/>
    <n v="14"/>
    <x v="6"/>
    <x v="0"/>
    <x v="0"/>
    <n v="139"/>
    <n v="0"/>
    <s v="Friday (Solucion: datafono, gofre, cocina y caja compartida)Orden.NumberInNumber InEntity"/>
    <n v="19"/>
    <n v="121.89473684210526"/>
    <n v="9.971597090637573"/>
    <n v="0.95"/>
    <n v="4.8061559525642172"/>
    <n v="109"/>
    <n v="143"/>
  </r>
  <r>
    <x v="0"/>
    <s v="2025-05-18 18:56:05"/>
    <n v="14"/>
    <x v="7"/>
    <x v="1"/>
    <x v="0"/>
    <n v="135"/>
    <n v="0"/>
    <s v="Friday (Solucion: datafono, gofre, cocina y caja compartida)Orden.NumberOutNumber OutEntity"/>
    <n v="19"/>
    <n v="122.36842105263158"/>
    <n v="10.160984894934533"/>
    <n v="0.95"/>
    <n v="4.8974379522971905"/>
    <n v="109"/>
    <n v="150"/>
  </r>
  <r>
    <x v="0"/>
    <s v="2025-05-18 18:56:05"/>
    <n v="14"/>
    <x v="8"/>
    <x v="2"/>
    <x v="1"/>
    <n v="178.043446549225"/>
    <n v="0"/>
    <s v="Friday (Solucion: datafono, gofre, cocina y caja compartida)Preparacion Accum VA TimeAccum VA TimeProcess"/>
    <n v="19"/>
    <n v="174.13537587676447"/>
    <n v="19.65074675456297"/>
    <n v="0.95"/>
    <n v="9.4713567574295272"/>
    <n v="139.22471453685199"/>
    <n v="210.18722493890999"/>
  </r>
  <r>
    <x v="0"/>
    <s v="2025-05-18 18:56:05"/>
    <n v="14"/>
    <x v="9"/>
    <x v="3"/>
    <x v="1"/>
    <n v="108.728725747702"/>
    <n v="0"/>
    <s v="Friday (Solucion: datafono, gofre, cocina y caja compartida)Preparacion Accum Wait TimeAccum Wait TimeProcess"/>
    <n v="19"/>
    <n v="89.754366677107924"/>
    <n v="109.53061123574736"/>
    <n v="0.95"/>
    <n v="52.79206474085742"/>
    <n v="22.316256244919199"/>
    <n v="514.987116007179"/>
  </r>
  <r>
    <x v="0"/>
    <s v="2025-05-18 18:56:05"/>
    <n v="14"/>
    <x v="10"/>
    <x v="0"/>
    <x v="1"/>
    <n v="139"/>
    <n v="0"/>
    <s v="Friday (Solucion: datafono, gofre, cocina y caja compartida)Preparacion Number InNumber InProcess"/>
    <n v="19"/>
    <n v="121.89473684210526"/>
    <n v="9.971597090637573"/>
    <n v="0.95"/>
    <n v="4.8061559525642172"/>
    <n v="109"/>
    <n v="143"/>
  </r>
  <r>
    <x v="0"/>
    <s v="2025-05-18 18:56:05"/>
    <n v="14"/>
    <x v="11"/>
    <x v="1"/>
    <x v="1"/>
    <n v="133"/>
    <n v="0"/>
    <s v="Friday (Solucion: datafono, gofre, cocina y caja compartida)Preparacion Number OutNumber OutProcess"/>
    <n v="19"/>
    <n v="122.31578947368421"/>
    <n v="10.127260414780096"/>
    <n v="0.95"/>
    <n v="4.8811832731752718"/>
    <n v="111"/>
    <n v="150"/>
  </r>
  <r>
    <x v="0"/>
    <s v="2025-05-18 18:56:05"/>
    <n v="14"/>
    <x v="12"/>
    <x v="1"/>
    <x v="2"/>
    <n v="138"/>
    <n v="0"/>
    <s v="Friday (Solucion: datafono, gofre, cocina y caja compartida)System.NumberOutNumber OutSystem"/>
    <n v="19"/>
    <n v="125.36842105263158"/>
    <n v="10.160984894934533"/>
    <n v="0.95"/>
    <n v="4.8974379522971905"/>
    <n v="112"/>
    <n v="153"/>
  </r>
  <r>
    <x v="0"/>
    <s v="2025-05-18 18:56:05"/>
    <n v="14"/>
    <x v="13"/>
    <x v="4"/>
    <x v="3"/>
    <n v="157"/>
    <n v="0"/>
    <s v="Friday (Solucion: datafono, gofre, cocina y caja compartida)rCajero.NumberSeizedTotal Number SeizedResource"/>
    <n v="19"/>
    <n v="131.63157894736841"/>
    <n v="13.988926280438102"/>
    <n v="0.95"/>
    <n v="6.7424466413544986"/>
    <n v="113"/>
    <n v="157"/>
  </r>
  <r>
    <x v="0"/>
    <s v="2025-05-18 18:56:05"/>
    <n v="14"/>
    <x v="14"/>
    <x v="5"/>
    <x v="3"/>
    <n v="0.73992182849147503"/>
    <n v="0"/>
    <s v="Friday (Solucion: datafono, gofre, cocina y caja compartida)rCajero.ScheduledUtilizationScheduled UtilizationResource"/>
    <n v="19"/>
    <n v="0.68474836505339687"/>
    <n v="6.2272947935973065E-2"/>
    <n v="0.95"/>
    <n v="3.0014600137344902E-2"/>
    <n v="0.59592290927233305"/>
    <n v="0.82897119936997599"/>
  </r>
  <r>
    <x v="0"/>
    <s v="2025-05-18 18:56:05"/>
    <n v="14"/>
    <x v="15"/>
    <x v="4"/>
    <x v="3"/>
    <n v="117"/>
    <n v="0"/>
    <s v="Friday (Solucion: datafono, gofre, cocina y caja compartida)rCocina.NumberSeizedTotal Number SeizedResource"/>
    <n v="19"/>
    <n v="112.73684210526316"/>
    <n v="9.1155673027772668"/>
    <n v="0.95"/>
    <n v="4.3935628019284003"/>
    <n v="102"/>
    <n v="135"/>
  </r>
  <r>
    <x v="0"/>
    <s v="2025-05-18 18:56:05"/>
    <n v="14"/>
    <x v="16"/>
    <x v="5"/>
    <x v="3"/>
    <n v="0.76530960698621098"/>
    <n v="0"/>
    <s v="Friday (Solucion: datafono, gofre, cocina y caja compartida)rCocina.ScheduledUtilizationScheduled UtilizationResource"/>
    <n v="19"/>
    <n v="0.71670342302257706"/>
    <n v="7.0907274842727658E-2"/>
    <n v="0.95"/>
    <n v="3.4176212493127585E-2"/>
    <n v="0.60463940272025996"/>
    <n v="0.86361037821575004"/>
  </r>
  <r>
    <x v="0"/>
    <s v="2025-05-18 18:56:05"/>
    <n v="14"/>
    <x v="17"/>
    <x v="4"/>
    <x v="3"/>
    <n v="16"/>
    <n v="0"/>
    <s v="Friday (Solucion: datafono, gofre, cocina y caja compartida)rMesa.NumberSeizedTotal Number SeizedResource"/>
    <n v="19"/>
    <n v="16.157894736842106"/>
    <n v="3.8044295512634076"/>
    <n v="0.95"/>
    <n v="1.8336763477019644"/>
    <n v="9"/>
    <n v="24"/>
  </r>
  <r>
    <x v="0"/>
    <s v="2025-05-18 18:56:05"/>
    <n v="14"/>
    <x v="18"/>
    <x v="5"/>
    <x v="3"/>
    <n v="0.32354021693619001"/>
    <n v="0"/>
    <s v="Friday (Solucion: datafono, gofre, cocina y caja compartida)rMesa.ScheduledUtilizationScheduled UtilizationResource"/>
    <n v="19"/>
    <n v="0.30850610959128744"/>
    <n v="6.2586127702931107E-2"/>
    <n v="0.95"/>
    <n v="3.0165547953176861E-2"/>
    <n v="0.156206445320244"/>
    <n v="0.44942505379986802"/>
  </r>
  <r>
    <x v="0"/>
    <s v="2025-05-18 18:56:05"/>
    <n v="14"/>
    <x v="19"/>
    <x v="0"/>
    <x v="0"/>
    <n v="3"/>
    <n v="0"/>
    <s v="Friday (Solucion: datafono, gofre, cocina y caja compartida)reloj.NumberInNumber InEntity"/>
    <n v="19"/>
    <n v="3"/>
    <n v="0"/>
    <n v="0.95"/>
    <n v="0"/>
    <n v="3"/>
    <n v="3"/>
  </r>
  <r>
    <x v="0"/>
    <s v="2025-05-18 18:56:05"/>
    <n v="14"/>
    <x v="20"/>
    <x v="1"/>
    <x v="0"/>
    <n v="3"/>
    <n v="0"/>
    <s v="Friday (Solucion: datafono, gofre, cocina y caja compartida)reloj.NumberOutNumber OutEntity"/>
    <n v="19"/>
    <n v="3"/>
    <n v="0"/>
    <n v="0.95"/>
    <n v="0"/>
    <n v="3"/>
    <n v="3"/>
  </r>
  <r>
    <x v="0"/>
    <s v="2025-05-18 18:56:05"/>
    <n v="15"/>
    <x v="0"/>
    <x v="0"/>
    <x v="0"/>
    <n v="376"/>
    <n v="0"/>
    <s v="Friday (Solucion: datafono, gofre, cocina y caja compartida)Cliente.NumberInNumber InEntity"/>
    <n v="19"/>
    <n v="366.21052631578948"/>
    <n v="28.665850661580702"/>
    <n v="0.95"/>
    <n v="13.816497752584581"/>
    <n v="331"/>
    <n v="427"/>
  </r>
  <r>
    <x v="0"/>
    <s v="2025-05-18 18:56:05"/>
    <n v="15"/>
    <x v="1"/>
    <x v="1"/>
    <x v="0"/>
    <n v="380"/>
    <n v="0"/>
    <s v="Friday (Solucion: datafono, gofre, cocina y caja compartida)Cliente.NumberOutNumber OutEntity"/>
    <n v="19"/>
    <n v="366.63157894736844"/>
    <n v="29.957767544617038"/>
    <n v="0.95"/>
    <n v="14.439181758083874"/>
    <n v="329"/>
    <n v="443"/>
  </r>
  <r>
    <x v="0"/>
    <s v="2025-05-18 18:56:05"/>
    <n v="15"/>
    <x v="2"/>
    <x v="2"/>
    <x v="1"/>
    <n v="257.71283231528997"/>
    <n v="0"/>
    <s v="Friday (Solucion: datafono, gofre, cocina y caja compartida)Comer en Mesa Accum VA TimeAccum VA TimeProcess"/>
    <n v="19"/>
    <n v="283.12549562397913"/>
    <n v="55.763238037894645"/>
    <n v="0.95"/>
    <n v="26.877020400444863"/>
    <n v="157.05073652574001"/>
    <n v="402.97015039838902"/>
  </r>
  <r>
    <x v="0"/>
    <s v="2025-05-18 18:56:05"/>
    <n v="15"/>
    <x v="3"/>
    <x v="3"/>
    <x v="1"/>
    <n v="0"/>
    <n v="0"/>
    <s v="Friday (Solucion: datafono, gofre, cocina y caja compartida)Comer en Mesa Accum Wait TimeAccum Wait TimeProcess"/>
    <n v="19"/>
    <n v="0"/>
    <n v="0"/>
    <n v="0.95"/>
    <n v="0"/>
    <n v="0"/>
    <n v="0"/>
  </r>
  <r>
    <x v="0"/>
    <s v="2025-05-18 18:56:05"/>
    <n v="15"/>
    <x v="4"/>
    <x v="0"/>
    <x v="1"/>
    <n v="11"/>
    <n v="0"/>
    <s v="Friday (Solucion: datafono, gofre, cocina y caja compartida)Comer en Mesa Number InNumber InProcess"/>
    <n v="19"/>
    <n v="16.157894736842106"/>
    <n v="3.8044295512634076"/>
    <n v="0.95"/>
    <n v="1.8336763477019644"/>
    <n v="9"/>
    <n v="24"/>
  </r>
  <r>
    <x v="0"/>
    <s v="2025-05-18 18:56:05"/>
    <n v="15"/>
    <x v="5"/>
    <x v="1"/>
    <x v="1"/>
    <n v="12"/>
    <n v="0"/>
    <s v="Friday (Solucion: datafono, gofre, cocina y caja compartida)Comer en Mesa Number OutNumber OutProcess"/>
    <n v="19"/>
    <n v="16.263157894736842"/>
    <n v="3.3803698887540881"/>
    <n v="0.95"/>
    <n v="1.6292861329062698"/>
    <n v="8"/>
    <n v="22"/>
  </r>
  <r>
    <x v="0"/>
    <s v="2025-05-18 18:56:05"/>
    <n v="15"/>
    <x v="6"/>
    <x v="0"/>
    <x v="0"/>
    <n v="124"/>
    <n v="0"/>
    <s v="Friday (Solucion: datafono, gofre, cocina y caja compartida)Orden.NumberInNumber InEntity"/>
    <n v="19"/>
    <n v="121.89473684210526"/>
    <n v="9.971597090637573"/>
    <n v="0.95"/>
    <n v="4.8061559525642172"/>
    <n v="109"/>
    <n v="143"/>
  </r>
  <r>
    <x v="0"/>
    <s v="2025-05-18 18:56:05"/>
    <n v="15"/>
    <x v="7"/>
    <x v="1"/>
    <x v="0"/>
    <n v="128"/>
    <n v="0"/>
    <s v="Friday (Solucion: datafono, gofre, cocina y caja compartida)Orden.NumberOutNumber OutEntity"/>
    <n v="19"/>
    <n v="122.36842105263158"/>
    <n v="10.160984894934533"/>
    <n v="0.95"/>
    <n v="4.8974379522971905"/>
    <n v="109"/>
    <n v="150"/>
  </r>
  <r>
    <x v="0"/>
    <s v="2025-05-18 18:56:05"/>
    <n v="15"/>
    <x v="8"/>
    <x v="2"/>
    <x v="1"/>
    <n v="176.85530283170499"/>
    <n v="0"/>
    <s v="Friday (Solucion: datafono, gofre, cocina y caja compartida)Preparacion Accum VA TimeAccum VA TimeProcess"/>
    <n v="19"/>
    <n v="174.13537587676447"/>
    <n v="19.65074675456297"/>
    <n v="0.95"/>
    <n v="9.4713567574295272"/>
    <n v="139.22471453685199"/>
    <n v="210.18722493890999"/>
  </r>
  <r>
    <x v="0"/>
    <s v="2025-05-18 18:56:05"/>
    <n v="15"/>
    <x v="9"/>
    <x v="3"/>
    <x v="1"/>
    <n v="62.402819181502799"/>
    <n v="0"/>
    <s v="Friday (Solucion: datafono, gofre, cocina y caja compartida)Preparacion Accum Wait TimeAccum Wait TimeProcess"/>
    <n v="19"/>
    <n v="89.754366677107924"/>
    <n v="109.53061123574736"/>
    <n v="0.95"/>
    <n v="52.79206474085742"/>
    <n v="22.316256244919199"/>
    <n v="514.987116007179"/>
  </r>
  <r>
    <x v="0"/>
    <s v="2025-05-18 18:56:05"/>
    <n v="15"/>
    <x v="10"/>
    <x v="0"/>
    <x v="1"/>
    <n v="124"/>
    <n v="0"/>
    <s v="Friday (Solucion: datafono, gofre, cocina y caja compartida)Preparacion Number InNumber InProcess"/>
    <n v="19"/>
    <n v="121.89473684210526"/>
    <n v="9.971597090637573"/>
    <n v="0.95"/>
    <n v="4.8061559525642172"/>
    <n v="109"/>
    <n v="143"/>
  </r>
  <r>
    <x v="0"/>
    <s v="2025-05-18 18:56:05"/>
    <n v="15"/>
    <x v="11"/>
    <x v="1"/>
    <x v="1"/>
    <n v="127"/>
    <n v="0"/>
    <s v="Friday (Solucion: datafono, gofre, cocina y caja compartida)Preparacion Number OutNumber OutProcess"/>
    <n v="19"/>
    <n v="122.31578947368421"/>
    <n v="10.127260414780096"/>
    <n v="0.95"/>
    <n v="4.8811832731752718"/>
    <n v="111"/>
    <n v="150"/>
  </r>
  <r>
    <x v="0"/>
    <s v="2025-05-18 18:56:05"/>
    <n v="15"/>
    <x v="12"/>
    <x v="1"/>
    <x v="2"/>
    <n v="131"/>
    <n v="0"/>
    <s v="Friday (Solucion: datafono, gofre, cocina y caja compartida)System.NumberOutNumber OutSystem"/>
    <n v="19"/>
    <n v="125.36842105263158"/>
    <n v="10.160984894934533"/>
    <n v="0.95"/>
    <n v="4.8974379522971905"/>
    <n v="112"/>
    <n v="153"/>
  </r>
  <r>
    <x v="0"/>
    <s v="2025-05-18 18:56:05"/>
    <n v="15"/>
    <x v="13"/>
    <x v="4"/>
    <x v="3"/>
    <n v="126"/>
    <n v="0"/>
    <s v="Friday (Solucion: datafono, gofre, cocina y caja compartida)rCajero.NumberSeizedTotal Number SeizedResource"/>
    <n v="19"/>
    <n v="131.63157894736841"/>
    <n v="13.988926280438102"/>
    <n v="0.95"/>
    <n v="6.7424466413544986"/>
    <n v="113"/>
    <n v="157"/>
  </r>
  <r>
    <x v="0"/>
    <s v="2025-05-18 18:56:05"/>
    <n v="15"/>
    <x v="14"/>
    <x v="5"/>
    <x v="3"/>
    <n v="0.69703284839692703"/>
    <n v="0"/>
    <s v="Friday (Solucion: datafono, gofre, cocina y caja compartida)rCajero.ScheduledUtilizationScheduled UtilizationResource"/>
    <n v="19"/>
    <n v="0.68474836505339687"/>
    <n v="6.2272947935973065E-2"/>
    <n v="0.95"/>
    <n v="3.0014600137344902E-2"/>
    <n v="0.59592290927233305"/>
    <n v="0.82897119936997599"/>
  </r>
  <r>
    <x v="0"/>
    <s v="2025-05-18 18:56:05"/>
    <n v="15"/>
    <x v="15"/>
    <x v="4"/>
    <x v="3"/>
    <n v="124"/>
    <n v="0"/>
    <s v="Friday (Solucion: datafono, gofre, cocina y caja compartida)rCocina.NumberSeizedTotal Number SeizedResource"/>
    <n v="19"/>
    <n v="112.73684210526316"/>
    <n v="9.1155673027772668"/>
    <n v="0.95"/>
    <n v="4.3935628019284003"/>
    <n v="102"/>
    <n v="135"/>
  </r>
  <r>
    <x v="0"/>
    <s v="2025-05-18 18:56:05"/>
    <n v="15"/>
    <x v="16"/>
    <x v="5"/>
    <x v="3"/>
    <n v="0.71317225339803103"/>
    <n v="0"/>
    <s v="Friday (Solucion: datafono, gofre, cocina y caja compartida)rCocina.ScheduledUtilizationScheduled UtilizationResource"/>
    <n v="19"/>
    <n v="0.71670342302257706"/>
    <n v="7.0907274842727658E-2"/>
    <n v="0.95"/>
    <n v="3.4176212493127585E-2"/>
    <n v="0.60463940272025996"/>
    <n v="0.86361037821575004"/>
  </r>
  <r>
    <x v="0"/>
    <s v="2025-05-18 18:56:05"/>
    <n v="15"/>
    <x v="17"/>
    <x v="4"/>
    <x v="3"/>
    <n v="11"/>
    <n v="0"/>
    <s v="Friday (Solucion: datafono, gofre, cocina y caja compartida)rMesa.NumberSeizedTotal Number SeizedResource"/>
    <n v="19"/>
    <n v="16.157894736842106"/>
    <n v="3.8044295512634076"/>
    <n v="0.95"/>
    <n v="1.8336763477019644"/>
    <n v="9"/>
    <n v="24"/>
  </r>
  <r>
    <x v="0"/>
    <s v="2025-05-18 18:56:05"/>
    <n v="15"/>
    <x v="18"/>
    <x v="5"/>
    <x v="3"/>
    <n v="0.30976268795363299"/>
    <n v="0"/>
    <s v="Friday (Solucion: datafono, gofre, cocina y caja compartida)rMesa.ScheduledUtilizationScheduled UtilizationResource"/>
    <n v="19"/>
    <n v="0.30850610959128744"/>
    <n v="6.2586127702931107E-2"/>
    <n v="0.95"/>
    <n v="3.0165547953176861E-2"/>
    <n v="0.156206445320244"/>
    <n v="0.44942505379986802"/>
  </r>
  <r>
    <x v="0"/>
    <s v="2025-05-18 18:56:05"/>
    <n v="15"/>
    <x v="19"/>
    <x v="0"/>
    <x v="0"/>
    <n v="3"/>
    <n v="0"/>
    <s v="Friday (Solucion: datafono, gofre, cocina y caja compartida)reloj.NumberInNumber InEntity"/>
    <n v="19"/>
    <n v="3"/>
    <n v="0"/>
    <n v="0.95"/>
    <n v="0"/>
    <n v="3"/>
    <n v="3"/>
  </r>
  <r>
    <x v="0"/>
    <s v="2025-05-18 18:56:05"/>
    <n v="15"/>
    <x v="20"/>
    <x v="1"/>
    <x v="0"/>
    <n v="3"/>
    <n v="0"/>
    <s v="Friday (Solucion: datafono, gofre, cocina y caja compartida)reloj.NumberOutNumber OutEntity"/>
    <n v="19"/>
    <n v="3"/>
    <n v="0"/>
    <n v="0.95"/>
    <n v="0"/>
    <n v="3"/>
    <n v="3"/>
  </r>
  <r>
    <x v="0"/>
    <s v="2025-05-18 18:56:05"/>
    <n v="16"/>
    <x v="0"/>
    <x v="0"/>
    <x v="0"/>
    <n v="393"/>
    <n v="0"/>
    <s v="Friday (Solucion: datafono, gofre, cocina y caja compartida)Cliente.NumberInNumber InEntity"/>
    <n v="19"/>
    <n v="366.21052631578948"/>
    <n v="28.665850661580702"/>
    <n v="0.95"/>
    <n v="13.816497752584581"/>
    <n v="331"/>
    <n v="427"/>
  </r>
  <r>
    <x v="0"/>
    <s v="2025-05-18 18:56:05"/>
    <n v="16"/>
    <x v="1"/>
    <x v="1"/>
    <x v="0"/>
    <n v="393"/>
    <n v="0"/>
    <s v="Friday (Solucion: datafono, gofre, cocina y caja compartida)Cliente.NumberOutNumber OutEntity"/>
    <n v="19"/>
    <n v="366.63157894736844"/>
    <n v="29.957767544617038"/>
    <n v="0.95"/>
    <n v="14.439181758083874"/>
    <n v="329"/>
    <n v="443"/>
  </r>
  <r>
    <x v="0"/>
    <s v="2025-05-18 18:56:05"/>
    <n v="16"/>
    <x v="2"/>
    <x v="2"/>
    <x v="1"/>
    <n v="315.87879574991098"/>
    <n v="0"/>
    <s v="Friday (Solucion: datafono, gofre, cocina y caja compartida)Comer en Mesa Accum VA TimeAccum VA TimeProcess"/>
    <n v="19"/>
    <n v="283.12549562397913"/>
    <n v="55.763238037894645"/>
    <n v="0.95"/>
    <n v="26.877020400444863"/>
    <n v="157.05073652574001"/>
    <n v="402.97015039838902"/>
  </r>
  <r>
    <x v="0"/>
    <s v="2025-05-18 18:56:05"/>
    <n v="16"/>
    <x v="3"/>
    <x v="3"/>
    <x v="1"/>
    <n v="0"/>
    <n v="0"/>
    <s v="Friday (Solucion: datafono, gofre, cocina y caja compartida)Comer en Mesa Accum Wait TimeAccum Wait TimeProcess"/>
    <n v="19"/>
    <n v="0"/>
    <n v="0"/>
    <n v="0.95"/>
    <n v="0"/>
    <n v="0"/>
    <n v="0"/>
  </r>
  <r>
    <x v="0"/>
    <s v="2025-05-18 18:56:05"/>
    <n v="16"/>
    <x v="4"/>
    <x v="0"/>
    <x v="1"/>
    <n v="21"/>
    <n v="0"/>
    <s v="Friday (Solucion: datafono, gofre, cocina y caja compartida)Comer en Mesa Number InNumber InProcess"/>
    <n v="19"/>
    <n v="16.157894736842106"/>
    <n v="3.8044295512634076"/>
    <n v="0.95"/>
    <n v="1.8336763477019644"/>
    <n v="9"/>
    <n v="24"/>
  </r>
  <r>
    <x v="0"/>
    <s v="2025-05-18 18:56:05"/>
    <n v="16"/>
    <x v="5"/>
    <x v="1"/>
    <x v="1"/>
    <n v="21"/>
    <n v="0"/>
    <s v="Friday (Solucion: datafono, gofre, cocina y caja compartida)Comer en Mesa Number OutNumber OutProcess"/>
    <n v="19"/>
    <n v="16.263157894736842"/>
    <n v="3.3803698887540881"/>
    <n v="0.95"/>
    <n v="1.6292861329062698"/>
    <n v="8"/>
    <n v="22"/>
  </r>
  <r>
    <x v="0"/>
    <s v="2025-05-18 18:56:05"/>
    <n v="16"/>
    <x v="6"/>
    <x v="0"/>
    <x v="0"/>
    <n v="131"/>
    <n v="0"/>
    <s v="Friday (Solucion: datafono, gofre, cocina y caja compartida)Orden.NumberInNumber InEntity"/>
    <n v="19"/>
    <n v="121.89473684210526"/>
    <n v="9.971597090637573"/>
    <n v="0.95"/>
    <n v="4.8061559525642172"/>
    <n v="109"/>
    <n v="143"/>
  </r>
  <r>
    <x v="0"/>
    <s v="2025-05-18 18:56:05"/>
    <n v="16"/>
    <x v="7"/>
    <x v="1"/>
    <x v="0"/>
    <n v="131"/>
    <n v="0"/>
    <s v="Friday (Solucion: datafono, gofre, cocina y caja compartida)Orden.NumberOutNumber OutEntity"/>
    <n v="19"/>
    <n v="122.36842105263158"/>
    <n v="10.160984894934533"/>
    <n v="0.95"/>
    <n v="4.8974379522971905"/>
    <n v="109"/>
    <n v="150"/>
  </r>
  <r>
    <x v="0"/>
    <s v="2025-05-18 18:56:05"/>
    <n v="16"/>
    <x v="8"/>
    <x v="2"/>
    <x v="1"/>
    <n v="164.161056348957"/>
    <n v="0"/>
    <s v="Friday (Solucion: datafono, gofre, cocina y caja compartida)Preparacion Accum VA TimeAccum VA TimeProcess"/>
    <n v="19"/>
    <n v="174.13537587676447"/>
    <n v="19.65074675456297"/>
    <n v="0.95"/>
    <n v="9.4713567574295272"/>
    <n v="139.22471453685199"/>
    <n v="210.18722493890999"/>
  </r>
  <r>
    <x v="0"/>
    <s v="2025-05-18 18:56:05"/>
    <n v="16"/>
    <x v="9"/>
    <x v="3"/>
    <x v="1"/>
    <n v="25.774706931365198"/>
    <n v="0"/>
    <s v="Friday (Solucion: datafono, gofre, cocina y caja compartida)Preparacion Accum Wait TimeAccum Wait TimeProcess"/>
    <n v="19"/>
    <n v="89.754366677107924"/>
    <n v="109.53061123574736"/>
    <n v="0.95"/>
    <n v="52.79206474085742"/>
    <n v="22.316256244919199"/>
    <n v="514.987116007179"/>
  </r>
  <r>
    <x v="0"/>
    <s v="2025-05-18 18:56:05"/>
    <n v="16"/>
    <x v="10"/>
    <x v="0"/>
    <x v="1"/>
    <n v="131"/>
    <n v="0"/>
    <s v="Friday (Solucion: datafono, gofre, cocina y caja compartida)Preparacion Number InNumber InProcess"/>
    <n v="19"/>
    <n v="121.89473684210526"/>
    <n v="9.971597090637573"/>
    <n v="0.95"/>
    <n v="4.8061559525642172"/>
    <n v="109"/>
    <n v="143"/>
  </r>
  <r>
    <x v="0"/>
    <s v="2025-05-18 18:56:05"/>
    <n v="16"/>
    <x v="11"/>
    <x v="1"/>
    <x v="1"/>
    <n v="131"/>
    <n v="0"/>
    <s v="Friday (Solucion: datafono, gofre, cocina y caja compartida)Preparacion Number OutNumber OutProcess"/>
    <n v="19"/>
    <n v="122.31578947368421"/>
    <n v="10.127260414780096"/>
    <n v="0.95"/>
    <n v="4.8811832731752718"/>
    <n v="111"/>
    <n v="150"/>
  </r>
  <r>
    <x v="0"/>
    <s v="2025-05-18 18:56:05"/>
    <n v="16"/>
    <x v="12"/>
    <x v="1"/>
    <x v="2"/>
    <n v="134"/>
    <n v="0"/>
    <s v="Friday (Solucion: datafono, gofre, cocina y caja compartida)System.NumberOutNumber OutSystem"/>
    <n v="19"/>
    <n v="125.36842105263158"/>
    <n v="10.160984894934533"/>
    <n v="0.95"/>
    <n v="4.8974379522971905"/>
    <n v="112"/>
    <n v="153"/>
  </r>
  <r>
    <x v="0"/>
    <s v="2025-05-18 18:56:05"/>
    <n v="16"/>
    <x v="13"/>
    <x v="4"/>
    <x v="3"/>
    <n v="154"/>
    <n v="0"/>
    <s v="Friday (Solucion: datafono, gofre, cocina y caja compartida)rCajero.NumberSeizedTotal Number SeizedResource"/>
    <n v="19"/>
    <n v="131.63157894736841"/>
    <n v="13.988926280438102"/>
    <n v="0.95"/>
    <n v="6.7424466413544986"/>
    <n v="113"/>
    <n v="157"/>
  </r>
  <r>
    <x v="0"/>
    <s v="2025-05-18 18:56:05"/>
    <n v="16"/>
    <x v="14"/>
    <x v="5"/>
    <x v="3"/>
    <n v="0.63961204022853202"/>
    <n v="0"/>
    <s v="Friday (Solucion: datafono, gofre, cocina y caja compartida)rCajero.ScheduledUtilizationScheduled UtilizationResource"/>
    <n v="19"/>
    <n v="0.68474836505339687"/>
    <n v="6.2272947935973065E-2"/>
    <n v="0.95"/>
    <n v="3.0014600137344902E-2"/>
    <n v="0.59592290927233305"/>
    <n v="0.82897119936997599"/>
  </r>
  <r>
    <x v="0"/>
    <s v="2025-05-18 18:56:05"/>
    <n v="16"/>
    <x v="15"/>
    <x v="4"/>
    <x v="3"/>
    <n v="108"/>
    <n v="0"/>
    <s v="Friday (Solucion: datafono, gofre, cocina y caja compartida)rCocina.NumberSeizedTotal Number SeizedResource"/>
    <n v="19"/>
    <n v="112.73684210526316"/>
    <n v="9.1155673027772668"/>
    <n v="0.95"/>
    <n v="4.3935628019284003"/>
    <n v="102"/>
    <n v="135"/>
  </r>
  <r>
    <x v="0"/>
    <s v="2025-05-18 18:56:05"/>
    <n v="16"/>
    <x v="16"/>
    <x v="5"/>
    <x v="3"/>
    <n v="0.71001751454208795"/>
    <n v="0"/>
    <s v="Friday (Solucion: datafono, gofre, cocina y caja compartida)rCocina.ScheduledUtilizationScheduled UtilizationResource"/>
    <n v="19"/>
    <n v="0.71670342302257706"/>
    <n v="7.0907274842727658E-2"/>
    <n v="0.95"/>
    <n v="3.4176212493127585E-2"/>
    <n v="0.60463940272025996"/>
    <n v="0.86361037821575004"/>
  </r>
  <r>
    <x v="0"/>
    <s v="2025-05-18 18:56:05"/>
    <n v="16"/>
    <x v="17"/>
    <x v="4"/>
    <x v="3"/>
    <n v="21"/>
    <n v="0"/>
    <s v="Friday (Solucion: datafono, gofre, cocina y caja compartida)rMesa.NumberSeizedTotal Number SeizedResource"/>
    <n v="19"/>
    <n v="16.157894736842106"/>
    <n v="3.8044295512634076"/>
    <n v="0.95"/>
    <n v="1.8336763477019644"/>
    <n v="9"/>
    <n v="24"/>
  </r>
  <r>
    <x v="0"/>
    <s v="2025-05-18 18:56:05"/>
    <n v="16"/>
    <x v="18"/>
    <x v="5"/>
    <x v="3"/>
    <n v="0.37813713553954098"/>
    <n v="0"/>
    <s v="Friday (Solucion: datafono, gofre, cocina y caja compartida)rMesa.ScheduledUtilizationScheduled UtilizationResource"/>
    <n v="19"/>
    <n v="0.30850610959128744"/>
    <n v="6.2586127702931107E-2"/>
    <n v="0.95"/>
    <n v="3.0165547953176861E-2"/>
    <n v="0.156206445320244"/>
    <n v="0.44942505379986802"/>
  </r>
  <r>
    <x v="0"/>
    <s v="2025-05-18 18:56:05"/>
    <n v="16"/>
    <x v="19"/>
    <x v="0"/>
    <x v="0"/>
    <n v="3"/>
    <n v="0"/>
    <s v="Friday (Solucion: datafono, gofre, cocina y caja compartida)reloj.NumberInNumber InEntity"/>
    <n v="19"/>
    <n v="3"/>
    <n v="0"/>
    <n v="0.95"/>
    <n v="0"/>
    <n v="3"/>
    <n v="3"/>
  </r>
  <r>
    <x v="0"/>
    <s v="2025-05-18 18:56:05"/>
    <n v="16"/>
    <x v="20"/>
    <x v="1"/>
    <x v="0"/>
    <n v="3"/>
    <n v="0"/>
    <s v="Friday (Solucion: datafono, gofre, cocina y caja compartida)reloj.NumberOutNumber OutEntity"/>
    <n v="19"/>
    <n v="3"/>
    <n v="0"/>
    <n v="0.95"/>
    <n v="0"/>
    <n v="3"/>
    <n v="3"/>
  </r>
  <r>
    <x v="0"/>
    <s v="2025-05-18 18:56:05"/>
    <n v="17"/>
    <x v="0"/>
    <x v="0"/>
    <x v="0"/>
    <n v="367"/>
    <n v="0"/>
    <s v="Friday (Solucion: datafono, gofre, cocina y caja compartida)Cliente.NumberInNumber InEntity"/>
    <n v="19"/>
    <n v="366.21052631578948"/>
    <n v="28.665850661580702"/>
    <n v="0.95"/>
    <n v="13.816497752584581"/>
    <n v="331"/>
    <n v="427"/>
  </r>
  <r>
    <x v="0"/>
    <s v="2025-05-18 18:56:05"/>
    <n v="17"/>
    <x v="1"/>
    <x v="1"/>
    <x v="0"/>
    <n v="370"/>
    <n v="0"/>
    <s v="Friday (Solucion: datafono, gofre, cocina y caja compartida)Cliente.NumberOutNumber OutEntity"/>
    <n v="19"/>
    <n v="366.63157894736844"/>
    <n v="29.957767544617038"/>
    <n v="0.95"/>
    <n v="14.439181758083874"/>
    <n v="329"/>
    <n v="443"/>
  </r>
  <r>
    <x v="0"/>
    <s v="2025-05-18 18:56:05"/>
    <n v="17"/>
    <x v="2"/>
    <x v="2"/>
    <x v="1"/>
    <n v="308.07179866125898"/>
    <n v="0"/>
    <s v="Friday (Solucion: datafono, gofre, cocina y caja compartida)Comer en Mesa Accum VA TimeAccum VA TimeProcess"/>
    <n v="19"/>
    <n v="283.12549562397913"/>
    <n v="55.763238037894645"/>
    <n v="0.95"/>
    <n v="26.877020400444863"/>
    <n v="157.05073652574001"/>
    <n v="402.97015039838902"/>
  </r>
  <r>
    <x v="0"/>
    <s v="2025-05-18 18:56:05"/>
    <n v="17"/>
    <x v="3"/>
    <x v="3"/>
    <x v="1"/>
    <n v="0"/>
    <n v="0"/>
    <s v="Friday (Solucion: datafono, gofre, cocina y caja compartida)Comer en Mesa Accum Wait TimeAccum Wait TimeProcess"/>
    <n v="19"/>
    <n v="0"/>
    <n v="0"/>
    <n v="0.95"/>
    <n v="0"/>
    <n v="0"/>
    <n v="0"/>
  </r>
  <r>
    <x v="0"/>
    <s v="2025-05-18 18:56:05"/>
    <n v="17"/>
    <x v="4"/>
    <x v="0"/>
    <x v="1"/>
    <n v="15"/>
    <n v="0"/>
    <s v="Friday (Solucion: datafono, gofre, cocina y caja compartida)Comer en Mesa Number InNumber InProcess"/>
    <n v="19"/>
    <n v="16.157894736842106"/>
    <n v="3.8044295512634076"/>
    <n v="0.95"/>
    <n v="1.8336763477019644"/>
    <n v="9"/>
    <n v="24"/>
  </r>
  <r>
    <x v="0"/>
    <s v="2025-05-18 18:56:05"/>
    <n v="17"/>
    <x v="5"/>
    <x v="1"/>
    <x v="1"/>
    <n v="15"/>
    <n v="0"/>
    <s v="Friday (Solucion: datafono, gofre, cocina y caja compartida)Comer en Mesa Number OutNumber OutProcess"/>
    <n v="19"/>
    <n v="16.263157894736842"/>
    <n v="3.3803698887540881"/>
    <n v="0.95"/>
    <n v="1.6292861329062698"/>
    <n v="8"/>
    <n v="22"/>
  </r>
  <r>
    <x v="0"/>
    <s v="2025-05-18 18:56:05"/>
    <n v="17"/>
    <x v="6"/>
    <x v="0"/>
    <x v="0"/>
    <n v="122"/>
    <n v="0"/>
    <s v="Friday (Solucion: datafono, gofre, cocina y caja compartida)Orden.NumberInNumber InEntity"/>
    <n v="19"/>
    <n v="121.89473684210526"/>
    <n v="9.971597090637573"/>
    <n v="0.95"/>
    <n v="4.8061559525642172"/>
    <n v="109"/>
    <n v="143"/>
  </r>
  <r>
    <x v="0"/>
    <s v="2025-05-18 18:56:05"/>
    <n v="17"/>
    <x v="7"/>
    <x v="1"/>
    <x v="0"/>
    <n v="124"/>
    <n v="0"/>
    <s v="Friday (Solucion: datafono, gofre, cocina y caja compartida)Orden.NumberOutNumber OutEntity"/>
    <n v="19"/>
    <n v="122.36842105263158"/>
    <n v="10.160984894934533"/>
    <n v="0.95"/>
    <n v="4.8974379522971905"/>
    <n v="109"/>
    <n v="150"/>
  </r>
  <r>
    <x v="0"/>
    <s v="2025-05-18 18:56:05"/>
    <n v="17"/>
    <x v="8"/>
    <x v="2"/>
    <x v="1"/>
    <n v="178.763215227697"/>
    <n v="0"/>
    <s v="Friday (Solucion: datafono, gofre, cocina y caja compartida)Preparacion Accum VA TimeAccum VA TimeProcess"/>
    <n v="19"/>
    <n v="174.13537587676447"/>
    <n v="19.65074675456297"/>
    <n v="0.95"/>
    <n v="9.4713567574295272"/>
    <n v="139.22471453685199"/>
    <n v="210.18722493890999"/>
  </r>
  <r>
    <x v="0"/>
    <s v="2025-05-18 18:56:05"/>
    <n v="17"/>
    <x v="9"/>
    <x v="3"/>
    <x v="1"/>
    <n v="55.473448474391397"/>
    <n v="0"/>
    <s v="Friday (Solucion: datafono, gofre, cocina y caja compartida)Preparacion Accum Wait TimeAccum Wait TimeProcess"/>
    <n v="19"/>
    <n v="89.754366677107924"/>
    <n v="109.53061123574736"/>
    <n v="0.95"/>
    <n v="52.79206474085742"/>
    <n v="22.316256244919199"/>
    <n v="514.987116007179"/>
  </r>
  <r>
    <x v="0"/>
    <s v="2025-05-18 18:56:05"/>
    <n v="17"/>
    <x v="10"/>
    <x v="0"/>
    <x v="1"/>
    <n v="122"/>
    <n v="0"/>
    <s v="Friday (Solucion: datafono, gofre, cocina y caja compartida)Preparacion Number InNumber InProcess"/>
    <n v="19"/>
    <n v="121.89473684210526"/>
    <n v="9.971597090637573"/>
    <n v="0.95"/>
    <n v="4.8061559525642172"/>
    <n v="109"/>
    <n v="143"/>
  </r>
  <r>
    <x v="0"/>
    <s v="2025-05-18 18:56:05"/>
    <n v="17"/>
    <x v="11"/>
    <x v="1"/>
    <x v="1"/>
    <n v="124"/>
    <n v="0"/>
    <s v="Friday (Solucion: datafono, gofre, cocina y caja compartida)Preparacion Number OutNumber OutProcess"/>
    <n v="19"/>
    <n v="122.31578947368421"/>
    <n v="10.127260414780096"/>
    <n v="0.95"/>
    <n v="4.8811832731752718"/>
    <n v="111"/>
    <n v="150"/>
  </r>
  <r>
    <x v="0"/>
    <s v="2025-05-18 18:56:05"/>
    <n v="17"/>
    <x v="12"/>
    <x v="1"/>
    <x v="2"/>
    <n v="127"/>
    <n v="0"/>
    <s v="Friday (Solucion: datafono, gofre, cocina y caja compartida)System.NumberOutNumber OutSystem"/>
    <n v="19"/>
    <n v="125.36842105263158"/>
    <n v="10.160984894934533"/>
    <n v="0.95"/>
    <n v="4.8974379522971905"/>
    <n v="112"/>
    <n v="153"/>
  </r>
  <r>
    <x v="0"/>
    <s v="2025-05-18 18:56:05"/>
    <n v="17"/>
    <x v="13"/>
    <x v="4"/>
    <x v="3"/>
    <n v="132"/>
    <n v="0"/>
    <s v="Friday (Solucion: datafono, gofre, cocina y caja compartida)rCajero.NumberSeizedTotal Number SeizedResource"/>
    <n v="19"/>
    <n v="131.63157894736841"/>
    <n v="13.988926280438102"/>
    <n v="0.95"/>
    <n v="6.7424466413544986"/>
    <n v="113"/>
    <n v="157"/>
  </r>
  <r>
    <x v="0"/>
    <s v="2025-05-18 18:56:05"/>
    <n v="17"/>
    <x v="14"/>
    <x v="5"/>
    <x v="3"/>
    <n v="0.66962680509933803"/>
    <n v="0"/>
    <s v="Friday (Solucion: datafono, gofre, cocina y caja compartida)rCajero.ScheduledUtilizationScheduled UtilizationResource"/>
    <n v="19"/>
    <n v="0.68474836505339687"/>
    <n v="6.2272947935973065E-2"/>
    <n v="0.95"/>
    <n v="3.0014600137344902E-2"/>
    <n v="0.59592290927233305"/>
    <n v="0.82897119936997599"/>
  </r>
  <r>
    <x v="0"/>
    <s v="2025-05-18 18:56:05"/>
    <n v="17"/>
    <x v="15"/>
    <x v="4"/>
    <x v="3"/>
    <n v="113"/>
    <n v="0"/>
    <s v="Friday (Solucion: datafono, gofre, cocina y caja compartida)rCocina.NumberSeizedTotal Number SeizedResource"/>
    <n v="19"/>
    <n v="112.73684210526316"/>
    <n v="9.1155673027772668"/>
    <n v="0.95"/>
    <n v="4.3935628019284003"/>
    <n v="102"/>
    <n v="135"/>
  </r>
  <r>
    <x v="0"/>
    <s v="2025-05-18 18:56:05"/>
    <n v="17"/>
    <x v="16"/>
    <x v="5"/>
    <x v="3"/>
    <n v="0.72162445901399097"/>
    <n v="0"/>
    <s v="Friday (Solucion: datafono, gofre, cocina y caja compartida)rCocina.ScheduledUtilizationScheduled UtilizationResource"/>
    <n v="19"/>
    <n v="0.71670342302257706"/>
    <n v="7.0907274842727658E-2"/>
    <n v="0.95"/>
    <n v="3.4176212493127585E-2"/>
    <n v="0.60463940272025996"/>
    <n v="0.86361037821575004"/>
  </r>
  <r>
    <x v="0"/>
    <s v="2025-05-18 18:56:05"/>
    <n v="17"/>
    <x v="17"/>
    <x v="4"/>
    <x v="3"/>
    <n v="15"/>
    <n v="0"/>
    <s v="Friday (Solucion: datafono, gofre, cocina y caja compartida)rMesa.NumberSeizedTotal Number SeizedResource"/>
    <n v="19"/>
    <n v="16.157894736842106"/>
    <n v="3.8044295512634076"/>
    <n v="0.95"/>
    <n v="1.8336763477019644"/>
    <n v="9"/>
    <n v="24"/>
  </r>
  <r>
    <x v="0"/>
    <s v="2025-05-18 18:56:05"/>
    <n v="17"/>
    <x v="18"/>
    <x v="5"/>
    <x v="3"/>
    <n v="0.33614169851030401"/>
    <n v="0"/>
    <s v="Friday (Solucion: datafono, gofre, cocina y caja compartida)rMesa.ScheduledUtilizationScheduled UtilizationResource"/>
    <n v="19"/>
    <n v="0.30850610959128744"/>
    <n v="6.2586127702931107E-2"/>
    <n v="0.95"/>
    <n v="3.0165547953176861E-2"/>
    <n v="0.156206445320244"/>
    <n v="0.44942505379986802"/>
  </r>
  <r>
    <x v="0"/>
    <s v="2025-05-18 18:56:05"/>
    <n v="17"/>
    <x v="19"/>
    <x v="0"/>
    <x v="0"/>
    <n v="3"/>
    <n v="0"/>
    <s v="Friday (Solucion: datafono, gofre, cocina y caja compartida)reloj.NumberInNumber InEntity"/>
    <n v="19"/>
    <n v="3"/>
    <n v="0"/>
    <n v="0.95"/>
    <n v="0"/>
    <n v="3"/>
    <n v="3"/>
  </r>
  <r>
    <x v="0"/>
    <s v="2025-05-18 18:56:05"/>
    <n v="17"/>
    <x v="20"/>
    <x v="1"/>
    <x v="0"/>
    <n v="3"/>
    <n v="0"/>
    <s v="Friday (Solucion: datafono, gofre, cocina y caja compartida)reloj.NumberOutNumber OutEntity"/>
    <n v="19"/>
    <n v="3"/>
    <n v="0"/>
    <n v="0.95"/>
    <n v="0"/>
    <n v="3"/>
    <n v="3"/>
  </r>
  <r>
    <x v="0"/>
    <s v="2025-05-18 18:56:05"/>
    <n v="18"/>
    <x v="0"/>
    <x v="0"/>
    <x v="0"/>
    <n v="371"/>
    <n v="0"/>
    <s v="Friday (Solucion: datafono, gofre, cocina y caja compartida)Cliente.NumberInNumber InEntity"/>
    <n v="19"/>
    <n v="366.21052631578948"/>
    <n v="28.665850661580702"/>
    <n v="0.95"/>
    <n v="13.816497752584581"/>
    <n v="331"/>
    <n v="427"/>
  </r>
  <r>
    <x v="0"/>
    <s v="2025-05-18 18:56:05"/>
    <n v="18"/>
    <x v="1"/>
    <x v="1"/>
    <x v="0"/>
    <n v="368"/>
    <n v="0"/>
    <s v="Friday (Solucion: datafono, gofre, cocina y caja compartida)Cliente.NumberOutNumber OutEntity"/>
    <n v="19"/>
    <n v="366.63157894736844"/>
    <n v="29.957767544617038"/>
    <n v="0.95"/>
    <n v="14.439181758083874"/>
    <n v="329"/>
    <n v="443"/>
  </r>
  <r>
    <x v="0"/>
    <s v="2025-05-18 18:56:05"/>
    <n v="18"/>
    <x v="2"/>
    <x v="2"/>
    <x v="1"/>
    <n v="259.20030357554998"/>
    <n v="0"/>
    <s v="Friday (Solucion: datafono, gofre, cocina y caja compartida)Comer en Mesa Accum VA TimeAccum VA TimeProcess"/>
    <n v="19"/>
    <n v="283.12549562397913"/>
    <n v="55.763238037894645"/>
    <n v="0.95"/>
    <n v="26.877020400444863"/>
    <n v="157.05073652574001"/>
    <n v="402.97015039838902"/>
  </r>
  <r>
    <x v="0"/>
    <s v="2025-05-18 18:56:05"/>
    <n v="18"/>
    <x v="3"/>
    <x v="3"/>
    <x v="1"/>
    <n v="0"/>
    <n v="0"/>
    <s v="Friday (Solucion: datafono, gofre, cocina y caja compartida)Comer en Mesa Accum Wait TimeAccum Wait TimeProcess"/>
    <n v="19"/>
    <n v="0"/>
    <n v="0"/>
    <n v="0.95"/>
    <n v="0"/>
    <n v="0"/>
    <n v="0"/>
  </r>
  <r>
    <x v="0"/>
    <s v="2025-05-18 18:56:05"/>
    <n v="18"/>
    <x v="4"/>
    <x v="0"/>
    <x v="1"/>
    <n v="14"/>
    <n v="0"/>
    <s v="Friday (Solucion: datafono, gofre, cocina y caja compartida)Comer en Mesa Number InNumber InProcess"/>
    <n v="19"/>
    <n v="16.157894736842106"/>
    <n v="3.8044295512634076"/>
    <n v="0.95"/>
    <n v="1.8336763477019644"/>
    <n v="9"/>
    <n v="24"/>
  </r>
  <r>
    <x v="0"/>
    <s v="2025-05-18 18:56:05"/>
    <n v="18"/>
    <x v="5"/>
    <x v="1"/>
    <x v="1"/>
    <n v="15"/>
    <n v="0"/>
    <s v="Friday (Solucion: datafono, gofre, cocina y caja compartida)Comer en Mesa Number OutNumber OutProcess"/>
    <n v="19"/>
    <n v="16.263157894736842"/>
    <n v="3.3803698887540881"/>
    <n v="0.95"/>
    <n v="1.6292861329062698"/>
    <n v="8"/>
    <n v="22"/>
  </r>
  <r>
    <x v="0"/>
    <s v="2025-05-18 18:56:05"/>
    <n v="18"/>
    <x v="6"/>
    <x v="0"/>
    <x v="0"/>
    <n v="124"/>
    <n v="0"/>
    <s v="Friday (Solucion: datafono, gofre, cocina y caja compartida)Orden.NumberInNumber InEntity"/>
    <n v="19"/>
    <n v="121.89473684210526"/>
    <n v="9.971597090637573"/>
    <n v="0.95"/>
    <n v="4.8061559525642172"/>
    <n v="109"/>
    <n v="143"/>
  </r>
  <r>
    <x v="0"/>
    <s v="2025-05-18 18:56:05"/>
    <n v="18"/>
    <x v="7"/>
    <x v="1"/>
    <x v="0"/>
    <n v="122"/>
    <n v="0"/>
    <s v="Friday (Solucion: datafono, gofre, cocina y caja compartida)Orden.NumberOutNumber OutEntity"/>
    <n v="19"/>
    <n v="122.36842105263158"/>
    <n v="10.160984894934533"/>
    <n v="0.95"/>
    <n v="4.8974379522971905"/>
    <n v="109"/>
    <n v="150"/>
  </r>
  <r>
    <x v="0"/>
    <s v="2025-05-18 18:56:05"/>
    <n v="18"/>
    <x v="8"/>
    <x v="2"/>
    <x v="1"/>
    <n v="207.98920114683901"/>
    <n v="0"/>
    <s v="Friday (Solucion: datafono, gofre, cocina y caja compartida)Preparacion Accum VA TimeAccum VA TimeProcess"/>
    <n v="19"/>
    <n v="174.13537587676447"/>
    <n v="19.65074675456297"/>
    <n v="0.95"/>
    <n v="9.4713567574295272"/>
    <n v="139.22471453685199"/>
    <n v="210.18722493890999"/>
  </r>
  <r>
    <x v="0"/>
    <s v="2025-05-18 18:56:05"/>
    <n v="18"/>
    <x v="9"/>
    <x v="3"/>
    <x v="1"/>
    <n v="95.416302492393598"/>
    <n v="0"/>
    <s v="Friday (Solucion: datafono, gofre, cocina y caja compartida)Preparacion Accum Wait TimeAccum Wait TimeProcess"/>
    <n v="19"/>
    <n v="89.754366677107924"/>
    <n v="109.53061123574736"/>
    <n v="0.95"/>
    <n v="52.79206474085742"/>
    <n v="22.316256244919199"/>
    <n v="514.987116007179"/>
  </r>
  <r>
    <x v="0"/>
    <s v="2025-05-18 18:56:05"/>
    <n v="18"/>
    <x v="10"/>
    <x v="0"/>
    <x v="1"/>
    <n v="124"/>
    <n v="0"/>
    <s v="Friday (Solucion: datafono, gofre, cocina y caja compartida)Preparacion Number InNumber InProcess"/>
    <n v="19"/>
    <n v="121.89473684210526"/>
    <n v="9.971597090637573"/>
    <n v="0.95"/>
    <n v="4.8061559525642172"/>
    <n v="109"/>
    <n v="143"/>
  </r>
  <r>
    <x v="0"/>
    <s v="2025-05-18 18:56:05"/>
    <n v="18"/>
    <x v="11"/>
    <x v="1"/>
    <x v="1"/>
    <n v="121"/>
    <n v="0"/>
    <s v="Friday (Solucion: datafono, gofre, cocina y caja compartida)Preparacion Number OutNumber OutProcess"/>
    <n v="19"/>
    <n v="122.31578947368421"/>
    <n v="10.127260414780096"/>
    <n v="0.95"/>
    <n v="4.8811832731752718"/>
    <n v="111"/>
    <n v="150"/>
  </r>
  <r>
    <x v="0"/>
    <s v="2025-05-18 18:56:05"/>
    <n v="18"/>
    <x v="12"/>
    <x v="1"/>
    <x v="2"/>
    <n v="125"/>
    <n v="0"/>
    <s v="Friday (Solucion: datafono, gofre, cocina y caja compartida)System.NumberOutNumber OutSystem"/>
    <n v="19"/>
    <n v="125.36842105263158"/>
    <n v="10.160984894934533"/>
    <n v="0.95"/>
    <n v="4.8974379522971905"/>
    <n v="112"/>
    <n v="153"/>
  </r>
  <r>
    <x v="0"/>
    <s v="2025-05-18 18:56:05"/>
    <n v="18"/>
    <x v="13"/>
    <x v="4"/>
    <x v="3"/>
    <n v="136"/>
    <n v="0"/>
    <s v="Friday (Solucion: datafono, gofre, cocina y caja compartida)rCajero.NumberSeizedTotal Number SeizedResource"/>
    <n v="19"/>
    <n v="131.63157894736841"/>
    <n v="13.988926280438102"/>
    <n v="0.95"/>
    <n v="6.7424466413544986"/>
    <n v="113"/>
    <n v="157"/>
  </r>
  <r>
    <x v="0"/>
    <s v="2025-05-18 18:56:05"/>
    <n v="18"/>
    <x v="14"/>
    <x v="5"/>
    <x v="3"/>
    <n v="0.76092451969044494"/>
    <n v="0"/>
    <s v="Friday (Solucion: datafono, gofre, cocina y caja compartida)rCajero.ScheduledUtilizationScheduled UtilizationResource"/>
    <n v="19"/>
    <n v="0.68474836505339687"/>
    <n v="6.2272947935973065E-2"/>
    <n v="0.95"/>
    <n v="3.0014600137344902E-2"/>
    <n v="0.59592290927233305"/>
    <n v="0.82897119936997599"/>
  </r>
  <r>
    <x v="0"/>
    <s v="2025-05-18 18:56:05"/>
    <n v="18"/>
    <x v="15"/>
    <x v="4"/>
    <x v="3"/>
    <n v="110"/>
    <n v="0"/>
    <s v="Friday (Solucion: datafono, gofre, cocina y caja compartida)rCocina.NumberSeizedTotal Number SeizedResource"/>
    <n v="19"/>
    <n v="112.73684210526316"/>
    <n v="9.1155673027772668"/>
    <n v="0.95"/>
    <n v="4.3935628019284003"/>
    <n v="102"/>
    <n v="135"/>
  </r>
  <r>
    <x v="0"/>
    <s v="2025-05-18 18:56:05"/>
    <n v="18"/>
    <x v="16"/>
    <x v="5"/>
    <x v="3"/>
    <n v="0.81316807447732098"/>
    <n v="0"/>
    <s v="Friday (Solucion: datafono, gofre, cocina y caja compartida)rCocina.ScheduledUtilizationScheduled UtilizationResource"/>
    <n v="19"/>
    <n v="0.71670342302257706"/>
    <n v="7.0907274842727658E-2"/>
    <n v="0.95"/>
    <n v="3.4176212493127585E-2"/>
    <n v="0.60463940272025996"/>
    <n v="0.86361037821575004"/>
  </r>
  <r>
    <x v="0"/>
    <s v="2025-05-18 18:56:05"/>
    <n v="18"/>
    <x v="17"/>
    <x v="4"/>
    <x v="3"/>
    <n v="14"/>
    <n v="0"/>
    <s v="Friday (Solucion: datafono, gofre, cocina y caja compartida)rMesa.NumberSeizedTotal Number SeizedResource"/>
    <n v="19"/>
    <n v="16.157894736842106"/>
    <n v="3.8044295512634076"/>
    <n v="0.95"/>
    <n v="1.8336763477019644"/>
    <n v="9"/>
    <n v="24"/>
  </r>
  <r>
    <x v="0"/>
    <s v="2025-05-18 18:56:05"/>
    <n v="18"/>
    <x v="18"/>
    <x v="5"/>
    <x v="3"/>
    <n v="0.24954289335955501"/>
    <n v="0"/>
    <s v="Friday (Solucion: datafono, gofre, cocina y caja compartida)rMesa.ScheduledUtilizationScheduled UtilizationResource"/>
    <n v="19"/>
    <n v="0.30850610959128744"/>
    <n v="6.2586127702931107E-2"/>
    <n v="0.95"/>
    <n v="3.0165547953176861E-2"/>
    <n v="0.156206445320244"/>
    <n v="0.44942505379986802"/>
  </r>
  <r>
    <x v="0"/>
    <s v="2025-05-18 18:56:05"/>
    <n v="18"/>
    <x v="19"/>
    <x v="0"/>
    <x v="0"/>
    <n v="3"/>
    <n v="0"/>
    <s v="Friday (Solucion: datafono, gofre, cocina y caja compartida)reloj.NumberInNumber InEntity"/>
    <n v="19"/>
    <n v="3"/>
    <n v="0"/>
    <n v="0.95"/>
    <n v="0"/>
    <n v="3"/>
    <n v="3"/>
  </r>
  <r>
    <x v="0"/>
    <s v="2025-05-18 18:56:05"/>
    <n v="18"/>
    <x v="20"/>
    <x v="1"/>
    <x v="0"/>
    <n v="3"/>
    <n v="0"/>
    <s v="Friday (Solucion: datafono, gofre, cocina y caja compartida)reloj.NumberOutNumber OutEntity"/>
    <n v="19"/>
    <n v="3"/>
    <n v="0"/>
    <n v="0.95"/>
    <n v="0"/>
    <n v="3"/>
    <n v="3"/>
  </r>
  <r>
    <x v="0"/>
    <s v="2025-05-18 18:56:05"/>
    <n v="19"/>
    <x v="0"/>
    <x v="0"/>
    <x v="0"/>
    <n v="368"/>
    <n v="0"/>
    <s v="Friday (Solucion: datafono, gofre, cocina y caja compartida)Cliente.NumberInNumber InEntity"/>
    <n v="19"/>
    <n v="366.21052631578948"/>
    <n v="28.665850661580702"/>
    <n v="0.95"/>
    <n v="13.816497752584581"/>
    <n v="331"/>
    <n v="427"/>
  </r>
  <r>
    <x v="0"/>
    <s v="2025-05-18 18:56:05"/>
    <n v="19"/>
    <x v="1"/>
    <x v="1"/>
    <x v="0"/>
    <n v="365"/>
    <n v="0"/>
    <s v="Friday (Solucion: datafono, gofre, cocina y caja compartida)Cliente.NumberOutNumber OutEntity"/>
    <n v="19"/>
    <n v="366.63157894736844"/>
    <n v="29.957767544617038"/>
    <n v="0.95"/>
    <n v="14.439181758083874"/>
    <n v="329"/>
    <n v="443"/>
  </r>
  <r>
    <x v="0"/>
    <s v="2025-05-18 18:56:05"/>
    <n v="19"/>
    <x v="2"/>
    <x v="2"/>
    <x v="1"/>
    <n v="222.71807453468799"/>
    <n v="0"/>
    <s v="Friday (Solucion: datafono, gofre, cocina y caja compartida)Comer en Mesa Accum VA TimeAccum VA TimeProcess"/>
    <n v="19"/>
    <n v="283.12549562397913"/>
    <n v="55.763238037894645"/>
    <n v="0.95"/>
    <n v="26.877020400444863"/>
    <n v="157.05073652574001"/>
    <n v="402.97015039838902"/>
  </r>
  <r>
    <x v="0"/>
    <s v="2025-05-18 18:56:05"/>
    <n v="19"/>
    <x v="3"/>
    <x v="3"/>
    <x v="1"/>
    <n v="0"/>
    <n v="0"/>
    <s v="Friday (Solucion: datafono, gofre, cocina y caja compartida)Comer en Mesa Accum Wait TimeAccum Wait TimeProcess"/>
    <n v="19"/>
    <n v="0"/>
    <n v="0"/>
    <n v="0.95"/>
    <n v="0"/>
    <n v="0"/>
    <n v="0"/>
  </r>
  <r>
    <x v="0"/>
    <s v="2025-05-18 18:56:05"/>
    <n v="19"/>
    <x v="4"/>
    <x v="0"/>
    <x v="1"/>
    <n v="17"/>
    <n v="0"/>
    <s v="Friday (Solucion: datafono, gofre, cocina y caja compartida)Comer en Mesa Number InNumber InProcess"/>
    <n v="19"/>
    <n v="16.157894736842106"/>
    <n v="3.8044295512634076"/>
    <n v="0.95"/>
    <n v="1.8336763477019644"/>
    <n v="9"/>
    <n v="24"/>
  </r>
  <r>
    <x v="0"/>
    <s v="2025-05-18 18:56:05"/>
    <n v="19"/>
    <x v="5"/>
    <x v="1"/>
    <x v="1"/>
    <n v="17"/>
    <n v="0"/>
    <s v="Friday (Solucion: datafono, gofre, cocina y caja compartida)Comer en Mesa Number OutNumber OutProcess"/>
    <n v="19"/>
    <n v="16.263157894736842"/>
    <n v="3.3803698887540881"/>
    <n v="0.95"/>
    <n v="1.6292861329062698"/>
    <n v="8"/>
    <n v="22"/>
  </r>
  <r>
    <x v="0"/>
    <s v="2025-05-18 18:56:05"/>
    <n v="19"/>
    <x v="6"/>
    <x v="0"/>
    <x v="0"/>
    <n v="123"/>
    <n v="0"/>
    <s v="Friday (Solucion: datafono, gofre, cocina y caja compartida)Orden.NumberInNumber InEntity"/>
    <n v="19"/>
    <n v="121.89473684210526"/>
    <n v="9.971597090637573"/>
    <n v="0.95"/>
    <n v="4.8061559525642172"/>
    <n v="109"/>
    <n v="143"/>
  </r>
  <r>
    <x v="0"/>
    <s v="2025-05-18 18:56:05"/>
    <n v="19"/>
    <x v="7"/>
    <x v="1"/>
    <x v="0"/>
    <n v="121"/>
    <n v="0"/>
    <s v="Friday (Solucion: datafono, gofre, cocina y caja compartida)Orden.NumberOutNumber OutEntity"/>
    <n v="19"/>
    <n v="122.36842105263158"/>
    <n v="10.160984894934533"/>
    <n v="0.95"/>
    <n v="4.8974379522971905"/>
    <n v="109"/>
    <n v="150"/>
  </r>
  <r>
    <x v="0"/>
    <s v="2025-05-18 18:56:05"/>
    <n v="19"/>
    <x v="8"/>
    <x v="2"/>
    <x v="1"/>
    <n v="150.716127416186"/>
    <n v="0"/>
    <s v="Friday (Solucion: datafono, gofre, cocina y caja compartida)Preparacion Accum VA TimeAccum VA TimeProcess"/>
    <n v="19"/>
    <n v="174.13537587676447"/>
    <n v="19.65074675456297"/>
    <n v="0.95"/>
    <n v="9.4713567574295272"/>
    <n v="139.22471453685199"/>
    <n v="210.18722493890999"/>
  </r>
  <r>
    <x v="0"/>
    <s v="2025-05-18 18:56:05"/>
    <n v="19"/>
    <x v="9"/>
    <x v="3"/>
    <x v="1"/>
    <n v="35.670358238045601"/>
    <n v="0"/>
    <s v="Friday (Solucion: datafono, gofre, cocina y caja compartida)Preparacion Accum Wait TimeAccum Wait TimeProcess"/>
    <n v="19"/>
    <n v="89.754366677107924"/>
    <n v="109.53061123574736"/>
    <n v="0.95"/>
    <n v="52.79206474085742"/>
    <n v="22.316256244919199"/>
    <n v="514.987116007179"/>
  </r>
  <r>
    <x v="0"/>
    <s v="2025-05-18 18:56:05"/>
    <n v="19"/>
    <x v="10"/>
    <x v="0"/>
    <x v="1"/>
    <n v="123"/>
    <n v="0"/>
    <s v="Friday (Solucion: datafono, gofre, cocina y caja compartida)Preparacion Number InNumber InProcess"/>
    <n v="19"/>
    <n v="121.89473684210526"/>
    <n v="9.971597090637573"/>
    <n v="0.95"/>
    <n v="4.8061559525642172"/>
    <n v="109"/>
    <n v="143"/>
  </r>
  <r>
    <x v="0"/>
    <s v="2025-05-18 18:56:05"/>
    <n v="19"/>
    <x v="11"/>
    <x v="1"/>
    <x v="1"/>
    <n v="121"/>
    <n v="0"/>
    <s v="Friday (Solucion: datafono, gofre, cocina y caja compartida)Preparacion Number OutNumber OutProcess"/>
    <n v="19"/>
    <n v="122.31578947368421"/>
    <n v="10.127260414780096"/>
    <n v="0.95"/>
    <n v="4.8811832731752718"/>
    <n v="111"/>
    <n v="150"/>
  </r>
  <r>
    <x v="0"/>
    <s v="2025-05-18 18:56:05"/>
    <n v="19"/>
    <x v="12"/>
    <x v="1"/>
    <x v="2"/>
    <n v="124"/>
    <n v="0"/>
    <s v="Friday (Solucion: datafono, gofre, cocina y caja compartida)System.NumberOutNumber OutSystem"/>
    <n v="19"/>
    <n v="125.36842105263158"/>
    <n v="10.160984894934533"/>
    <n v="0.95"/>
    <n v="4.8974379522971905"/>
    <n v="112"/>
    <n v="153"/>
  </r>
  <r>
    <x v="0"/>
    <s v="2025-05-18 18:56:05"/>
    <n v="19"/>
    <x v="13"/>
    <x v="4"/>
    <x v="3"/>
    <n v="131"/>
    <n v="0"/>
    <s v="Friday (Solucion: datafono, gofre, cocina y caja compartida)rCajero.NumberSeizedTotal Number SeizedResource"/>
    <n v="19"/>
    <n v="131.63157894736841"/>
    <n v="13.988926280438102"/>
    <n v="0.95"/>
    <n v="6.7424466413544986"/>
    <n v="113"/>
    <n v="157"/>
  </r>
  <r>
    <x v="0"/>
    <s v="2025-05-18 18:56:05"/>
    <n v="19"/>
    <x v="14"/>
    <x v="5"/>
    <x v="3"/>
    <n v="0.65224560006994103"/>
    <n v="0"/>
    <s v="Friday (Solucion: datafono, gofre, cocina y caja compartida)rCajero.ScheduledUtilizationScheduled UtilizationResource"/>
    <n v="19"/>
    <n v="0.68474836505339687"/>
    <n v="6.2272947935973065E-2"/>
    <n v="0.95"/>
    <n v="3.0014600137344902E-2"/>
    <n v="0.59592290927233305"/>
    <n v="0.82897119936997599"/>
  </r>
  <r>
    <x v="0"/>
    <s v="2025-05-18 18:56:05"/>
    <n v="19"/>
    <x v="15"/>
    <x v="4"/>
    <x v="3"/>
    <n v="115"/>
    <n v="0"/>
    <s v="Friday (Solucion: datafono, gofre, cocina y caja compartida)rCocina.NumberSeizedTotal Number SeizedResource"/>
    <n v="19"/>
    <n v="112.73684210526316"/>
    <n v="9.1155673027772668"/>
    <n v="0.95"/>
    <n v="4.3935628019284003"/>
    <n v="102"/>
    <n v="135"/>
  </r>
  <r>
    <x v="0"/>
    <s v="2025-05-18 18:56:05"/>
    <n v="19"/>
    <x v="16"/>
    <x v="5"/>
    <x v="3"/>
    <n v="0.63808039454691601"/>
    <n v="0"/>
    <s v="Friday (Solucion: datafono, gofre, cocina y caja compartida)rCocina.ScheduledUtilizationScheduled UtilizationResource"/>
    <n v="19"/>
    <n v="0.71670342302257706"/>
    <n v="7.0907274842727658E-2"/>
    <n v="0.95"/>
    <n v="3.4176212493127585E-2"/>
    <n v="0.60463940272025996"/>
    <n v="0.86361037821575004"/>
  </r>
  <r>
    <x v="0"/>
    <s v="2025-05-18 18:56:05"/>
    <n v="19"/>
    <x v="17"/>
    <x v="4"/>
    <x v="3"/>
    <n v="17"/>
    <n v="0"/>
    <s v="Friday (Solucion: datafono, gofre, cocina y caja compartida)rMesa.NumberSeizedTotal Number SeizedResource"/>
    <n v="19"/>
    <n v="16.157894736842106"/>
    <n v="3.8044295512634076"/>
    <n v="0.95"/>
    <n v="1.8336763477019644"/>
    <n v="9"/>
    <n v="24"/>
  </r>
  <r>
    <x v="0"/>
    <s v="2025-05-18 18:56:05"/>
    <n v="19"/>
    <x v="18"/>
    <x v="5"/>
    <x v="3"/>
    <n v="0.25301208694421801"/>
    <n v="0"/>
    <s v="Friday (Solucion: datafono, gofre, cocina y caja compartida)rMesa.ScheduledUtilizationScheduled UtilizationResource"/>
    <n v="19"/>
    <n v="0.30850610959128744"/>
    <n v="6.2586127702931107E-2"/>
    <n v="0.95"/>
    <n v="3.0165547953176861E-2"/>
    <n v="0.156206445320244"/>
    <n v="0.44942505379986802"/>
  </r>
  <r>
    <x v="0"/>
    <s v="2025-05-18 18:56:05"/>
    <n v="19"/>
    <x v="19"/>
    <x v="0"/>
    <x v="0"/>
    <n v="3"/>
    <n v="0"/>
    <s v="Friday (Solucion: datafono, gofre, cocina y caja compartida)reloj.NumberInNumber InEntity"/>
    <n v="19"/>
    <n v="3"/>
    <n v="0"/>
    <n v="0.95"/>
    <n v="0"/>
    <n v="3"/>
    <n v="3"/>
  </r>
  <r>
    <x v="0"/>
    <s v="2025-05-18 18:56:05"/>
    <n v="19"/>
    <x v="20"/>
    <x v="1"/>
    <x v="0"/>
    <n v="3"/>
    <n v="0"/>
    <s v="Friday (Solucion: datafono, gofre, cocina y caja compartida)reloj.NumberOutNumber OutEntity"/>
    <n v="19"/>
    <n v="3"/>
    <n v="0"/>
    <n v="0.95"/>
    <n v="0"/>
    <n v="3"/>
    <n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1">
  <r>
    <x v="0"/>
    <s v="2025-05-18 18:56:05"/>
    <n v="1"/>
    <x v="0"/>
    <x v="0"/>
    <x v="0"/>
    <n v="10.9337547677616"/>
    <n v="3E+20"/>
    <n v="0"/>
    <n v="28"/>
    <n v="5"/>
    <n v="0"/>
    <s v="Friday (Solucion: datafono, gofre, cocina y caja compartida)ClienteWIPEntity"/>
    <n v="19"/>
    <n v="5.695207969173218"/>
    <n v="1.5293712224665061"/>
    <n v="0.95"/>
    <n v="0.7371333335799507"/>
    <n v="3.6484308227805702"/>
    <n v="10.9337547677616"/>
    <n v="0.7371333335799507"/>
  </r>
  <r>
    <x v="0"/>
    <s v="2025-05-18 18:56:05"/>
    <n v="1"/>
    <x v="1"/>
    <x v="1"/>
    <x v="1"/>
    <n v="0"/>
    <n v="2E+20"/>
    <n v="0"/>
    <n v="0"/>
    <n v="0"/>
    <n v="0"/>
    <s v="Friday (Solucion: datafono, gofre, cocina y caja compartida)Comer en Mesa.QueueNumber WaitingQueue"/>
    <n v="19"/>
    <n v="0"/>
    <n v="0"/>
    <n v="0.95"/>
    <n v="0"/>
    <n v="0"/>
    <n v="0"/>
    <n v="0"/>
  </r>
  <r>
    <x v="0"/>
    <s v="2025-05-18 18:56:05"/>
    <n v="1"/>
    <x v="2"/>
    <x v="1"/>
    <x v="1"/>
    <n v="3.71511779664222"/>
    <n v="2E+20"/>
    <n v="0"/>
    <n v="15"/>
    <n v="0"/>
    <n v="0"/>
    <s v="Friday (Solucion: datafono, gofre, cocina y caja compartida)Entrega pedido.QueueNumber WaitingQueue"/>
    <n v="19"/>
    <n v="1.4415832090470244"/>
    <n v="0.61323545266973079"/>
    <n v="0.95"/>
    <n v="0.29557002698587687"/>
    <n v="0.95119347509060603"/>
    <n v="3.71511779664222"/>
    <n v="0.29557002698587687"/>
  </r>
  <r>
    <x v="0"/>
    <s v="2025-05-18 18:56:05"/>
    <n v="1"/>
    <x v="3"/>
    <x v="0"/>
    <x v="0"/>
    <n v="5.8229936047650703"/>
    <n v="2E+20"/>
    <n v="0"/>
    <n v="17"/>
    <n v="2"/>
    <n v="0"/>
    <s v="Friday (Solucion: datafono, gofre, cocina y caja compartida)OrdenWIPEntity"/>
    <n v="19"/>
    <n v="3.0972744691234286"/>
    <n v="0.7960145604449721"/>
    <n v="0.95"/>
    <n v="0.38366673695655462"/>
    <n v="2.0609398302211299"/>
    <n v="5.8229936047650703"/>
    <n v="0.38366673695655462"/>
  </r>
  <r>
    <x v="0"/>
    <s v="2025-05-18 18:56:05"/>
    <n v="1"/>
    <x v="4"/>
    <x v="1"/>
    <x v="1"/>
    <n v="2.4783528335268201"/>
    <n v="2E+20"/>
    <n v="0"/>
    <n v="11"/>
    <n v="0"/>
    <n v="0"/>
    <s v="Friday (Solucion: datafono, gofre, cocina y caja compartida)Pasar a Caja.QueueNumber WaitingQueue"/>
    <n v="19"/>
    <n v="0.5234663348541454"/>
    <n v="0.51706251909874834"/>
    <n v="0.95"/>
    <n v="0.24921615679273348"/>
    <n v="0.17506464523350199"/>
    <n v="2.4783528335268201"/>
    <n v="0.24921615679273348"/>
  </r>
  <r>
    <x v="0"/>
    <s v="2025-05-18 18:56:05"/>
    <n v="1"/>
    <x v="5"/>
    <x v="1"/>
    <x v="1"/>
    <n v="2.5739205922552402"/>
    <n v="2E+20"/>
    <n v="0"/>
    <n v="12"/>
    <n v="0"/>
    <n v="0"/>
    <s v="Friday (Solucion: datafono, gofre, cocina y caja compartida)Preparacion.QueueNumber WaitingQueue"/>
    <n v="19"/>
    <n v="0.48138063122984937"/>
    <n v="0.5430727934303009"/>
    <n v="0.95"/>
    <n v="0.26175270772536113"/>
    <n v="0.13383910219346701"/>
    <n v="2.5739205922552402"/>
    <n v="0.26175270772536113"/>
  </r>
  <r>
    <x v="0"/>
    <s v="2025-05-18 18:56:05"/>
    <n v="1"/>
    <x v="6"/>
    <x v="2"/>
    <x v="2"/>
    <n v="1.9709313636784001"/>
    <n v="2E+20"/>
    <n v="0"/>
    <n v="5"/>
    <n v="2"/>
    <n v="0"/>
    <s v="Friday (Solucion: datafono, gofre, cocina y caja compartida)TP_MesasTime PersistentUser Specified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1"/>
    <x v="7"/>
    <x v="3"/>
    <x v="3"/>
    <n v="0.82897119936997599"/>
    <n v="2E+20"/>
    <n v="0"/>
    <n v="1"/>
    <n v="1"/>
    <n v="0"/>
    <s v="Friday (Solucion: datafono, gofre, cocina y caja compartida)rCajeroInstantaneous UtilizationResource"/>
    <n v="19"/>
    <n v="0.68474836505339687"/>
    <n v="6.2272947935973086E-2"/>
    <n v="0.95"/>
    <n v="3.0014600137344912E-2"/>
    <n v="0.59592290927233305"/>
    <n v="0.82897119936997599"/>
    <n v="3.0014600137344912E-2"/>
  </r>
  <r>
    <x v="0"/>
    <s v="2025-05-18 18:56:05"/>
    <n v="1"/>
    <x v="7"/>
    <x v="4"/>
    <x v="3"/>
    <n v="0.82897119936997599"/>
    <n v="2E+20"/>
    <n v="0"/>
    <n v="1"/>
    <n v="1"/>
    <n v="0"/>
    <s v="Friday (Solucion: datafono, gofre, cocina y caja compartida)rCajeroNumber BusyResource"/>
    <n v="19"/>
    <n v="0.68474836505339687"/>
    <n v="6.2272947935973065E-2"/>
    <n v="0.95"/>
    <n v="3.0014600137344902E-2"/>
    <n v="0.59592290927233305"/>
    <n v="0.82897119936997599"/>
    <n v="3.0014600137344902E-2"/>
  </r>
  <r>
    <x v="0"/>
    <s v="2025-05-18 18:56:05"/>
    <n v="1"/>
    <x v="7"/>
    <x v="5"/>
    <x v="3"/>
    <n v="1"/>
    <n v="2E+20"/>
    <n v="1"/>
    <n v="1"/>
    <n v="1"/>
    <n v="0"/>
    <s v="Friday (Solucion: datafono, gofre, cocina y caja compartida)rCajeroNumber ScheduledResource"/>
    <n v="19"/>
    <n v="1"/>
    <n v="0"/>
    <n v="0.95"/>
    <n v="0"/>
    <n v="1"/>
    <n v="1"/>
    <n v="0"/>
  </r>
  <r>
    <x v="0"/>
    <s v="2025-05-18 18:56:05"/>
    <n v="1"/>
    <x v="8"/>
    <x v="3"/>
    <x v="3"/>
    <n v="0.86361037821575004"/>
    <n v="2E+20"/>
    <n v="0"/>
    <n v="1"/>
    <n v="0"/>
    <n v="0"/>
    <s v="Friday (Solucion: datafono, gofre, cocina y caja compartida)rCocinaInstantaneous Utilization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1"/>
    <x v="8"/>
    <x v="4"/>
    <x v="3"/>
    <n v="0.86361037821575004"/>
    <n v="2E+20"/>
    <n v="0"/>
    <n v="1"/>
    <n v="0"/>
    <n v="0"/>
    <s v="Friday (Solucion: datafono, gofre, cocina y caja compartida)rCocinaNumber Busy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1"/>
    <x v="8"/>
    <x v="5"/>
    <x v="3"/>
    <n v="1"/>
    <n v="2E+20"/>
    <n v="1"/>
    <n v="1"/>
    <n v="1"/>
    <n v="0"/>
    <s v="Friday (Solucion: datafono, gofre, cocina y caja compartida)rCocinaNumber ScheduledResource"/>
    <n v="19"/>
    <n v="1"/>
    <n v="0"/>
    <n v="0.95"/>
    <n v="0"/>
    <n v="1"/>
    <n v="1"/>
    <n v="0"/>
  </r>
  <r>
    <x v="0"/>
    <s v="2025-05-18 18:56:05"/>
    <n v="1"/>
    <x v="9"/>
    <x v="3"/>
    <x v="3"/>
    <n v="0.39418627273567902"/>
    <n v="2E+20"/>
    <n v="0"/>
    <n v="1"/>
    <n v="0.4"/>
    <n v="0"/>
    <s v="Friday (Solucion: datafono, gofre, cocina y caja compartida)rMesaInstantaneous UtilizationResource"/>
    <n v="19"/>
    <n v="0.30850610959128738"/>
    <n v="6.2586127702931413E-2"/>
    <n v="0.95"/>
    <n v="3.0165547953177007E-2"/>
    <n v="0.156206445320244"/>
    <n v="0.44942505379986802"/>
    <n v="3.0165547953177007E-2"/>
  </r>
  <r>
    <x v="0"/>
    <s v="2025-05-18 18:56:05"/>
    <n v="1"/>
    <x v="9"/>
    <x v="4"/>
    <x v="3"/>
    <n v="1.9709313636784001"/>
    <n v="2E+20"/>
    <n v="0"/>
    <n v="5"/>
    <n v="2"/>
    <n v="0"/>
    <s v="Friday (Solucion: datafono, gofre, cocina y caja compartida)rMesaNumber BusyResource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1"/>
    <x v="9"/>
    <x v="5"/>
    <x v="3"/>
    <n v="5"/>
    <n v="2E+20"/>
    <n v="5"/>
    <n v="5"/>
    <n v="5"/>
    <n v="0"/>
    <s v="Friday (Solucion: datafono, gofre, cocina y caja compartida)rMesaNumber ScheduledResource"/>
    <n v="19"/>
    <n v="5"/>
    <n v="0"/>
    <n v="0.95"/>
    <n v="0"/>
    <n v="5"/>
    <n v="5"/>
    <n v="0"/>
  </r>
  <r>
    <x v="0"/>
    <s v="2025-05-18 18:56:05"/>
    <n v="1"/>
    <x v="10"/>
    <x v="0"/>
    <x v="0"/>
    <n v="0"/>
    <n v="2E+20"/>
    <n v="0"/>
    <n v="1"/>
    <n v="0"/>
    <n v="0"/>
    <s v="Friday (Solucion: datafono, gofre, cocina y caja compartida)relojWIPEntity"/>
    <n v="19"/>
    <n v="0"/>
    <n v="0"/>
    <n v="0.95"/>
    <n v="0"/>
    <n v="0"/>
    <n v="0"/>
    <n v="0"/>
  </r>
  <r>
    <x v="0"/>
    <s v="2025-05-18 18:56:05"/>
    <n v="1"/>
    <x v="11"/>
    <x v="6"/>
    <x v="2"/>
    <n v="8.8656011818609901"/>
    <n v="2E+20"/>
    <n v="0"/>
    <n v="23"/>
    <n v="3"/>
    <n v="0"/>
    <s v="Friday (Solucion: datafono, gofre, cocina y caja compartida)vClientesEnSistemaVariableUser Specified"/>
    <n v="19"/>
    <n v="4.0733776306724412"/>
    <n v="1.3190004331473169"/>
    <n v="0.95"/>
    <n v="0.63573785879874822"/>
    <n v="2.7964405882205599"/>
    <n v="8.8656011818609901"/>
    <n v="0.63573785879874822"/>
  </r>
  <r>
    <x v="0"/>
    <s v="2025-05-18 18:56:05"/>
    <n v="1"/>
    <x v="12"/>
    <x v="6"/>
    <x v="2"/>
    <n v="3.0290686363215999"/>
    <n v="2E+20"/>
    <n v="0"/>
    <n v="5"/>
    <n v="3"/>
    <n v="0"/>
    <s v="Friday (Solucion: datafono, gofre, cocina y caja compartida)vMesasLibresVariableUser Specified"/>
    <n v="19"/>
    <n v="3.457469452043564"/>
    <n v="0.31293063851465691"/>
    <n v="0.95"/>
    <n v="0.15082773976588496"/>
    <n v="2.7528747310006598"/>
    <n v="4.2189677733987798"/>
    <n v="0.15082773976588496"/>
  </r>
  <r>
    <x v="0"/>
    <s v="2025-05-18 18:56:05"/>
    <n v="2"/>
    <x v="0"/>
    <x v="0"/>
    <x v="0"/>
    <n v="3.6484308227805702"/>
    <n v="3E+20"/>
    <n v="0"/>
    <n v="12"/>
    <n v="9"/>
    <n v="0"/>
    <s v="Friday (Solucion: datafono, gofre, cocina y caja compartida)ClienteWIPEntity"/>
    <n v="19"/>
    <n v="5.695207969173218"/>
    <n v="1.5293712224665061"/>
    <n v="0.95"/>
    <n v="0.7371333335799507"/>
    <n v="3.6484308227805702"/>
    <n v="10.9337547677616"/>
    <n v="0.7371333335799507"/>
  </r>
  <r>
    <x v="0"/>
    <s v="2025-05-18 18:56:05"/>
    <n v="2"/>
    <x v="1"/>
    <x v="1"/>
    <x v="1"/>
    <n v="0"/>
    <n v="2E+20"/>
    <n v="0"/>
    <n v="0"/>
    <n v="0"/>
    <n v="0"/>
    <s v="Friday (Solucion: datafono, gofre, cocina y caja compartida)Comer en Mesa.QueueNumber WaitingQueue"/>
    <n v="19"/>
    <n v="0"/>
    <n v="0"/>
    <n v="0.95"/>
    <n v="0"/>
    <n v="0"/>
    <n v="0"/>
    <n v="0"/>
  </r>
  <r>
    <x v="0"/>
    <s v="2025-05-18 18:56:05"/>
    <n v="2"/>
    <x v="2"/>
    <x v="1"/>
    <x v="1"/>
    <n v="1.1781162623277801"/>
    <n v="2E+20"/>
    <n v="0"/>
    <n v="9"/>
    <n v="2"/>
    <n v="0"/>
    <s v="Friday (Solucion: datafono, gofre, cocina y caja compartida)Entrega pedido.QueueNumber WaitingQueue"/>
    <n v="19"/>
    <n v="1.4415832090470244"/>
    <n v="0.61323545266973079"/>
    <n v="0.95"/>
    <n v="0.29557002698587687"/>
    <n v="0.95119347509060603"/>
    <n v="3.71511779664222"/>
    <n v="0.29557002698587687"/>
  </r>
  <r>
    <x v="0"/>
    <s v="2025-05-18 18:56:05"/>
    <n v="2"/>
    <x v="3"/>
    <x v="0"/>
    <x v="0"/>
    <n v="2.0609398302211299"/>
    <n v="2E+20"/>
    <n v="0"/>
    <n v="8"/>
    <n v="5"/>
    <n v="0"/>
    <s v="Friday (Solucion: datafono, gofre, cocina y caja compartida)OrdenWIPEntity"/>
    <n v="19"/>
    <n v="3.0972744691234286"/>
    <n v="0.7960145604449721"/>
    <n v="0.95"/>
    <n v="0.38366673695655462"/>
    <n v="2.0609398302211299"/>
    <n v="5.8229936047650703"/>
    <n v="0.38366673695655462"/>
  </r>
  <r>
    <x v="0"/>
    <s v="2025-05-18 18:56:05"/>
    <n v="2"/>
    <x v="4"/>
    <x v="1"/>
    <x v="1"/>
    <n v="0.32334428442181501"/>
    <n v="2E+20"/>
    <n v="0"/>
    <n v="6"/>
    <n v="1"/>
    <n v="0"/>
    <s v="Friday (Solucion: datafono, gofre, cocina y caja compartida)Pasar a Caja.QueueNumber WaitingQueue"/>
    <n v="19"/>
    <n v="0.5234663348541454"/>
    <n v="0.51706251909874834"/>
    <n v="0.95"/>
    <n v="0.24921615679273348"/>
    <n v="0.17506464523350199"/>
    <n v="2.4783528335268201"/>
    <n v="0.24921615679273348"/>
  </r>
  <r>
    <x v="0"/>
    <s v="2025-05-18 18:56:05"/>
    <n v="2"/>
    <x v="5"/>
    <x v="1"/>
    <x v="1"/>
    <n v="0.32190791003164898"/>
    <n v="2E+20"/>
    <n v="0"/>
    <n v="6"/>
    <n v="0"/>
    <n v="0"/>
    <s v="Friday (Solucion: datafono, gofre, cocina y caja compartida)Preparacion.QueueNumber WaitingQueue"/>
    <n v="19"/>
    <n v="0.48138063122984937"/>
    <n v="0.5430727934303009"/>
    <n v="0.95"/>
    <n v="0.26175270772536113"/>
    <n v="0.13383910219346701"/>
    <n v="2.5739205922552402"/>
    <n v="0.26175270772536113"/>
  </r>
  <r>
    <x v="0"/>
    <s v="2025-05-18 18:56:05"/>
    <n v="2"/>
    <x v="6"/>
    <x v="2"/>
    <x v="2"/>
    <n v="0.78103222660121896"/>
    <n v="2E+20"/>
    <n v="0"/>
    <n v="3"/>
    <n v="2"/>
    <n v="0"/>
    <s v="Friday (Solucion: datafono, gofre, cocina y caja compartida)TP_MesasTime PersistentUser Specified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2"/>
    <x v="7"/>
    <x v="3"/>
    <x v="3"/>
    <n v="0.63054559860404802"/>
    <n v="2E+20"/>
    <n v="0"/>
    <n v="1"/>
    <n v="1"/>
    <n v="0"/>
    <s v="Friday (Solucion: datafono, gofre, cocina y caja compartida)rCajeroInstantaneous UtilizationResource"/>
    <n v="19"/>
    <n v="0.68474836505339687"/>
    <n v="6.2272947935973086E-2"/>
    <n v="0.95"/>
    <n v="3.0014600137344912E-2"/>
    <n v="0.59592290927233305"/>
    <n v="0.82897119936997599"/>
    <n v="3.0014600137344912E-2"/>
  </r>
  <r>
    <x v="0"/>
    <s v="2025-05-18 18:56:05"/>
    <n v="2"/>
    <x v="7"/>
    <x v="4"/>
    <x v="3"/>
    <n v="0.63054559860404802"/>
    <n v="2E+20"/>
    <n v="0"/>
    <n v="1"/>
    <n v="1"/>
    <n v="0"/>
    <s v="Friday (Solucion: datafono, gofre, cocina y caja compartida)rCajeroNumber BusyResource"/>
    <n v="19"/>
    <n v="0.68474836505339687"/>
    <n v="6.2272947935973065E-2"/>
    <n v="0.95"/>
    <n v="3.0014600137344902E-2"/>
    <n v="0.59592290927233305"/>
    <n v="0.82897119936997599"/>
    <n v="3.0014600137344902E-2"/>
  </r>
  <r>
    <x v="0"/>
    <s v="2025-05-18 18:56:05"/>
    <n v="2"/>
    <x v="7"/>
    <x v="5"/>
    <x v="3"/>
    <n v="1"/>
    <n v="2E+20"/>
    <n v="1"/>
    <n v="1"/>
    <n v="1"/>
    <n v="0"/>
    <s v="Friday (Solucion: datafono, gofre, cocina y caja compartida)rCajeroNumber ScheduledResource"/>
    <n v="19"/>
    <n v="1"/>
    <n v="0"/>
    <n v="0.95"/>
    <n v="0"/>
    <n v="1"/>
    <n v="1"/>
    <n v="0"/>
  </r>
  <r>
    <x v="0"/>
    <s v="2025-05-18 18:56:05"/>
    <n v="2"/>
    <x v="8"/>
    <x v="3"/>
    <x v="3"/>
    <n v="0.62735626430673996"/>
    <n v="2E+20"/>
    <n v="0"/>
    <n v="1"/>
    <n v="1"/>
    <n v="0"/>
    <s v="Friday (Solucion: datafono, gofre, cocina y caja compartida)rCocinaInstantaneous Utilization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2"/>
    <x v="8"/>
    <x v="4"/>
    <x v="3"/>
    <n v="0.62735626430673996"/>
    <n v="2E+20"/>
    <n v="0"/>
    <n v="1"/>
    <n v="1"/>
    <n v="0"/>
    <s v="Friday (Solucion: datafono, gofre, cocina y caja compartida)rCocinaNumber Busy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2"/>
    <x v="8"/>
    <x v="5"/>
    <x v="3"/>
    <n v="1"/>
    <n v="2E+20"/>
    <n v="1"/>
    <n v="1"/>
    <n v="1"/>
    <n v="0"/>
    <s v="Friday (Solucion: datafono, gofre, cocina y caja compartida)rCocinaNumber ScheduledResource"/>
    <n v="19"/>
    <n v="1"/>
    <n v="0"/>
    <n v="0.95"/>
    <n v="0"/>
    <n v="1"/>
    <n v="1"/>
    <n v="0"/>
  </r>
  <r>
    <x v="0"/>
    <s v="2025-05-18 18:56:05"/>
    <n v="2"/>
    <x v="9"/>
    <x v="3"/>
    <x v="3"/>
    <n v="0.156206445320244"/>
    <n v="2E+20"/>
    <n v="0"/>
    <n v="0.6"/>
    <n v="0.4"/>
    <n v="0"/>
    <s v="Friday (Solucion: datafono, gofre, cocina y caja compartida)rMesaInstantaneous UtilizationResource"/>
    <n v="19"/>
    <n v="0.30850610959128738"/>
    <n v="6.2586127702931413E-2"/>
    <n v="0.95"/>
    <n v="3.0165547953177007E-2"/>
    <n v="0.156206445320244"/>
    <n v="0.44942505379986802"/>
    <n v="3.0165547953177007E-2"/>
  </r>
  <r>
    <x v="0"/>
    <s v="2025-05-18 18:56:05"/>
    <n v="2"/>
    <x v="9"/>
    <x v="4"/>
    <x v="3"/>
    <n v="0.78103222660121896"/>
    <n v="2E+20"/>
    <n v="0"/>
    <n v="3"/>
    <n v="2"/>
    <n v="0"/>
    <s v="Friday (Solucion: datafono, gofre, cocina y caja compartida)rMesaNumber BusyResource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2"/>
    <x v="9"/>
    <x v="5"/>
    <x v="3"/>
    <n v="5"/>
    <n v="2E+20"/>
    <n v="5"/>
    <n v="5"/>
    <n v="5"/>
    <n v="0"/>
    <s v="Friday (Solucion: datafono, gofre, cocina y caja compartida)rMesaNumber ScheduledResource"/>
    <n v="19"/>
    <n v="5"/>
    <n v="0"/>
    <n v="0.95"/>
    <n v="0"/>
    <n v="5"/>
    <n v="5"/>
    <n v="0"/>
  </r>
  <r>
    <x v="0"/>
    <s v="2025-05-18 18:56:05"/>
    <n v="2"/>
    <x v="10"/>
    <x v="0"/>
    <x v="0"/>
    <n v="0"/>
    <n v="2E+20"/>
    <n v="0"/>
    <n v="1"/>
    <n v="0"/>
    <n v="0"/>
    <s v="Friday (Solucion: datafono, gofre, cocina y caja compartida)relojWIPEntity"/>
    <n v="19"/>
    <n v="0"/>
    <n v="0"/>
    <n v="0.95"/>
    <n v="0"/>
    <n v="0"/>
    <n v="0"/>
    <n v="0"/>
  </r>
  <r>
    <x v="0"/>
    <s v="2025-05-18 18:56:05"/>
    <n v="2"/>
    <x v="11"/>
    <x v="6"/>
    <x v="2"/>
    <n v="2.7964405882205599"/>
    <n v="2E+20"/>
    <n v="0"/>
    <n v="9"/>
    <n v="6"/>
    <n v="0"/>
    <s v="Friday (Solucion: datafono, gofre, cocina y caja compartida)vClientesEnSistemaVariableUser Specified"/>
    <n v="19"/>
    <n v="4.0733776306724412"/>
    <n v="1.3190004331473169"/>
    <n v="0.95"/>
    <n v="0.63573785879874822"/>
    <n v="2.7964405882205599"/>
    <n v="8.8656011818609901"/>
    <n v="0.63573785879874822"/>
  </r>
  <r>
    <x v="0"/>
    <s v="2025-05-18 18:56:05"/>
    <n v="2"/>
    <x v="12"/>
    <x v="6"/>
    <x v="2"/>
    <n v="4.2189677733987798"/>
    <n v="2E+20"/>
    <n v="2"/>
    <n v="5"/>
    <n v="3"/>
    <n v="0"/>
    <s v="Friday (Solucion: datafono, gofre, cocina y caja compartida)vMesasLibresVariableUser Specified"/>
    <n v="19"/>
    <n v="3.457469452043564"/>
    <n v="0.31293063851465691"/>
    <n v="0.95"/>
    <n v="0.15082773976588496"/>
    <n v="2.7528747310006598"/>
    <n v="4.2189677733987798"/>
    <n v="0.15082773976588496"/>
  </r>
  <r>
    <x v="0"/>
    <s v="2025-05-18 18:56:05"/>
    <n v="3"/>
    <x v="0"/>
    <x v="0"/>
    <x v="0"/>
    <n v="6.8053882636602898"/>
    <n v="3E+20"/>
    <n v="0"/>
    <n v="20"/>
    <n v="5"/>
    <n v="0"/>
    <s v="Friday (Solucion: datafono, gofre, cocina y caja compartida)ClienteWIPEntity"/>
    <n v="19"/>
    <n v="5.695207969173218"/>
    <n v="1.5293712224665061"/>
    <n v="0.95"/>
    <n v="0.7371333335799507"/>
    <n v="3.6484308227805702"/>
    <n v="10.9337547677616"/>
    <n v="0.7371333335799507"/>
  </r>
  <r>
    <x v="0"/>
    <s v="2025-05-18 18:56:05"/>
    <n v="3"/>
    <x v="1"/>
    <x v="1"/>
    <x v="1"/>
    <n v="0"/>
    <n v="2E+20"/>
    <n v="0"/>
    <n v="0"/>
    <n v="0"/>
    <n v="0"/>
    <s v="Friday (Solucion: datafono, gofre, cocina y caja compartida)Comer en Mesa.QueueNumber WaitingQueue"/>
    <n v="19"/>
    <n v="0"/>
    <n v="0"/>
    <n v="0.95"/>
    <n v="0"/>
    <n v="0"/>
    <n v="0"/>
    <n v="0"/>
  </r>
  <r>
    <x v="0"/>
    <s v="2025-05-18 18:56:05"/>
    <n v="3"/>
    <x v="2"/>
    <x v="1"/>
    <x v="1"/>
    <n v="1.8815040202808699"/>
    <n v="2E+20"/>
    <n v="0"/>
    <n v="9"/>
    <n v="2"/>
    <n v="0"/>
    <s v="Friday (Solucion: datafono, gofre, cocina y caja compartida)Entrega pedido.QueueNumber WaitingQueue"/>
    <n v="19"/>
    <n v="1.4415832090470244"/>
    <n v="0.61323545266973079"/>
    <n v="0.95"/>
    <n v="0.29557002698587687"/>
    <n v="0.95119347509060603"/>
    <n v="3.71511779664222"/>
    <n v="0.29557002698587687"/>
  </r>
  <r>
    <x v="0"/>
    <s v="2025-05-18 18:56:05"/>
    <n v="3"/>
    <x v="3"/>
    <x v="0"/>
    <x v="0"/>
    <n v="3.6924009695328999"/>
    <n v="2E+20"/>
    <n v="0"/>
    <n v="10"/>
    <n v="3"/>
    <n v="0"/>
    <s v="Friday (Solucion: datafono, gofre, cocina y caja compartida)OrdenWIPEntity"/>
    <n v="19"/>
    <n v="3.0972744691234286"/>
    <n v="0.7960145604449721"/>
    <n v="0.95"/>
    <n v="0.38366673695655462"/>
    <n v="2.0609398302211299"/>
    <n v="5.8229936047650703"/>
    <n v="0.38366673695655462"/>
  </r>
  <r>
    <x v="0"/>
    <s v="2025-05-18 18:56:05"/>
    <n v="3"/>
    <x v="4"/>
    <x v="1"/>
    <x v="1"/>
    <n v="0.90959034832264096"/>
    <n v="2E+20"/>
    <n v="0"/>
    <n v="7"/>
    <n v="1"/>
    <n v="0"/>
    <s v="Friday (Solucion: datafono, gofre, cocina y caja compartida)Pasar a Caja.QueueNumber WaitingQueue"/>
    <n v="19"/>
    <n v="0.5234663348541454"/>
    <n v="0.51706251909874834"/>
    <n v="0.95"/>
    <n v="0.24921615679273348"/>
    <n v="0.17506464523350199"/>
    <n v="2.4783528335268201"/>
    <n v="0.24921615679273348"/>
  </r>
  <r>
    <x v="0"/>
    <s v="2025-05-18 18:56:05"/>
    <n v="3"/>
    <x v="5"/>
    <x v="1"/>
    <x v="1"/>
    <n v="0.82830918786511598"/>
    <n v="2E+20"/>
    <n v="0"/>
    <n v="7"/>
    <n v="0"/>
    <n v="0"/>
    <s v="Friday (Solucion: datafono, gofre, cocina y caja compartida)Preparacion.QueueNumber WaitingQueue"/>
    <n v="19"/>
    <n v="0.48138063122984937"/>
    <n v="0.5430727934303009"/>
    <n v="0.95"/>
    <n v="0.26175270772536113"/>
    <n v="0.13383910219346701"/>
    <n v="2.5739205922552402"/>
    <n v="0.26175270772536113"/>
  </r>
  <r>
    <x v="0"/>
    <s v="2025-05-18 18:56:05"/>
    <n v="3"/>
    <x v="6"/>
    <x v="2"/>
    <x v="2"/>
    <n v="1.70601560537249"/>
    <n v="2E+20"/>
    <n v="0"/>
    <n v="5"/>
    <n v="0"/>
    <n v="0"/>
    <s v="Friday (Solucion: datafono, gofre, cocina y caja compartida)TP_MesasTime PersistentUser Specified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3"/>
    <x v="7"/>
    <x v="3"/>
    <x v="3"/>
    <n v="0.71651890712748101"/>
    <n v="2E+20"/>
    <n v="0"/>
    <n v="1"/>
    <n v="1"/>
    <n v="0"/>
    <s v="Friday (Solucion: datafono, gofre, cocina y caja compartida)rCajeroInstantaneous UtilizationResource"/>
    <n v="19"/>
    <n v="0.68474836505339687"/>
    <n v="6.2272947935973086E-2"/>
    <n v="0.95"/>
    <n v="3.0014600137344912E-2"/>
    <n v="0.59592290927233305"/>
    <n v="0.82897119936997599"/>
    <n v="3.0014600137344912E-2"/>
  </r>
  <r>
    <x v="0"/>
    <s v="2025-05-18 18:56:05"/>
    <n v="3"/>
    <x v="7"/>
    <x v="4"/>
    <x v="3"/>
    <n v="0.71651890712748101"/>
    <n v="2E+20"/>
    <n v="0"/>
    <n v="1"/>
    <n v="1"/>
    <n v="0"/>
    <s v="Friday (Solucion: datafono, gofre, cocina y caja compartida)rCajeroNumber BusyResource"/>
    <n v="19"/>
    <n v="0.68474836505339687"/>
    <n v="6.2272947935973065E-2"/>
    <n v="0.95"/>
    <n v="3.0014600137344902E-2"/>
    <n v="0.59592290927233305"/>
    <n v="0.82897119936997599"/>
    <n v="3.0014600137344902E-2"/>
  </r>
  <r>
    <x v="0"/>
    <s v="2025-05-18 18:56:05"/>
    <n v="3"/>
    <x v="7"/>
    <x v="5"/>
    <x v="3"/>
    <n v="1"/>
    <n v="2E+20"/>
    <n v="1"/>
    <n v="1"/>
    <n v="1"/>
    <n v="0"/>
    <s v="Friday (Solucion: datafono, gofre, cocina y caja compartida)rCajeroNumber ScheduledResource"/>
    <n v="19"/>
    <n v="1"/>
    <n v="0"/>
    <n v="0.95"/>
    <n v="0"/>
    <n v="1"/>
    <n v="1"/>
    <n v="0"/>
  </r>
  <r>
    <x v="0"/>
    <s v="2025-05-18 18:56:05"/>
    <n v="3"/>
    <x v="8"/>
    <x v="3"/>
    <x v="3"/>
    <n v="0.74862036628543105"/>
    <n v="2E+20"/>
    <n v="0"/>
    <n v="1"/>
    <n v="1"/>
    <n v="0"/>
    <s v="Friday (Solucion: datafono, gofre, cocina y caja compartida)rCocinaInstantaneous Utilization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3"/>
    <x v="8"/>
    <x v="4"/>
    <x v="3"/>
    <n v="0.74862036628543105"/>
    <n v="2E+20"/>
    <n v="0"/>
    <n v="1"/>
    <n v="1"/>
    <n v="0"/>
    <s v="Friday (Solucion: datafono, gofre, cocina y caja compartida)rCocinaNumber Busy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3"/>
    <x v="8"/>
    <x v="5"/>
    <x v="3"/>
    <n v="1"/>
    <n v="2E+20"/>
    <n v="1"/>
    <n v="1"/>
    <n v="1"/>
    <n v="0"/>
    <s v="Friday (Solucion: datafono, gofre, cocina y caja compartida)rCocinaNumber ScheduledResource"/>
    <n v="19"/>
    <n v="1"/>
    <n v="0"/>
    <n v="0.95"/>
    <n v="0"/>
    <n v="1"/>
    <n v="1"/>
    <n v="0"/>
  </r>
  <r>
    <x v="0"/>
    <s v="2025-05-18 18:56:05"/>
    <n v="3"/>
    <x v="9"/>
    <x v="3"/>
    <x v="3"/>
    <n v="0.34120312107449902"/>
    <n v="2E+20"/>
    <n v="0"/>
    <n v="1"/>
    <n v="0"/>
    <n v="0"/>
    <s v="Friday (Solucion: datafono, gofre, cocina y caja compartida)rMesaInstantaneous UtilizationResource"/>
    <n v="19"/>
    <n v="0.30850610959128738"/>
    <n v="6.2586127702931413E-2"/>
    <n v="0.95"/>
    <n v="3.0165547953177007E-2"/>
    <n v="0.156206445320244"/>
    <n v="0.44942505379986802"/>
    <n v="3.0165547953177007E-2"/>
  </r>
  <r>
    <x v="0"/>
    <s v="2025-05-18 18:56:05"/>
    <n v="3"/>
    <x v="9"/>
    <x v="4"/>
    <x v="3"/>
    <n v="1.70601560537249"/>
    <n v="2E+20"/>
    <n v="0"/>
    <n v="5"/>
    <n v="0"/>
    <n v="0"/>
    <s v="Friday (Solucion: datafono, gofre, cocina y caja compartida)rMesaNumber BusyResource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3"/>
    <x v="9"/>
    <x v="5"/>
    <x v="3"/>
    <n v="5"/>
    <n v="2E+20"/>
    <n v="5"/>
    <n v="5"/>
    <n v="5"/>
    <n v="0"/>
    <s v="Friday (Solucion: datafono, gofre, cocina y caja compartida)rMesaNumber ScheduledResource"/>
    <n v="19"/>
    <n v="5"/>
    <n v="0"/>
    <n v="0.95"/>
    <n v="0"/>
    <n v="5"/>
    <n v="5"/>
    <n v="0"/>
  </r>
  <r>
    <x v="0"/>
    <s v="2025-05-18 18:56:05"/>
    <n v="3"/>
    <x v="10"/>
    <x v="0"/>
    <x v="0"/>
    <n v="0"/>
    <n v="2E+20"/>
    <n v="0"/>
    <n v="1"/>
    <n v="0"/>
    <n v="0"/>
    <s v="Friday (Solucion: datafono, gofre, cocina y caja compartida)relojWIPEntity"/>
    <n v="19"/>
    <n v="0"/>
    <n v="0"/>
    <n v="0.95"/>
    <n v="0"/>
    <n v="0"/>
    <n v="0"/>
    <n v="0"/>
  </r>
  <r>
    <x v="0"/>
    <s v="2025-05-18 18:56:05"/>
    <n v="3"/>
    <x v="11"/>
    <x v="6"/>
    <x v="2"/>
    <n v="5.0247690921860402"/>
    <n v="2E+20"/>
    <n v="0"/>
    <n v="15"/>
    <n v="4"/>
    <n v="0"/>
    <s v="Friday (Solucion: datafono, gofre, cocina y caja compartida)vClientesEnSistemaVariableUser Specified"/>
    <n v="19"/>
    <n v="4.0733776306724412"/>
    <n v="1.3190004331473169"/>
    <n v="0.95"/>
    <n v="0.63573785879874822"/>
    <n v="2.7964405882205599"/>
    <n v="8.8656011818609901"/>
    <n v="0.63573785879874822"/>
  </r>
  <r>
    <x v="0"/>
    <s v="2025-05-18 18:56:05"/>
    <n v="3"/>
    <x v="12"/>
    <x v="6"/>
    <x v="2"/>
    <n v="3.2939843946275098"/>
    <n v="2E+20"/>
    <n v="0"/>
    <n v="5"/>
    <n v="5"/>
    <n v="0"/>
    <s v="Friday (Solucion: datafono, gofre, cocina y caja compartida)vMesasLibresVariableUser Specified"/>
    <n v="19"/>
    <n v="3.457469452043564"/>
    <n v="0.31293063851465691"/>
    <n v="0.95"/>
    <n v="0.15082773976588496"/>
    <n v="2.7528747310006598"/>
    <n v="4.2189677733987798"/>
    <n v="0.15082773976588496"/>
  </r>
  <r>
    <x v="0"/>
    <s v="2025-05-18 18:56:05"/>
    <n v="4"/>
    <x v="0"/>
    <x v="0"/>
    <x v="0"/>
    <n v="4.5782243571842596"/>
    <n v="0.68505524765151404"/>
    <n v="1"/>
    <n v="11"/>
    <n v="5"/>
    <n v="0"/>
    <s v="Friday (Solucion: datafono, gofre, cocina y caja compartida)ClienteWIPEntity"/>
    <n v="19"/>
    <n v="5.695207969173218"/>
    <n v="1.5293712224665061"/>
    <n v="0.95"/>
    <n v="0.7371333335799507"/>
    <n v="3.6484308227805702"/>
    <n v="10.9337547677616"/>
    <n v="0.7371333335799507"/>
  </r>
  <r>
    <x v="0"/>
    <s v="2025-05-18 18:56:05"/>
    <n v="4"/>
    <x v="1"/>
    <x v="1"/>
    <x v="1"/>
    <n v="0"/>
    <n v="2E+20"/>
    <n v="0"/>
    <n v="0"/>
    <n v="0"/>
    <n v="0"/>
    <s v="Friday (Solucion: datafono, gofre, cocina y caja compartida)Comer en Mesa.QueueNumber WaitingQueue"/>
    <n v="19"/>
    <n v="0"/>
    <n v="0"/>
    <n v="0.95"/>
    <n v="0"/>
    <n v="0"/>
    <n v="0"/>
    <n v="0"/>
  </r>
  <r>
    <x v="0"/>
    <s v="2025-05-18 18:56:05"/>
    <n v="4"/>
    <x v="2"/>
    <x v="1"/>
    <x v="1"/>
    <n v="1.1106432402777999"/>
    <n v="2E+20"/>
    <n v="0"/>
    <n v="4"/>
    <n v="0"/>
    <n v="0"/>
    <s v="Friday (Solucion: datafono, gofre, cocina y caja compartida)Entrega pedido.QueueNumber WaitingQueue"/>
    <n v="19"/>
    <n v="1.4415832090470244"/>
    <n v="0.61323545266973079"/>
    <n v="0.95"/>
    <n v="0.29557002698587687"/>
    <n v="0.95119347509060603"/>
    <n v="3.71511779664222"/>
    <n v="0.29557002698587687"/>
  </r>
  <r>
    <x v="0"/>
    <s v="2025-05-18 18:56:05"/>
    <n v="4"/>
    <x v="3"/>
    <x v="0"/>
    <x v="0"/>
    <n v="2.5332896098574902"/>
    <n v="2E+20"/>
    <n v="0"/>
    <n v="6"/>
    <n v="2"/>
    <n v="0"/>
    <s v="Friday (Solucion: datafono, gofre, cocina y caja compartida)OrdenWIPEntity"/>
    <n v="19"/>
    <n v="3.0972744691234286"/>
    <n v="0.7960145604449721"/>
    <n v="0.95"/>
    <n v="0.38366673695655462"/>
    <n v="2.0609398302211299"/>
    <n v="5.8229936047650703"/>
    <n v="0.38366673695655462"/>
  </r>
  <r>
    <x v="0"/>
    <s v="2025-05-18 18:56:05"/>
    <n v="4"/>
    <x v="4"/>
    <x v="1"/>
    <x v="1"/>
    <n v="0.21276707056959099"/>
    <n v="2E+20"/>
    <n v="0"/>
    <n v="4"/>
    <n v="0"/>
    <n v="0"/>
    <s v="Friday (Solucion: datafono, gofre, cocina y caja compartida)Pasar a Caja.QueueNumber WaitingQueue"/>
    <n v="19"/>
    <n v="0.5234663348541454"/>
    <n v="0.51706251909874834"/>
    <n v="0.95"/>
    <n v="0.24921615679273348"/>
    <n v="0.17506464523350199"/>
    <n v="2.4783528335268201"/>
    <n v="0.24921615679273348"/>
  </r>
  <r>
    <x v="0"/>
    <s v="2025-05-18 18:56:05"/>
    <n v="4"/>
    <x v="5"/>
    <x v="1"/>
    <x v="1"/>
    <n v="0.13383910219346701"/>
    <n v="2E+20"/>
    <n v="0"/>
    <n v="2"/>
    <n v="0"/>
    <n v="0"/>
    <s v="Friday (Solucion: datafono, gofre, cocina y caja compartida)Preparacion.QueueNumber WaitingQueue"/>
    <n v="19"/>
    <n v="0.48138063122984937"/>
    <n v="0.5430727934303009"/>
    <n v="0.95"/>
    <n v="0.26175270772536113"/>
    <n v="0.13383910219346701"/>
    <n v="2.5739205922552402"/>
    <n v="0.26175270772536113"/>
  </r>
  <r>
    <x v="0"/>
    <s v="2025-05-18 18:56:05"/>
    <n v="4"/>
    <x v="6"/>
    <x v="2"/>
    <x v="2"/>
    <n v="1.3150304418162899"/>
    <n v="2E+20"/>
    <n v="0"/>
    <n v="3"/>
    <n v="2"/>
    <n v="0"/>
    <s v="Friday (Solucion: datafono, gofre, cocina y caja compartida)TP_MesasTime PersistentUser Specified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4"/>
    <x v="7"/>
    <x v="3"/>
    <x v="3"/>
    <n v="0.65540630966095803"/>
    <n v="2E+20"/>
    <n v="0"/>
    <n v="1"/>
    <n v="1"/>
    <n v="0"/>
    <s v="Friday (Solucion: datafono, gofre, cocina y caja compartida)rCajeroInstantaneous UtilizationResource"/>
    <n v="19"/>
    <n v="0.68474836505339687"/>
    <n v="6.2272947935973086E-2"/>
    <n v="0.95"/>
    <n v="3.0014600137344912E-2"/>
    <n v="0.59592290927233305"/>
    <n v="0.82897119936997599"/>
    <n v="3.0014600137344912E-2"/>
  </r>
  <r>
    <x v="0"/>
    <s v="2025-05-18 18:56:05"/>
    <n v="4"/>
    <x v="7"/>
    <x v="4"/>
    <x v="3"/>
    <n v="0.65540630966095803"/>
    <n v="2E+20"/>
    <n v="0"/>
    <n v="1"/>
    <n v="1"/>
    <n v="0"/>
    <s v="Friday (Solucion: datafono, gofre, cocina y caja compartida)rCajeroNumber BusyResource"/>
    <n v="19"/>
    <n v="0.68474836505339687"/>
    <n v="6.2272947935973065E-2"/>
    <n v="0.95"/>
    <n v="3.0014600137344902E-2"/>
    <n v="0.59592290927233305"/>
    <n v="0.82897119936997599"/>
    <n v="3.0014600137344902E-2"/>
  </r>
  <r>
    <x v="0"/>
    <s v="2025-05-18 18:56:05"/>
    <n v="4"/>
    <x v="7"/>
    <x v="5"/>
    <x v="3"/>
    <n v="1"/>
    <n v="2E+20"/>
    <n v="1"/>
    <n v="1"/>
    <n v="1"/>
    <n v="0"/>
    <s v="Friday (Solucion: datafono, gofre, cocina y caja compartida)rCajeroNumber ScheduledResource"/>
    <n v="19"/>
    <n v="1"/>
    <n v="0"/>
    <n v="0.95"/>
    <n v="0"/>
    <n v="1"/>
    <n v="1"/>
    <n v="0"/>
  </r>
  <r>
    <x v="0"/>
    <s v="2025-05-18 18:56:05"/>
    <n v="4"/>
    <x v="8"/>
    <x v="3"/>
    <x v="3"/>
    <n v="0.75258580226755301"/>
    <n v="2E+20"/>
    <n v="0"/>
    <n v="1"/>
    <n v="0"/>
    <n v="0"/>
    <s v="Friday (Solucion: datafono, gofre, cocina y caja compartida)rCocinaInstantaneous Utilization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4"/>
    <x v="8"/>
    <x v="4"/>
    <x v="3"/>
    <n v="0.75258580226755301"/>
    <n v="2E+20"/>
    <n v="0"/>
    <n v="1"/>
    <n v="0"/>
    <n v="0"/>
    <s v="Friday (Solucion: datafono, gofre, cocina y caja compartida)rCocinaNumber Busy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4"/>
    <x v="8"/>
    <x v="5"/>
    <x v="3"/>
    <n v="1"/>
    <n v="2E+20"/>
    <n v="1"/>
    <n v="1"/>
    <n v="1"/>
    <n v="0"/>
    <s v="Friday (Solucion: datafono, gofre, cocina y caja compartida)rCocinaNumber ScheduledResource"/>
    <n v="19"/>
    <n v="1"/>
    <n v="0"/>
    <n v="0.95"/>
    <n v="0"/>
    <n v="1"/>
    <n v="1"/>
    <n v="0"/>
  </r>
  <r>
    <x v="0"/>
    <s v="2025-05-18 18:56:05"/>
    <n v="4"/>
    <x v="9"/>
    <x v="3"/>
    <x v="3"/>
    <n v="0.26300608836325801"/>
    <n v="2E+20"/>
    <n v="0"/>
    <n v="0.6"/>
    <n v="0.4"/>
    <n v="0"/>
    <s v="Friday (Solucion: datafono, gofre, cocina y caja compartida)rMesaInstantaneous UtilizationResource"/>
    <n v="19"/>
    <n v="0.30850610959128738"/>
    <n v="6.2586127702931413E-2"/>
    <n v="0.95"/>
    <n v="3.0165547953177007E-2"/>
    <n v="0.156206445320244"/>
    <n v="0.44942505379986802"/>
    <n v="3.0165547953177007E-2"/>
  </r>
  <r>
    <x v="0"/>
    <s v="2025-05-18 18:56:05"/>
    <n v="4"/>
    <x v="9"/>
    <x v="4"/>
    <x v="3"/>
    <n v="1.3150304418162899"/>
    <n v="2E+20"/>
    <n v="0"/>
    <n v="3"/>
    <n v="2"/>
    <n v="0"/>
    <s v="Friday (Solucion: datafono, gofre, cocina y caja compartida)rMesaNumber BusyResource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4"/>
    <x v="9"/>
    <x v="5"/>
    <x v="3"/>
    <n v="5"/>
    <n v="2E+20"/>
    <n v="5"/>
    <n v="5"/>
    <n v="5"/>
    <n v="0"/>
    <s v="Friday (Solucion: datafono, gofre, cocina y caja compartida)rMesaNumber ScheduledResource"/>
    <n v="19"/>
    <n v="5"/>
    <n v="0"/>
    <n v="0.95"/>
    <n v="0"/>
    <n v="5"/>
    <n v="5"/>
    <n v="0"/>
  </r>
  <r>
    <x v="0"/>
    <s v="2025-05-18 18:56:05"/>
    <n v="4"/>
    <x v="10"/>
    <x v="0"/>
    <x v="0"/>
    <n v="0"/>
    <n v="2E+20"/>
    <n v="0"/>
    <n v="1"/>
    <n v="0"/>
    <n v="0"/>
    <s v="Friday (Solucion: datafono, gofre, cocina y caja compartida)relojWIPEntity"/>
    <n v="19"/>
    <n v="0"/>
    <n v="0"/>
    <n v="0.95"/>
    <n v="0"/>
    <n v="0"/>
    <n v="0"/>
    <n v="0"/>
  </r>
  <r>
    <x v="0"/>
    <s v="2025-05-18 18:56:05"/>
    <n v="4"/>
    <x v="11"/>
    <x v="6"/>
    <x v="2"/>
    <n v="3.1880779876045802"/>
    <n v="2E+20"/>
    <n v="1"/>
    <n v="7"/>
    <n v="3"/>
    <n v="0"/>
    <s v="Friday (Solucion: datafono, gofre, cocina y caja compartida)vClientesEnSistemaVariableUser Specified"/>
    <n v="19"/>
    <n v="4.0733776306724412"/>
    <n v="1.3190004331473169"/>
    <n v="0.95"/>
    <n v="0.63573785879874822"/>
    <n v="2.7964405882205599"/>
    <n v="8.8656011818609901"/>
    <n v="0.63573785879874822"/>
  </r>
  <r>
    <x v="0"/>
    <s v="2025-05-18 18:56:05"/>
    <n v="4"/>
    <x v="12"/>
    <x v="6"/>
    <x v="2"/>
    <n v="3.6849695581837101"/>
    <n v="2E+20"/>
    <n v="2"/>
    <n v="5"/>
    <n v="3"/>
    <n v="0"/>
    <s v="Friday (Solucion: datafono, gofre, cocina y caja compartida)vMesasLibresVariableUser Specified"/>
    <n v="19"/>
    <n v="3.457469452043564"/>
    <n v="0.31293063851465691"/>
    <n v="0.95"/>
    <n v="0.15082773976588496"/>
    <n v="2.7528747310006598"/>
    <n v="4.2189677733987798"/>
    <n v="0.15082773976588496"/>
  </r>
  <r>
    <x v="0"/>
    <s v="2025-05-18 18:56:05"/>
    <n v="5"/>
    <x v="0"/>
    <x v="0"/>
    <x v="0"/>
    <n v="5.1995377533176503"/>
    <n v="3E+20"/>
    <n v="0"/>
    <n v="14"/>
    <n v="6"/>
    <n v="0"/>
    <s v="Friday (Solucion: datafono, gofre, cocina y caja compartida)ClienteWIPEntity"/>
    <n v="19"/>
    <n v="5.695207969173218"/>
    <n v="1.5293712224665061"/>
    <n v="0.95"/>
    <n v="0.7371333335799507"/>
    <n v="3.6484308227805702"/>
    <n v="10.9337547677616"/>
    <n v="0.7371333335799507"/>
  </r>
  <r>
    <x v="0"/>
    <s v="2025-05-18 18:56:05"/>
    <n v="5"/>
    <x v="1"/>
    <x v="1"/>
    <x v="1"/>
    <n v="0"/>
    <n v="2E+20"/>
    <n v="0"/>
    <n v="0"/>
    <n v="0"/>
    <n v="0"/>
    <s v="Friday (Solucion: datafono, gofre, cocina y caja compartida)Comer en Mesa.QueueNumber WaitingQueue"/>
    <n v="19"/>
    <n v="0"/>
    <n v="0"/>
    <n v="0.95"/>
    <n v="0"/>
    <n v="0"/>
    <n v="0"/>
    <n v="0"/>
  </r>
  <r>
    <x v="0"/>
    <s v="2025-05-18 18:56:05"/>
    <n v="5"/>
    <x v="2"/>
    <x v="1"/>
    <x v="1"/>
    <n v="1.0677725519643899"/>
    <n v="2E+20"/>
    <n v="0"/>
    <n v="6"/>
    <n v="0"/>
    <n v="0"/>
    <s v="Friday (Solucion: datafono, gofre, cocina y caja compartida)Entrega pedido.QueueNumber WaitingQueue"/>
    <n v="19"/>
    <n v="1.4415832090470244"/>
    <n v="0.61323545266973079"/>
    <n v="0.95"/>
    <n v="0.29557002698587687"/>
    <n v="0.95119347509060603"/>
    <n v="3.71511779664222"/>
    <n v="0.29557002698587687"/>
  </r>
  <r>
    <x v="0"/>
    <s v="2025-05-18 18:56:05"/>
    <n v="5"/>
    <x v="3"/>
    <x v="0"/>
    <x v="0"/>
    <n v="2.84096127919755"/>
    <n v="2E+20"/>
    <n v="0"/>
    <n v="7"/>
    <n v="3"/>
    <n v="0"/>
    <s v="Friday (Solucion: datafono, gofre, cocina y caja compartida)OrdenWIPEntity"/>
    <n v="19"/>
    <n v="3.0972744691234286"/>
    <n v="0.7960145604449721"/>
    <n v="0.95"/>
    <n v="0.38366673695655462"/>
    <n v="2.0609398302211299"/>
    <n v="5.8229936047650703"/>
    <n v="0.38366673695655462"/>
  </r>
  <r>
    <x v="0"/>
    <s v="2025-05-18 18:56:05"/>
    <n v="5"/>
    <x v="4"/>
    <x v="1"/>
    <x v="1"/>
    <n v="0.19411455828372301"/>
    <n v="2E+20"/>
    <n v="0"/>
    <n v="3"/>
    <n v="0"/>
    <n v="0"/>
    <s v="Friday (Solucion: datafono, gofre, cocina y caja compartida)Pasar a Caja.QueueNumber WaitingQueue"/>
    <n v="19"/>
    <n v="0.5234663348541454"/>
    <n v="0.51706251909874834"/>
    <n v="0.95"/>
    <n v="0.24921615679273348"/>
    <n v="0.17506464523350199"/>
    <n v="2.4783528335268201"/>
    <n v="0.24921615679273348"/>
  </r>
  <r>
    <x v="0"/>
    <s v="2025-05-18 18:56:05"/>
    <n v="5"/>
    <x v="5"/>
    <x v="1"/>
    <x v="1"/>
    <n v="0.21443716817835801"/>
    <n v="2E+20"/>
    <n v="0"/>
    <n v="3"/>
    <n v="0"/>
    <n v="0"/>
    <s v="Friday (Solucion: datafono, gofre, cocina y caja compartida)Preparacion.QueueNumber WaitingQueue"/>
    <n v="19"/>
    <n v="0.48138063122984937"/>
    <n v="0.5430727934303009"/>
    <n v="0.95"/>
    <n v="0.26175270772536113"/>
    <n v="0.13383910219346701"/>
    <n v="2.5739205922552402"/>
    <n v="0.26175270772536113"/>
  </r>
  <r>
    <x v="0"/>
    <s v="2025-05-18 18:56:05"/>
    <n v="5"/>
    <x v="6"/>
    <x v="2"/>
    <x v="2"/>
    <n v="1.65291094945538"/>
    <n v="2E+20"/>
    <n v="0"/>
    <n v="5"/>
    <n v="3"/>
    <n v="0"/>
    <s v="Friday (Solucion: datafono, gofre, cocina y caja compartida)TP_MesasTime PersistentUser Specified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5"/>
    <x v="7"/>
    <x v="3"/>
    <x v="3"/>
    <n v="0.59861794843566096"/>
    <n v="2E+20"/>
    <n v="0"/>
    <n v="1"/>
    <n v="0"/>
    <n v="0"/>
    <s v="Friday (Solucion: datafono, gofre, cocina y caja compartida)rCajeroInstantaneous UtilizationResource"/>
    <n v="19"/>
    <n v="0.68474836505339687"/>
    <n v="6.2272947935973086E-2"/>
    <n v="0.95"/>
    <n v="3.0014600137344912E-2"/>
    <n v="0.59592290927233305"/>
    <n v="0.82897119936997599"/>
    <n v="3.0014600137344912E-2"/>
  </r>
  <r>
    <x v="0"/>
    <s v="2025-05-18 18:56:05"/>
    <n v="5"/>
    <x v="7"/>
    <x v="4"/>
    <x v="3"/>
    <n v="0.59861794843566096"/>
    <n v="2E+20"/>
    <n v="0"/>
    <n v="1"/>
    <n v="0"/>
    <n v="0"/>
    <s v="Friday (Solucion: datafono, gofre, cocina y caja compartida)rCajeroNumber BusyResource"/>
    <n v="19"/>
    <n v="0.68474836505339687"/>
    <n v="6.2272947935973065E-2"/>
    <n v="0.95"/>
    <n v="3.0014600137344902E-2"/>
    <n v="0.59592290927233305"/>
    <n v="0.82897119936997599"/>
    <n v="3.0014600137344902E-2"/>
  </r>
  <r>
    <x v="0"/>
    <s v="2025-05-18 18:56:05"/>
    <n v="5"/>
    <x v="7"/>
    <x v="5"/>
    <x v="3"/>
    <n v="1"/>
    <n v="2E+20"/>
    <n v="1"/>
    <n v="1"/>
    <n v="1"/>
    <n v="0"/>
    <s v="Friday (Solucion: datafono, gofre, cocina y caja compartida)rCajeroNumber ScheduledResource"/>
    <n v="19"/>
    <n v="1"/>
    <n v="0"/>
    <n v="0.95"/>
    <n v="0"/>
    <n v="1"/>
    <n v="1"/>
    <n v="0"/>
  </r>
  <r>
    <x v="0"/>
    <s v="2025-05-18 18:56:05"/>
    <n v="5"/>
    <x v="8"/>
    <x v="3"/>
    <x v="3"/>
    <n v="0.66997210543508001"/>
    <n v="2E+20"/>
    <n v="0"/>
    <n v="1"/>
    <n v="0"/>
    <n v="0"/>
    <s v="Friday (Solucion: datafono, gofre, cocina y caja compartida)rCocinaInstantaneous Utilization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5"/>
    <x v="8"/>
    <x v="4"/>
    <x v="3"/>
    <n v="0.66997210543508001"/>
    <n v="2E+20"/>
    <n v="0"/>
    <n v="1"/>
    <n v="0"/>
    <n v="0"/>
    <s v="Friday (Solucion: datafono, gofre, cocina y caja compartida)rCocinaNumber Busy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5"/>
    <x v="8"/>
    <x v="5"/>
    <x v="3"/>
    <n v="1"/>
    <n v="2E+20"/>
    <n v="1"/>
    <n v="1"/>
    <n v="1"/>
    <n v="0"/>
    <s v="Friday (Solucion: datafono, gofre, cocina y caja compartida)rCocinaNumber ScheduledResource"/>
    <n v="19"/>
    <n v="1"/>
    <n v="0"/>
    <n v="0.95"/>
    <n v="0"/>
    <n v="1"/>
    <n v="1"/>
    <n v="0"/>
  </r>
  <r>
    <x v="0"/>
    <s v="2025-05-18 18:56:05"/>
    <n v="5"/>
    <x v="9"/>
    <x v="3"/>
    <x v="3"/>
    <n v="0.33058218989107502"/>
    <n v="2E+20"/>
    <n v="0"/>
    <n v="1"/>
    <n v="0.6"/>
    <n v="0"/>
    <s v="Friday (Solucion: datafono, gofre, cocina y caja compartida)rMesaInstantaneous UtilizationResource"/>
    <n v="19"/>
    <n v="0.30850610959128738"/>
    <n v="6.2586127702931413E-2"/>
    <n v="0.95"/>
    <n v="3.0165547953177007E-2"/>
    <n v="0.156206445320244"/>
    <n v="0.44942505379986802"/>
    <n v="3.0165547953177007E-2"/>
  </r>
  <r>
    <x v="0"/>
    <s v="2025-05-18 18:56:05"/>
    <n v="5"/>
    <x v="9"/>
    <x v="4"/>
    <x v="3"/>
    <n v="1.65291094945538"/>
    <n v="2E+20"/>
    <n v="0"/>
    <n v="5"/>
    <n v="3"/>
    <n v="0"/>
    <s v="Friday (Solucion: datafono, gofre, cocina y caja compartida)rMesaNumber BusyResource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5"/>
    <x v="9"/>
    <x v="5"/>
    <x v="3"/>
    <n v="5"/>
    <n v="2E+20"/>
    <n v="5"/>
    <n v="5"/>
    <n v="5"/>
    <n v="0"/>
    <s v="Friday (Solucion: datafono, gofre, cocina y caja compartida)rMesaNumber ScheduledResource"/>
    <n v="19"/>
    <n v="5"/>
    <n v="0"/>
    <n v="0.95"/>
    <n v="0"/>
    <n v="5"/>
    <n v="5"/>
    <n v="0"/>
  </r>
  <r>
    <x v="0"/>
    <s v="2025-05-18 18:56:05"/>
    <n v="5"/>
    <x v="10"/>
    <x v="0"/>
    <x v="0"/>
    <n v="0"/>
    <n v="2E+20"/>
    <n v="0"/>
    <n v="1"/>
    <n v="0"/>
    <n v="0"/>
    <s v="Friday (Solucion: datafono, gofre, cocina y caja compartida)relojWIPEntity"/>
    <n v="19"/>
    <n v="0"/>
    <n v="0"/>
    <n v="0.95"/>
    <n v="0"/>
    <n v="0"/>
    <n v="0"/>
    <n v="0"/>
  </r>
  <r>
    <x v="0"/>
    <s v="2025-05-18 18:56:05"/>
    <n v="5"/>
    <x v="11"/>
    <x v="6"/>
    <x v="2"/>
    <n v="3.4626453223807898"/>
    <n v="2E+20"/>
    <n v="0"/>
    <n v="8"/>
    <n v="3"/>
    <n v="0"/>
    <s v="Friday (Solucion: datafono, gofre, cocina y caja compartida)vClientesEnSistemaVariableUser Specified"/>
    <n v="19"/>
    <n v="4.0733776306724412"/>
    <n v="1.3190004331473169"/>
    <n v="0.95"/>
    <n v="0.63573785879874822"/>
    <n v="2.7964405882205599"/>
    <n v="8.8656011818609901"/>
    <n v="0.63573785879874822"/>
  </r>
  <r>
    <x v="0"/>
    <s v="2025-05-18 18:56:05"/>
    <n v="5"/>
    <x v="12"/>
    <x v="6"/>
    <x v="2"/>
    <n v="3.3470890505446298"/>
    <n v="2E+20"/>
    <n v="0"/>
    <n v="5"/>
    <n v="2"/>
    <n v="0"/>
    <s v="Friday (Solucion: datafono, gofre, cocina y caja compartida)vMesasLibresVariableUser Specified"/>
    <n v="19"/>
    <n v="3.457469452043564"/>
    <n v="0.31293063851465691"/>
    <n v="0.95"/>
    <n v="0.15082773976588496"/>
    <n v="2.7528747310006598"/>
    <n v="4.2189677733987798"/>
    <n v="0.15082773976588496"/>
  </r>
  <r>
    <x v="0"/>
    <s v="2025-05-18 18:56:05"/>
    <n v="6"/>
    <x v="0"/>
    <x v="0"/>
    <x v="0"/>
    <n v="4.67451965766453"/>
    <n v="3E+20"/>
    <n v="0"/>
    <n v="13"/>
    <n v="8"/>
    <n v="0"/>
    <s v="Friday (Solucion: datafono, gofre, cocina y caja compartida)ClienteWIPEntity"/>
    <n v="19"/>
    <n v="5.695207969173218"/>
    <n v="1.5293712224665061"/>
    <n v="0.95"/>
    <n v="0.7371333335799507"/>
    <n v="3.6484308227805702"/>
    <n v="10.9337547677616"/>
    <n v="0.7371333335799507"/>
  </r>
  <r>
    <x v="0"/>
    <s v="2025-05-18 18:56:05"/>
    <n v="6"/>
    <x v="1"/>
    <x v="1"/>
    <x v="1"/>
    <n v="0"/>
    <n v="2E+20"/>
    <n v="0"/>
    <n v="0"/>
    <n v="0"/>
    <n v="0"/>
    <s v="Friday (Solucion: datafono, gofre, cocina y caja compartida)Comer en Mesa.QueueNumber WaitingQueue"/>
    <n v="19"/>
    <n v="0"/>
    <n v="0"/>
    <n v="0.95"/>
    <n v="0"/>
    <n v="0"/>
    <n v="0"/>
    <n v="0"/>
  </r>
  <r>
    <x v="0"/>
    <s v="2025-05-18 18:56:05"/>
    <n v="6"/>
    <x v="2"/>
    <x v="1"/>
    <x v="1"/>
    <n v="0.95119347509060603"/>
    <n v="2E+20"/>
    <n v="0"/>
    <n v="5"/>
    <n v="4"/>
    <n v="0"/>
    <s v="Friday (Solucion: datafono, gofre, cocina y caja compartida)Entrega pedido.QueueNumber WaitingQueue"/>
    <n v="19"/>
    <n v="1.4415832090470244"/>
    <n v="0.61323545266973079"/>
    <n v="0.95"/>
    <n v="0.29557002698587687"/>
    <n v="0.95119347509060603"/>
    <n v="3.71511779664222"/>
    <n v="0.29557002698587687"/>
  </r>
  <r>
    <x v="0"/>
    <s v="2025-05-18 18:56:05"/>
    <n v="6"/>
    <x v="3"/>
    <x v="0"/>
    <x v="0"/>
    <n v="2.5154029762991899"/>
    <n v="2E+20"/>
    <n v="0"/>
    <n v="7"/>
    <n v="5"/>
    <n v="0"/>
    <s v="Friday (Solucion: datafono, gofre, cocina y caja compartida)OrdenWIPEntity"/>
    <n v="19"/>
    <n v="3.0972744691234286"/>
    <n v="0.7960145604449721"/>
    <n v="0.95"/>
    <n v="0.38366673695655462"/>
    <n v="2.0609398302211299"/>
    <n v="5.8229936047650703"/>
    <n v="0.38366673695655462"/>
  </r>
  <r>
    <x v="0"/>
    <s v="2025-05-18 18:56:05"/>
    <n v="6"/>
    <x v="4"/>
    <x v="1"/>
    <x v="1"/>
    <n v="0.17506464523350199"/>
    <n v="2E+20"/>
    <n v="0"/>
    <n v="3"/>
    <n v="2"/>
    <n v="0"/>
    <s v="Friday (Solucion: datafono, gofre, cocina y caja compartida)Pasar a Caja.QueueNumber WaitingQueue"/>
    <n v="19"/>
    <n v="0.5234663348541454"/>
    <n v="0.51706251909874834"/>
    <n v="0.95"/>
    <n v="0.24921615679273348"/>
    <n v="0.17506464523350199"/>
    <n v="2.4783528335268201"/>
    <n v="0.24921615679273348"/>
  </r>
  <r>
    <x v="0"/>
    <s v="2025-05-18 18:56:05"/>
    <n v="6"/>
    <x v="5"/>
    <x v="1"/>
    <x v="1"/>
    <n v="0.136407028572338"/>
    <n v="2E+20"/>
    <n v="0"/>
    <n v="2"/>
    <n v="2"/>
    <n v="0"/>
    <s v="Friday (Solucion: datafono, gofre, cocina y caja compartida)Preparacion.QueueNumber WaitingQueue"/>
    <n v="19"/>
    <n v="0.48138063122984937"/>
    <n v="0.5430727934303009"/>
    <n v="0.95"/>
    <n v="0.26175270772536113"/>
    <n v="0.13383910219346701"/>
    <n v="2.5739205922552402"/>
    <n v="0.26175270772536113"/>
  </r>
  <r>
    <x v="0"/>
    <s v="2025-05-18 18:56:05"/>
    <n v="6"/>
    <x v="6"/>
    <x v="2"/>
    <x v="2"/>
    <n v="1.45596876046784"/>
    <n v="2E+20"/>
    <n v="0"/>
    <n v="4"/>
    <n v="1"/>
    <n v="0"/>
    <s v="Friday (Solucion: datafono, gofre, cocina y caja compartida)TP_MesasTime PersistentUser Specified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6"/>
    <x v="7"/>
    <x v="3"/>
    <x v="3"/>
    <n v="0.64480330756614701"/>
    <n v="2E+20"/>
    <n v="0"/>
    <n v="1"/>
    <n v="1"/>
    <n v="0"/>
    <s v="Friday (Solucion: datafono, gofre, cocina y caja compartida)rCajeroInstantaneous UtilizationResource"/>
    <n v="19"/>
    <n v="0.68474836505339687"/>
    <n v="6.2272947935973086E-2"/>
    <n v="0.95"/>
    <n v="3.0014600137344912E-2"/>
    <n v="0.59592290927233305"/>
    <n v="0.82897119936997599"/>
    <n v="3.0014600137344912E-2"/>
  </r>
  <r>
    <x v="0"/>
    <s v="2025-05-18 18:56:05"/>
    <n v="6"/>
    <x v="7"/>
    <x v="4"/>
    <x v="3"/>
    <n v="0.64480330756614701"/>
    <n v="2E+20"/>
    <n v="0"/>
    <n v="1"/>
    <n v="1"/>
    <n v="0"/>
    <s v="Friday (Solucion: datafono, gofre, cocina y caja compartida)rCajeroNumber BusyResource"/>
    <n v="19"/>
    <n v="0.68474836505339687"/>
    <n v="6.2272947935973065E-2"/>
    <n v="0.95"/>
    <n v="3.0014600137344902E-2"/>
    <n v="0.59592290927233305"/>
    <n v="0.82897119936997599"/>
    <n v="3.0014600137344902E-2"/>
  </r>
  <r>
    <x v="0"/>
    <s v="2025-05-18 18:56:05"/>
    <n v="6"/>
    <x v="7"/>
    <x v="5"/>
    <x v="3"/>
    <n v="1"/>
    <n v="2E+20"/>
    <n v="1"/>
    <n v="1"/>
    <n v="1"/>
    <n v="0"/>
    <s v="Friday (Solucion: datafono, gofre, cocina y caja compartida)rCajeroNumber ScheduledResource"/>
    <n v="19"/>
    <n v="1"/>
    <n v="0"/>
    <n v="0.95"/>
    <n v="0"/>
    <n v="1"/>
    <n v="1"/>
    <n v="0"/>
  </r>
  <r>
    <x v="0"/>
    <s v="2025-05-18 18:56:05"/>
    <n v="6"/>
    <x v="8"/>
    <x v="3"/>
    <x v="3"/>
    <n v="0.61204789609759702"/>
    <n v="2E+20"/>
    <n v="0"/>
    <n v="1"/>
    <n v="1"/>
    <n v="0"/>
    <s v="Friday (Solucion: datafono, gofre, cocina y caja compartida)rCocinaInstantaneous Utilization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6"/>
    <x v="8"/>
    <x v="4"/>
    <x v="3"/>
    <n v="0.61204789609759702"/>
    <n v="2E+20"/>
    <n v="0"/>
    <n v="1"/>
    <n v="1"/>
    <n v="0"/>
    <s v="Friday (Solucion: datafono, gofre, cocina y caja compartida)rCocinaNumber Busy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6"/>
    <x v="8"/>
    <x v="5"/>
    <x v="3"/>
    <n v="1"/>
    <n v="2E+20"/>
    <n v="1"/>
    <n v="1"/>
    <n v="1"/>
    <n v="0"/>
    <s v="Friday (Solucion: datafono, gofre, cocina y caja compartida)rCocinaNumber ScheduledResource"/>
    <n v="19"/>
    <n v="1"/>
    <n v="0"/>
    <n v="0.95"/>
    <n v="0"/>
    <n v="1"/>
    <n v="1"/>
    <n v="0"/>
  </r>
  <r>
    <x v="0"/>
    <s v="2025-05-18 18:56:05"/>
    <n v="6"/>
    <x v="9"/>
    <x v="3"/>
    <x v="3"/>
    <n v="0.29119375209356801"/>
    <n v="2E+20"/>
    <n v="0"/>
    <n v="0.8"/>
    <n v="0.2"/>
    <n v="0"/>
    <s v="Friday (Solucion: datafono, gofre, cocina y caja compartida)rMesaInstantaneous UtilizationResource"/>
    <n v="19"/>
    <n v="0.30850610959128738"/>
    <n v="6.2586127702931413E-2"/>
    <n v="0.95"/>
    <n v="3.0165547953177007E-2"/>
    <n v="0.156206445320244"/>
    <n v="0.44942505379986802"/>
    <n v="3.0165547953177007E-2"/>
  </r>
  <r>
    <x v="0"/>
    <s v="2025-05-18 18:56:05"/>
    <n v="6"/>
    <x v="9"/>
    <x v="4"/>
    <x v="3"/>
    <n v="1.45596876046784"/>
    <n v="2E+20"/>
    <n v="0"/>
    <n v="4"/>
    <n v="1"/>
    <n v="0"/>
    <s v="Friday (Solucion: datafono, gofre, cocina y caja compartida)rMesaNumber BusyResource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6"/>
    <x v="9"/>
    <x v="5"/>
    <x v="3"/>
    <n v="5"/>
    <n v="2E+20"/>
    <n v="5"/>
    <n v="5"/>
    <n v="5"/>
    <n v="0"/>
    <s v="Friday (Solucion: datafono, gofre, cocina y caja compartida)rMesaNumber ScheduledResource"/>
    <n v="19"/>
    <n v="5"/>
    <n v="0"/>
    <n v="0.95"/>
    <n v="0"/>
    <n v="5"/>
    <n v="5"/>
    <n v="0"/>
  </r>
  <r>
    <x v="0"/>
    <s v="2025-05-18 18:56:05"/>
    <n v="6"/>
    <x v="10"/>
    <x v="0"/>
    <x v="0"/>
    <n v="0"/>
    <n v="2E+20"/>
    <n v="0"/>
    <n v="1"/>
    <n v="0"/>
    <n v="0"/>
    <s v="Friday (Solucion: datafono, gofre, cocina y caja compartida)relojWIPEntity"/>
    <n v="19"/>
    <n v="0"/>
    <n v="0"/>
    <n v="0.95"/>
    <n v="0"/>
    <n v="0"/>
    <n v="0"/>
    <n v="0"/>
  </r>
  <r>
    <x v="0"/>
    <s v="2025-05-18 18:56:05"/>
    <n v="6"/>
    <x v="11"/>
    <x v="6"/>
    <x v="2"/>
    <n v="3.1430879342337201"/>
    <n v="2E+20"/>
    <n v="0"/>
    <n v="8"/>
    <n v="7"/>
    <n v="0"/>
    <s v="Friday (Solucion: datafono, gofre, cocina y caja compartida)vClientesEnSistemaVariableUser Specified"/>
    <n v="19"/>
    <n v="4.0733776306724412"/>
    <n v="1.3190004331473169"/>
    <n v="0.95"/>
    <n v="0.63573785879874822"/>
    <n v="2.7964405882205599"/>
    <n v="8.8656011818609901"/>
    <n v="0.63573785879874822"/>
  </r>
  <r>
    <x v="0"/>
    <s v="2025-05-18 18:56:05"/>
    <n v="6"/>
    <x v="12"/>
    <x v="6"/>
    <x v="2"/>
    <n v="3.5440312395321598"/>
    <n v="2E+20"/>
    <n v="1"/>
    <n v="5"/>
    <n v="4"/>
    <n v="0"/>
    <s v="Friday (Solucion: datafono, gofre, cocina y caja compartida)vMesasLibresVariableUser Specified"/>
    <n v="19"/>
    <n v="3.457469452043564"/>
    <n v="0.31293063851465691"/>
    <n v="0.95"/>
    <n v="0.15082773976588496"/>
    <n v="2.7528747310006598"/>
    <n v="4.2189677733987798"/>
    <n v="0.15082773976588496"/>
  </r>
  <r>
    <x v="0"/>
    <s v="2025-05-18 18:56:05"/>
    <n v="7"/>
    <x v="0"/>
    <x v="0"/>
    <x v="0"/>
    <n v="5.1495799239991404"/>
    <n v="3E+20"/>
    <n v="0"/>
    <n v="12"/>
    <n v="6"/>
    <n v="0"/>
    <s v="Friday (Solucion: datafono, gofre, cocina y caja compartida)ClienteWIPEntity"/>
    <n v="19"/>
    <n v="5.695207969173218"/>
    <n v="1.5293712224665061"/>
    <n v="0.95"/>
    <n v="0.7371333335799507"/>
    <n v="3.6484308227805702"/>
    <n v="10.9337547677616"/>
    <n v="0.7371333335799507"/>
  </r>
  <r>
    <x v="0"/>
    <s v="2025-05-18 18:56:05"/>
    <n v="7"/>
    <x v="1"/>
    <x v="1"/>
    <x v="1"/>
    <n v="0"/>
    <n v="2E+20"/>
    <n v="0"/>
    <n v="0"/>
    <n v="0"/>
    <n v="0"/>
    <s v="Friday (Solucion: datafono, gofre, cocina y caja compartida)Comer en Mesa.QueueNumber WaitingQueue"/>
    <n v="19"/>
    <n v="0"/>
    <n v="0"/>
    <n v="0.95"/>
    <n v="0"/>
    <n v="0"/>
    <n v="0"/>
    <n v="0"/>
  </r>
  <r>
    <x v="0"/>
    <s v="2025-05-18 18:56:05"/>
    <n v="7"/>
    <x v="2"/>
    <x v="1"/>
    <x v="1"/>
    <n v="0.988761420447273"/>
    <n v="2E+20"/>
    <n v="0"/>
    <n v="8"/>
    <n v="0"/>
    <n v="0"/>
    <s v="Friday (Solucion: datafono, gofre, cocina y caja compartida)Entrega pedido.QueueNumber WaitingQueue"/>
    <n v="19"/>
    <n v="1.4415832090470244"/>
    <n v="0.61323545266973079"/>
    <n v="0.95"/>
    <n v="0.29557002698587687"/>
    <n v="0.95119347509060603"/>
    <n v="3.71511779664222"/>
    <n v="0.29557002698587687"/>
  </r>
  <r>
    <x v="0"/>
    <s v="2025-05-18 18:56:05"/>
    <n v="7"/>
    <x v="3"/>
    <x v="0"/>
    <x v="0"/>
    <n v="2.70892822037837"/>
    <n v="2E+20"/>
    <n v="0"/>
    <n v="8"/>
    <n v="3"/>
    <n v="0"/>
    <s v="Friday (Solucion: datafono, gofre, cocina y caja compartida)OrdenWIPEntity"/>
    <n v="19"/>
    <n v="3.0972744691234286"/>
    <n v="0.7960145604449721"/>
    <n v="0.95"/>
    <n v="0.38366673695655462"/>
    <n v="2.0609398302211299"/>
    <n v="5.8229936047650703"/>
    <n v="0.38366673695655462"/>
  </r>
  <r>
    <x v="0"/>
    <s v="2025-05-18 18:56:05"/>
    <n v="7"/>
    <x v="4"/>
    <x v="1"/>
    <x v="1"/>
    <n v="0.29387257128290001"/>
    <n v="2E+20"/>
    <n v="0"/>
    <n v="5"/>
    <n v="0"/>
    <n v="0"/>
    <s v="Friday (Solucion: datafono, gofre, cocina y caja compartida)Pasar a Caja.QueueNumber WaitingQueue"/>
    <n v="19"/>
    <n v="0.5234663348541454"/>
    <n v="0.51706251909874834"/>
    <n v="0.95"/>
    <n v="0.24921615679273348"/>
    <n v="0.17506464523350199"/>
    <n v="2.4783528335268201"/>
    <n v="0.24921615679273348"/>
  </r>
  <r>
    <x v="0"/>
    <s v="2025-05-18 18:56:05"/>
    <n v="7"/>
    <x v="5"/>
    <x v="1"/>
    <x v="1"/>
    <n v="0.23481144086147299"/>
    <n v="2E+20"/>
    <n v="0"/>
    <n v="5"/>
    <n v="0"/>
    <n v="0"/>
    <s v="Friday (Solucion: datafono, gofre, cocina y caja compartida)Preparacion.QueueNumber WaitingQueue"/>
    <n v="19"/>
    <n v="0.48138063122984937"/>
    <n v="0.5430727934303009"/>
    <n v="0.95"/>
    <n v="0.26175270772536113"/>
    <n v="0.13383910219346701"/>
    <n v="2.5739205922552402"/>
    <n v="0.26175270772536113"/>
  </r>
  <r>
    <x v="0"/>
    <s v="2025-05-18 18:56:05"/>
    <n v="7"/>
    <x v="6"/>
    <x v="2"/>
    <x v="2"/>
    <n v="1.61637050363479"/>
    <n v="2E+20"/>
    <n v="0"/>
    <n v="4"/>
    <n v="3"/>
    <n v="0"/>
    <s v="Friday (Solucion: datafono, gofre, cocina y caja compartida)TP_MesasTime PersistentUser Specified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7"/>
    <x v="7"/>
    <x v="3"/>
    <x v="3"/>
    <n v="0.59592290927233305"/>
    <n v="2E+20"/>
    <n v="0"/>
    <n v="1"/>
    <n v="0"/>
    <n v="0"/>
    <s v="Friday (Solucion: datafono, gofre, cocina y caja compartida)rCajeroInstantaneous UtilizationResource"/>
    <n v="19"/>
    <n v="0.68474836505339687"/>
    <n v="6.2272947935973086E-2"/>
    <n v="0.95"/>
    <n v="3.0014600137344912E-2"/>
    <n v="0.59592290927233305"/>
    <n v="0.82897119936997599"/>
    <n v="3.0014600137344912E-2"/>
  </r>
  <r>
    <x v="0"/>
    <s v="2025-05-18 18:56:05"/>
    <n v="7"/>
    <x v="7"/>
    <x v="4"/>
    <x v="3"/>
    <n v="0.59592290927233305"/>
    <n v="2E+20"/>
    <n v="0"/>
    <n v="1"/>
    <n v="0"/>
    <n v="0"/>
    <s v="Friday (Solucion: datafono, gofre, cocina y caja compartida)rCajeroNumber BusyResource"/>
    <n v="19"/>
    <n v="0.68474836505339687"/>
    <n v="6.2272947935973065E-2"/>
    <n v="0.95"/>
    <n v="3.0014600137344902E-2"/>
    <n v="0.59592290927233305"/>
    <n v="0.82897119936997599"/>
    <n v="3.0014600137344902E-2"/>
  </r>
  <r>
    <x v="0"/>
    <s v="2025-05-18 18:56:05"/>
    <n v="7"/>
    <x v="7"/>
    <x v="5"/>
    <x v="3"/>
    <n v="1"/>
    <n v="2E+20"/>
    <n v="1"/>
    <n v="1"/>
    <n v="1"/>
    <n v="0"/>
    <s v="Friday (Solucion: datafono, gofre, cocina y caja compartida)rCajeroNumber ScheduledResource"/>
    <n v="19"/>
    <n v="1"/>
    <n v="0"/>
    <n v="0.95"/>
    <n v="0"/>
    <n v="1"/>
    <n v="1"/>
    <n v="0"/>
  </r>
  <r>
    <x v="0"/>
    <s v="2025-05-18 18:56:05"/>
    <n v="7"/>
    <x v="8"/>
    <x v="3"/>
    <x v="3"/>
    <n v="0.60463940272025996"/>
    <n v="2E+20"/>
    <n v="0"/>
    <n v="1"/>
    <n v="0"/>
    <n v="0"/>
    <s v="Friday (Solucion: datafono, gofre, cocina y caja compartida)rCocinaInstantaneous Utilization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7"/>
    <x v="8"/>
    <x v="4"/>
    <x v="3"/>
    <n v="0.60463940272025996"/>
    <n v="2E+20"/>
    <n v="0"/>
    <n v="1"/>
    <n v="0"/>
    <n v="0"/>
    <s v="Friday (Solucion: datafono, gofre, cocina y caja compartida)rCocinaNumber Busy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7"/>
    <x v="8"/>
    <x v="5"/>
    <x v="3"/>
    <n v="1"/>
    <n v="2E+20"/>
    <n v="1"/>
    <n v="1"/>
    <n v="1"/>
    <n v="0"/>
    <s v="Friday (Solucion: datafono, gofre, cocina y caja compartida)rCocinaNumber ScheduledResource"/>
    <n v="19"/>
    <n v="1"/>
    <n v="0"/>
    <n v="0.95"/>
    <n v="0"/>
    <n v="1"/>
    <n v="1"/>
    <n v="0"/>
  </r>
  <r>
    <x v="0"/>
    <s v="2025-05-18 18:56:05"/>
    <n v="7"/>
    <x v="9"/>
    <x v="3"/>
    <x v="3"/>
    <n v="0.323274100726959"/>
    <n v="2E+20"/>
    <n v="0"/>
    <n v="0.8"/>
    <n v="0.6"/>
    <n v="0"/>
    <s v="Friday (Solucion: datafono, gofre, cocina y caja compartida)rMesaInstantaneous UtilizationResource"/>
    <n v="19"/>
    <n v="0.30850610959128738"/>
    <n v="6.2586127702931413E-2"/>
    <n v="0.95"/>
    <n v="3.0165547953177007E-2"/>
    <n v="0.156206445320244"/>
    <n v="0.44942505379986802"/>
    <n v="3.0165547953177007E-2"/>
  </r>
  <r>
    <x v="0"/>
    <s v="2025-05-18 18:56:05"/>
    <n v="7"/>
    <x v="9"/>
    <x v="4"/>
    <x v="3"/>
    <n v="1.61637050363479"/>
    <n v="2E+20"/>
    <n v="0"/>
    <n v="4"/>
    <n v="3"/>
    <n v="0"/>
    <s v="Friday (Solucion: datafono, gofre, cocina y caja compartida)rMesaNumber BusyResource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7"/>
    <x v="9"/>
    <x v="5"/>
    <x v="3"/>
    <n v="5"/>
    <n v="2E+20"/>
    <n v="5"/>
    <n v="5"/>
    <n v="5"/>
    <n v="0"/>
    <s v="Friday (Solucion: datafono, gofre, cocina y caja compartida)rMesaNumber ScheduledResource"/>
    <n v="19"/>
    <n v="5"/>
    <n v="0"/>
    <n v="0.95"/>
    <n v="0"/>
    <n v="5"/>
    <n v="5"/>
    <n v="0"/>
  </r>
  <r>
    <x v="0"/>
    <s v="2025-05-18 18:56:05"/>
    <n v="7"/>
    <x v="10"/>
    <x v="0"/>
    <x v="0"/>
    <n v="0"/>
    <n v="2E+20"/>
    <n v="0"/>
    <n v="1"/>
    <n v="0"/>
    <n v="0"/>
    <s v="Friday (Solucion: datafono, gofre, cocina y caja compartida)relojWIPEntity"/>
    <n v="19"/>
    <n v="0"/>
    <n v="0"/>
    <n v="0.95"/>
    <n v="0"/>
    <n v="0"/>
    <n v="0"/>
    <n v="0"/>
  </r>
  <r>
    <x v="0"/>
    <s v="2025-05-18 18:56:05"/>
    <n v="7"/>
    <x v="11"/>
    <x v="6"/>
    <x v="2"/>
    <n v="3.4602464574013898"/>
    <n v="2E+20"/>
    <n v="0"/>
    <n v="9"/>
    <n v="3"/>
    <n v="0"/>
    <s v="Friday (Solucion: datafono, gofre, cocina y caja compartida)vClientesEnSistemaVariableUser Specified"/>
    <n v="19"/>
    <n v="4.0733776306724412"/>
    <n v="1.3190004331473169"/>
    <n v="0.95"/>
    <n v="0.63573785879874822"/>
    <n v="2.7964405882205599"/>
    <n v="8.8656011818609901"/>
    <n v="0.63573785879874822"/>
  </r>
  <r>
    <x v="0"/>
    <s v="2025-05-18 18:56:05"/>
    <n v="7"/>
    <x v="12"/>
    <x v="6"/>
    <x v="2"/>
    <n v="3.3836294963652098"/>
    <n v="2E+20"/>
    <n v="1"/>
    <n v="5"/>
    <n v="2"/>
    <n v="0"/>
    <s v="Friday (Solucion: datafono, gofre, cocina y caja compartida)vMesasLibresVariableUser Specified"/>
    <n v="19"/>
    <n v="3.457469452043564"/>
    <n v="0.31293063851465691"/>
    <n v="0.95"/>
    <n v="0.15082773976588496"/>
    <n v="2.7528747310006598"/>
    <n v="4.2189677733987798"/>
    <n v="0.15082773976588496"/>
  </r>
  <r>
    <x v="0"/>
    <s v="2025-05-18 18:56:05"/>
    <n v="8"/>
    <x v="0"/>
    <x v="0"/>
    <x v="0"/>
    <n v="6.0775200252130901"/>
    <n v="3E+20"/>
    <n v="0"/>
    <n v="16"/>
    <n v="8"/>
    <n v="0"/>
    <s v="Friday (Solucion: datafono, gofre, cocina y caja compartida)ClienteWIPEntity"/>
    <n v="19"/>
    <n v="5.695207969173218"/>
    <n v="1.5293712224665061"/>
    <n v="0.95"/>
    <n v="0.7371333335799507"/>
    <n v="3.6484308227805702"/>
    <n v="10.9337547677616"/>
    <n v="0.7371333335799507"/>
  </r>
  <r>
    <x v="0"/>
    <s v="2025-05-18 18:56:05"/>
    <n v="8"/>
    <x v="1"/>
    <x v="1"/>
    <x v="1"/>
    <n v="0"/>
    <n v="2E+20"/>
    <n v="0"/>
    <n v="0"/>
    <n v="0"/>
    <n v="0"/>
    <s v="Friday (Solucion: datafono, gofre, cocina y caja compartida)Comer en Mesa.QueueNumber WaitingQueue"/>
    <n v="19"/>
    <n v="0"/>
    <n v="0"/>
    <n v="0.95"/>
    <n v="0"/>
    <n v="0"/>
    <n v="0"/>
    <n v="0"/>
  </r>
  <r>
    <x v="0"/>
    <s v="2025-05-18 18:56:05"/>
    <n v="8"/>
    <x v="2"/>
    <x v="1"/>
    <x v="1"/>
    <n v="1.5925865491849001"/>
    <n v="2E+20"/>
    <n v="0"/>
    <n v="7"/>
    <n v="1"/>
    <n v="0"/>
    <s v="Friday (Solucion: datafono, gofre, cocina y caja compartida)Entrega pedido.QueueNumber WaitingQueue"/>
    <n v="19"/>
    <n v="1.4415832090470244"/>
    <n v="0.61323545266973079"/>
    <n v="0.95"/>
    <n v="0.29557002698587687"/>
    <n v="0.95119347509060603"/>
    <n v="3.71511779664222"/>
    <n v="0.29557002698587687"/>
  </r>
  <r>
    <x v="0"/>
    <s v="2025-05-18 18:56:05"/>
    <n v="8"/>
    <x v="3"/>
    <x v="0"/>
    <x v="0"/>
    <n v="3.3008593213869801"/>
    <n v="2E+20"/>
    <n v="0"/>
    <n v="9"/>
    <n v="4"/>
    <n v="0"/>
    <s v="Friday (Solucion: datafono, gofre, cocina y caja compartida)OrdenWIPEntity"/>
    <n v="19"/>
    <n v="3.0972744691234286"/>
    <n v="0.7960145604449721"/>
    <n v="0.95"/>
    <n v="0.38366673695655462"/>
    <n v="2.0609398302211299"/>
    <n v="5.8229936047650703"/>
    <n v="0.38366673695655462"/>
  </r>
  <r>
    <x v="0"/>
    <s v="2025-05-18 18:56:05"/>
    <n v="8"/>
    <x v="4"/>
    <x v="1"/>
    <x v="1"/>
    <n v="0.57182680148313003"/>
    <n v="2E+20"/>
    <n v="0"/>
    <n v="4"/>
    <n v="0"/>
    <n v="0"/>
    <s v="Friday (Solucion: datafono, gofre, cocina y caja compartida)Pasar a Caja.QueueNumber WaitingQueue"/>
    <n v="19"/>
    <n v="0.5234663348541454"/>
    <n v="0.51706251909874834"/>
    <n v="0.95"/>
    <n v="0.24921615679273348"/>
    <n v="0.17506464523350199"/>
    <n v="2.4783528335268201"/>
    <n v="0.24921615679273348"/>
  </r>
  <r>
    <x v="0"/>
    <s v="2025-05-18 18:56:05"/>
    <n v="8"/>
    <x v="5"/>
    <x v="1"/>
    <x v="1"/>
    <n v="0.51158757877485095"/>
    <n v="2E+20"/>
    <n v="0"/>
    <n v="4"/>
    <n v="0"/>
    <n v="0"/>
    <s v="Friday (Solucion: datafono, gofre, cocina y caja compartida)Preparacion.QueueNumber WaitingQueue"/>
    <n v="19"/>
    <n v="0.48138063122984937"/>
    <n v="0.5430727934303009"/>
    <n v="0.95"/>
    <n v="0.26175270772536113"/>
    <n v="0.13383910219346701"/>
    <n v="2.5739205922552402"/>
    <n v="0.26175270772536113"/>
  </r>
  <r>
    <x v="0"/>
    <s v="2025-05-18 18:56:05"/>
    <n v="8"/>
    <x v="6"/>
    <x v="2"/>
    <x v="2"/>
    <n v="1.5828098092391101"/>
    <n v="2E+20"/>
    <n v="0"/>
    <n v="5"/>
    <n v="3"/>
    <n v="0"/>
    <s v="Friday (Solucion: datafono, gofre, cocina y caja compartida)TP_MesasTime PersistentUser Specified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8"/>
    <x v="7"/>
    <x v="3"/>
    <x v="3"/>
    <n v="0.77465536357210296"/>
    <n v="2E+20"/>
    <n v="0"/>
    <n v="1"/>
    <n v="1"/>
    <n v="0"/>
    <s v="Friday (Solucion: datafono, gofre, cocina y caja compartida)rCajeroInstantaneous UtilizationResource"/>
    <n v="19"/>
    <n v="0.68474836505339687"/>
    <n v="6.2272947935973086E-2"/>
    <n v="0.95"/>
    <n v="3.0014600137344912E-2"/>
    <n v="0.59592290927233305"/>
    <n v="0.82897119936997599"/>
    <n v="3.0014600137344912E-2"/>
  </r>
  <r>
    <x v="0"/>
    <s v="2025-05-18 18:56:05"/>
    <n v="8"/>
    <x v="7"/>
    <x v="4"/>
    <x v="3"/>
    <n v="0.77465536357210296"/>
    <n v="2E+20"/>
    <n v="0"/>
    <n v="1"/>
    <n v="1"/>
    <n v="0"/>
    <s v="Friday (Solucion: datafono, gofre, cocina y caja compartida)rCajeroNumber BusyResource"/>
    <n v="19"/>
    <n v="0.68474836505339687"/>
    <n v="6.2272947935973065E-2"/>
    <n v="0.95"/>
    <n v="3.0014600137344902E-2"/>
    <n v="0.59592290927233305"/>
    <n v="0.82897119936997599"/>
    <n v="3.0014600137344902E-2"/>
  </r>
  <r>
    <x v="0"/>
    <s v="2025-05-18 18:56:05"/>
    <n v="8"/>
    <x v="7"/>
    <x v="5"/>
    <x v="3"/>
    <n v="1"/>
    <n v="2E+20"/>
    <n v="1"/>
    <n v="1"/>
    <n v="1"/>
    <n v="0"/>
    <s v="Friday (Solucion: datafono, gofre, cocina y caja compartida)rCajeroNumber ScheduledResource"/>
    <n v="19"/>
    <n v="1"/>
    <n v="0"/>
    <n v="0.95"/>
    <n v="0"/>
    <n v="1"/>
    <n v="1"/>
    <n v="0"/>
  </r>
  <r>
    <x v="0"/>
    <s v="2025-05-18 18:56:05"/>
    <n v="8"/>
    <x v="8"/>
    <x v="3"/>
    <x v="3"/>
    <n v="0.82790473697885303"/>
    <n v="2E+20"/>
    <n v="0"/>
    <n v="1"/>
    <n v="1"/>
    <n v="0"/>
    <s v="Friday (Solucion: datafono, gofre, cocina y caja compartida)rCocinaInstantaneous Utilization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8"/>
    <x v="8"/>
    <x v="4"/>
    <x v="3"/>
    <n v="0.82790473697885303"/>
    <n v="2E+20"/>
    <n v="0"/>
    <n v="1"/>
    <n v="1"/>
    <n v="0"/>
    <s v="Friday (Solucion: datafono, gofre, cocina y caja compartida)rCocinaNumber Busy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8"/>
    <x v="8"/>
    <x v="5"/>
    <x v="3"/>
    <n v="1"/>
    <n v="2E+20"/>
    <n v="1"/>
    <n v="1"/>
    <n v="1"/>
    <n v="0"/>
    <s v="Friday (Solucion: datafono, gofre, cocina y caja compartida)rCocinaNumber ScheduledResource"/>
    <n v="19"/>
    <n v="1"/>
    <n v="0"/>
    <n v="0.95"/>
    <n v="0"/>
    <n v="1"/>
    <n v="1"/>
    <n v="0"/>
  </r>
  <r>
    <x v="0"/>
    <s v="2025-05-18 18:56:05"/>
    <n v="8"/>
    <x v="9"/>
    <x v="3"/>
    <x v="3"/>
    <n v="0.31656196184782198"/>
    <n v="2E+20"/>
    <n v="0"/>
    <n v="1"/>
    <n v="0.6"/>
    <n v="0"/>
    <s v="Friday (Solucion: datafono, gofre, cocina y caja compartida)rMesaInstantaneous UtilizationResource"/>
    <n v="19"/>
    <n v="0.30850610959128738"/>
    <n v="6.2586127702931413E-2"/>
    <n v="0.95"/>
    <n v="3.0165547953177007E-2"/>
    <n v="0.156206445320244"/>
    <n v="0.44942505379986802"/>
    <n v="3.0165547953177007E-2"/>
  </r>
  <r>
    <x v="0"/>
    <s v="2025-05-18 18:56:05"/>
    <n v="8"/>
    <x v="9"/>
    <x v="4"/>
    <x v="3"/>
    <n v="1.5828098092391101"/>
    <n v="2E+20"/>
    <n v="0"/>
    <n v="5"/>
    <n v="3"/>
    <n v="0"/>
    <s v="Friday (Solucion: datafono, gofre, cocina y caja compartida)rMesaNumber BusyResource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8"/>
    <x v="9"/>
    <x v="5"/>
    <x v="3"/>
    <n v="5"/>
    <n v="2E+20"/>
    <n v="5"/>
    <n v="5"/>
    <n v="5"/>
    <n v="0"/>
    <s v="Friday (Solucion: datafono, gofre, cocina y caja compartida)rMesaNumber ScheduledResource"/>
    <n v="19"/>
    <n v="5"/>
    <n v="0"/>
    <n v="0.95"/>
    <n v="0"/>
    <n v="5"/>
    <n v="5"/>
    <n v="0"/>
  </r>
  <r>
    <x v="0"/>
    <s v="2025-05-18 18:56:05"/>
    <n v="8"/>
    <x v="10"/>
    <x v="0"/>
    <x v="0"/>
    <n v="0"/>
    <n v="2E+20"/>
    <n v="0"/>
    <n v="1"/>
    <n v="0"/>
    <n v="0"/>
    <s v="Friday (Solucion: datafono, gofre, cocina y caja compartida)relojWIPEntity"/>
    <n v="19"/>
    <n v="0"/>
    <n v="0"/>
    <n v="0.95"/>
    <n v="0"/>
    <n v="0"/>
    <n v="0"/>
    <n v="0"/>
  </r>
  <r>
    <x v="0"/>
    <s v="2025-05-18 18:56:05"/>
    <n v="8"/>
    <x v="11"/>
    <x v="6"/>
    <x v="2"/>
    <n v="4.4070250307887902"/>
    <n v="2E+20"/>
    <n v="0"/>
    <n v="11"/>
    <n v="5"/>
    <n v="0"/>
    <s v="Friday (Solucion: datafono, gofre, cocina y caja compartida)vClientesEnSistemaVariableUser Specified"/>
    <n v="19"/>
    <n v="4.0733776306724412"/>
    <n v="1.3190004331473169"/>
    <n v="0.95"/>
    <n v="0.63573785879874822"/>
    <n v="2.7964405882205599"/>
    <n v="8.8656011818609901"/>
    <n v="0.63573785879874822"/>
  </r>
  <r>
    <x v="0"/>
    <s v="2025-05-18 18:56:05"/>
    <n v="8"/>
    <x v="12"/>
    <x v="6"/>
    <x v="2"/>
    <n v="3.4171901907608899"/>
    <n v="2E+20"/>
    <n v="0"/>
    <n v="5"/>
    <n v="2"/>
    <n v="0"/>
    <s v="Friday (Solucion: datafono, gofre, cocina y caja compartida)vMesasLibresVariableUser Specified"/>
    <n v="19"/>
    <n v="3.457469452043564"/>
    <n v="0.31293063851465691"/>
    <n v="0.95"/>
    <n v="0.15082773976588496"/>
    <n v="2.7528747310006598"/>
    <n v="4.2189677733987798"/>
    <n v="0.15082773976588496"/>
  </r>
  <r>
    <x v="0"/>
    <s v="2025-05-18 18:56:05"/>
    <n v="9"/>
    <x v="0"/>
    <x v="0"/>
    <x v="0"/>
    <n v="5.0024209494055603"/>
    <n v="3E+20"/>
    <n v="0"/>
    <n v="13"/>
    <n v="6"/>
    <n v="0"/>
    <s v="Friday (Solucion: datafono, gofre, cocina y caja compartida)ClienteWIPEntity"/>
    <n v="19"/>
    <n v="5.695207969173218"/>
    <n v="1.5293712224665061"/>
    <n v="0.95"/>
    <n v="0.7371333335799507"/>
    <n v="3.6484308227805702"/>
    <n v="10.9337547677616"/>
    <n v="0.7371333335799507"/>
  </r>
  <r>
    <x v="0"/>
    <s v="2025-05-18 18:56:05"/>
    <n v="9"/>
    <x v="1"/>
    <x v="1"/>
    <x v="1"/>
    <n v="0"/>
    <n v="2E+20"/>
    <n v="0"/>
    <n v="0"/>
    <n v="0"/>
    <n v="0"/>
    <s v="Friday (Solucion: datafono, gofre, cocina y caja compartida)Comer en Mesa.QueueNumber WaitingQueue"/>
    <n v="19"/>
    <n v="0"/>
    <n v="0"/>
    <n v="0.95"/>
    <n v="0"/>
    <n v="0"/>
    <n v="0"/>
    <n v="0"/>
  </r>
  <r>
    <x v="0"/>
    <s v="2025-05-18 18:56:05"/>
    <n v="9"/>
    <x v="2"/>
    <x v="1"/>
    <x v="1"/>
    <n v="1.2727120102503"/>
    <n v="2E+20"/>
    <n v="0"/>
    <n v="6"/>
    <n v="2"/>
    <n v="0"/>
    <s v="Friday (Solucion: datafono, gofre, cocina y caja compartida)Entrega pedido.QueueNumber WaitingQueue"/>
    <n v="19"/>
    <n v="1.4415832090470244"/>
    <n v="0.61323545266973079"/>
    <n v="0.95"/>
    <n v="0.29557002698587687"/>
    <n v="0.95119347509060603"/>
    <n v="3.71511779664222"/>
    <n v="0.29557002698587687"/>
  </r>
  <r>
    <x v="0"/>
    <s v="2025-05-18 18:56:05"/>
    <n v="9"/>
    <x v="3"/>
    <x v="0"/>
    <x v="0"/>
    <n v="2.8248903672596701"/>
    <n v="2E+20"/>
    <n v="0"/>
    <n v="7"/>
    <n v="3"/>
    <n v="0"/>
    <s v="Friday (Solucion: datafono, gofre, cocina y caja compartida)OrdenWIPEntity"/>
    <n v="19"/>
    <n v="3.0972744691234286"/>
    <n v="0.7960145604449721"/>
    <n v="0.95"/>
    <n v="0.38366673695655462"/>
    <n v="2.0609398302211299"/>
    <n v="5.8229936047650703"/>
    <n v="0.38366673695655462"/>
  </r>
  <r>
    <x v="0"/>
    <s v="2025-05-18 18:56:05"/>
    <n v="9"/>
    <x v="4"/>
    <x v="1"/>
    <x v="1"/>
    <n v="0.24718724173151799"/>
    <n v="2E+20"/>
    <n v="0"/>
    <n v="4"/>
    <n v="2"/>
    <n v="0"/>
    <s v="Friday (Solucion: datafono, gofre, cocina y caja compartida)Pasar a Caja.QueueNumber WaitingQueue"/>
    <n v="19"/>
    <n v="0.5234663348541454"/>
    <n v="0.51706251909874834"/>
    <n v="0.95"/>
    <n v="0.24921615679273348"/>
    <n v="0.17506464523350199"/>
    <n v="2.4783528335268201"/>
    <n v="0.24921615679273348"/>
  </r>
  <r>
    <x v="0"/>
    <s v="2025-05-18 18:56:05"/>
    <n v="9"/>
    <x v="5"/>
    <x v="1"/>
    <x v="1"/>
    <n v="0.23829937072263499"/>
    <n v="2E+20"/>
    <n v="0"/>
    <n v="3"/>
    <n v="0"/>
    <n v="0"/>
    <s v="Friday (Solucion: datafono, gofre, cocina y caja compartida)Preparacion.QueueNumber WaitingQueue"/>
    <n v="19"/>
    <n v="0.48138063122984937"/>
    <n v="0.5430727934303009"/>
    <n v="0.95"/>
    <n v="0.26175270772536113"/>
    <n v="0.13383910219346701"/>
    <n v="2.5739205922552402"/>
    <n v="0.26175270772536113"/>
  </r>
  <r>
    <x v="0"/>
    <s v="2025-05-18 18:56:05"/>
    <n v="9"/>
    <x v="6"/>
    <x v="2"/>
    <x v="2"/>
    <n v="1.44745613478714"/>
    <n v="2E+20"/>
    <n v="0"/>
    <n v="5"/>
    <n v="1"/>
    <n v="0"/>
    <s v="Friday (Solucion: datafono, gofre, cocina y caja compartida)TP_MesasTime PersistentUser Specified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9"/>
    <x v="7"/>
    <x v="3"/>
    <x v="3"/>
    <n v="0.70138866139721001"/>
    <n v="2E+20"/>
    <n v="0"/>
    <n v="1"/>
    <n v="1"/>
    <n v="0"/>
    <s v="Friday (Solucion: datafono, gofre, cocina y caja compartida)rCajeroInstantaneous UtilizationResource"/>
    <n v="19"/>
    <n v="0.68474836505339687"/>
    <n v="6.2272947935973086E-2"/>
    <n v="0.95"/>
    <n v="3.0014600137344912E-2"/>
    <n v="0.59592290927233305"/>
    <n v="0.82897119936997599"/>
    <n v="3.0014600137344912E-2"/>
  </r>
  <r>
    <x v="0"/>
    <s v="2025-05-18 18:56:05"/>
    <n v="9"/>
    <x v="7"/>
    <x v="4"/>
    <x v="3"/>
    <n v="0.70138866139720901"/>
    <n v="2E+20"/>
    <n v="0"/>
    <n v="1"/>
    <n v="1"/>
    <n v="0"/>
    <s v="Friday (Solucion: datafono, gofre, cocina y caja compartida)rCajeroNumber BusyResource"/>
    <n v="19"/>
    <n v="0.68474836505339687"/>
    <n v="6.2272947935973065E-2"/>
    <n v="0.95"/>
    <n v="3.0014600137344902E-2"/>
    <n v="0.59592290927233305"/>
    <n v="0.82897119936997599"/>
    <n v="3.0014600137344902E-2"/>
  </r>
  <r>
    <x v="0"/>
    <s v="2025-05-18 18:56:05"/>
    <n v="9"/>
    <x v="7"/>
    <x v="5"/>
    <x v="3"/>
    <n v="1"/>
    <n v="2E+20"/>
    <n v="1"/>
    <n v="1"/>
    <n v="1"/>
    <n v="0"/>
    <s v="Friday (Solucion: datafono, gofre, cocina y caja compartida)rCajeroNumber ScheduledResource"/>
    <n v="19"/>
    <n v="1"/>
    <n v="0"/>
    <n v="0.95"/>
    <n v="0"/>
    <n v="1"/>
    <n v="1"/>
    <n v="0"/>
  </r>
  <r>
    <x v="0"/>
    <s v="2025-05-18 18:56:05"/>
    <n v="9"/>
    <x v="8"/>
    <x v="3"/>
    <x v="3"/>
    <n v="0.73211488746139697"/>
    <n v="2E+20"/>
    <n v="0"/>
    <n v="1"/>
    <n v="1"/>
    <n v="0"/>
    <s v="Friday (Solucion: datafono, gofre, cocina y caja compartida)rCocinaInstantaneous Utilization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9"/>
    <x v="8"/>
    <x v="4"/>
    <x v="3"/>
    <n v="0.73211488746139697"/>
    <n v="2E+20"/>
    <n v="0"/>
    <n v="1"/>
    <n v="1"/>
    <n v="0"/>
    <s v="Friday (Solucion: datafono, gofre, cocina y caja compartida)rCocinaNumber Busy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9"/>
    <x v="8"/>
    <x v="5"/>
    <x v="3"/>
    <n v="1"/>
    <n v="2E+20"/>
    <n v="1"/>
    <n v="1"/>
    <n v="1"/>
    <n v="0"/>
    <s v="Friday (Solucion: datafono, gofre, cocina y caja compartida)rCocinaNumber ScheduledResource"/>
    <n v="19"/>
    <n v="1"/>
    <n v="0"/>
    <n v="0.95"/>
    <n v="0"/>
    <n v="1"/>
    <n v="1"/>
    <n v="0"/>
  </r>
  <r>
    <x v="0"/>
    <s v="2025-05-18 18:56:05"/>
    <n v="9"/>
    <x v="9"/>
    <x v="3"/>
    <x v="3"/>
    <n v="0.28949122695742902"/>
    <n v="2E+20"/>
    <n v="0"/>
    <n v="1"/>
    <n v="0.2"/>
    <n v="0"/>
    <s v="Friday (Solucion: datafono, gofre, cocina y caja compartida)rMesaInstantaneous UtilizationResource"/>
    <n v="19"/>
    <n v="0.30850610959128738"/>
    <n v="6.2586127702931413E-2"/>
    <n v="0.95"/>
    <n v="3.0165547953177007E-2"/>
    <n v="0.156206445320244"/>
    <n v="0.44942505379986802"/>
    <n v="3.0165547953177007E-2"/>
  </r>
  <r>
    <x v="0"/>
    <s v="2025-05-18 18:56:05"/>
    <n v="9"/>
    <x v="9"/>
    <x v="4"/>
    <x v="3"/>
    <n v="1.44745613478714"/>
    <n v="2E+20"/>
    <n v="0"/>
    <n v="5"/>
    <n v="1"/>
    <n v="0"/>
    <s v="Friday (Solucion: datafono, gofre, cocina y caja compartida)rMesaNumber BusyResource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9"/>
    <x v="9"/>
    <x v="5"/>
    <x v="3"/>
    <n v="5"/>
    <n v="2E+20"/>
    <n v="5"/>
    <n v="5"/>
    <n v="5"/>
    <n v="0"/>
    <s v="Friday (Solucion: datafono, gofre, cocina y caja compartida)rMesaNumber ScheduledResource"/>
    <n v="19"/>
    <n v="5"/>
    <n v="0"/>
    <n v="0.95"/>
    <n v="0"/>
    <n v="5"/>
    <n v="5"/>
    <n v="0"/>
  </r>
  <r>
    <x v="0"/>
    <s v="2025-05-18 18:56:05"/>
    <n v="9"/>
    <x v="10"/>
    <x v="0"/>
    <x v="0"/>
    <n v="0"/>
    <n v="2E+20"/>
    <n v="0"/>
    <n v="1"/>
    <n v="0"/>
    <n v="0"/>
    <s v="Friday (Solucion: datafono, gofre, cocina y caja compartida)relojWIPEntity"/>
    <n v="19"/>
    <n v="0"/>
    <n v="0"/>
    <n v="0.95"/>
    <n v="0"/>
    <n v="0"/>
    <n v="0"/>
    <n v="0"/>
  </r>
  <r>
    <x v="0"/>
    <s v="2025-05-18 18:56:05"/>
    <n v="9"/>
    <x v="11"/>
    <x v="6"/>
    <x v="2"/>
    <n v="3.4816314812850901"/>
    <n v="2E+20"/>
    <n v="0"/>
    <n v="8"/>
    <n v="5"/>
    <n v="0"/>
    <s v="Friday (Solucion: datafono, gofre, cocina y caja compartida)vClientesEnSistemaVariableUser Specified"/>
    <n v="19"/>
    <n v="4.0733776306724412"/>
    <n v="1.3190004331473169"/>
    <n v="0.95"/>
    <n v="0.63573785879874822"/>
    <n v="2.7964405882205599"/>
    <n v="8.8656011818609901"/>
    <n v="0.63573785879874822"/>
  </r>
  <r>
    <x v="0"/>
    <s v="2025-05-18 18:56:05"/>
    <n v="9"/>
    <x v="12"/>
    <x v="6"/>
    <x v="2"/>
    <n v="3.55254386521286"/>
    <n v="2E+20"/>
    <n v="0"/>
    <n v="5"/>
    <n v="4"/>
    <n v="0"/>
    <s v="Friday (Solucion: datafono, gofre, cocina y caja compartida)vMesasLibresVariableUser Specified"/>
    <n v="19"/>
    <n v="3.457469452043564"/>
    <n v="0.31293063851465691"/>
    <n v="0.95"/>
    <n v="0.15082773976588496"/>
    <n v="2.7528747310006598"/>
    <n v="4.2189677733987798"/>
    <n v="0.15082773976588496"/>
  </r>
  <r>
    <x v="0"/>
    <s v="2025-05-18 18:56:05"/>
    <n v="10"/>
    <x v="0"/>
    <x v="0"/>
    <x v="0"/>
    <n v="7.4275005144937198"/>
    <n v="3E+20"/>
    <n v="0"/>
    <n v="18"/>
    <n v="4"/>
    <n v="0"/>
    <s v="Friday (Solucion: datafono, gofre, cocina y caja compartida)ClienteWIPEntity"/>
    <n v="19"/>
    <n v="5.695207969173218"/>
    <n v="1.5293712224665061"/>
    <n v="0.95"/>
    <n v="0.7371333335799507"/>
    <n v="3.6484308227805702"/>
    <n v="10.9337547677616"/>
    <n v="0.7371333335799507"/>
  </r>
  <r>
    <x v="0"/>
    <s v="2025-05-18 18:56:05"/>
    <n v="10"/>
    <x v="1"/>
    <x v="1"/>
    <x v="1"/>
    <n v="0"/>
    <n v="2E+20"/>
    <n v="0"/>
    <n v="0"/>
    <n v="0"/>
    <n v="0"/>
    <s v="Friday (Solucion: datafono, gofre, cocina y caja compartida)Comer en Mesa.QueueNumber WaitingQueue"/>
    <n v="19"/>
    <n v="0"/>
    <n v="0"/>
    <n v="0.95"/>
    <n v="0"/>
    <n v="0"/>
    <n v="0"/>
    <n v="0"/>
  </r>
  <r>
    <x v="0"/>
    <s v="2025-05-18 18:56:05"/>
    <n v="10"/>
    <x v="2"/>
    <x v="1"/>
    <x v="1"/>
    <n v="1.61393838334592"/>
    <n v="2E+20"/>
    <n v="0"/>
    <n v="8"/>
    <n v="0"/>
    <n v="0"/>
    <s v="Friday (Solucion: datafono, gofre, cocina y caja compartida)Entrega pedido.QueueNumber WaitingQueue"/>
    <n v="19"/>
    <n v="1.4415832090470244"/>
    <n v="0.61323545266973079"/>
    <n v="0.95"/>
    <n v="0.29557002698587687"/>
    <n v="0.95119347509060603"/>
    <n v="3.71511779664222"/>
    <n v="0.29557002698587687"/>
  </r>
  <r>
    <x v="0"/>
    <s v="2025-05-18 18:56:05"/>
    <n v="10"/>
    <x v="3"/>
    <x v="0"/>
    <x v="0"/>
    <n v="3.9693969856786002"/>
    <n v="2E+20"/>
    <n v="0"/>
    <n v="11"/>
    <n v="2"/>
    <n v="0"/>
    <s v="Friday (Solucion: datafono, gofre, cocina y caja compartida)OrdenWIPEntity"/>
    <n v="19"/>
    <n v="3.0972744691234286"/>
    <n v="0.7960145604449721"/>
    <n v="0.95"/>
    <n v="0.38366673695655462"/>
    <n v="2.0609398302211299"/>
    <n v="5.8229936047650703"/>
    <n v="0.38366673695655462"/>
  </r>
  <r>
    <x v="0"/>
    <s v="2025-05-18 18:56:05"/>
    <n v="10"/>
    <x v="4"/>
    <x v="1"/>
    <x v="1"/>
    <n v="0.66807779026997405"/>
    <n v="2E+20"/>
    <n v="0"/>
    <n v="5"/>
    <n v="0"/>
    <n v="0"/>
    <s v="Friday (Solucion: datafono, gofre, cocina y caja compartida)Pasar a Caja.QueueNumber WaitingQueue"/>
    <n v="19"/>
    <n v="0.5234663348541454"/>
    <n v="0.51706251909874834"/>
    <n v="0.95"/>
    <n v="0.24921615679273348"/>
    <n v="0.17506464523350199"/>
    <n v="2.4783528335268201"/>
    <n v="0.24921615679273348"/>
  </r>
  <r>
    <x v="0"/>
    <s v="2025-05-18 18:56:05"/>
    <n v="10"/>
    <x v="5"/>
    <x v="1"/>
    <x v="1"/>
    <n v="0.60120325146819698"/>
    <n v="2E+20"/>
    <n v="0"/>
    <n v="5"/>
    <n v="0"/>
    <n v="0"/>
    <s v="Friday (Solucion: datafono, gofre, cocina y caja compartida)Preparacion.QueueNumber WaitingQueue"/>
    <n v="19"/>
    <n v="0.48138063122984937"/>
    <n v="0.5430727934303009"/>
    <n v="0.95"/>
    <n v="0.26175270772536113"/>
    <n v="0.13383910219346701"/>
    <n v="2.5739205922552402"/>
    <n v="0.26175270772536113"/>
  </r>
  <r>
    <x v="0"/>
    <s v="2025-05-18 18:56:05"/>
    <n v="10"/>
    <x v="6"/>
    <x v="2"/>
    <x v="2"/>
    <n v="2.2471252689993402"/>
    <n v="2E+20"/>
    <n v="0"/>
    <n v="5"/>
    <n v="2"/>
    <n v="0"/>
    <s v="Friday (Solucion: datafono, gofre, cocina y caja compartida)TP_MesasTime PersistentUser Specified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10"/>
    <x v="7"/>
    <x v="3"/>
    <x v="3"/>
    <n v="0.73240339248557995"/>
    <n v="2E+20"/>
    <n v="0"/>
    <n v="1"/>
    <n v="0"/>
    <n v="0"/>
    <s v="Friday (Solucion: datafono, gofre, cocina y caja compartida)rCajeroInstantaneous UtilizationResource"/>
    <n v="19"/>
    <n v="0.68474836505339687"/>
    <n v="6.2272947935973086E-2"/>
    <n v="0.95"/>
    <n v="3.0014600137344912E-2"/>
    <n v="0.59592290927233305"/>
    <n v="0.82897119936997599"/>
    <n v="3.0014600137344912E-2"/>
  </r>
  <r>
    <x v="0"/>
    <s v="2025-05-18 18:56:05"/>
    <n v="10"/>
    <x v="7"/>
    <x v="4"/>
    <x v="3"/>
    <n v="0.73240339248557995"/>
    <n v="2E+20"/>
    <n v="0"/>
    <n v="1"/>
    <n v="0"/>
    <n v="0"/>
    <s v="Friday (Solucion: datafono, gofre, cocina y caja compartida)rCajeroNumber BusyResource"/>
    <n v="19"/>
    <n v="0.68474836505339687"/>
    <n v="6.2272947935973065E-2"/>
    <n v="0.95"/>
    <n v="3.0014600137344902E-2"/>
    <n v="0.59592290927233305"/>
    <n v="0.82897119936997599"/>
    <n v="3.0014600137344902E-2"/>
  </r>
  <r>
    <x v="0"/>
    <s v="2025-05-18 18:56:05"/>
    <n v="10"/>
    <x v="7"/>
    <x v="5"/>
    <x v="3"/>
    <n v="1"/>
    <n v="2E+20"/>
    <n v="1"/>
    <n v="1"/>
    <n v="1"/>
    <n v="0"/>
    <s v="Friday (Solucion: datafono, gofre, cocina y caja compartida)rCajeroNumber ScheduledResource"/>
    <n v="19"/>
    <n v="1"/>
    <n v="0"/>
    <n v="0.95"/>
    <n v="0"/>
    <n v="1"/>
    <n v="1"/>
    <n v="0"/>
  </r>
  <r>
    <x v="0"/>
    <s v="2025-05-18 18:56:05"/>
    <n v="10"/>
    <x v="8"/>
    <x v="3"/>
    <x v="3"/>
    <n v="0.73693591264165603"/>
    <n v="2E+20"/>
    <n v="0"/>
    <n v="1"/>
    <n v="0"/>
    <n v="0"/>
    <s v="Friday (Solucion: datafono, gofre, cocina y caja compartida)rCocinaInstantaneous Utilization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10"/>
    <x v="8"/>
    <x v="4"/>
    <x v="3"/>
    <n v="0.73693591264165603"/>
    <n v="2E+20"/>
    <n v="0"/>
    <n v="1"/>
    <n v="0"/>
    <n v="0"/>
    <s v="Friday (Solucion: datafono, gofre, cocina y caja compartida)rCocinaNumber Busy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10"/>
    <x v="8"/>
    <x v="5"/>
    <x v="3"/>
    <n v="1"/>
    <n v="2E+20"/>
    <n v="1"/>
    <n v="1"/>
    <n v="1"/>
    <n v="0"/>
    <s v="Friday (Solucion: datafono, gofre, cocina y caja compartida)rCocinaNumber ScheduledResource"/>
    <n v="19"/>
    <n v="1"/>
    <n v="0"/>
    <n v="0.95"/>
    <n v="0"/>
    <n v="1"/>
    <n v="1"/>
    <n v="0"/>
  </r>
  <r>
    <x v="0"/>
    <s v="2025-05-18 18:56:05"/>
    <n v="10"/>
    <x v="9"/>
    <x v="3"/>
    <x v="3"/>
    <n v="0.44942505379986802"/>
    <n v="2E+20"/>
    <n v="0"/>
    <n v="1"/>
    <n v="0.4"/>
    <n v="0"/>
    <s v="Friday (Solucion: datafono, gofre, cocina y caja compartida)rMesaInstantaneous UtilizationResource"/>
    <n v="19"/>
    <n v="0.30850610959128738"/>
    <n v="6.2586127702931413E-2"/>
    <n v="0.95"/>
    <n v="3.0165547953177007E-2"/>
    <n v="0.156206445320244"/>
    <n v="0.44942505379986802"/>
    <n v="3.0165547953177007E-2"/>
  </r>
  <r>
    <x v="0"/>
    <s v="2025-05-18 18:56:05"/>
    <n v="10"/>
    <x v="9"/>
    <x v="4"/>
    <x v="3"/>
    <n v="2.2471252689993402"/>
    <n v="2E+20"/>
    <n v="0"/>
    <n v="5"/>
    <n v="2"/>
    <n v="0"/>
    <s v="Friday (Solucion: datafono, gofre, cocina y caja compartida)rMesaNumber BusyResource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10"/>
    <x v="9"/>
    <x v="5"/>
    <x v="3"/>
    <n v="5"/>
    <n v="2E+20"/>
    <n v="5"/>
    <n v="5"/>
    <n v="5"/>
    <n v="0"/>
    <s v="Friday (Solucion: datafono, gofre, cocina y caja compartida)rMesaNumber ScheduledResource"/>
    <n v="19"/>
    <n v="5"/>
    <n v="0"/>
    <n v="0.95"/>
    <n v="0"/>
    <n v="5"/>
    <n v="5"/>
    <n v="0"/>
  </r>
  <r>
    <x v="0"/>
    <s v="2025-05-18 18:56:05"/>
    <n v="10"/>
    <x v="10"/>
    <x v="0"/>
    <x v="0"/>
    <n v="0"/>
    <n v="2E+20"/>
    <n v="0"/>
    <n v="1"/>
    <n v="0"/>
    <n v="0"/>
    <s v="Friday (Solucion: datafono, gofre, cocina y caja compartida)relojWIPEntity"/>
    <n v="19"/>
    <n v="0"/>
    <n v="0"/>
    <n v="0.95"/>
    <n v="0"/>
    <n v="0"/>
    <n v="0"/>
    <n v="0"/>
  </r>
  <r>
    <x v="0"/>
    <s v="2025-05-18 18:56:05"/>
    <n v="10"/>
    <x v="11"/>
    <x v="6"/>
    <x v="2"/>
    <n v="5.1048196899388198"/>
    <n v="2E+20"/>
    <n v="0"/>
    <n v="13"/>
    <n v="2"/>
    <n v="0"/>
    <s v="Friday (Solucion: datafono, gofre, cocina y caja compartida)vClientesEnSistemaVariableUser Specified"/>
    <n v="19"/>
    <n v="4.0733776306724412"/>
    <n v="1.3190004331473169"/>
    <n v="0.95"/>
    <n v="0.63573785879874822"/>
    <n v="2.7964405882205599"/>
    <n v="8.8656011818609901"/>
    <n v="0.63573785879874822"/>
  </r>
  <r>
    <x v="0"/>
    <s v="2025-05-18 18:56:05"/>
    <n v="10"/>
    <x v="12"/>
    <x v="6"/>
    <x v="2"/>
    <n v="2.7528747310006598"/>
    <n v="2E+20"/>
    <n v="0"/>
    <n v="5"/>
    <n v="3"/>
    <n v="0"/>
    <s v="Friday (Solucion: datafono, gofre, cocina y caja compartida)vMesasLibresVariableUser Specified"/>
    <n v="19"/>
    <n v="3.457469452043564"/>
    <n v="0.31293063851465691"/>
    <n v="0.95"/>
    <n v="0.15082773976588496"/>
    <n v="2.7528747310006598"/>
    <n v="4.2189677733987798"/>
    <n v="0.15082773976588496"/>
  </r>
  <r>
    <x v="0"/>
    <s v="2025-05-18 18:56:05"/>
    <n v="11"/>
    <x v="0"/>
    <x v="0"/>
    <x v="0"/>
    <n v="5.3630085907680698"/>
    <n v="3E+20"/>
    <n v="0"/>
    <n v="17"/>
    <n v="6"/>
    <n v="0"/>
    <s v="Friday (Solucion: datafono, gofre, cocina y caja compartida)ClienteWIPEntity"/>
    <n v="19"/>
    <n v="5.695207969173218"/>
    <n v="1.5293712224665061"/>
    <n v="0.95"/>
    <n v="0.7371333335799507"/>
    <n v="3.6484308227805702"/>
    <n v="10.9337547677616"/>
    <n v="0.7371333335799507"/>
  </r>
  <r>
    <x v="0"/>
    <s v="2025-05-18 18:56:05"/>
    <n v="11"/>
    <x v="1"/>
    <x v="1"/>
    <x v="1"/>
    <n v="0"/>
    <n v="2E+20"/>
    <n v="0"/>
    <n v="0"/>
    <n v="0"/>
    <n v="0"/>
    <s v="Friday (Solucion: datafono, gofre, cocina y caja compartida)Comer en Mesa.QueueNumber WaitingQueue"/>
    <n v="19"/>
    <n v="0"/>
    <n v="0"/>
    <n v="0.95"/>
    <n v="0"/>
    <n v="0"/>
    <n v="0"/>
    <n v="0"/>
  </r>
  <r>
    <x v="0"/>
    <s v="2025-05-18 18:56:05"/>
    <n v="11"/>
    <x v="2"/>
    <x v="1"/>
    <x v="1"/>
    <n v="1.27567076584159"/>
    <n v="2E+20"/>
    <n v="0"/>
    <n v="9"/>
    <n v="0"/>
    <n v="0"/>
    <s v="Friday (Solucion: datafono, gofre, cocina y caja compartida)Entrega pedido.QueueNumber WaitingQueue"/>
    <n v="19"/>
    <n v="1.4415832090470244"/>
    <n v="0.61323545266973079"/>
    <n v="0.95"/>
    <n v="0.29557002698587687"/>
    <n v="0.95119347509060603"/>
    <n v="3.71511779664222"/>
    <n v="0.29557002698587687"/>
  </r>
  <r>
    <x v="0"/>
    <s v="2025-05-18 18:56:05"/>
    <n v="11"/>
    <x v="3"/>
    <x v="0"/>
    <x v="0"/>
    <n v="2.9135616928468"/>
    <n v="2E+20"/>
    <n v="0"/>
    <n v="10"/>
    <n v="2"/>
    <n v="0"/>
    <s v="Friday (Solucion: datafono, gofre, cocina y caja compartida)OrdenWIPEntity"/>
    <n v="19"/>
    <n v="3.0972744691234286"/>
    <n v="0.7960145604449721"/>
    <n v="0.95"/>
    <n v="0.38366673695655462"/>
    <n v="2.0609398302211299"/>
    <n v="5.8229936047650703"/>
    <n v="0.38366673695655462"/>
  </r>
  <r>
    <x v="0"/>
    <s v="2025-05-18 18:56:05"/>
    <n v="11"/>
    <x v="4"/>
    <x v="1"/>
    <x v="1"/>
    <n v="0.41857871093183302"/>
    <n v="2E+20"/>
    <n v="0"/>
    <n v="6"/>
    <n v="0"/>
    <n v="0"/>
    <s v="Friday (Solucion: datafono, gofre, cocina y caja compartida)Pasar a Caja.QueueNumber WaitingQueue"/>
    <n v="19"/>
    <n v="0.5234663348541454"/>
    <n v="0.51706251909874834"/>
    <n v="0.95"/>
    <n v="0.24921615679273348"/>
    <n v="0.17506464523350199"/>
    <n v="2.4783528335268201"/>
    <n v="0.24921615679273348"/>
  </r>
  <r>
    <x v="0"/>
    <s v="2025-05-18 18:56:05"/>
    <n v="11"/>
    <x v="5"/>
    <x v="1"/>
    <x v="1"/>
    <n v="0.38816297146526502"/>
    <n v="2E+20"/>
    <n v="0"/>
    <n v="6"/>
    <n v="0"/>
    <n v="0"/>
    <s v="Friday (Solucion: datafono, gofre, cocina y caja compartida)Preparacion.QueueNumber WaitingQueue"/>
    <n v="19"/>
    <n v="0.48138063122984937"/>
    <n v="0.5430727934303009"/>
    <n v="0.95"/>
    <n v="0.26175270772536113"/>
    <n v="0.13383910219346701"/>
    <n v="2.5739205922552402"/>
    <n v="0.26175270772536113"/>
  </r>
  <r>
    <x v="0"/>
    <s v="2025-05-18 18:56:05"/>
    <n v="11"/>
    <x v="6"/>
    <x v="2"/>
    <x v="2"/>
    <n v="1.53150203811631"/>
    <n v="2E+20"/>
    <n v="0"/>
    <n v="5"/>
    <n v="2"/>
    <n v="0"/>
    <s v="Friday (Solucion: datafono, gofre, cocina y caja compartida)TP_MesasTime PersistentUser Specified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11"/>
    <x v="7"/>
    <x v="3"/>
    <x v="3"/>
    <n v="0.62130605304115805"/>
    <n v="2E+20"/>
    <n v="0"/>
    <n v="1"/>
    <n v="1"/>
    <n v="0"/>
    <s v="Friday (Solucion: datafono, gofre, cocina y caja compartida)rCajeroInstantaneous UtilizationResource"/>
    <n v="19"/>
    <n v="0.68474836505339687"/>
    <n v="6.2272947935973086E-2"/>
    <n v="0.95"/>
    <n v="3.0014600137344912E-2"/>
    <n v="0.59592290927233305"/>
    <n v="0.82897119936997599"/>
    <n v="3.0014600137344912E-2"/>
  </r>
  <r>
    <x v="0"/>
    <s v="2025-05-18 18:56:05"/>
    <n v="11"/>
    <x v="7"/>
    <x v="4"/>
    <x v="3"/>
    <n v="0.62130605304115805"/>
    <n v="2E+20"/>
    <n v="0"/>
    <n v="1"/>
    <n v="1"/>
    <n v="0"/>
    <s v="Friday (Solucion: datafono, gofre, cocina y caja compartida)rCajeroNumber BusyResource"/>
    <n v="19"/>
    <n v="0.68474836505339687"/>
    <n v="6.2272947935973065E-2"/>
    <n v="0.95"/>
    <n v="3.0014600137344902E-2"/>
    <n v="0.59592290927233305"/>
    <n v="0.82897119936997599"/>
    <n v="3.0014600137344902E-2"/>
  </r>
  <r>
    <x v="0"/>
    <s v="2025-05-18 18:56:05"/>
    <n v="11"/>
    <x v="7"/>
    <x v="5"/>
    <x v="3"/>
    <n v="1"/>
    <n v="2E+20"/>
    <n v="1"/>
    <n v="1"/>
    <n v="1"/>
    <n v="0"/>
    <s v="Friday (Solucion: datafono, gofre, cocina y caja compartida)rCajeroNumber ScheduledResource"/>
    <n v="19"/>
    <n v="1"/>
    <n v="0"/>
    <n v="0.95"/>
    <n v="0"/>
    <n v="1"/>
    <n v="1"/>
    <n v="0"/>
  </r>
  <r>
    <x v="0"/>
    <s v="2025-05-18 18:56:05"/>
    <n v="11"/>
    <x v="8"/>
    <x v="3"/>
    <x v="3"/>
    <n v="0.67954937168977902"/>
    <n v="2E+20"/>
    <n v="0"/>
    <n v="1"/>
    <n v="1"/>
    <n v="0"/>
    <s v="Friday (Solucion: datafono, gofre, cocina y caja compartida)rCocinaInstantaneous Utilization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11"/>
    <x v="8"/>
    <x v="4"/>
    <x v="3"/>
    <n v="0.67954937168977902"/>
    <n v="2E+20"/>
    <n v="0"/>
    <n v="1"/>
    <n v="1"/>
    <n v="0"/>
    <s v="Friday (Solucion: datafono, gofre, cocina y caja compartida)rCocinaNumber Busy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11"/>
    <x v="8"/>
    <x v="5"/>
    <x v="3"/>
    <n v="1"/>
    <n v="2E+20"/>
    <n v="1"/>
    <n v="1"/>
    <n v="1"/>
    <n v="0"/>
    <s v="Friday (Solucion: datafono, gofre, cocina y caja compartida)rCocinaNumber ScheduledResource"/>
    <n v="19"/>
    <n v="1"/>
    <n v="0"/>
    <n v="0.95"/>
    <n v="0"/>
    <n v="1"/>
    <n v="1"/>
    <n v="0"/>
  </r>
  <r>
    <x v="0"/>
    <s v="2025-05-18 18:56:05"/>
    <n v="11"/>
    <x v="9"/>
    <x v="3"/>
    <x v="3"/>
    <n v="0.30630040762326299"/>
    <n v="2E+20"/>
    <n v="0"/>
    <n v="1"/>
    <n v="0.4"/>
    <n v="0"/>
    <s v="Friday (Solucion: datafono, gofre, cocina y caja compartida)rMesaInstantaneous UtilizationResource"/>
    <n v="19"/>
    <n v="0.30850610959128738"/>
    <n v="6.2586127702931413E-2"/>
    <n v="0.95"/>
    <n v="3.0165547953177007E-2"/>
    <n v="0.156206445320244"/>
    <n v="0.44942505379986802"/>
    <n v="3.0165547953177007E-2"/>
  </r>
  <r>
    <x v="0"/>
    <s v="2025-05-18 18:56:05"/>
    <n v="11"/>
    <x v="9"/>
    <x v="4"/>
    <x v="3"/>
    <n v="1.53150203811631"/>
    <n v="2E+20"/>
    <n v="0"/>
    <n v="5"/>
    <n v="2"/>
    <n v="0"/>
    <s v="Friday (Solucion: datafono, gofre, cocina y caja compartida)rMesaNumber BusyResource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11"/>
    <x v="9"/>
    <x v="5"/>
    <x v="3"/>
    <n v="5"/>
    <n v="2E+20"/>
    <n v="5"/>
    <n v="5"/>
    <n v="5"/>
    <n v="0"/>
    <s v="Friday (Solucion: datafono, gofre, cocina y caja compartida)rMesaNumber ScheduledResource"/>
    <n v="19"/>
    <n v="5"/>
    <n v="0"/>
    <n v="0.95"/>
    <n v="0"/>
    <n v="5"/>
    <n v="5"/>
    <n v="0"/>
  </r>
  <r>
    <x v="0"/>
    <s v="2025-05-18 18:56:05"/>
    <n v="11"/>
    <x v="10"/>
    <x v="0"/>
    <x v="0"/>
    <n v="0"/>
    <n v="2E+20"/>
    <n v="0"/>
    <n v="1"/>
    <n v="0"/>
    <n v="0"/>
    <s v="Friday (Solucion: datafono, gofre, cocina y caja compartida)relojWIPEntity"/>
    <n v="19"/>
    <n v="0"/>
    <n v="0"/>
    <n v="0.95"/>
    <n v="0"/>
    <n v="0"/>
    <n v="0"/>
    <n v="0"/>
  </r>
  <r>
    <x v="0"/>
    <s v="2025-05-18 18:56:05"/>
    <n v="11"/>
    <x v="11"/>
    <x v="6"/>
    <x v="2"/>
    <n v="3.7567843304295301"/>
    <n v="2E+20"/>
    <n v="0"/>
    <n v="13"/>
    <n v="4"/>
    <n v="0"/>
    <s v="Friday (Solucion: datafono, gofre, cocina y caja compartida)vClientesEnSistemaVariableUser Specified"/>
    <n v="19"/>
    <n v="4.0733776306724412"/>
    <n v="1.3190004331473169"/>
    <n v="0.95"/>
    <n v="0.63573785879874822"/>
    <n v="2.7964405882205599"/>
    <n v="8.8656011818609901"/>
    <n v="0.63573785879874822"/>
  </r>
  <r>
    <x v="0"/>
    <s v="2025-05-18 18:56:05"/>
    <n v="11"/>
    <x v="12"/>
    <x v="6"/>
    <x v="2"/>
    <n v="3.4684979618836902"/>
    <n v="2E+20"/>
    <n v="0"/>
    <n v="5"/>
    <n v="3"/>
    <n v="0"/>
    <s v="Friday (Solucion: datafono, gofre, cocina y caja compartida)vMesasLibresVariableUser Specified"/>
    <n v="19"/>
    <n v="3.457469452043564"/>
    <n v="0.31293063851465691"/>
    <n v="0.95"/>
    <n v="0.15082773976588496"/>
    <n v="2.7528747310006598"/>
    <n v="4.2189677733987798"/>
    <n v="0.15082773976588496"/>
  </r>
  <r>
    <x v="0"/>
    <s v="2025-05-18 18:56:05"/>
    <n v="12"/>
    <x v="0"/>
    <x v="0"/>
    <x v="0"/>
    <n v="4.9858370233948399"/>
    <n v="3E+20"/>
    <n v="0"/>
    <n v="14"/>
    <n v="5"/>
    <n v="0"/>
    <s v="Friday (Solucion: datafono, gofre, cocina y caja compartida)ClienteWIPEntity"/>
    <n v="19"/>
    <n v="5.695207969173218"/>
    <n v="1.5293712224665061"/>
    <n v="0.95"/>
    <n v="0.7371333335799507"/>
    <n v="3.6484308227805702"/>
    <n v="10.9337547677616"/>
    <n v="0.7371333335799507"/>
  </r>
  <r>
    <x v="0"/>
    <s v="2025-05-18 18:56:05"/>
    <n v="12"/>
    <x v="1"/>
    <x v="1"/>
    <x v="1"/>
    <n v="0"/>
    <n v="2E+20"/>
    <n v="0"/>
    <n v="0"/>
    <n v="0"/>
    <n v="0"/>
    <s v="Friday (Solucion: datafono, gofre, cocina y caja compartida)Comer en Mesa.QueueNumber WaitingQueue"/>
    <n v="19"/>
    <n v="0"/>
    <n v="0"/>
    <n v="0.95"/>
    <n v="0"/>
    <n v="0"/>
    <n v="0"/>
    <n v="0"/>
  </r>
  <r>
    <x v="0"/>
    <s v="2025-05-18 18:56:05"/>
    <n v="12"/>
    <x v="2"/>
    <x v="1"/>
    <x v="1"/>
    <n v="1.3800377821472201"/>
    <n v="2E+20"/>
    <n v="0"/>
    <n v="7"/>
    <n v="1"/>
    <n v="0"/>
    <s v="Friday (Solucion: datafono, gofre, cocina y caja compartida)Entrega pedido.QueueNumber WaitingQueue"/>
    <n v="19"/>
    <n v="1.4415832090470244"/>
    <n v="0.61323545266973079"/>
    <n v="0.95"/>
    <n v="0.29557002698587687"/>
    <n v="0.95119347509060603"/>
    <n v="3.71511779664222"/>
    <n v="0.29557002698587687"/>
  </r>
  <r>
    <x v="0"/>
    <s v="2025-05-18 18:56:05"/>
    <n v="12"/>
    <x v="3"/>
    <x v="0"/>
    <x v="0"/>
    <n v="2.7584681281007599"/>
    <n v="2E+20"/>
    <n v="0"/>
    <n v="8"/>
    <n v="2"/>
    <n v="0"/>
    <s v="Friday (Solucion: datafono, gofre, cocina y caja compartida)OrdenWIPEntity"/>
    <n v="19"/>
    <n v="3.0972744691234286"/>
    <n v="0.7960145604449721"/>
    <n v="0.95"/>
    <n v="0.38366673695655462"/>
    <n v="2.0609398302211299"/>
    <n v="5.8229936047650703"/>
    <n v="0.38366673695655462"/>
  </r>
  <r>
    <x v="0"/>
    <s v="2025-05-18 18:56:05"/>
    <n v="12"/>
    <x v="4"/>
    <x v="1"/>
    <x v="1"/>
    <n v="0.44650360451746202"/>
    <n v="2E+20"/>
    <n v="0"/>
    <n v="4"/>
    <n v="1"/>
    <n v="0"/>
    <s v="Friday (Solucion: datafono, gofre, cocina y caja compartida)Pasar a Caja.QueueNumber WaitingQueue"/>
    <n v="19"/>
    <n v="0.5234663348541454"/>
    <n v="0.51706251909874834"/>
    <n v="0.95"/>
    <n v="0.24921615679273348"/>
    <n v="0.17506464523350199"/>
    <n v="2.4783528335268201"/>
    <n v="0.24921615679273348"/>
  </r>
  <r>
    <x v="0"/>
    <s v="2025-05-18 18:56:05"/>
    <n v="12"/>
    <x v="5"/>
    <x v="1"/>
    <x v="1"/>
    <n v="0.41298848913352099"/>
    <n v="2E+20"/>
    <n v="0"/>
    <n v="4"/>
    <n v="0"/>
    <n v="0"/>
    <s v="Friday (Solucion: datafono, gofre, cocina y caja compartida)Preparacion.QueueNumber WaitingQueue"/>
    <n v="19"/>
    <n v="0.48138063122984937"/>
    <n v="0.5430727934303009"/>
    <n v="0.95"/>
    <n v="0.26175270772536113"/>
    <n v="0.13383910219346701"/>
    <n v="2.5739205922552402"/>
    <n v="0.26175270772536113"/>
  </r>
  <r>
    <x v="0"/>
    <s v="2025-05-18 18:56:05"/>
    <n v="12"/>
    <x v="6"/>
    <x v="2"/>
    <x v="2"/>
    <n v="1.26917108669427"/>
    <n v="2E+20"/>
    <n v="0"/>
    <n v="4"/>
    <n v="1"/>
    <n v="0"/>
    <s v="Friday (Solucion: datafono, gofre, cocina y caja compartida)TP_MesasTime PersistentUser Specified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12"/>
    <x v="7"/>
    <x v="3"/>
    <x v="3"/>
    <n v="0.68321371392804497"/>
    <n v="2E+20"/>
    <n v="0"/>
    <n v="1"/>
    <n v="1"/>
    <n v="0"/>
    <s v="Friday (Solucion: datafono, gofre, cocina y caja compartida)rCajeroInstantaneous UtilizationResource"/>
    <n v="19"/>
    <n v="0.68474836505339687"/>
    <n v="6.2272947935973086E-2"/>
    <n v="0.95"/>
    <n v="3.0014600137344912E-2"/>
    <n v="0.59592290927233305"/>
    <n v="0.82897119936997599"/>
    <n v="3.0014600137344912E-2"/>
  </r>
  <r>
    <x v="0"/>
    <s v="2025-05-18 18:56:05"/>
    <n v="12"/>
    <x v="7"/>
    <x v="4"/>
    <x v="3"/>
    <n v="0.68321371392804497"/>
    <n v="2E+20"/>
    <n v="0"/>
    <n v="1"/>
    <n v="1"/>
    <n v="0"/>
    <s v="Friday (Solucion: datafono, gofre, cocina y caja compartida)rCajeroNumber BusyResource"/>
    <n v="19"/>
    <n v="0.68474836505339687"/>
    <n v="6.2272947935973065E-2"/>
    <n v="0.95"/>
    <n v="3.0014600137344902E-2"/>
    <n v="0.59592290927233305"/>
    <n v="0.82897119936997599"/>
    <n v="3.0014600137344902E-2"/>
  </r>
  <r>
    <x v="0"/>
    <s v="2025-05-18 18:56:05"/>
    <n v="12"/>
    <x v="7"/>
    <x v="5"/>
    <x v="3"/>
    <n v="1"/>
    <n v="2E+20"/>
    <n v="1"/>
    <n v="1"/>
    <n v="1"/>
    <n v="0"/>
    <s v="Friday (Solucion: datafono, gofre, cocina y caja compartida)rCajeroNumber ScheduledResource"/>
    <n v="19"/>
    <n v="1"/>
    <n v="0"/>
    <n v="0.95"/>
    <n v="0"/>
    <n v="1"/>
    <n v="1"/>
    <n v="0"/>
  </r>
  <r>
    <x v="0"/>
    <s v="2025-05-18 18:56:05"/>
    <n v="12"/>
    <x v="8"/>
    <x v="3"/>
    <x v="3"/>
    <n v="0.70645570909393796"/>
    <n v="2E+20"/>
    <n v="0"/>
    <n v="1"/>
    <n v="1"/>
    <n v="0"/>
    <s v="Friday (Solucion: datafono, gofre, cocina y caja compartida)rCocinaInstantaneous Utilization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12"/>
    <x v="8"/>
    <x v="4"/>
    <x v="3"/>
    <n v="0.70645570909393796"/>
    <n v="2E+20"/>
    <n v="0"/>
    <n v="1"/>
    <n v="1"/>
    <n v="0"/>
    <s v="Friday (Solucion: datafono, gofre, cocina y caja compartida)rCocinaNumber Busy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12"/>
    <x v="8"/>
    <x v="5"/>
    <x v="3"/>
    <n v="1"/>
    <n v="2E+20"/>
    <n v="1"/>
    <n v="1"/>
    <n v="1"/>
    <n v="0"/>
    <s v="Friday (Solucion: datafono, gofre, cocina y caja compartida)rCocinaNumber ScheduledResource"/>
    <n v="19"/>
    <n v="1"/>
    <n v="0"/>
    <n v="0.95"/>
    <n v="0"/>
    <n v="1"/>
    <n v="1"/>
    <n v="0"/>
  </r>
  <r>
    <x v="0"/>
    <s v="2025-05-18 18:56:05"/>
    <n v="12"/>
    <x v="9"/>
    <x v="3"/>
    <x v="3"/>
    <n v="0.25383421733885397"/>
    <n v="2E+20"/>
    <n v="0"/>
    <n v="0.8"/>
    <n v="0.2"/>
    <n v="0"/>
    <s v="Friday (Solucion: datafono, gofre, cocina y caja compartida)rMesaInstantaneous UtilizationResource"/>
    <n v="19"/>
    <n v="0.30850610959128738"/>
    <n v="6.2586127702931413E-2"/>
    <n v="0.95"/>
    <n v="3.0165547953177007E-2"/>
    <n v="0.156206445320244"/>
    <n v="0.44942505379986802"/>
    <n v="3.0165547953177007E-2"/>
  </r>
  <r>
    <x v="0"/>
    <s v="2025-05-18 18:56:05"/>
    <n v="12"/>
    <x v="9"/>
    <x v="4"/>
    <x v="3"/>
    <n v="1.26917108669427"/>
    <n v="2E+20"/>
    <n v="0"/>
    <n v="4"/>
    <n v="1"/>
    <n v="0"/>
    <s v="Friday (Solucion: datafono, gofre, cocina y caja compartida)rMesaNumber BusyResource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12"/>
    <x v="9"/>
    <x v="5"/>
    <x v="3"/>
    <n v="5"/>
    <n v="2E+20"/>
    <n v="5"/>
    <n v="5"/>
    <n v="5"/>
    <n v="0"/>
    <s v="Friday (Solucion: datafono, gofre, cocina y caja compartida)rMesaNumber ScheduledResource"/>
    <n v="19"/>
    <n v="5"/>
    <n v="0"/>
    <n v="0.95"/>
    <n v="0"/>
    <n v="5"/>
    <n v="5"/>
    <n v="0"/>
  </r>
  <r>
    <x v="0"/>
    <s v="2025-05-18 18:56:05"/>
    <n v="12"/>
    <x v="10"/>
    <x v="0"/>
    <x v="0"/>
    <n v="0"/>
    <n v="2E+20"/>
    <n v="0"/>
    <n v="1"/>
    <n v="0"/>
    <n v="0"/>
    <s v="Friday (Solucion: datafono, gofre, cocina y caja compartida)relojWIPEntity"/>
    <n v="19"/>
    <n v="0"/>
    <n v="0"/>
    <n v="0.95"/>
    <n v="0"/>
    <n v="0"/>
    <n v="0"/>
    <n v="0"/>
  </r>
  <r>
    <x v="0"/>
    <s v="2025-05-18 18:56:05"/>
    <n v="12"/>
    <x v="11"/>
    <x v="6"/>
    <x v="2"/>
    <n v="3.6390733441079801"/>
    <n v="2E+20"/>
    <n v="0"/>
    <n v="11"/>
    <n v="4"/>
    <n v="0"/>
    <s v="Friday (Solucion: datafono, gofre, cocina y caja compartida)vClientesEnSistemaVariableUser Specified"/>
    <n v="19"/>
    <n v="4.0733776306724412"/>
    <n v="1.3190004331473169"/>
    <n v="0.95"/>
    <n v="0.63573785879874822"/>
    <n v="2.7964405882205599"/>
    <n v="8.8656011818609901"/>
    <n v="0.63573785879874822"/>
  </r>
  <r>
    <x v="0"/>
    <s v="2025-05-18 18:56:05"/>
    <n v="12"/>
    <x v="12"/>
    <x v="6"/>
    <x v="2"/>
    <n v="3.73082891330573"/>
    <n v="2E+20"/>
    <n v="1"/>
    <n v="5"/>
    <n v="4"/>
    <n v="0"/>
    <s v="Friday (Solucion: datafono, gofre, cocina y caja compartida)vMesasLibresVariableUser Specified"/>
    <n v="19"/>
    <n v="3.457469452043564"/>
    <n v="0.31293063851465691"/>
    <n v="0.95"/>
    <n v="0.15082773976588496"/>
    <n v="2.7528747310006598"/>
    <n v="4.2189677733987798"/>
    <n v="0.15082773976588496"/>
  </r>
  <r>
    <x v="0"/>
    <s v="2025-05-18 18:56:05"/>
    <n v="13"/>
    <x v="0"/>
    <x v="0"/>
    <x v="0"/>
    <n v="5.2619900265742903"/>
    <n v="3E+20"/>
    <n v="0"/>
    <n v="12"/>
    <n v="7"/>
    <n v="0"/>
    <s v="Friday (Solucion: datafono, gofre, cocina y caja compartida)ClienteWIPEntity"/>
    <n v="19"/>
    <n v="5.695207969173218"/>
    <n v="1.5293712224665061"/>
    <n v="0.95"/>
    <n v="0.7371333335799507"/>
    <n v="3.6484308227805702"/>
    <n v="10.9337547677616"/>
    <n v="0.7371333335799507"/>
  </r>
  <r>
    <x v="0"/>
    <s v="2025-05-18 18:56:05"/>
    <n v="13"/>
    <x v="1"/>
    <x v="1"/>
    <x v="1"/>
    <n v="0"/>
    <n v="2E+20"/>
    <n v="0"/>
    <n v="0"/>
    <n v="0"/>
    <n v="0"/>
    <s v="Friday (Solucion: datafono, gofre, cocina y caja compartida)Comer en Mesa.QueueNumber WaitingQueue"/>
    <n v="19"/>
    <n v="0"/>
    <n v="0"/>
    <n v="0.95"/>
    <n v="0"/>
    <n v="0"/>
    <n v="0"/>
    <n v="0"/>
  </r>
  <r>
    <x v="0"/>
    <s v="2025-05-18 18:56:05"/>
    <n v="13"/>
    <x v="2"/>
    <x v="1"/>
    <x v="1"/>
    <n v="1.2534633766952401"/>
    <n v="2E+20"/>
    <n v="0"/>
    <n v="7"/>
    <n v="3"/>
    <n v="0"/>
    <s v="Friday (Solucion: datafono, gofre, cocina y caja compartida)Entrega pedido.QueueNumber WaitingQueue"/>
    <n v="19"/>
    <n v="1.4415832090470244"/>
    <n v="0.61323545266973079"/>
    <n v="0.95"/>
    <n v="0.29557002698587687"/>
    <n v="0.95119347509060603"/>
    <n v="3.71511779664222"/>
    <n v="0.29557002698587687"/>
  </r>
  <r>
    <x v="0"/>
    <s v="2025-05-18 18:56:05"/>
    <n v="13"/>
    <x v="3"/>
    <x v="0"/>
    <x v="0"/>
    <n v="2.8423137805655299"/>
    <n v="2E+20"/>
    <n v="0"/>
    <n v="7"/>
    <n v="4"/>
    <n v="0"/>
    <s v="Friday (Solucion: datafono, gofre, cocina y caja compartida)OrdenWIPEntity"/>
    <n v="19"/>
    <n v="3.0972744691234286"/>
    <n v="0.7960145604449721"/>
    <n v="0.95"/>
    <n v="0.38366673695655462"/>
    <n v="2.0609398302211299"/>
    <n v="5.8229936047650703"/>
    <n v="0.38366673695655462"/>
  </r>
  <r>
    <x v="0"/>
    <s v="2025-05-18 18:56:05"/>
    <n v="13"/>
    <x v="4"/>
    <x v="1"/>
    <x v="1"/>
    <n v="0.44710502065881402"/>
    <n v="2E+20"/>
    <n v="0"/>
    <n v="4"/>
    <n v="0"/>
    <n v="0"/>
    <s v="Friday (Solucion: datafono, gofre, cocina y caja compartida)Pasar a Caja.QueueNumber WaitingQueue"/>
    <n v="19"/>
    <n v="0.5234663348541454"/>
    <n v="0.51706251909874834"/>
    <n v="0.95"/>
    <n v="0.24921615679273348"/>
    <n v="0.17506464523350199"/>
    <n v="2.4783528335268201"/>
    <n v="0.24921615679273348"/>
  </r>
  <r>
    <x v="0"/>
    <s v="2025-05-18 18:56:05"/>
    <n v="13"/>
    <x v="5"/>
    <x v="1"/>
    <x v="1"/>
    <n v="0.29810458954956998"/>
    <n v="2E+20"/>
    <n v="0"/>
    <n v="4"/>
    <n v="3"/>
    <n v="0"/>
    <s v="Friday (Solucion: datafono, gofre, cocina y caja compartida)Preparacion.QueueNumber WaitingQueue"/>
    <n v="19"/>
    <n v="0.48138063122984937"/>
    <n v="0.5430727934303009"/>
    <n v="0.95"/>
    <n v="0.26175270772536113"/>
    <n v="0.13383910219346701"/>
    <n v="2.5739205922552402"/>
    <n v="0.26175270772536113"/>
  </r>
  <r>
    <x v="0"/>
    <s v="2025-05-18 18:56:05"/>
    <n v="13"/>
    <x v="6"/>
    <x v="2"/>
    <x v="2"/>
    <n v="1.48107262609251"/>
    <n v="2E+20"/>
    <n v="0"/>
    <n v="4"/>
    <n v="1"/>
    <n v="0"/>
    <s v="Friday (Solucion: datafono, gofre, cocina y caja compartida)TP_MesasTime PersistentUser Specified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13"/>
    <x v="7"/>
    <x v="3"/>
    <x v="3"/>
    <n v="0.66710192957718595"/>
    <n v="2E+20"/>
    <n v="0"/>
    <n v="1"/>
    <n v="1"/>
    <n v="0"/>
    <s v="Friday (Solucion: datafono, gofre, cocina y caja compartida)rCajeroInstantaneous UtilizationResource"/>
    <n v="19"/>
    <n v="0.68474836505339687"/>
    <n v="6.2272947935973086E-2"/>
    <n v="0.95"/>
    <n v="3.0014600137344912E-2"/>
    <n v="0.59592290927233305"/>
    <n v="0.82897119936997599"/>
    <n v="3.0014600137344912E-2"/>
  </r>
  <r>
    <x v="0"/>
    <s v="2025-05-18 18:56:05"/>
    <n v="13"/>
    <x v="7"/>
    <x v="4"/>
    <x v="3"/>
    <n v="0.66710192957718595"/>
    <n v="2E+20"/>
    <n v="0"/>
    <n v="1"/>
    <n v="1"/>
    <n v="0"/>
    <s v="Friday (Solucion: datafono, gofre, cocina y caja compartida)rCajeroNumber BusyResource"/>
    <n v="19"/>
    <n v="0.68474836505339687"/>
    <n v="6.2272947935973065E-2"/>
    <n v="0.95"/>
    <n v="3.0014600137344902E-2"/>
    <n v="0.59592290927233305"/>
    <n v="0.82897119936997599"/>
    <n v="3.0014600137344902E-2"/>
  </r>
  <r>
    <x v="0"/>
    <s v="2025-05-18 18:56:05"/>
    <n v="13"/>
    <x v="7"/>
    <x v="5"/>
    <x v="3"/>
    <n v="1"/>
    <n v="2E+20"/>
    <n v="1"/>
    <n v="1"/>
    <n v="1"/>
    <n v="0"/>
    <s v="Friday (Solucion: datafono, gofre, cocina y caja compartida)rCajeroNumber ScheduledResource"/>
    <n v="19"/>
    <n v="1"/>
    <n v="0"/>
    <n v="0.95"/>
    <n v="0"/>
    <n v="1"/>
    <n v="1"/>
    <n v="0"/>
  </r>
  <r>
    <x v="0"/>
    <s v="2025-05-18 18:56:05"/>
    <n v="13"/>
    <x v="8"/>
    <x v="3"/>
    <x v="3"/>
    <n v="0.69419990127037201"/>
    <n v="2E+20"/>
    <n v="0"/>
    <n v="1"/>
    <n v="1"/>
    <n v="0"/>
    <s v="Friday (Solucion: datafono, gofre, cocina y caja compartida)rCocinaInstantaneous Utilization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13"/>
    <x v="8"/>
    <x v="4"/>
    <x v="3"/>
    <n v="0.69419990127037201"/>
    <n v="2E+20"/>
    <n v="0"/>
    <n v="1"/>
    <n v="1"/>
    <n v="0"/>
    <s v="Friday (Solucion: datafono, gofre, cocina y caja compartida)rCocinaNumber Busy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13"/>
    <x v="8"/>
    <x v="5"/>
    <x v="3"/>
    <n v="1"/>
    <n v="2E+20"/>
    <n v="1"/>
    <n v="1"/>
    <n v="1"/>
    <n v="0"/>
    <s v="Friday (Solucion: datafono, gofre, cocina y caja compartida)rCocinaNumber ScheduledResource"/>
    <n v="19"/>
    <n v="1"/>
    <n v="0"/>
    <n v="0.95"/>
    <n v="0"/>
    <n v="1"/>
    <n v="1"/>
    <n v="0"/>
  </r>
  <r>
    <x v="0"/>
    <s v="2025-05-18 18:56:05"/>
    <n v="13"/>
    <x v="9"/>
    <x v="3"/>
    <x v="3"/>
    <n v="0.296214525218501"/>
    <n v="2E+20"/>
    <n v="0"/>
    <n v="0.8"/>
    <n v="0.2"/>
    <n v="0"/>
    <s v="Friday (Solucion: datafono, gofre, cocina y caja compartida)rMesaInstantaneous UtilizationResource"/>
    <n v="19"/>
    <n v="0.30850610959128738"/>
    <n v="6.2586127702931413E-2"/>
    <n v="0.95"/>
    <n v="3.0165547953177007E-2"/>
    <n v="0.156206445320244"/>
    <n v="0.44942505379986802"/>
    <n v="3.0165547953177007E-2"/>
  </r>
  <r>
    <x v="0"/>
    <s v="2025-05-18 18:56:05"/>
    <n v="13"/>
    <x v="9"/>
    <x v="4"/>
    <x v="3"/>
    <n v="1.48107262609251"/>
    <n v="2E+20"/>
    <n v="0"/>
    <n v="4"/>
    <n v="1"/>
    <n v="0"/>
    <s v="Friday (Solucion: datafono, gofre, cocina y caja compartida)rMesaNumber BusyResource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13"/>
    <x v="9"/>
    <x v="5"/>
    <x v="3"/>
    <n v="5"/>
    <n v="2E+20"/>
    <n v="5"/>
    <n v="5"/>
    <n v="5"/>
    <n v="0"/>
    <s v="Friday (Solucion: datafono, gofre, cocina y caja compartida)rMesaNumber ScheduledResource"/>
    <n v="19"/>
    <n v="5"/>
    <n v="0"/>
    <n v="0.95"/>
    <n v="0"/>
    <n v="5"/>
    <n v="5"/>
    <n v="0"/>
  </r>
  <r>
    <x v="0"/>
    <s v="2025-05-18 18:56:05"/>
    <n v="13"/>
    <x v="10"/>
    <x v="0"/>
    <x v="0"/>
    <n v="0"/>
    <n v="2E+20"/>
    <n v="0"/>
    <n v="1"/>
    <n v="0"/>
    <n v="0"/>
    <s v="Friday (Solucion: datafono, gofre, cocina y caja compartida)relojWIPEntity"/>
    <n v="19"/>
    <n v="0"/>
    <n v="0"/>
    <n v="0.95"/>
    <n v="0"/>
    <n v="0"/>
    <n v="0"/>
    <n v="0"/>
  </r>
  <r>
    <x v="0"/>
    <s v="2025-05-18 18:56:05"/>
    <n v="13"/>
    <x v="11"/>
    <x v="6"/>
    <x v="2"/>
    <n v="3.7059174004817801"/>
    <n v="2E+20"/>
    <n v="0"/>
    <n v="8"/>
    <n v="6"/>
    <n v="0"/>
    <s v="Friday (Solucion: datafono, gofre, cocina y caja compartida)vClientesEnSistemaVariableUser Specified"/>
    <n v="19"/>
    <n v="4.0733776306724412"/>
    <n v="1.3190004331473169"/>
    <n v="0.95"/>
    <n v="0.63573785879874822"/>
    <n v="2.7964405882205599"/>
    <n v="8.8656011818609901"/>
    <n v="0.63573785879874822"/>
  </r>
  <r>
    <x v="0"/>
    <s v="2025-05-18 18:56:05"/>
    <n v="13"/>
    <x v="12"/>
    <x v="6"/>
    <x v="2"/>
    <n v="3.51892737390749"/>
    <n v="2E+20"/>
    <n v="1"/>
    <n v="5"/>
    <n v="4"/>
    <n v="0"/>
    <s v="Friday (Solucion: datafono, gofre, cocina y caja compartida)vMesasLibresVariableUser Specified"/>
    <n v="19"/>
    <n v="3.457469452043564"/>
    <n v="0.31293063851465691"/>
    <n v="0.95"/>
    <n v="0.15082773976588496"/>
    <n v="2.7528747310006598"/>
    <n v="4.2189677733987798"/>
    <n v="0.15082773976588496"/>
  </r>
  <r>
    <x v="0"/>
    <s v="2025-05-18 18:56:05"/>
    <n v="14"/>
    <x v="0"/>
    <x v="0"/>
    <x v="0"/>
    <n v="6.3165305850200202"/>
    <n v="3E+20"/>
    <n v="1"/>
    <n v="15"/>
    <n v="12"/>
    <n v="0"/>
    <s v="Friday (Solucion: datafono, gofre, cocina y caja compartida)ClienteWIPEntity"/>
    <n v="19"/>
    <n v="5.695207969173218"/>
    <n v="1.5293712224665061"/>
    <n v="0.95"/>
    <n v="0.7371333335799507"/>
    <n v="3.6484308227805702"/>
    <n v="10.9337547677616"/>
    <n v="0.7371333335799507"/>
  </r>
  <r>
    <x v="0"/>
    <s v="2025-05-18 18:56:05"/>
    <n v="14"/>
    <x v="1"/>
    <x v="1"/>
    <x v="1"/>
    <n v="0"/>
    <n v="2E+20"/>
    <n v="0"/>
    <n v="0"/>
    <n v="0"/>
    <n v="0"/>
    <s v="Friday (Solucion: datafono, gofre, cocina y caja compartida)Comer en Mesa.QueueNumber WaitingQueue"/>
    <n v="19"/>
    <n v="0"/>
    <n v="0"/>
    <n v="0.95"/>
    <n v="0"/>
    <n v="0"/>
    <n v="0"/>
    <n v="0"/>
  </r>
  <r>
    <x v="0"/>
    <s v="2025-05-18 18:56:05"/>
    <n v="14"/>
    <x v="2"/>
    <x v="1"/>
    <x v="1"/>
    <n v="1.6904415580440499"/>
    <n v="2E+20"/>
    <n v="0"/>
    <n v="8"/>
    <n v="6"/>
    <n v="0"/>
    <s v="Friday (Solucion: datafono, gofre, cocina y caja compartida)Entrega pedido.QueueNumber WaitingQueue"/>
    <n v="19"/>
    <n v="1.4415832090470244"/>
    <n v="0.61323545266973079"/>
    <n v="0.95"/>
    <n v="0.29557002698587687"/>
    <n v="0.95119347509060603"/>
    <n v="3.71511779664222"/>
    <n v="0.29557002698587687"/>
  </r>
  <r>
    <x v="0"/>
    <s v="2025-05-18 18:56:05"/>
    <n v="14"/>
    <x v="3"/>
    <x v="0"/>
    <x v="0"/>
    <n v="3.4338833834657501"/>
    <n v="2E+20"/>
    <n v="0"/>
    <n v="9"/>
    <n v="8"/>
    <n v="0"/>
    <s v="Friday (Solucion: datafono, gofre, cocina y caja compartida)OrdenWIPEntity"/>
    <n v="19"/>
    <n v="3.0972744691234286"/>
    <n v="0.7960145604449721"/>
    <n v="0.95"/>
    <n v="0.38366673695655462"/>
    <n v="2.0609398302211299"/>
    <n v="5.8229936047650703"/>
    <n v="0.38366673695655462"/>
  </r>
  <r>
    <x v="0"/>
    <s v="2025-05-18 18:56:05"/>
    <n v="14"/>
    <x v="4"/>
    <x v="1"/>
    <x v="1"/>
    <n v="0.666170978317005"/>
    <n v="2E+20"/>
    <n v="0"/>
    <n v="6"/>
    <n v="2"/>
    <n v="0"/>
    <s v="Friday (Solucion: datafono, gofre, cocina y caja compartida)Pasar a Caja.QueueNumber WaitingQueue"/>
    <n v="19"/>
    <n v="0.5234663348541454"/>
    <n v="0.51706251909874834"/>
    <n v="0.95"/>
    <n v="0.24921615679273348"/>
    <n v="0.17506464523350199"/>
    <n v="2.4783528335268201"/>
    <n v="0.24921615679273348"/>
  </r>
  <r>
    <x v="0"/>
    <s v="2025-05-18 18:56:05"/>
    <n v="14"/>
    <x v="5"/>
    <x v="1"/>
    <x v="1"/>
    <n v="0.68472600186341803"/>
    <n v="2E+20"/>
    <n v="0"/>
    <n v="5"/>
    <n v="4"/>
    <n v="0"/>
    <s v="Friday (Solucion: datafono, gofre, cocina y caja compartida)Preparacion.QueueNumber WaitingQueue"/>
    <n v="19"/>
    <n v="0.48138063122984937"/>
    <n v="0.5430727934303009"/>
    <n v="0.95"/>
    <n v="0.26175270772536113"/>
    <n v="0.13383910219346701"/>
    <n v="2.5739205922552402"/>
    <n v="0.26175270772536113"/>
  </r>
  <r>
    <x v="0"/>
    <s v="2025-05-18 18:56:05"/>
    <n v="14"/>
    <x v="6"/>
    <x v="2"/>
    <x v="2"/>
    <n v="1.6177010846809501"/>
    <n v="2E+20"/>
    <n v="0"/>
    <n v="4"/>
    <n v="2"/>
    <n v="0"/>
    <s v="Friday (Solucion: datafono, gofre, cocina y caja compartida)TP_MesasTime PersistentUser Specified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14"/>
    <x v="7"/>
    <x v="3"/>
    <x v="3"/>
    <n v="0.73992182849147503"/>
    <n v="2E+20"/>
    <n v="0"/>
    <n v="1"/>
    <n v="1"/>
    <n v="0"/>
    <s v="Friday (Solucion: datafono, gofre, cocina y caja compartida)rCajeroInstantaneous UtilizationResource"/>
    <n v="19"/>
    <n v="0.68474836505339687"/>
    <n v="6.2272947935973086E-2"/>
    <n v="0.95"/>
    <n v="3.0014600137344912E-2"/>
    <n v="0.59592290927233305"/>
    <n v="0.82897119936997599"/>
    <n v="3.0014600137344912E-2"/>
  </r>
  <r>
    <x v="0"/>
    <s v="2025-05-18 18:56:05"/>
    <n v="14"/>
    <x v="7"/>
    <x v="4"/>
    <x v="3"/>
    <n v="0.73992182849147503"/>
    <n v="2E+20"/>
    <n v="0"/>
    <n v="1"/>
    <n v="1"/>
    <n v="0"/>
    <s v="Friday (Solucion: datafono, gofre, cocina y caja compartida)rCajeroNumber BusyResource"/>
    <n v="19"/>
    <n v="0.68474836505339687"/>
    <n v="6.2272947935973065E-2"/>
    <n v="0.95"/>
    <n v="3.0014600137344902E-2"/>
    <n v="0.59592290927233305"/>
    <n v="0.82897119936997599"/>
    <n v="3.0014600137344902E-2"/>
  </r>
  <r>
    <x v="0"/>
    <s v="2025-05-18 18:56:05"/>
    <n v="14"/>
    <x v="7"/>
    <x v="5"/>
    <x v="3"/>
    <n v="1"/>
    <n v="2E+20"/>
    <n v="1"/>
    <n v="1"/>
    <n v="1"/>
    <n v="0"/>
    <s v="Friday (Solucion: datafono, gofre, cocina y caja compartida)rCajeroNumber ScheduledResource"/>
    <n v="19"/>
    <n v="1"/>
    <n v="0"/>
    <n v="0.95"/>
    <n v="0"/>
    <n v="1"/>
    <n v="1"/>
    <n v="0"/>
  </r>
  <r>
    <x v="0"/>
    <s v="2025-05-18 18:56:05"/>
    <n v="14"/>
    <x v="8"/>
    <x v="3"/>
    <x v="3"/>
    <n v="0.76530960698621098"/>
    <n v="2E+20"/>
    <n v="0"/>
    <n v="1"/>
    <n v="1"/>
    <n v="0"/>
    <s v="Friday (Solucion: datafono, gofre, cocina y caja compartida)rCocinaInstantaneous Utilization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14"/>
    <x v="8"/>
    <x v="4"/>
    <x v="3"/>
    <n v="0.76530960698621098"/>
    <n v="2E+20"/>
    <n v="0"/>
    <n v="1"/>
    <n v="1"/>
    <n v="0"/>
    <s v="Friday (Solucion: datafono, gofre, cocina y caja compartida)rCocinaNumber Busy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14"/>
    <x v="8"/>
    <x v="5"/>
    <x v="3"/>
    <n v="1"/>
    <n v="2E+20"/>
    <n v="1"/>
    <n v="1"/>
    <n v="1"/>
    <n v="0"/>
    <s v="Friday (Solucion: datafono, gofre, cocina y caja compartida)rCocinaNumber ScheduledResource"/>
    <n v="19"/>
    <n v="1"/>
    <n v="0"/>
    <n v="0.95"/>
    <n v="0"/>
    <n v="1"/>
    <n v="1"/>
    <n v="0"/>
  </r>
  <r>
    <x v="0"/>
    <s v="2025-05-18 18:56:05"/>
    <n v="14"/>
    <x v="9"/>
    <x v="3"/>
    <x v="3"/>
    <n v="0.32354021693619101"/>
    <n v="2E+20"/>
    <n v="0"/>
    <n v="0.8"/>
    <n v="0.4"/>
    <n v="0"/>
    <s v="Friday (Solucion: datafono, gofre, cocina y caja compartida)rMesaInstantaneous UtilizationResource"/>
    <n v="19"/>
    <n v="0.30850610959128738"/>
    <n v="6.2586127702931413E-2"/>
    <n v="0.95"/>
    <n v="3.0165547953177007E-2"/>
    <n v="0.156206445320244"/>
    <n v="0.44942505379986802"/>
    <n v="3.0165547953177007E-2"/>
  </r>
  <r>
    <x v="0"/>
    <s v="2025-05-18 18:56:05"/>
    <n v="14"/>
    <x v="9"/>
    <x v="4"/>
    <x v="3"/>
    <n v="1.6177010846809501"/>
    <n v="2E+20"/>
    <n v="0"/>
    <n v="4"/>
    <n v="2"/>
    <n v="0"/>
    <s v="Friday (Solucion: datafono, gofre, cocina y caja compartida)rMesaNumber BusyResource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14"/>
    <x v="9"/>
    <x v="5"/>
    <x v="3"/>
    <n v="5"/>
    <n v="2E+20"/>
    <n v="5"/>
    <n v="5"/>
    <n v="5"/>
    <n v="0"/>
    <s v="Friday (Solucion: datafono, gofre, cocina y caja compartida)rMesaNumber ScheduledResource"/>
    <n v="19"/>
    <n v="5"/>
    <n v="0"/>
    <n v="0.95"/>
    <n v="0"/>
    <n v="5"/>
    <n v="5"/>
    <n v="0"/>
  </r>
  <r>
    <x v="0"/>
    <s v="2025-05-18 18:56:05"/>
    <n v="14"/>
    <x v="10"/>
    <x v="0"/>
    <x v="0"/>
    <n v="0"/>
    <n v="2E+20"/>
    <n v="0"/>
    <n v="1"/>
    <n v="0"/>
    <n v="0"/>
    <s v="Friday (Solucion: datafono, gofre, cocina y caja compartida)relojWIPEntity"/>
    <n v="19"/>
    <n v="0"/>
    <n v="0"/>
    <n v="0.95"/>
    <n v="0"/>
    <n v="0"/>
    <n v="0"/>
    <n v="0"/>
  </r>
  <r>
    <x v="0"/>
    <s v="2025-05-18 18:56:05"/>
    <n v="14"/>
    <x v="11"/>
    <x v="6"/>
    <x v="2"/>
    <n v="4.6116998707094297"/>
    <n v="2E+20"/>
    <n v="1"/>
    <n v="11"/>
    <n v="10"/>
    <n v="0"/>
    <s v="Friday (Solucion: datafono, gofre, cocina y caja compartida)vClientesEnSistemaVariableUser Specified"/>
    <n v="19"/>
    <n v="4.0733776306724412"/>
    <n v="1.3190004331473169"/>
    <n v="0.95"/>
    <n v="0.63573785879874822"/>
    <n v="2.7964405882205599"/>
    <n v="8.8656011818609901"/>
    <n v="0.63573785879874822"/>
  </r>
  <r>
    <x v="0"/>
    <s v="2025-05-18 18:56:05"/>
    <n v="14"/>
    <x v="12"/>
    <x v="6"/>
    <x v="2"/>
    <n v="3.3822989153190499"/>
    <n v="2E+20"/>
    <n v="1"/>
    <n v="5"/>
    <n v="3"/>
    <n v="0"/>
    <s v="Friday (Solucion: datafono, gofre, cocina y caja compartida)vMesasLibresVariableUser Specified"/>
    <n v="19"/>
    <n v="3.457469452043564"/>
    <n v="0.31293063851465691"/>
    <n v="0.95"/>
    <n v="0.15082773976588496"/>
    <n v="2.7528747310006598"/>
    <n v="4.2189677733987798"/>
    <n v="0.15082773976588496"/>
  </r>
  <r>
    <x v="0"/>
    <s v="2025-05-18 18:56:05"/>
    <n v="15"/>
    <x v="0"/>
    <x v="0"/>
    <x v="0"/>
    <n v="5.4387450440957403"/>
    <n v="3E+20"/>
    <n v="0"/>
    <n v="12"/>
    <n v="5"/>
    <n v="0"/>
    <s v="Friday (Solucion: datafono, gofre, cocina y caja compartida)ClienteWIPEntity"/>
    <n v="19"/>
    <n v="5.695207969173218"/>
    <n v="1.5293712224665061"/>
    <n v="0.95"/>
    <n v="0.7371333335799507"/>
    <n v="3.6484308227805702"/>
    <n v="10.9337547677616"/>
    <n v="0.7371333335799507"/>
  </r>
  <r>
    <x v="0"/>
    <s v="2025-05-18 18:56:05"/>
    <n v="15"/>
    <x v="1"/>
    <x v="1"/>
    <x v="1"/>
    <n v="0"/>
    <n v="2E+20"/>
    <n v="0"/>
    <n v="0"/>
    <n v="0"/>
    <n v="0"/>
    <s v="Friday (Solucion: datafono, gofre, cocina y caja compartida)Comer en Mesa.QueueNumber WaitingQueue"/>
    <n v="19"/>
    <n v="0"/>
    <n v="0"/>
    <n v="0.95"/>
    <n v="0"/>
    <n v="0"/>
    <n v="0"/>
    <n v="0"/>
  </r>
  <r>
    <x v="0"/>
    <s v="2025-05-18 18:56:05"/>
    <n v="15"/>
    <x v="2"/>
    <x v="1"/>
    <x v="1"/>
    <n v="1.3000443592466699"/>
    <n v="2E+20"/>
    <n v="0"/>
    <n v="6"/>
    <n v="0"/>
    <n v="0"/>
    <s v="Friday (Solucion: datafono, gofre, cocina y caja compartida)Entrega pedido.QueueNumber WaitingQueue"/>
    <n v="19"/>
    <n v="1.4415832090470244"/>
    <n v="0.61323545266973079"/>
    <n v="0.95"/>
    <n v="0.29557002698587687"/>
    <n v="0.95119347509060603"/>
    <n v="3.71511779664222"/>
    <n v="0.29557002698587687"/>
  </r>
  <r>
    <x v="0"/>
    <s v="2025-05-18 18:56:05"/>
    <n v="15"/>
    <x v="3"/>
    <x v="0"/>
    <x v="0"/>
    <n v="2.9660800212370599"/>
    <n v="2E+20"/>
    <n v="0"/>
    <n v="7"/>
    <n v="2"/>
    <n v="0"/>
    <s v="Friday (Solucion: datafono, gofre, cocina y caja compartida)OrdenWIPEntity"/>
    <n v="19"/>
    <n v="3.0972744691234286"/>
    <n v="0.7960145604449721"/>
    <n v="0.95"/>
    <n v="0.38366673695655462"/>
    <n v="2.0609398302211299"/>
    <n v="5.8229936047650703"/>
    <n v="0.38366673695655462"/>
  </r>
  <r>
    <x v="0"/>
    <s v="2025-05-18 18:56:05"/>
    <n v="15"/>
    <x v="4"/>
    <x v="1"/>
    <x v="1"/>
    <n v="0.380750618721581"/>
    <n v="2E+20"/>
    <n v="0"/>
    <n v="4"/>
    <n v="0"/>
    <n v="0"/>
    <s v="Friday (Solucion: datafono, gofre, cocina y caja compartida)Pasar a Caja.QueueNumber WaitingQueue"/>
    <n v="19"/>
    <n v="0.5234663348541454"/>
    <n v="0.51706251909874834"/>
    <n v="0.95"/>
    <n v="0.24921615679273348"/>
    <n v="0.17506464523350199"/>
    <n v="2.4783528335268201"/>
    <n v="0.24921615679273348"/>
  </r>
  <r>
    <x v="0"/>
    <s v="2025-05-18 18:56:05"/>
    <n v="15"/>
    <x v="5"/>
    <x v="1"/>
    <x v="1"/>
    <n v="0.33794022182065098"/>
    <n v="2E+20"/>
    <n v="0"/>
    <n v="3"/>
    <n v="0"/>
    <n v="0"/>
    <s v="Friday (Solucion: datafono, gofre, cocina y caja compartida)Preparacion.QueueNumber WaitingQueue"/>
    <n v="19"/>
    <n v="0.48138063122984937"/>
    <n v="0.5430727934303009"/>
    <n v="0.95"/>
    <n v="0.26175270772536113"/>
    <n v="0.13383910219346701"/>
    <n v="2.5739205922552402"/>
    <n v="0.26175270772536113"/>
  </r>
  <r>
    <x v="0"/>
    <s v="2025-05-18 18:56:05"/>
    <n v="15"/>
    <x v="6"/>
    <x v="2"/>
    <x v="2"/>
    <n v="1.5488134397681701"/>
    <n v="2E+20"/>
    <n v="0"/>
    <n v="4"/>
    <n v="2"/>
    <n v="0"/>
    <s v="Friday (Solucion: datafono, gofre, cocina y caja compartida)TP_MesasTime PersistentUser Specified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15"/>
    <x v="7"/>
    <x v="3"/>
    <x v="3"/>
    <n v="0.69703284839692703"/>
    <n v="2E+20"/>
    <n v="0"/>
    <n v="1"/>
    <n v="1"/>
    <n v="0"/>
    <s v="Friday (Solucion: datafono, gofre, cocina y caja compartida)rCajeroInstantaneous UtilizationResource"/>
    <n v="19"/>
    <n v="0.68474836505339687"/>
    <n v="6.2272947935973086E-2"/>
    <n v="0.95"/>
    <n v="3.0014600137344912E-2"/>
    <n v="0.59592290927233305"/>
    <n v="0.82897119936997599"/>
    <n v="3.0014600137344912E-2"/>
  </r>
  <r>
    <x v="0"/>
    <s v="2025-05-18 18:56:05"/>
    <n v="15"/>
    <x v="7"/>
    <x v="4"/>
    <x v="3"/>
    <n v="0.69703284839692703"/>
    <n v="2E+20"/>
    <n v="0"/>
    <n v="1"/>
    <n v="1"/>
    <n v="0"/>
    <s v="Friday (Solucion: datafono, gofre, cocina y caja compartida)rCajeroNumber BusyResource"/>
    <n v="19"/>
    <n v="0.68474836505339687"/>
    <n v="6.2272947935973065E-2"/>
    <n v="0.95"/>
    <n v="3.0014600137344902E-2"/>
    <n v="0.59592290927233305"/>
    <n v="0.82897119936997599"/>
    <n v="3.0014600137344902E-2"/>
  </r>
  <r>
    <x v="0"/>
    <s v="2025-05-18 18:56:05"/>
    <n v="15"/>
    <x v="7"/>
    <x v="5"/>
    <x v="3"/>
    <n v="1"/>
    <n v="2E+20"/>
    <n v="1"/>
    <n v="1"/>
    <n v="1"/>
    <n v="0"/>
    <s v="Friday (Solucion: datafono, gofre, cocina y caja compartida)rCajeroNumber ScheduledResource"/>
    <n v="19"/>
    <n v="1"/>
    <n v="0"/>
    <n v="0.95"/>
    <n v="0"/>
    <n v="1"/>
    <n v="1"/>
    <n v="0"/>
  </r>
  <r>
    <x v="0"/>
    <s v="2025-05-18 18:56:05"/>
    <n v="15"/>
    <x v="8"/>
    <x v="3"/>
    <x v="3"/>
    <n v="0.71317225339803103"/>
    <n v="2E+20"/>
    <n v="0"/>
    <n v="1"/>
    <n v="0"/>
    <n v="0"/>
    <s v="Friday (Solucion: datafono, gofre, cocina y caja compartida)rCocinaInstantaneous Utilization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15"/>
    <x v="8"/>
    <x v="4"/>
    <x v="3"/>
    <n v="0.71317225339803103"/>
    <n v="2E+20"/>
    <n v="0"/>
    <n v="1"/>
    <n v="0"/>
    <n v="0"/>
    <s v="Friday (Solucion: datafono, gofre, cocina y caja compartida)rCocinaNumber Busy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15"/>
    <x v="8"/>
    <x v="5"/>
    <x v="3"/>
    <n v="1"/>
    <n v="2E+20"/>
    <n v="1"/>
    <n v="1"/>
    <n v="1"/>
    <n v="0"/>
    <s v="Friday (Solucion: datafono, gofre, cocina y caja compartida)rCocinaNumber ScheduledResource"/>
    <n v="19"/>
    <n v="1"/>
    <n v="0"/>
    <n v="0.95"/>
    <n v="0"/>
    <n v="1"/>
    <n v="1"/>
    <n v="0"/>
  </r>
  <r>
    <x v="0"/>
    <s v="2025-05-18 18:56:05"/>
    <n v="15"/>
    <x v="9"/>
    <x v="3"/>
    <x v="3"/>
    <n v="0.30976268795363299"/>
    <n v="2E+20"/>
    <n v="0"/>
    <n v="0.8"/>
    <n v="0.4"/>
    <n v="0"/>
    <s v="Friday (Solucion: datafono, gofre, cocina y caja compartida)rMesaInstantaneous UtilizationResource"/>
    <n v="19"/>
    <n v="0.30850610959128738"/>
    <n v="6.2586127702931413E-2"/>
    <n v="0.95"/>
    <n v="3.0165547953177007E-2"/>
    <n v="0.156206445320244"/>
    <n v="0.44942505379986802"/>
    <n v="3.0165547953177007E-2"/>
  </r>
  <r>
    <x v="0"/>
    <s v="2025-05-18 18:56:05"/>
    <n v="15"/>
    <x v="9"/>
    <x v="4"/>
    <x v="3"/>
    <n v="1.5488134397681701"/>
    <n v="2E+20"/>
    <n v="0"/>
    <n v="4"/>
    <n v="2"/>
    <n v="0"/>
    <s v="Friday (Solucion: datafono, gofre, cocina y caja compartida)rMesaNumber BusyResource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15"/>
    <x v="9"/>
    <x v="5"/>
    <x v="3"/>
    <n v="5"/>
    <n v="2E+20"/>
    <n v="5"/>
    <n v="5"/>
    <n v="5"/>
    <n v="0"/>
    <s v="Friday (Solucion: datafono, gofre, cocina y caja compartida)rMesaNumber ScheduledResource"/>
    <n v="19"/>
    <n v="5"/>
    <n v="0"/>
    <n v="0.95"/>
    <n v="0"/>
    <n v="5"/>
    <n v="5"/>
    <n v="0"/>
  </r>
  <r>
    <x v="0"/>
    <s v="2025-05-18 18:56:05"/>
    <n v="15"/>
    <x v="10"/>
    <x v="0"/>
    <x v="0"/>
    <n v="0"/>
    <n v="2E+20"/>
    <n v="0"/>
    <n v="1"/>
    <n v="0"/>
    <n v="0"/>
    <s v="Friday (Solucion: datafono, gofre, cocina y caja compartida)relojWIPEntity"/>
    <n v="19"/>
    <n v="0"/>
    <n v="0"/>
    <n v="0.95"/>
    <n v="0"/>
    <n v="0"/>
    <n v="0"/>
    <n v="0"/>
  </r>
  <r>
    <x v="0"/>
    <s v="2025-05-18 18:56:05"/>
    <n v="15"/>
    <x v="11"/>
    <x v="6"/>
    <x v="2"/>
    <n v="3.8071538265498002"/>
    <n v="2E+20"/>
    <n v="0"/>
    <n v="9"/>
    <n v="3"/>
    <n v="0"/>
    <s v="Friday (Solucion: datafono, gofre, cocina y caja compartida)vClientesEnSistemaVariableUser Specified"/>
    <n v="19"/>
    <n v="4.0733776306724412"/>
    <n v="1.3190004331473169"/>
    <n v="0.95"/>
    <n v="0.63573785879874822"/>
    <n v="2.7964405882205599"/>
    <n v="8.8656011818609901"/>
    <n v="0.63573785879874822"/>
  </r>
  <r>
    <x v="0"/>
    <s v="2025-05-18 18:56:05"/>
    <n v="15"/>
    <x v="12"/>
    <x v="6"/>
    <x v="2"/>
    <n v="3.4511865602318301"/>
    <n v="2E+20"/>
    <n v="1"/>
    <n v="5"/>
    <n v="3"/>
    <n v="0"/>
    <s v="Friday (Solucion: datafono, gofre, cocina y caja compartida)vMesasLibresVariableUser Specified"/>
    <n v="19"/>
    <n v="3.457469452043564"/>
    <n v="0.31293063851465691"/>
    <n v="0.95"/>
    <n v="0.15082773976588496"/>
    <n v="2.7528747310006598"/>
    <n v="4.2189677733987798"/>
    <n v="0.15082773976588496"/>
  </r>
  <r>
    <x v="0"/>
    <s v="2025-05-18 18:56:05"/>
    <n v="16"/>
    <x v="0"/>
    <x v="0"/>
    <x v="0"/>
    <n v="5.6738213288003196"/>
    <n v="3E+20"/>
    <n v="0"/>
    <n v="13"/>
    <n v="5"/>
    <n v="0"/>
    <s v="Friday (Solucion: datafono, gofre, cocina y caja compartida)ClienteWIPEntity"/>
    <n v="19"/>
    <n v="5.695207969173218"/>
    <n v="1.5293712224665061"/>
    <n v="0.95"/>
    <n v="0.7371333335799507"/>
    <n v="3.6484308227805702"/>
    <n v="10.9337547677616"/>
    <n v="0.7371333335799507"/>
  </r>
  <r>
    <x v="0"/>
    <s v="2025-05-18 18:56:05"/>
    <n v="16"/>
    <x v="1"/>
    <x v="1"/>
    <x v="1"/>
    <n v="0"/>
    <n v="2E+20"/>
    <n v="0"/>
    <n v="0"/>
    <n v="0"/>
    <n v="0"/>
    <s v="Friday (Solucion: datafono, gofre, cocina y caja compartida)Comer en Mesa.QueueNumber WaitingQueue"/>
    <n v="19"/>
    <n v="0"/>
    <n v="0"/>
    <n v="0.95"/>
    <n v="0"/>
    <n v="0"/>
    <n v="0"/>
    <n v="0"/>
  </r>
  <r>
    <x v="0"/>
    <s v="2025-05-18 18:56:05"/>
    <n v="16"/>
    <x v="2"/>
    <x v="1"/>
    <x v="1"/>
    <n v="1.0564961441210601"/>
    <n v="2E+20"/>
    <n v="0"/>
    <n v="5"/>
    <n v="1"/>
    <n v="0"/>
    <s v="Friday (Solucion: datafono, gofre, cocina y caja compartida)Entrega pedido.QueueNumber WaitingQueue"/>
    <n v="19"/>
    <n v="1.4415832090470244"/>
    <n v="0.61323545266973079"/>
    <n v="0.95"/>
    <n v="0.29557002698587687"/>
    <n v="0.95119347509060603"/>
    <n v="3.71511779664222"/>
    <n v="0.29557002698587687"/>
  </r>
  <r>
    <x v="0"/>
    <s v="2025-05-18 18:56:05"/>
    <n v="16"/>
    <x v="3"/>
    <x v="0"/>
    <x v="0"/>
    <n v="3.06847811811507"/>
    <n v="2E+20"/>
    <n v="0"/>
    <n v="6"/>
    <n v="3"/>
    <n v="0"/>
    <s v="Friday (Solucion: datafono, gofre, cocina y caja compartida)OrdenWIPEntity"/>
    <n v="19"/>
    <n v="3.0972744691234286"/>
    <n v="0.7960145604449721"/>
    <n v="0.95"/>
    <n v="0.38366673695655462"/>
    <n v="2.0609398302211299"/>
    <n v="5.8229936047650703"/>
    <n v="0.38366673695655462"/>
  </r>
  <r>
    <x v="0"/>
    <s v="2025-05-18 18:56:05"/>
    <n v="16"/>
    <x v="4"/>
    <x v="1"/>
    <x v="1"/>
    <n v="0.181294269015597"/>
    <n v="2E+20"/>
    <n v="0"/>
    <n v="3"/>
    <n v="0"/>
    <n v="0"/>
    <s v="Friday (Solucion: datafono, gofre, cocina y caja compartida)Pasar a Caja.QueueNumber WaitingQueue"/>
    <n v="19"/>
    <n v="0.5234663348541454"/>
    <n v="0.51706251909874834"/>
    <n v="0.95"/>
    <n v="0.24921615679273348"/>
    <n v="0.17506464523350199"/>
    <n v="2.4783528335268201"/>
    <n v="0.24921615679273348"/>
  </r>
  <r>
    <x v="0"/>
    <s v="2025-05-18 18:56:05"/>
    <n v="16"/>
    <x v="5"/>
    <x v="1"/>
    <x v="1"/>
    <n v="0.14319281628536201"/>
    <n v="2E+20"/>
    <n v="0"/>
    <n v="2"/>
    <n v="0"/>
    <n v="0"/>
    <s v="Friday (Solucion: datafono, gofre, cocina y caja compartida)Preparacion.QueueNumber WaitingQueue"/>
    <n v="19"/>
    <n v="0.48138063122984937"/>
    <n v="0.5430727934303009"/>
    <n v="0.95"/>
    <n v="0.26175270772536113"/>
    <n v="0.13383910219346701"/>
    <n v="2.5739205922552402"/>
    <n v="0.26175270772536113"/>
  </r>
  <r>
    <x v="0"/>
    <s v="2025-05-18 18:56:05"/>
    <n v="16"/>
    <x v="6"/>
    <x v="2"/>
    <x v="2"/>
    <n v="1.8906856776976999"/>
    <n v="2E+20"/>
    <n v="0"/>
    <n v="5"/>
    <n v="2"/>
    <n v="0"/>
    <s v="Friday (Solucion: datafono, gofre, cocina y caja compartida)TP_MesasTime PersistentUser Specified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16"/>
    <x v="7"/>
    <x v="3"/>
    <x v="3"/>
    <n v="0.63961204022853202"/>
    <n v="2E+20"/>
    <n v="0"/>
    <n v="1"/>
    <n v="0"/>
    <n v="0"/>
    <s v="Friday (Solucion: datafono, gofre, cocina y caja compartida)rCajeroInstantaneous UtilizationResource"/>
    <n v="19"/>
    <n v="0.68474836505339687"/>
    <n v="6.2272947935973086E-2"/>
    <n v="0.95"/>
    <n v="3.0014600137344912E-2"/>
    <n v="0.59592290927233305"/>
    <n v="0.82897119936997599"/>
    <n v="3.0014600137344912E-2"/>
  </r>
  <r>
    <x v="0"/>
    <s v="2025-05-18 18:56:05"/>
    <n v="16"/>
    <x v="7"/>
    <x v="4"/>
    <x v="3"/>
    <n v="0.63961204022853202"/>
    <n v="2E+20"/>
    <n v="0"/>
    <n v="1"/>
    <n v="0"/>
    <n v="0"/>
    <s v="Friday (Solucion: datafono, gofre, cocina y caja compartida)rCajeroNumber BusyResource"/>
    <n v="19"/>
    <n v="0.68474836505339687"/>
    <n v="6.2272947935973065E-2"/>
    <n v="0.95"/>
    <n v="3.0014600137344902E-2"/>
    <n v="0.59592290927233305"/>
    <n v="0.82897119936997599"/>
    <n v="3.0014600137344902E-2"/>
  </r>
  <r>
    <x v="0"/>
    <s v="2025-05-18 18:56:05"/>
    <n v="16"/>
    <x v="7"/>
    <x v="5"/>
    <x v="3"/>
    <n v="1"/>
    <n v="2E+20"/>
    <n v="1"/>
    <n v="1"/>
    <n v="1"/>
    <n v="0"/>
    <s v="Friday (Solucion: datafono, gofre, cocina y caja compartida)rCajeroNumber ScheduledResource"/>
    <n v="19"/>
    <n v="1"/>
    <n v="0"/>
    <n v="0.95"/>
    <n v="0"/>
    <n v="1"/>
    <n v="1"/>
    <n v="0"/>
  </r>
  <r>
    <x v="0"/>
    <s v="2025-05-18 18:56:05"/>
    <n v="16"/>
    <x v="8"/>
    <x v="3"/>
    <x v="3"/>
    <n v="0.71001751454208795"/>
    <n v="2E+20"/>
    <n v="0"/>
    <n v="1"/>
    <n v="1"/>
    <n v="0"/>
    <s v="Friday (Solucion: datafono, gofre, cocina y caja compartida)rCocinaInstantaneous Utilization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16"/>
    <x v="8"/>
    <x v="4"/>
    <x v="3"/>
    <n v="0.71001751454208795"/>
    <n v="2E+20"/>
    <n v="0"/>
    <n v="1"/>
    <n v="1"/>
    <n v="0"/>
    <s v="Friday (Solucion: datafono, gofre, cocina y caja compartida)rCocinaNumber Busy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16"/>
    <x v="8"/>
    <x v="5"/>
    <x v="3"/>
    <n v="1"/>
    <n v="2E+20"/>
    <n v="1"/>
    <n v="1"/>
    <n v="1"/>
    <n v="0"/>
    <s v="Friday (Solucion: datafono, gofre, cocina y caja compartida)rCocinaNumber ScheduledResource"/>
    <n v="19"/>
    <n v="1"/>
    <n v="0"/>
    <n v="0.95"/>
    <n v="0"/>
    <n v="1"/>
    <n v="1"/>
    <n v="0"/>
  </r>
  <r>
    <x v="0"/>
    <s v="2025-05-18 18:56:05"/>
    <n v="16"/>
    <x v="9"/>
    <x v="3"/>
    <x v="3"/>
    <n v="0.37813713553954098"/>
    <n v="2E+20"/>
    <n v="0"/>
    <n v="1"/>
    <n v="0.4"/>
    <n v="0"/>
    <s v="Friday (Solucion: datafono, gofre, cocina y caja compartida)rMesaInstantaneous UtilizationResource"/>
    <n v="19"/>
    <n v="0.30850610959128738"/>
    <n v="6.2586127702931413E-2"/>
    <n v="0.95"/>
    <n v="3.0165547953177007E-2"/>
    <n v="0.156206445320244"/>
    <n v="0.44942505379986802"/>
    <n v="3.0165547953177007E-2"/>
  </r>
  <r>
    <x v="0"/>
    <s v="2025-05-18 18:56:05"/>
    <n v="16"/>
    <x v="9"/>
    <x v="4"/>
    <x v="3"/>
    <n v="1.8906856776976999"/>
    <n v="2E+20"/>
    <n v="0"/>
    <n v="5"/>
    <n v="2"/>
    <n v="0"/>
    <s v="Friday (Solucion: datafono, gofre, cocina y caja compartida)rMesaNumber BusyResource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16"/>
    <x v="9"/>
    <x v="5"/>
    <x v="3"/>
    <n v="5"/>
    <n v="2E+20"/>
    <n v="5"/>
    <n v="5"/>
    <n v="5"/>
    <n v="0"/>
    <s v="Friday (Solucion: datafono, gofre, cocina y caja compartida)rMesaNumber ScheduledResource"/>
    <n v="19"/>
    <n v="5"/>
    <n v="0"/>
    <n v="0.95"/>
    <n v="0"/>
    <n v="5"/>
    <n v="5"/>
    <n v="0"/>
  </r>
  <r>
    <x v="0"/>
    <s v="2025-05-18 18:56:05"/>
    <n v="16"/>
    <x v="10"/>
    <x v="0"/>
    <x v="0"/>
    <n v="0"/>
    <n v="2E+20"/>
    <n v="0"/>
    <n v="1"/>
    <n v="0"/>
    <n v="0"/>
    <s v="Friday (Solucion: datafono, gofre, cocina y caja compartida)relojWIPEntity"/>
    <n v="19"/>
    <n v="0"/>
    <n v="0"/>
    <n v="0.95"/>
    <n v="0"/>
    <n v="0"/>
    <n v="0"/>
    <n v="0"/>
  </r>
  <r>
    <x v="0"/>
    <s v="2025-05-18 18:56:05"/>
    <n v="16"/>
    <x v="11"/>
    <x v="6"/>
    <x v="2"/>
    <n v="3.6982282436952101"/>
    <n v="2E+20"/>
    <n v="0"/>
    <n v="7"/>
    <n v="3"/>
    <n v="0"/>
    <s v="Friday (Solucion: datafono, gofre, cocina y caja compartida)vClientesEnSistemaVariableUser Specified"/>
    <n v="19"/>
    <n v="4.0733776306724412"/>
    <n v="1.3190004331473169"/>
    <n v="0.95"/>
    <n v="0.63573785879874822"/>
    <n v="2.7964405882205599"/>
    <n v="8.8656011818609901"/>
    <n v="0.63573785879874822"/>
  </r>
  <r>
    <x v="0"/>
    <s v="2025-05-18 18:56:05"/>
    <n v="16"/>
    <x v="12"/>
    <x v="6"/>
    <x v="2"/>
    <n v="3.1093143223022901"/>
    <n v="2E+20"/>
    <n v="0"/>
    <n v="5"/>
    <n v="3"/>
    <n v="0"/>
    <s v="Friday (Solucion: datafono, gofre, cocina y caja compartida)vMesasLibresVariableUser Specified"/>
    <n v="19"/>
    <n v="3.457469452043564"/>
    <n v="0.31293063851465691"/>
    <n v="0.95"/>
    <n v="0.15082773976588496"/>
    <n v="2.7528747310006598"/>
    <n v="4.2189677733987798"/>
    <n v="0.15082773976588496"/>
  </r>
  <r>
    <x v="0"/>
    <s v="2025-05-18 18:56:05"/>
    <n v="17"/>
    <x v="0"/>
    <x v="0"/>
    <x v="0"/>
    <n v="5.6366082440159797"/>
    <n v="0.73130388184158202"/>
    <n v="1"/>
    <n v="13"/>
    <n v="3"/>
    <n v="0"/>
    <s v="Friday (Solucion: datafono, gofre, cocina y caja compartida)ClienteWIPEntity"/>
    <n v="19"/>
    <n v="5.695207969173218"/>
    <n v="1.5293712224665061"/>
    <n v="0.95"/>
    <n v="0.7371333335799507"/>
    <n v="3.6484308227805702"/>
    <n v="10.9337547677616"/>
    <n v="0.7371333335799507"/>
  </r>
  <r>
    <x v="0"/>
    <s v="2025-05-18 18:56:05"/>
    <n v="17"/>
    <x v="1"/>
    <x v="1"/>
    <x v="1"/>
    <n v="0"/>
    <n v="2E+20"/>
    <n v="0"/>
    <n v="0"/>
    <n v="0"/>
    <n v="0"/>
    <s v="Friday (Solucion: datafono, gofre, cocina y caja compartida)Comer en Mesa.QueueNumber WaitingQueue"/>
    <n v="19"/>
    <n v="0"/>
    <n v="0"/>
    <n v="0.95"/>
    <n v="0"/>
    <n v="0"/>
    <n v="0"/>
    <n v="0"/>
  </r>
  <r>
    <x v="0"/>
    <s v="2025-05-18 18:56:05"/>
    <n v="17"/>
    <x v="2"/>
    <x v="1"/>
    <x v="1"/>
    <n v="1.2844850356008699"/>
    <n v="2E+20"/>
    <n v="0"/>
    <n v="7"/>
    <n v="0"/>
    <n v="0"/>
    <s v="Friday (Solucion: datafono, gofre, cocina y caja compartida)Entrega pedido.QueueNumber WaitingQueue"/>
    <n v="19"/>
    <n v="1.4415832090470244"/>
    <n v="0.61323545266973079"/>
    <n v="0.95"/>
    <n v="0.29557002698587687"/>
    <n v="0.95119347509060603"/>
    <n v="3.71511779664222"/>
    <n v="0.29557002698587687"/>
  </r>
  <r>
    <x v="0"/>
    <s v="2025-05-18 18:56:05"/>
    <n v="17"/>
    <x v="3"/>
    <x v="0"/>
    <x v="0"/>
    <n v="3.0794527874116602"/>
    <n v="2E+20"/>
    <n v="0"/>
    <n v="8"/>
    <n v="1"/>
    <n v="0"/>
    <s v="Friday (Solucion: datafono, gofre, cocina y caja compartida)OrdenWIPEntity"/>
    <n v="19"/>
    <n v="3.0972744691234286"/>
    <n v="0.7960145604449721"/>
    <n v="0.95"/>
    <n v="0.38366673695655462"/>
    <n v="2.0609398302211299"/>
    <n v="5.8229936047650703"/>
    <n v="0.38366673695655462"/>
  </r>
  <r>
    <x v="0"/>
    <s v="2025-05-18 18:56:05"/>
    <n v="17"/>
    <x v="4"/>
    <x v="1"/>
    <x v="1"/>
    <n v="0.37554689564890598"/>
    <n v="2E+20"/>
    <n v="0"/>
    <n v="6"/>
    <n v="0"/>
    <n v="0"/>
    <s v="Friday (Solucion: datafono, gofre, cocina y caja compartida)Pasar a Caja.QueueNumber WaitingQueue"/>
    <n v="19"/>
    <n v="0.5234663348541454"/>
    <n v="0.51706251909874834"/>
    <n v="0.95"/>
    <n v="0.24921615679273348"/>
    <n v="0.17506464523350199"/>
    <n v="2.4783528335268201"/>
    <n v="0.24921615679273348"/>
  </r>
  <r>
    <x v="0"/>
    <s v="2025-05-18 18:56:05"/>
    <n v="17"/>
    <x v="5"/>
    <x v="1"/>
    <x v="1"/>
    <n v="0.302281988039593"/>
    <n v="2E+20"/>
    <n v="0"/>
    <n v="5"/>
    <n v="0"/>
    <n v="0"/>
    <s v="Friday (Solucion: datafono, gofre, cocina y caja compartida)Preparacion.QueueNumber WaitingQueue"/>
    <n v="19"/>
    <n v="0.48138063122984937"/>
    <n v="0.5430727934303009"/>
    <n v="0.95"/>
    <n v="0.26175270772536113"/>
    <n v="0.13383910219346701"/>
    <n v="2.5739205922552402"/>
    <n v="0.26175270772536113"/>
  </r>
  <r>
    <x v="0"/>
    <s v="2025-05-18 18:56:05"/>
    <n v="17"/>
    <x v="6"/>
    <x v="2"/>
    <x v="2"/>
    <n v="1.6807084925515201"/>
    <n v="2E+20"/>
    <n v="0"/>
    <n v="4"/>
    <n v="1"/>
    <n v="0"/>
    <s v="Friday (Solucion: datafono, gofre, cocina y caja compartida)TP_MesasTime PersistentUser Specified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17"/>
    <x v="7"/>
    <x v="3"/>
    <x v="3"/>
    <n v="0.66962680509933803"/>
    <n v="2E+20"/>
    <n v="0"/>
    <n v="1"/>
    <n v="1"/>
    <n v="0"/>
    <s v="Friday (Solucion: datafono, gofre, cocina y caja compartida)rCajeroInstantaneous UtilizationResource"/>
    <n v="19"/>
    <n v="0.68474836505339687"/>
    <n v="6.2272947935973086E-2"/>
    <n v="0.95"/>
    <n v="3.0014600137344912E-2"/>
    <n v="0.59592290927233305"/>
    <n v="0.82897119936997599"/>
    <n v="3.0014600137344912E-2"/>
  </r>
  <r>
    <x v="0"/>
    <s v="2025-05-18 18:56:05"/>
    <n v="17"/>
    <x v="7"/>
    <x v="4"/>
    <x v="3"/>
    <n v="0.66962680509933803"/>
    <n v="2E+20"/>
    <n v="0"/>
    <n v="1"/>
    <n v="1"/>
    <n v="0"/>
    <s v="Friday (Solucion: datafono, gofre, cocina y caja compartida)rCajeroNumber BusyResource"/>
    <n v="19"/>
    <n v="0.68474836505339687"/>
    <n v="6.2272947935973065E-2"/>
    <n v="0.95"/>
    <n v="3.0014600137344902E-2"/>
    <n v="0.59592290927233305"/>
    <n v="0.82897119936997599"/>
    <n v="3.0014600137344902E-2"/>
  </r>
  <r>
    <x v="0"/>
    <s v="2025-05-18 18:56:05"/>
    <n v="17"/>
    <x v="7"/>
    <x v="5"/>
    <x v="3"/>
    <n v="1"/>
    <n v="2E+20"/>
    <n v="1"/>
    <n v="1"/>
    <n v="1"/>
    <n v="0"/>
    <s v="Friday (Solucion: datafono, gofre, cocina y caja compartida)rCajeroNumber ScheduledResource"/>
    <n v="19"/>
    <n v="1"/>
    <n v="0"/>
    <n v="0.95"/>
    <n v="0"/>
    <n v="1"/>
    <n v="1"/>
    <n v="0"/>
  </r>
  <r>
    <x v="0"/>
    <s v="2025-05-18 18:56:05"/>
    <n v="17"/>
    <x v="8"/>
    <x v="3"/>
    <x v="3"/>
    <n v="0.72162445901399097"/>
    <n v="2E+20"/>
    <n v="0"/>
    <n v="1"/>
    <n v="0"/>
    <n v="0"/>
    <s v="Friday (Solucion: datafono, gofre, cocina y caja compartida)rCocinaInstantaneous Utilization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17"/>
    <x v="8"/>
    <x v="4"/>
    <x v="3"/>
    <n v="0.72162445901399097"/>
    <n v="2E+20"/>
    <n v="0"/>
    <n v="1"/>
    <n v="0"/>
    <n v="0"/>
    <s v="Friday (Solucion: datafono, gofre, cocina y caja compartida)rCocinaNumber Busy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17"/>
    <x v="8"/>
    <x v="5"/>
    <x v="3"/>
    <n v="1"/>
    <n v="2E+20"/>
    <n v="1"/>
    <n v="1"/>
    <n v="1"/>
    <n v="0"/>
    <s v="Friday (Solucion: datafono, gofre, cocina y caja compartida)rCocinaNumber ScheduledResource"/>
    <n v="19"/>
    <n v="1"/>
    <n v="0"/>
    <n v="0.95"/>
    <n v="0"/>
    <n v="1"/>
    <n v="1"/>
    <n v="0"/>
  </r>
  <r>
    <x v="0"/>
    <s v="2025-05-18 18:56:05"/>
    <n v="17"/>
    <x v="9"/>
    <x v="3"/>
    <x v="3"/>
    <n v="0.33614169851030401"/>
    <n v="2E+20"/>
    <n v="0"/>
    <n v="0.8"/>
    <n v="0.2"/>
    <n v="0"/>
    <s v="Friday (Solucion: datafono, gofre, cocina y caja compartida)rMesaInstantaneous UtilizationResource"/>
    <n v="19"/>
    <n v="0.30850610959128738"/>
    <n v="6.2586127702931413E-2"/>
    <n v="0.95"/>
    <n v="3.0165547953177007E-2"/>
    <n v="0.156206445320244"/>
    <n v="0.44942505379986802"/>
    <n v="3.0165547953177007E-2"/>
  </r>
  <r>
    <x v="0"/>
    <s v="2025-05-18 18:56:05"/>
    <n v="17"/>
    <x v="9"/>
    <x v="4"/>
    <x v="3"/>
    <n v="1.6807084925515201"/>
    <n v="2E+20"/>
    <n v="0"/>
    <n v="4"/>
    <n v="1"/>
    <n v="0"/>
    <s v="Friday (Solucion: datafono, gofre, cocina y caja compartida)rMesaNumber BusyResource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17"/>
    <x v="9"/>
    <x v="5"/>
    <x v="3"/>
    <n v="5"/>
    <n v="2E+20"/>
    <n v="5"/>
    <n v="5"/>
    <n v="5"/>
    <n v="0"/>
    <s v="Friday (Solucion: datafono, gofre, cocina y caja compartida)rMesaNumber ScheduledResource"/>
    <n v="19"/>
    <n v="5"/>
    <n v="0"/>
    <n v="0.95"/>
    <n v="0"/>
    <n v="5"/>
    <n v="5"/>
    <n v="0"/>
  </r>
  <r>
    <x v="0"/>
    <s v="2025-05-18 18:56:05"/>
    <n v="17"/>
    <x v="10"/>
    <x v="0"/>
    <x v="0"/>
    <n v="0"/>
    <n v="2E+20"/>
    <n v="0"/>
    <n v="1"/>
    <n v="0"/>
    <n v="0"/>
    <s v="Friday (Solucion: datafono, gofre, cocina y caja compartida)relojWIPEntity"/>
    <n v="19"/>
    <n v="0"/>
    <n v="0"/>
    <n v="0.95"/>
    <n v="0"/>
    <n v="0"/>
    <n v="0"/>
    <n v="0"/>
  </r>
  <r>
    <x v="0"/>
    <s v="2025-05-18 18:56:05"/>
    <n v="17"/>
    <x v="11"/>
    <x v="6"/>
    <x v="2"/>
    <n v="3.8755293810940898"/>
    <n v="2E+20"/>
    <n v="1"/>
    <n v="10"/>
    <n v="2"/>
    <n v="0"/>
    <s v="Friday (Solucion: datafono, gofre, cocina y caja compartida)vClientesEnSistemaVariableUser Specified"/>
    <n v="19"/>
    <n v="4.0733776306724412"/>
    <n v="1.3190004331473169"/>
    <n v="0.95"/>
    <n v="0.63573785879874822"/>
    <n v="2.7964405882205599"/>
    <n v="8.8656011818609901"/>
    <n v="0.63573785879874822"/>
  </r>
  <r>
    <x v="0"/>
    <s v="2025-05-18 18:56:05"/>
    <n v="17"/>
    <x v="12"/>
    <x v="6"/>
    <x v="2"/>
    <n v="3.3192915074484799"/>
    <n v="2E+20"/>
    <n v="1"/>
    <n v="5"/>
    <n v="4"/>
    <n v="0"/>
    <s v="Friday (Solucion: datafono, gofre, cocina y caja compartida)vMesasLibresVariableUser Specified"/>
    <n v="19"/>
    <n v="3.457469452043564"/>
    <n v="0.31293063851465691"/>
    <n v="0.95"/>
    <n v="0.15082773976588496"/>
    <n v="2.7528747310006598"/>
    <n v="4.2189677733987798"/>
    <n v="0.15082773976588496"/>
  </r>
  <r>
    <x v="0"/>
    <s v="2025-05-18 18:56:05"/>
    <n v="18"/>
    <x v="0"/>
    <x v="0"/>
    <x v="0"/>
    <n v="5.5667630751635304"/>
    <n v="3E+20"/>
    <n v="0"/>
    <n v="14"/>
    <n v="10"/>
    <n v="0"/>
    <s v="Friday (Solucion: datafono, gofre, cocina y caja compartida)ClienteWIPEntity"/>
    <n v="19"/>
    <n v="5.695207969173218"/>
    <n v="1.5293712224665061"/>
    <n v="0.95"/>
    <n v="0.7371333335799507"/>
    <n v="3.6484308227805702"/>
    <n v="10.9337547677616"/>
    <n v="0.7371333335799507"/>
  </r>
  <r>
    <x v="0"/>
    <s v="2025-05-18 18:56:05"/>
    <n v="18"/>
    <x v="1"/>
    <x v="1"/>
    <x v="1"/>
    <n v="0"/>
    <n v="2E+20"/>
    <n v="0"/>
    <n v="0"/>
    <n v="0"/>
    <n v="0"/>
    <s v="Friday (Solucion: datafono, gofre, cocina y caja compartida)Comer en Mesa.QueueNumber WaitingQueue"/>
    <n v="19"/>
    <n v="0"/>
    <n v="0"/>
    <n v="0.95"/>
    <n v="0"/>
    <n v="0"/>
    <n v="0"/>
    <n v="0"/>
  </r>
  <r>
    <x v="0"/>
    <s v="2025-05-18 18:56:05"/>
    <n v="18"/>
    <x v="2"/>
    <x v="1"/>
    <x v="1"/>
    <n v="1.7306433301759201"/>
    <n v="2E+20"/>
    <n v="0"/>
    <n v="9"/>
    <n v="4"/>
    <n v="0"/>
    <s v="Friday (Solucion: datafono, gofre, cocina y caja compartida)Entrega pedido.QueueNumber WaitingQueue"/>
    <n v="19"/>
    <n v="1.4415832090470244"/>
    <n v="0.61323545266973079"/>
    <n v="0.95"/>
    <n v="0.29557002698587687"/>
    <n v="0.95119347509060603"/>
    <n v="3.71511779664222"/>
    <n v="0.29557002698587687"/>
  </r>
  <r>
    <x v="0"/>
    <s v="2025-05-18 18:56:05"/>
    <n v="18"/>
    <x v="3"/>
    <x v="0"/>
    <x v="0"/>
    <n v="3.0918078995031002"/>
    <n v="2E+20"/>
    <n v="0"/>
    <n v="9"/>
    <n v="6"/>
    <n v="0"/>
    <s v="Friday (Solucion: datafono, gofre, cocina y caja compartida)OrdenWIPEntity"/>
    <n v="19"/>
    <n v="3.0972744691234286"/>
    <n v="0.7960145604449721"/>
    <n v="0.95"/>
    <n v="0.38366673695655462"/>
    <n v="2.0609398302211299"/>
    <n v="5.8229936047650703"/>
    <n v="0.38366673695655462"/>
  </r>
  <r>
    <x v="0"/>
    <s v="2025-05-18 18:56:05"/>
    <n v="18"/>
    <x v="4"/>
    <x v="1"/>
    <x v="1"/>
    <n v="0.71904920403185202"/>
    <n v="2E+20"/>
    <n v="0"/>
    <n v="7"/>
    <n v="2"/>
    <n v="0"/>
    <s v="Friday (Solucion: datafono, gofre, cocina y caja compartida)Pasar a Caja.QueueNumber WaitingQueue"/>
    <n v="19"/>
    <n v="0.5234663348541454"/>
    <n v="0.51706251909874834"/>
    <n v="0.95"/>
    <n v="0.24921615679273348"/>
    <n v="0.17506464523350199"/>
    <n v="2.4783528335268201"/>
    <n v="0.24921615679273348"/>
  </r>
  <r>
    <x v="0"/>
    <s v="2025-05-18 18:56:05"/>
    <n v="18"/>
    <x v="5"/>
    <x v="1"/>
    <x v="1"/>
    <n v="0.57467382484984697"/>
    <n v="2E+20"/>
    <n v="0"/>
    <n v="6"/>
    <n v="2"/>
    <n v="0"/>
    <s v="Friday (Solucion: datafono, gofre, cocina y caja compartida)Preparacion.QueueNumber WaitingQueue"/>
    <n v="19"/>
    <n v="0.48138063122984937"/>
    <n v="0.5430727934303009"/>
    <n v="0.95"/>
    <n v="0.26175270772536113"/>
    <n v="0.13383910219346701"/>
    <n v="2.5739205922552402"/>
    <n v="0.26175270772536113"/>
  </r>
  <r>
    <x v="0"/>
    <s v="2025-05-18 18:56:05"/>
    <n v="18"/>
    <x v="6"/>
    <x v="2"/>
    <x v="2"/>
    <n v="1.24771446679777"/>
    <n v="2E+20"/>
    <n v="0"/>
    <n v="3"/>
    <n v="2"/>
    <n v="0"/>
    <s v="Friday (Solucion: datafono, gofre, cocina y caja compartida)TP_MesasTime PersistentUser Specified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18"/>
    <x v="7"/>
    <x v="3"/>
    <x v="3"/>
    <n v="0.76092451969044494"/>
    <n v="2E+20"/>
    <n v="0"/>
    <n v="1"/>
    <n v="1"/>
    <n v="0"/>
    <s v="Friday (Solucion: datafono, gofre, cocina y caja compartida)rCajeroInstantaneous UtilizationResource"/>
    <n v="19"/>
    <n v="0.68474836505339687"/>
    <n v="6.2272947935973086E-2"/>
    <n v="0.95"/>
    <n v="3.0014600137344912E-2"/>
    <n v="0.59592290927233305"/>
    <n v="0.82897119936997599"/>
    <n v="3.0014600137344912E-2"/>
  </r>
  <r>
    <x v="0"/>
    <s v="2025-05-18 18:56:05"/>
    <n v="18"/>
    <x v="7"/>
    <x v="4"/>
    <x v="3"/>
    <n v="0.76092451969044494"/>
    <n v="2E+20"/>
    <n v="0"/>
    <n v="1"/>
    <n v="1"/>
    <n v="0"/>
    <s v="Friday (Solucion: datafono, gofre, cocina y caja compartida)rCajeroNumber BusyResource"/>
    <n v="19"/>
    <n v="0.68474836505339687"/>
    <n v="6.2272947935973065E-2"/>
    <n v="0.95"/>
    <n v="3.0014600137344902E-2"/>
    <n v="0.59592290927233305"/>
    <n v="0.82897119936997599"/>
    <n v="3.0014600137344902E-2"/>
  </r>
  <r>
    <x v="0"/>
    <s v="2025-05-18 18:56:05"/>
    <n v="18"/>
    <x v="7"/>
    <x v="5"/>
    <x v="3"/>
    <n v="1"/>
    <n v="2E+20"/>
    <n v="1"/>
    <n v="1"/>
    <n v="1"/>
    <n v="0"/>
    <s v="Friday (Solucion: datafono, gofre, cocina y caja compartida)rCajeroNumber ScheduledResource"/>
    <n v="19"/>
    <n v="1"/>
    <n v="0"/>
    <n v="0.95"/>
    <n v="0"/>
    <n v="1"/>
    <n v="1"/>
    <n v="0"/>
  </r>
  <r>
    <x v="0"/>
    <s v="2025-05-18 18:56:05"/>
    <n v="18"/>
    <x v="8"/>
    <x v="3"/>
    <x v="3"/>
    <n v="0.81316807447732098"/>
    <n v="2E+20"/>
    <n v="0"/>
    <n v="1"/>
    <n v="1"/>
    <n v="0"/>
    <s v="Friday (Solucion: datafono, gofre, cocina y caja compartida)rCocinaInstantaneous Utilization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18"/>
    <x v="8"/>
    <x v="4"/>
    <x v="3"/>
    <n v="0.81316807447732098"/>
    <n v="2E+20"/>
    <n v="0"/>
    <n v="1"/>
    <n v="1"/>
    <n v="0"/>
    <s v="Friday (Solucion: datafono, gofre, cocina y caja compartida)rCocinaNumber Busy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18"/>
    <x v="8"/>
    <x v="5"/>
    <x v="3"/>
    <n v="1"/>
    <n v="2E+20"/>
    <n v="1"/>
    <n v="1"/>
    <n v="1"/>
    <n v="0"/>
    <s v="Friday (Solucion: datafono, gofre, cocina y caja compartida)rCocinaNumber ScheduledResource"/>
    <n v="19"/>
    <n v="1"/>
    <n v="0"/>
    <n v="0.95"/>
    <n v="0"/>
    <n v="1"/>
    <n v="1"/>
    <n v="0"/>
  </r>
  <r>
    <x v="0"/>
    <s v="2025-05-18 18:56:05"/>
    <n v="18"/>
    <x v="9"/>
    <x v="3"/>
    <x v="3"/>
    <n v="0.24954289335955501"/>
    <n v="2E+20"/>
    <n v="0"/>
    <n v="0.6"/>
    <n v="0.4"/>
    <n v="0"/>
    <s v="Friday (Solucion: datafono, gofre, cocina y caja compartida)rMesaInstantaneous UtilizationResource"/>
    <n v="19"/>
    <n v="0.30850610959128738"/>
    <n v="6.2586127702931413E-2"/>
    <n v="0.95"/>
    <n v="3.0165547953177007E-2"/>
    <n v="0.156206445320244"/>
    <n v="0.44942505379986802"/>
    <n v="3.0165547953177007E-2"/>
  </r>
  <r>
    <x v="0"/>
    <s v="2025-05-18 18:56:05"/>
    <n v="18"/>
    <x v="9"/>
    <x v="4"/>
    <x v="3"/>
    <n v="1.24771446679777"/>
    <n v="2E+20"/>
    <n v="0"/>
    <n v="3"/>
    <n v="2"/>
    <n v="0"/>
    <s v="Friday (Solucion: datafono, gofre, cocina y caja compartida)rMesaNumber BusyResource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18"/>
    <x v="9"/>
    <x v="5"/>
    <x v="3"/>
    <n v="5"/>
    <n v="2E+20"/>
    <n v="5"/>
    <n v="5"/>
    <n v="5"/>
    <n v="0"/>
    <s v="Friday (Solucion: datafono, gofre, cocina y caja compartida)rMesaNumber ScheduledResource"/>
    <n v="19"/>
    <n v="5"/>
    <n v="0"/>
    <n v="0.95"/>
    <n v="0"/>
    <n v="5"/>
    <n v="5"/>
    <n v="0"/>
  </r>
  <r>
    <x v="0"/>
    <s v="2025-05-18 18:56:05"/>
    <n v="18"/>
    <x v="10"/>
    <x v="0"/>
    <x v="0"/>
    <n v="0"/>
    <n v="2E+20"/>
    <n v="0"/>
    <n v="1"/>
    <n v="0"/>
    <n v="0"/>
    <s v="Friday (Solucion: datafono, gofre, cocina y caja compartida)relojWIPEntity"/>
    <n v="19"/>
    <n v="0"/>
    <n v="0"/>
    <n v="0.95"/>
    <n v="0"/>
    <n v="0"/>
    <n v="0"/>
    <n v="0"/>
  </r>
  <r>
    <x v="0"/>
    <s v="2025-05-18 18:56:05"/>
    <n v="18"/>
    <x v="11"/>
    <x v="6"/>
    <x v="2"/>
    <n v="4.2401597194768703"/>
    <n v="2E+20"/>
    <n v="0"/>
    <n v="12"/>
    <n v="8"/>
    <n v="0"/>
    <s v="Friday (Solucion: datafono, gofre, cocina y caja compartida)vClientesEnSistemaVariableUser Specified"/>
    <n v="19"/>
    <n v="4.0733776306724412"/>
    <n v="1.3190004331473169"/>
    <n v="0.95"/>
    <n v="0.63573785879874822"/>
    <n v="2.7964405882205599"/>
    <n v="8.8656011818609901"/>
    <n v="0.63573785879874822"/>
  </r>
  <r>
    <x v="0"/>
    <s v="2025-05-18 18:56:05"/>
    <n v="18"/>
    <x v="12"/>
    <x v="6"/>
    <x v="2"/>
    <n v="3.75228553320223"/>
    <n v="2E+20"/>
    <n v="2"/>
    <n v="5"/>
    <n v="3"/>
    <n v="0"/>
    <s v="Friday (Solucion: datafono, gofre, cocina y caja compartida)vMesasLibresVariableUser Specified"/>
    <n v="19"/>
    <n v="3.457469452043564"/>
    <n v="0.31293063851465691"/>
    <n v="0.95"/>
    <n v="0.15082773976588496"/>
    <n v="2.7528747310006598"/>
    <n v="4.2189677733987798"/>
    <n v="0.15082773976588496"/>
  </r>
  <r>
    <x v="0"/>
    <s v="2025-05-18 18:56:05"/>
    <n v="19"/>
    <x v="0"/>
    <x v="0"/>
    <x v="0"/>
    <n v="4.4687704609779502"/>
    <n v="1.01681556380085"/>
    <n v="0"/>
    <n v="16"/>
    <n v="5"/>
    <n v="0"/>
    <s v="Friday (Solucion: datafono, gofre, cocina y caja compartida)ClienteWIPEntity"/>
    <n v="19"/>
    <n v="5.695207969173218"/>
    <n v="1.5293712224665061"/>
    <n v="0.95"/>
    <n v="0.7371333335799507"/>
    <n v="3.6484308227805702"/>
    <n v="10.9337547677616"/>
    <n v="0.7371333335799507"/>
  </r>
  <r>
    <x v="0"/>
    <s v="2025-05-18 18:56:05"/>
    <n v="19"/>
    <x v="1"/>
    <x v="1"/>
    <x v="1"/>
    <n v="0"/>
    <n v="2E+20"/>
    <n v="0"/>
    <n v="0"/>
    <n v="0"/>
    <n v="0"/>
    <s v="Friday (Solucion: datafono, gofre, cocina y caja compartida)Comer en Mesa.QueueNumber WaitingQueue"/>
    <n v="19"/>
    <n v="0"/>
    <n v="0"/>
    <n v="0.95"/>
    <n v="0"/>
    <n v="0"/>
    <n v="0"/>
    <n v="0"/>
  </r>
  <r>
    <x v="0"/>
    <s v="2025-05-18 18:56:05"/>
    <n v="19"/>
    <x v="2"/>
    <x v="1"/>
    <x v="1"/>
    <n v="1.0464529102087901"/>
    <n v="2E+20"/>
    <n v="0"/>
    <n v="6"/>
    <n v="2"/>
    <n v="0"/>
    <s v="Friday (Solucion: datafono, gofre, cocina y caja compartida)Entrega pedido.QueueNumber WaitingQueue"/>
    <n v="19"/>
    <n v="1.4415832090470244"/>
    <n v="0.61323545266973079"/>
    <n v="0.95"/>
    <n v="0.29557002698587687"/>
    <n v="0.95119347509060603"/>
    <n v="3.71511779664222"/>
    <n v="0.29557002698587687"/>
  </r>
  <r>
    <x v="0"/>
    <s v="2025-05-18 18:56:05"/>
    <n v="19"/>
    <x v="3"/>
    <x v="0"/>
    <x v="0"/>
    <n v="2.4241059375224698"/>
    <n v="2E+20"/>
    <n v="0"/>
    <n v="8"/>
    <n v="3"/>
    <n v="0"/>
    <s v="Friday (Solucion: datafono, gofre, cocina y caja compartida)OrdenWIPEntity"/>
    <n v="19"/>
    <n v="3.0972744691234286"/>
    <n v="0.7960145604449721"/>
    <n v="0.95"/>
    <n v="0.38366673695655462"/>
    <n v="2.0609398302211299"/>
    <n v="5.8229936047650703"/>
    <n v="0.38366673695655462"/>
  </r>
  <r>
    <x v="0"/>
    <s v="2025-05-18 18:56:05"/>
    <n v="19"/>
    <x v="4"/>
    <x v="1"/>
    <x v="1"/>
    <n v="0.236662915260097"/>
    <n v="2E+20"/>
    <n v="0"/>
    <n v="3"/>
    <n v="1"/>
    <n v="0"/>
    <s v="Friday (Solucion: datafono, gofre, cocina y caja compartida)Pasar a Caja.QueueNumber WaitingQueue"/>
    <n v="19"/>
    <n v="0.5234663348541454"/>
    <n v="0.51706251909874834"/>
    <n v="0.95"/>
    <n v="0.24921615679273348"/>
    <n v="0.17506464523350199"/>
    <n v="2.4783528335268201"/>
    <n v="0.24921615679273348"/>
  </r>
  <r>
    <x v="0"/>
    <s v="2025-05-18 18:56:05"/>
    <n v="19"/>
    <x v="5"/>
    <x v="1"/>
    <x v="1"/>
    <n v="0.20943845943658701"/>
    <n v="2E+20"/>
    <n v="0"/>
    <n v="4"/>
    <n v="0"/>
    <n v="0"/>
    <s v="Friday (Solucion: datafono, gofre, cocina y caja compartida)Preparacion.QueueNumber WaitingQueue"/>
    <n v="19"/>
    <n v="0.48138063122984937"/>
    <n v="0.5430727934303009"/>
    <n v="0.95"/>
    <n v="0.26175270772536113"/>
    <n v="0.13383910219346701"/>
    <n v="2.5739205922552402"/>
    <n v="0.26175270772536113"/>
  </r>
  <r>
    <x v="0"/>
    <s v="2025-05-18 18:56:05"/>
    <n v="19"/>
    <x v="6"/>
    <x v="2"/>
    <x v="2"/>
    <n v="1.2650604347210901"/>
    <n v="2E+20"/>
    <n v="0"/>
    <n v="4"/>
    <n v="1"/>
    <n v="0"/>
    <s v="Friday (Solucion: datafono, gofre, cocina y caja compartida)TP_MesasTime PersistentUser Specified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19"/>
    <x v="7"/>
    <x v="3"/>
    <x v="3"/>
    <n v="0.65224560006994103"/>
    <n v="2E+20"/>
    <n v="0"/>
    <n v="1"/>
    <n v="1"/>
    <n v="0"/>
    <s v="Friday (Solucion: datafono, gofre, cocina y caja compartida)rCajeroInstantaneous UtilizationResource"/>
    <n v="19"/>
    <n v="0.68474836505339687"/>
    <n v="6.2272947935973086E-2"/>
    <n v="0.95"/>
    <n v="3.0014600137344912E-2"/>
    <n v="0.59592290927233305"/>
    <n v="0.82897119936997599"/>
    <n v="3.0014600137344912E-2"/>
  </r>
  <r>
    <x v="0"/>
    <s v="2025-05-18 18:56:05"/>
    <n v="19"/>
    <x v="7"/>
    <x v="4"/>
    <x v="3"/>
    <n v="0.65224560006994103"/>
    <n v="2E+20"/>
    <n v="0"/>
    <n v="1"/>
    <n v="1"/>
    <n v="0"/>
    <s v="Friday (Solucion: datafono, gofre, cocina y caja compartida)rCajeroNumber BusyResource"/>
    <n v="19"/>
    <n v="0.68474836505339687"/>
    <n v="6.2272947935973065E-2"/>
    <n v="0.95"/>
    <n v="3.0014600137344902E-2"/>
    <n v="0.59592290927233305"/>
    <n v="0.82897119936997599"/>
    <n v="3.0014600137344902E-2"/>
  </r>
  <r>
    <x v="0"/>
    <s v="2025-05-18 18:56:05"/>
    <n v="19"/>
    <x v="7"/>
    <x v="5"/>
    <x v="3"/>
    <n v="1"/>
    <n v="2E+20"/>
    <n v="1"/>
    <n v="1"/>
    <n v="1"/>
    <n v="0"/>
    <s v="Friday (Solucion: datafono, gofre, cocina y caja compartida)rCajeroNumber ScheduledResource"/>
    <n v="19"/>
    <n v="1"/>
    <n v="0"/>
    <n v="0.95"/>
    <n v="0"/>
    <n v="1"/>
    <n v="1"/>
    <n v="0"/>
  </r>
  <r>
    <x v="0"/>
    <s v="2025-05-18 18:56:05"/>
    <n v="19"/>
    <x v="8"/>
    <x v="3"/>
    <x v="3"/>
    <n v="0.63808039454691601"/>
    <n v="2E+20"/>
    <n v="0"/>
    <n v="1"/>
    <n v="1"/>
    <n v="0"/>
    <s v="Friday (Solucion: datafono, gofre, cocina y caja compartida)rCocinaInstantaneous Utilization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19"/>
    <x v="8"/>
    <x v="4"/>
    <x v="3"/>
    <n v="0.63808039454691601"/>
    <n v="2E+20"/>
    <n v="0"/>
    <n v="1"/>
    <n v="1"/>
    <n v="0"/>
    <s v="Friday (Solucion: datafono, gofre, cocina y caja compartida)rCocinaNumber BusyResource"/>
    <n v="19"/>
    <n v="0.71670342302257706"/>
    <n v="7.0907274842727658E-2"/>
    <n v="0.95"/>
    <n v="3.4176212493127585E-2"/>
    <n v="0.60463940272025996"/>
    <n v="0.86361037821575004"/>
    <n v="3.4176212493127585E-2"/>
  </r>
  <r>
    <x v="0"/>
    <s v="2025-05-18 18:56:05"/>
    <n v="19"/>
    <x v="8"/>
    <x v="5"/>
    <x v="3"/>
    <n v="1"/>
    <n v="2E+20"/>
    <n v="1"/>
    <n v="1"/>
    <n v="1"/>
    <n v="0"/>
    <s v="Friday (Solucion: datafono, gofre, cocina y caja compartida)rCocinaNumber ScheduledResource"/>
    <n v="19"/>
    <n v="1"/>
    <n v="0"/>
    <n v="0.95"/>
    <n v="0"/>
    <n v="1"/>
    <n v="1"/>
    <n v="0"/>
  </r>
  <r>
    <x v="0"/>
    <s v="2025-05-18 18:56:05"/>
    <n v="19"/>
    <x v="9"/>
    <x v="3"/>
    <x v="3"/>
    <n v="0.25301208694421801"/>
    <n v="2E+20"/>
    <n v="0"/>
    <n v="0.8"/>
    <n v="0.2"/>
    <n v="0"/>
    <s v="Friday (Solucion: datafono, gofre, cocina y caja compartida)rMesaInstantaneous UtilizationResource"/>
    <n v="19"/>
    <n v="0.30850610959128738"/>
    <n v="6.2586127702931413E-2"/>
    <n v="0.95"/>
    <n v="3.0165547953177007E-2"/>
    <n v="0.156206445320244"/>
    <n v="0.44942505379986802"/>
    <n v="3.0165547953177007E-2"/>
  </r>
  <r>
    <x v="0"/>
    <s v="2025-05-18 18:56:05"/>
    <n v="19"/>
    <x v="9"/>
    <x v="4"/>
    <x v="3"/>
    <n v="1.2650604347210901"/>
    <n v="2E+20"/>
    <n v="0"/>
    <n v="4"/>
    <n v="1"/>
    <n v="0"/>
    <s v="Friday (Solucion: datafono, gofre, cocina y caja compartida)rMesaNumber BusyResource"/>
    <n v="19"/>
    <n v="1.5425305479564364"/>
    <n v="0.31293063851465613"/>
    <n v="0.95"/>
    <n v="0.15082773976588459"/>
    <n v="0.78103222660121896"/>
    <n v="2.2471252689993402"/>
    <n v="0.15082773976588459"/>
  </r>
  <r>
    <x v="0"/>
    <s v="2025-05-18 18:56:05"/>
    <n v="19"/>
    <x v="9"/>
    <x v="5"/>
    <x v="3"/>
    <n v="5"/>
    <n v="2E+20"/>
    <n v="5"/>
    <n v="5"/>
    <n v="5"/>
    <n v="0"/>
    <s v="Friday (Solucion: datafono, gofre, cocina y caja compartida)rMesaNumber ScheduledResource"/>
    <n v="19"/>
    <n v="5"/>
    <n v="0"/>
    <n v="0.95"/>
    <n v="0"/>
    <n v="5"/>
    <n v="5"/>
    <n v="0"/>
  </r>
  <r>
    <x v="0"/>
    <s v="2025-05-18 18:56:05"/>
    <n v="19"/>
    <x v="10"/>
    <x v="0"/>
    <x v="0"/>
    <n v="0"/>
    <n v="2E+20"/>
    <n v="0"/>
    <n v="1"/>
    <n v="0"/>
    <n v="0"/>
    <s v="Friday (Solucion: datafono, gofre, cocina y caja compartida)relojWIPEntity"/>
    <n v="19"/>
    <n v="0"/>
    <n v="0"/>
    <n v="0.95"/>
    <n v="0"/>
    <n v="0"/>
    <n v="0"/>
    <n v="0"/>
  </r>
  <r>
    <x v="0"/>
    <s v="2025-05-18 18:56:05"/>
    <n v="19"/>
    <x v="11"/>
    <x v="6"/>
    <x v="2"/>
    <n v="3.1252841003309202"/>
    <n v="2E+20"/>
    <n v="0"/>
    <n v="10"/>
    <n v="4"/>
    <n v="0"/>
    <s v="Friday (Solucion: datafono, gofre, cocina y caja compartida)vClientesEnSistemaVariableUser Specified"/>
    <n v="19"/>
    <n v="4.0733776306724412"/>
    <n v="1.3190004331473169"/>
    <n v="0.95"/>
    <n v="0.63573785879874822"/>
    <n v="2.7964405882205599"/>
    <n v="8.8656011818609901"/>
    <n v="0.63573785879874822"/>
  </r>
  <r>
    <x v="0"/>
    <s v="2025-05-18 18:56:05"/>
    <n v="19"/>
    <x v="12"/>
    <x v="6"/>
    <x v="2"/>
    <n v="3.7349395652789101"/>
    <n v="2E+20"/>
    <n v="1"/>
    <n v="5"/>
    <n v="4"/>
    <n v="0"/>
    <s v="Friday (Solucion: datafono, gofre, cocina y caja compartida)vMesasLibresVariableUser Specified"/>
    <n v="19"/>
    <n v="3.457469452043564"/>
    <n v="0.31293063851465691"/>
    <n v="0.95"/>
    <n v="0.15082773976588496"/>
    <n v="2.7528747310006598"/>
    <n v="4.2189677733987798"/>
    <n v="0.1508277397658849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59">
  <r>
    <x v="0"/>
    <s v="2025-05-18 18:56:05"/>
    <n v="1"/>
    <x v="0"/>
    <x v="0"/>
    <x v="0"/>
    <n v="0"/>
    <n v="2E+20"/>
    <n v="0"/>
    <n v="0"/>
    <n v="150"/>
    <s v="Friday (Solucion: datafono, gofre, cocina y caja compartida)ClienteNVA TimeEntity"/>
    <n v="19"/>
    <n v="0"/>
    <n v="0"/>
    <n v="0.95"/>
    <n v="0"/>
    <n v="0"/>
    <n v="0"/>
    <n v="0"/>
    <n v="0"/>
    <n v="122.36842105263158"/>
    <n v="0"/>
    <n v="19"/>
    <n v="1"/>
  </r>
  <r>
    <x v="0"/>
    <s v="2025-05-18 18:56:05"/>
    <n v="1"/>
    <x v="0"/>
    <x v="1"/>
    <x v="0"/>
    <n v="0.67053848365914304"/>
    <n v="2E+20"/>
    <n v="0.12798405085091999"/>
    <n v="2.1795663713254498"/>
    <n v="150"/>
    <s v="Friday (Solucion: datafono, gofre, cocina y caja compartida)ClienteOther TimeEntity"/>
    <n v="19"/>
    <n v="0.63507790130082442"/>
    <n v="3.8049773137108653E-2"/>
    <n v="0.95"/>
    <n v="1.8339403607505776E-2"/>
    <n v="0.55466095318799302"/>
    <n v="0.70846368869380205"/>
    <n v="4.6990588824101599E-2"/>
    <n v="2.8324325672652599"/>
    <n v="122.36842105263158"/>
    <n v="1.8339403607505776E-2"/>
    <n v="19"/>
    <n v="1"/>
  </r>
  <r>
    <x v="0"/>
    <s v="2025-05-18 18:56:05"/>
    <n v="1"/>
    <x v="0"/>
    <x v="2"/>
    <x v="0"/>
    <n v="12.691770210246"/>
    <n v="2E+20"/>
    <n v="0.70200058212000704"/>
    <n v="53.985537664855997"/>
    <n v="150"/>
    <s v="Friday (Solucion: datafono, gofre, cocina y caja compartida)ClienteTotal TimeEntity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1"/>
    <x v="0"/>
    <x v="3"/>
    <x v="0"/>
    <n v="0.233333333333336"/>
    <n v="2E+20"/>
    <n v="0.23333333333331999"/>
    <n v="0.23333333333334799"/>
    <n v="150"/>
    <s v="Friday (Solucion: datafono, gofre, cocina y caja compartida)ClienteTransfer TimeEntity"/>
    <n v="19"/>
    <n v="0.23333333333333742"/>
    <n v="1.1204111467455151E-15"/>
    <n v="0.95"/>
    <n v="5.4002088665477309E-16"/>
    <n v="0.233333333333336"/>
    <n v="0.23333333333334"/>
    <n v="0.23333333333331999"/>
    <n v="0.23333333333334799"/>
    <n v="122.36842105263158"/>
    <n v="5.4002088665477309E-16"/>
    <n v="19"/>
    <n v="1"/>
  </r>
  <r>
    <x v="0"/>
    <s v="2025-05-18 18:56:05"/>
    <n v="1"/>
    <x v="0"/>
    <x v="4"/>
    <x v="0"/>
    <n v="4.0838096025942496"/>
    <n v="2E+20"/>
    <n v="2.1902795385045699E-2"/>
    <n v="35.338172929982498"/>
    <n v="150"/>
    <s v="Friday (Solucion: datafono, gofre, cocina y caja compartida)ClienteVA TimeEntity"/>
    <n v="19"/>
    <n v="3.7328197351244743"/>
    <n v="0.46502806282270054"/>
    <n v="0.95"/>
    <n v="0.22413635167261109"/>
    <n v="2.8861185212318898"/>
    <n v="4.9064162118213703"/>
    <n v="0"/>
    <n v="47.429632233637001"/>
    <n v="122.36842105263158"/>
    <n v="0.22413635167261109"/>
    <n v="19"/>
    <n v="1"/>
  </r>
  <r>
    <x v="0"/>
    <s v="2025-05-18 18:56:05"/>
    <n v="1"/>
    <x v="0"/>
    <x v="5"/>
    <x v="0"/>
    <n v="12.695697184187701"/>
    <n v="2E+20"/>
    <n v="0.193130010616898"/>
    <n v="48.547399979086499"/>
    <n v="150"/>
    <s v="Friday (Solucion: datafono, gofre, cocina y caja compartida)ClienteWait TimeEntity"/>
    <n v="19"/>
    <n v="3.6753649815042069"/>
    <n v="2.457799691981351"/>
    <n v="0.95"/>
    <n v="1.1846215317822661"/>
    <n v="1.88211764353336"/>
    <n v="12.695697184187701"/>
    <n v="3.57397384231746E-2"/>
    <n v="48.547399979086499"/>
    <n v="122.36842105263158"/>
    <n v="1.1846215317822661"/>
    <n v="19"/>
    <n v="1"/>
  </r>
  <r>
    <x v="0"/>
    <s v="2025-05-18 18:56:05"/>
    <n v="2"/>
    <x v="0"/>
    <x v="0"/>
    <x v="0"/>
    <n v="0"/>
    <n v="2E+20"/>
    <n v="0"/>
    <n v="0"/>
    <n v="109"/>
    <s v="Friday (Solucion: datafono, gofre, cocina y caja compartida)ClienteNVA TimeEntity"/>
    <n v="19"/>
    <n v="0"/>
    <n v="0"/>
    <n v="0.95"/>
    <n v="0"/>
    <n v="0"/>
    <n v="0"/>
    <n v="0"/>
    <n v="0"/>
    <n v="122.36842105263158"/>
    <n v="0"/>
    <n v="19"/>
    <n v="1"/>
  </r>
  <r>
    <x v="0"/>
    <s v="2025-05-18 18:56:05"/>
    <n v="2"/>
    <x v="0"/>
    <x v="1"/>
    <x v="0"/>
    <n v="0.61450369375272895"/>
    <n v="2E+20"/>
    <n v="0.15742117591028701"/>
    <n v="1.9632920899061601"/>
    <n v="109"/>
    <s v="Friday (Solucion: datafono, gofre, cocina y caja compartida)ClienteOther TimeEntity"/>
    <n v="19"/>
    <n v="0.63507790130082442"/>
    <n v="3.8049773137108653E-2"/>
    <n v="0.95"/>
    <n v="1.8339403607505776E-2"/>
    <n v="0.55466095318799302"/>
    <n v="0.70846368869380205"/>
    <n v="4.6990588824101599E-2"/>
    <n v="2.8324325672652599"/>
    <n v="122.36842105263158"/>
    <n v="1.8339403607505776E-2"/>
    <n v="19"/>
    <n v="1"/>
  </r>
  <r>
    <x v="0"/>
    <s v="2025-05-18 18:56:05"/>
    <n v="2"/>
    <x v="0"/>
    <x v="2"/>
    <x v="0"/>
    <n v="4.4316568587741703"/>
    <n v="2E+20"/>
    <n v="0.79935814911601699"/>
    <n v="31.901306189863199"/>
    <n v="109"/>
    <s v="Friday (Solucion: datafono, gofre, cocina y caja compartida)ClienteTotal TimeEntity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2"/>
    <x v="0"/>
    <x v="3"/>
    <x v="0"/>
    <n v="0.233333333333337"/>
    <n v="2E+20"/>
    <n v="0.23333333333331999"/>
    <n v="0.23333333333334799"/>
    <n v="109"/>
    <s v="Friday (Solucion: datafono, gofre, cocina y caja compartida)ClienteTransfer TimeEntity"/>
    <n v="19"/>
    <n v="0.23333333333333742"/>
    <n v="1.1204111467455151E-15"/>
    <n v="0.95"/>
    <n v="5.4002088665477309E-16"/>
    <n v="0.233333333333336"/>
    <n v="0.23333333333334"/>
    <n v="0.23333333333331999"/>
    <n v="0.23333333333334799"/>
    <n v="122.36842105263158"/>
    <n v="5.4002088665477309E-16"/>
    <n v="19"/>
    <n v="1"/>
  </r>
  <r>
    <x v="0"/>
    <s v="2025-05-18 18:56:05"/>
    <n v="2"/>
    <x v="0"/>
    <x v="4"/>
    <x v="0"/>
    <n v="2.8861185212318898"/>
    <n v="2E+20"/>
    <n v="5.9166912246908503E-2"/>
    <n v="28.439705173117702"/>
    <n v="109"/>
    <s v="Friday (Solucion: datafono, gofre, cocina y caja compartida)ClienteVA TimeEntity"/>
    <n v="19"/>
    <n v="3.7328197351244743"/>
    <n v="0.46502806282270054"/>
    <n v="0.95"/>
    <n v="0.22413635167261109"/>
    <n v="2.8861185212318898"/>
    <n v="4.9064162118213703"/>
    <n v="0"/>
    <n v="47.429632233637001"/>
    <n v="122.36842105263158"/>
    <n v="0.22413635167261109"/>
    <n v="19"/>
    <n v="1"/>
  </r>
  <r>
    <x v="0"/>
    <s v="2025-05-18 18:56:05"/>
    <n v="2"/>
    <x v="0"/>
    <x v="5"/>
    <x v="0"/>
    <n v="2.5701731923966502"/>
    <n v="2E+20"/>
    <n v="4.2500245580242797E-2"/>
    <n v="13.7788835679125"/>
    <n v="109"/>
    <s v="Friday (Solucion: datafono, gofre, cocina y caja compartida)ClienteWait TimeEntity"/>
    <n v="19"/>
    <n v="3.6753649815042069"/>
    <n v="2.457799691981351"/>
    <n v="0.95"/>
    <n v="1.1846215317822661"/>
    <n v="1.88211764353336"/>
    <n v="12.695697184187701"/>
    <n v="3.57397384231746E-2"/>
    <n v="48.547399979086499"/>
    <n v="122.36842105263158"/>
    <n v="1.1846215317822661"/>
    <n v="19"/>
    <n v="1"/>
  </r>
  <r>
    <x v="0"/>
    <s v="2025-05-18 18:56:05"/>
    <n v="3"/>
    <x v="0"/>
    <x v="0"/>
    <x v="0"/>
    <n v="0"/>
    <n v="2E+20"/>
    <n v="0"/>
    <n v="0"/>
    <n v="115"/>
    <s v="Friday (Solucion: datafono, gofre, cocina y caja compartida)ClienteNVA TimeEntity"/>
    <n v="19"/>
    <n v="0"/>
    <n v="0"/>
    <n v="0.95"/>
    <n v="0"/>
    <n v="0"/>
    <n v="0"/>
    <n v="0"/>
    <n v="0"/>
    <n v="122.36842105263158"/>
    <n v="0"/>
    <n v="19"/>
    <n v="1"/>
  </r>
  <r>
    <x v="0"/>
    <s v="2025-05-18 18:56:05"/>
    <n v="3"/>
    <x v="0"/>
    <x v="1"/>
    <x v="0"/>
    <n v="0.66883190871881604"/>
    <n v="2E+20"/>
    <n v="0.17538752520144399"/>
    <n v="2.2960464772232898"/>
    <n v="115"/>
    <s v="Friday (Solucion: datafono, gofre, cocina y caja compartida)ClienteOther TimeEntity"/>
    <n v="19"/>
    <n v="0.63507790130082442"/>
    <n v="3.8049773137108653E-2"/>
    <n v="0.95"/>
    <n v="1.8339403607505776E-2"/>
    <n v="0.55466095318799302"/>
    <n v="0.70846368869380205"/>
    <n v="4.6990588824101599E-2"/>
    <n v="2.8324325672652599"/>
    <n v="122.36842105263158"/>
    <n v="1.8339403607505776E-2"/>
    <n v="19"/>
    <n v="1"/>
  </r>
  <r>
    <x v="0"/>
    <s v="2025-05-18 18:56:05"/>
    <n v="3"/>
    <x v="0"/>
    <x v="2"/>
    <x v="0"/>
    <n v="8.7302970526223795"/>
    <n v="2E+20"/>
    <n v="0.76842845569436202"/>
    <n v="61.164243616895902"/>
    <n v="115"/>
    <s v="Friday (Solucion: datafono, gofre, cocina y caja compartida)ClienteTotal TimeEntity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3"/>
    <x v="0"/>
    <x v="3"/>
    <x v="0"/>
    <n v="0.233333333333337"/>
    <n v="2E+20"/>
    <n v="0.23333333333331999"/>
    <n v="0.23333333333334799"/>
    <n v="115"/>
    <s v="Friday (Solucion: datafono, gofre, cocina y caja compartida)ClienteTransfer TimeEntity"/>
    <n v="19"/>
    <n v="0.23333333333333742"/>
    <n v="1.1204111467455151E-15"/>
    <n v="0.95"/>
    <n v="5.4002088665477309E-16"/>
    <n v="0.233333333333336"/>
    <n v="0.23333333333334"/>
    <n v="0.23333333333331999"/>
    <n v="0.23333333333334799"/>
    <n v="122.36842105263158"/>
    <n v="5.4002088665477309E-16"/>
    <n v="19"/>
    <n v="1"/>
  </r>
  <r>
    <x v="0"/>
    <s v="2025-05-18 18:56:05"/>
    <n v="3"/>
    <x v="0"/>
    <x v="4"/>
    <x v="0"/>
    <n v="4.5427516960112797"/>
    <n v="2E+20"/>
    <n v="7.2997086184301493E-2"/>
    <n v="47.429632233637001"/>
    <n v="115"/>
    <s v="Friday (Solucion: datafono, gofre, cocina y caja compartida)ClienteVA TimeEntity"/>
    <n v="19"/>
    <n v="3.7328197351244743"/>
    <n v="0.46502806282270054"/>
    <n v="0.95"/>
    <n v="0.22413635167261109"/>
    <n v="2.8861185212318898"/>
    <n v="4.9064162118213703"/>
    <n v="0"/>
    <n v="47.429632233637001"/>
    <n v="122.36842105263158"/>
    <n v="0.22413635167261109"/>
    <n v="19"/>
    <n v="1"/>
  </r>
  <r>
    <x v="0"/>
    <s v="2025-05-18 18:56:05"/>
    <n v="3"/>
    <x v="0"/>
    <x v="5"/>
    <x v="0"/>
    <n v="6.5564907865592197"/>
    <n v="2E+20"/>
    <n v="0.110791613088338"/>
    <n v="23.605374594325198"/>
    <n v="115"/>
    <s v="Friday (Solucion: datafono, gofre, cocina y caja compartida)ClienteWait TimeEntity"/>
    <n v="19"/>
    <n v="3.6753649815042069"/>
    <n v="2.457799691981351"/>
    <n v="0.95"/>
    <n v="1.1846215317822661"/>
    <n v="1.88211764353336"/>
    <n v="12.695697184187701"/>
    <n v="3.57397384231746E-2"/>
    <n v="48.547399979086499"/>
    <n v="122.36842105263158"/>
    <n v="1.1846215317822661"/>
    <n v="19"/>
    <n v="1"/>
  </r>
  <r>
    <x v="0"/>
    <s v="2025-05-18 18:56:05"/>
    <n v="4"/>
    <x v="0"/>
    <x v="0"/>
    <x v="0"/>
    <n v="0"/>
    <n v="2E+20"/>
    <n v="0"/>
    <n v="0"/>
    <n v="116"/>
    <s v="Friday (Solucion: datafono, gofre, cocina y caja compartida)ClienteNVA TimeEntity"/>
    <n v="19"/>
    <n v="0"/>
    <n v="0"/>
    <n v="0.95"/>
    <n v="0"/>
    <n v="0"/>
    <n v="0"/>
    <n v="0"/>
    <n v="0"/>
    <n v="122.36842105263158"/>
    <n v="0"/>
    <n v="19"/>
    <n v="1"/>
  </r>
  <r>
    <x v="0"/>
    <s v="2025-05-18 18:56:05"/>
    <n v="4"/>
    <x v="0"/>
    <x v="1"/>
    <x v="0"/>
    <n v="0.65144639804329796"/>
    <n v="2E+20"/>
    <n v="0.101496466271186"/>
    <n v="2.5086044917996202"/>
    <n v="116"/>
    <s v="Friday (Solucion: datafono, gofre, cocina y caja compartida)ClienteOther TimeEntity"/>
    <n v="19"/>
    <n v="0.63507790130082442"/>
    <n v="3.8049773137108653E-2"/>
    <n v="0.95"/>
    <n v="1.8339403607505776E-2"/>
    <n v="0.55466095318799302"/>
    <n v="0.70846368869380205"/>
    <n v="4.6990588824101599E-2"/>
    <n v="2.8324325672652599"/>
    <n v="122.36842105263158"/>
    <n v="1.8339403607505776E-2"/>
    <n v="19"/>
    <n v="1"/>
  </r>
  <r>
    <x v="0"/>
    <s v="2025-05-18 18:56:05"/>
    <n v="4"/>
    <x v="0"/>
    <x v="2"/>
    <x v="0"/>
    <n v="4.7759336557260301"/>
    <n v="2E+20"/>
    <n v="0.66484709423230004"/>
    <n v="34.468258188937298"/>
    <n v="116"/>
    <s v="Friday (Solucion: datafono, gofre, cocina y caja compartida)ClienteTotal TimeEntity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4"/>
    <x v="0"/>
    <x v="3"/>
    <x v="0"/>
    <n v="0.233333333333337"/>
    <n v="2E+20"/>
    <n v="0.23333333333331999"/>
    <n v="0.23333333333334799"/>
    <n v="116"/>
    <s v="Friday (Solucion: datafono, gofre, cocina y caja compartida)ClienteTransfer TimeEntity"/>
    <n v="19"/>
    <n v="0.23333333333333742"/>
    <n v="1.1204111467455151E-15"/>
    <n v="0.95"/>
    <n v="5.4002088665477309E-16"/>
    <n v="0.233333333333336"/>
    <n v="0.23333333333334"/>
    <n v="0.23333333333331999"/>
    <n v="0.23333333333334799"/>
    <n v="122.36842105263158"/>
    <n v="5.4002088665477309E-16"/>
    <n v="19"/>
    <n v="1"/>
  </r>
  <r>
    <x v="0"/>
    <s v="2025-05-18 18:56:05"/>
    <n v="4"/>
    <x v="0"/>
    <x v="4"/>
    <x v="0"/>
    <n v="3.3855072317409598"/>
    <n v="2E+20"/>
    <n v="5.80931384492374E-2"/>
    <n v="33.972857502853898"/>
    <n v="116"/>
    <s v="Friday (Solucion: datafono, gofre, cocina y caja compartida)ClienteVA TimeEntity"/>
    <n v="19"/>
    <n v="3.7328197351244743"/>
    <n v="0.46502806282270054"/>
    <n v="0.95"/>
    <n v="0.22413635167261109"/>
    <n v="2.8861185212318898"/>
    <n v="4.9064162118213703"/>
    <n v="0"/>
    <n v="47.429632233637001"/>
    <n v="122.36842105263158"/>
    <n v="0.22413635167261109"/>
    <n v="19"/>
    <n v="1"/>
  </r>
  <r>
    <x v="0"/>
    <s v="2025-05-18 18:56:05"/>
    <n v="4"/>
    <x v="0"/>
    <x v="5"/>
    <x v="0"/>
    <n v="2.27125722991727"/>
    <n v="2E+20"/>
    <n v="4.14264717825574E-2"/>
    <n v="8.4603099182267307"/>
    <n v="116"/>
    <s v="Friday (Solucion: datafono, gofre, cocina y caja compartida)ClienteWait TimeEntity"/>
    <n v="19"/>
    <n v="3.6753649815042069"/>
    <n v="2.457799691981351"/>
    <n v="0.95"/>
    <n v="1.1846215317822661"/>
    <n v="1.88211764353336"/>
    <n v="12.695697184187701"/>
    <n v="3.57397384231746E-2"/>
    <n v="48.547399979086499"/>
    <n v="122.36842105263158"/>
    <n v="1.1846215317822661"/>
    <n v="19"/>
    <n v="1"/>
  </r>
  <r>
    <x v="0"/>
    <s v="2025-05-18 18:56:05"/>
    <n v="5"/>
    <x v="0"/>
    <x v="0"/>
    <x v="0"/>
    <n v="0"/>
    <n v="2E+20"/>
    <n v="0"/>
    <n v="0"/>
    <n v="129"/>
    <s v="Friday (Solucion: datafono, gofre, cocina y caja compartida)ClienteNVA TimeEntity"/>
    <n v="19"/>
    <n v="0"/>
    <n v="0"/>
    <n v="0.95"/>
    <n v="0"/>
    <n v="0"/>
    <n v="0"/>
    <n v="0"/>
    <n v="0"/>
    <n v="122.36842105263158"/>
    <n v="0"/>
    <n v="19"/>
    <n v="1"/>
  </r>
  <r>
    <x v="0"/>
    <s v="2025-05-18 18:56:05"/>
    <n v="5"/>
    <x v="0"/>
    <x v="1"/>
    <x v="0"/>
    <n v="0.55466095318799302"/>
    <n v="2E+20"/>
    <n v="0.10334463267628299"/>
    <n v="1.3447335193662899"/>
    <n v="129"/>
    <s v="Friday (Solucion: datafono, gofre, cocina y caja compartida)ClienteOther TimeEntity"/>
    <n v="19"/>
    <n v="0.63507790130082442"/>
    <n v="3.8049773137108653E-2"/>
    <n v="0.95"/>
    <n v="1.8339403607505776E-2"/>
    <n v="0.55466095318799302"/>
    <n v="0.70846368869380205"/>
    <n v="4.6990588824101599E-2"/>
    <n v="2.8324325672652599"/>
    <n v="122.36842105263158"/>
    <n v="1.8339403607505776E-2"/>
    <n v="19"/>
    <n v="1"/>
  </r>
  <r>
    <x v="0"/>
    <s v="2025-05-18 18:56:05"/>
    <n v="5"/>
    <x v="0"/>
    <x v="2"/>
    <x v="0"/>
    <n v="4.6095490004320201"/>
    <n v="2E+20"/>
    <n v="0.54286746462793201"/>
    <n v="33.053883639485001"/>
    <n v="129"/>
    <s v="Friday (Solucion: datafono, gofre, cocina y caja compartida)ClienteTotal TimeEntity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5"/>
    <x v="0"/>
    <x v="3"/>
    <x v="0"/>
    <n v="0.233333333333337"/>
    <n v="2E+20"/>
    <n v="0.23333333333331999"/>
    <n v="0.23333333333334799"/>
    <n v="129"/>
    <s v="Friday (Solucion: datafono, gofre, cocina y caja compartida)ClienteTransfer TimeEntity"/>
    <n v="19"/>
    <n v="0.23333333333333742"/>
    <n v="1.1204111467455151E-15"/>
    <n v="0.95"/>
    <n v="5.4002088665477309E-16"/>
    <n v="0.233333333333336"/>
    <n v="0.23333333333334"/>
    <n v="0.23333333333331999"/>
    <n v="0.23333333333334799"/>
    <n v="122.36842105263158"/>
    <n v="5.4002088665477309E-16"/>
    <n v="19"/>
    <n v="1"/>
  </r>
  <r>
    <x v="0"/>
    <s v="2025-05-18 18:56:05"/>
    <n v="5"/>
    <x v="0"/>
    <x v="4"/>
    <x v="0"/>
    <n v="3.36730902819024"/>
    <n v="2E+20"/>
    <n v="0"/>
    <n v="30.799832232728299"/>
    <n v="129"/>
    <s v="Friday (Solucion: datafono, gofre, cocina y caja compartida)ClienteVA TimeEntity"/>
    <n v="19"/>
    <n v="3.7328197351244743"/>
    <n v="0.46502806282270054"/>
    <n v="0.95"/>
    <n v="0.22413635167261109"/>
    <n v="2.8861185212318898"/>
    <n v="4.9064162118213703"/>
    <n v="0"/>
    <n v="47.429632233637001"/>
    <n v="122.36842105263158"/>
    <n v="0.22413635167261109"/>
    <n v="19"/>
    <n v="1"/>
  </r>
  <r>
    <x v="0"/>
    <s v="2025-05-18 18:56:05"/>
    <n v="5"/>
    <x v="0"/>
    <x v="5"/>
    <x v="0"/>
    <n v="1.8944735060021001"/>
    <n v="2E+20"/>
    <n v="3.57397384231746E-2"/>
    <n v="9.2465099046840198"/>
    <n v="129"/>
    <s v="Friday (Solucion: datafono, gofre, cocina y caja compartida)ClienteWait TimeEntity"/>
    <n v="19"/>
    <n v="3.6753649815042069"/>
    <n v="2.457799691981351"/>
    <n v="0.95"/>
    <n v="1.1846215317822661"/>
    <n v="1.88211764353336"/>
    <n v="12.695697184187701"/>
    <n v="3.57397384231746E-2"/>
    <n v="48.547399979086499"/>
    <n v="122.36842105263158"/>
    <n v="1.1846215317822661"/>
    <n v="19"/>
    <n v="1"/>
  </r>
  <r>
    <x v="0"/>
    <s v="2025-05-18 18:56:05"/>
    <n v="6"/>
    <x v="0"/>
    <x v="0"/>
    <x v="0"/>
    <n v="0"/>
    <n v="2E+20"/>
    <n v="0"/>
    <n v="0"/>
    <n v="117"/>
    <s v="Friday (Solucion: datafono, gofre, cocina y caja compartida)ClienteNVA TimeEntity"/>
    <n v="19"/>
    <n v="0"/>
    <n v="0"/>
    <n v="0.95"/>
    <n v="0"/>
    <n v="0"/>
    <n v="0"/>
    <n v="0"/>
    <n v="0"/>
    <n v="122.36842105263158"/>
    <n v="0"/>
    <n v="19"/>
    <n v="1"/>
  </r>
  <r>
    <x v="0"/>
    <s v="2025-05-18 18:56:05"/>
    <n v="6"/>
    <x v="0"/>
    <x v="1"/>
    <x v="0"/>
    <n v="0.64705108668133704"/>
    <n v="2E+20"/>
    <n v="0.107266051900098"/>
    <n v="2.0981053168305301"/>
    <n v="117"/>
    <s v="Friday (Solucion: datafono, gofre, cocina y caja compartida)ClienteOther TimeEntity"/>
    <n v="19"/>
    <n v="0.63507790130082442"/>
    <n v="3.8049773137108653E-2"/>
    <n v="0.95"/>
    <n v="1.8339403607505776E-2"/>
    <n v="0.55466095318799302"/>
    <n v="0.70846368869380205"/>
    <n v="4.6990588824101599E-2"/>
    <n v="2.8324325672652599"/>
    <n v="122.36842105263158"/>
    <n v="1.8339403607505776E-2"/>
    <n v="19"/>
    <n v="1"/>
  </r>
  <r>
    <x v="0"/>
    <s v="2025-05-18 18:56:05"/>
    <n v="6"/>
    <x v="0"/>
    <x v="2"/>
    <x v="0"/>
    <n v="4.85694996673445"/>
    <n v="2E+20"/>
    <n v="0.53277804786901595"/>
    <n v="31.333361577483"/>
    <n v="117"/>
    <s v="Friday (Solucion: datafono, gofre, cocina y caja compartida)ClienteTotal TimeEntity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6"/>
    <x v="0"/>
    <x v="3"/>
    <x v="0"/>
    <n v="0.233333333333338"/>
    <n v="2E+20"/>
    <n v="0.23333333333331999"/>
    <n v="0.23333333333334799"/>
    <n v="117"/>
    <s v="Friday (Solucion: datafono, gofre, cocina y caja compartida)ClienteTransfer TimeEntity"/>
    <n v="19"/>
    <n v="0.23333333333333742"/>
    <n v="1.1204111467455151E-15"/>
    <n v="0.95"/>
    <n v="5.4002088665477309E-16"/>
    <n v="0.233333333333336"/>
    <n v="0.23333333333334"/>
    <n v="0.23333333333331999"/>
    <n v="0.23333333333334799"/>
    <n v="122.36842105263158"/>
    <n v="5.4002088665477309E-16"/>
    <n v="19"/>
    <n v="1"/>
  </r>
  <r>
    <x v="0"/>
    <s v="2025-05-18 18:56:05"/>
    <n v="6"/>
    <x v="0"/>
    <x v="4"/>
    <x v="0"/>
    <n v="3.5934241411698302"/>
    <n v="2E+20"/>
    <n v="0.105802840230524"/>
    <n v="30.3487283765736"/>
    <n v="117"/>
    <s v="Friday (Solucion: datafono, gofre, cocina y caja compartida)ClienteVA TimeEntity"/>
    <n v="19"/>
    <n v="3.7328197351244743"/>
    <n v="0.46502806282270054"/>
    <n v="0.95"/>
    <n v="0.22413635167261109"/>
    <n v="2.8861185212318898"/>
    <n v="4.9064162118213703"/>
    <n v="0"/>
    <n v="47.429632233637001"/>
    <n v="122.36842105263158"/>
    <n v="0.22413635167261109"/>
    <n v="19"/>
    <n v="1"/>
  </r>
  <r>
    <x v="0"/>
    <s v="2025-05-18 18:56:05"/>
    <n v="6"/>
    <x v="0"/>
    <x v="5"/>
    <x v="0"/>
    <n v="1.88211764353336"/>
    <n v="2E+20"/>
    <n v="8.9136173563844096E-2"/>
    <n v="7.8394079790976301"/>
    <n v="117"/>
    <s v="Friday (Solucion: datafono, gofre, cocina y caja compartida)ClienteWait TimeEntity"/>
    <n v="19"/>
    <n v="3.6753649815042069"/>
    <n v="2.457799691981351"/>
    <n v="0.95"/>
    <n v="1.1846215317822661"/>
    <n v="1.88211764353336"/>
    <n v="12.695697184187701"/>
    <n v="3.57397384231746E-2"/>
    <n v="48.547399979086499"/>
    <n v="122.36842105263158"/>
    <n v="1.1846215317822661"/>
    <n v="19"/>
    <n v="1"/>
  </r>
  <r>
    <x v="0"/>
    <s v="2025-05-18 18:56:05"/>
    <n v="7"/>
    <x v="0"/>
    <x v="0"/>
    <x v="0"/>
    <n v="0"/>
    <n v="2E+20"/>
    <n v="0"/>
    <n v="0"/>
    <n v="112"/>
    <s v="Friday (Solucion: datafono, gofre, cocina y caja compartida)ClienteNVA TimeEntity"/>
    <n v="19"/>
    <n v="0"/>
    <n v="0"/>
    <n v="0.95"/>
    <n v="0"/>
    <n v="0"/>
    <n v="0"/>
    <n v="0"/>
    <n v="0"/>
    <n v="122.36842105263158"/>
    <n v="0"/>
    <n v="19"/>
    <n v="1"/>
  </r>
  <r>
    <x v="0"/>
    <s v="2025-05-18 18:56:05"/>
    <n v="7"/>
    <x v="0"/>
    <x v="1"/>
    <x v="0"/>
    <n v="0.70846368869380205"/>
    <n v="2E+20"/>
    <n v="8.4619390095525701E-2"/>
    <n v="2.5828754912182501"/>
    <n v="112"/>
    <s v="Friday (Solucion: datafono, gofre, cocina y caja compartida)ClienteOther TimeEntity"/>
    <n v="19"/>
    <n v="0.63507790130082442"/>
    <n v="3.8049773137108653E-2"/>
    <n v="0.95"/>
    <n v="1.8339403607505776E-2"/>
    <n v="0.55466095318799302"/>
    <n v="0.70846368869380205"/>
    <n v="4.6990588824101599E-2"/>
    <n v="2.8324325672652599"/>
    <n v="122.36842105263158"/>
    <n v="1.8339403607505776E-2"/>
    <n v="19"/>
    <n v="1"/>
  </r>
  <r>
    <x v="0"/>
    <s v="2025-05-18 18:56:05"/>
    <n v="7"/>
    <x v="0"/>
    <x v="2"/>
    <x v="0"/>
    <n v="5.4218972748640004"/>
    <n v="2E+20"/>
    <n v="0.53262100124479195"/>
    <n v="31.217607833439502"/>
    <n v="112"/>
    <s v="Friday (Solucion: datafono, gofre, cocina y caja compartida)ClienteTotal TimeEntity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7"/>
    <x v="0"/>
    <x v="3"/>
    <x v="0"/>
    <n v="0.233333333333338"/>
    <n v="2E+20"/>
    <n v="0.23333333333331999"/>
    <n v="0.23333333333334799"/>
    <n v="112"/>
    <s v="Friday (Solucion: datafono, gofre, cocina y caja compartida)ClienteTransfer TimeEntity"/>
    <n v="19"/>
    <n v="0.23333333333333742"/>
    <n v="1.1204111467455151E-15"/>
    <n v="0.95"/>
    <n v="5.4002088665477309E-16"/>
    <n v="0.233333333333336"/>
    <n v="0.23333333333334"/>
    <n v="0.23333333333331999"/>
    <n v="0.23333333333334799"/>
    <n v="122.36842105263158"/>
    <n v="5.4002088665477309E-16"/>
    <n v="19"/>
    <n v="1"/>
  </r>
  <r>
    <x v="0"/>
    <s v="2025-05-18 18:56:05"/>
    <n v="7"/>
    <x v="0"/>
    <x v="4"/>
    <x v="0"/>
    <n v="3.5902993690901499"/>
    <n v="2E+20"/>
    <n v="7.0064682067112499E-2"/>
    <n v="29.794506687003398"/>
    <n v="112"/>
    <s v="Friday (Solucion: datafono, gofre, cocina y caja compartida)ClienteVA TimeEntity"/>
    <n v="19"/>
    <n v="3.7328197351244743"/>
    <n v="0.46502806282270054"/>
    <n v="0.95"/>
    <n v="0.22413635167261109"/>
    <n v="2.8861185212318898"/>
    <n v="4.9064162118213703"/>
    <n v="0"/>
    <n v="47.429632233637001"/>
    <n v="122.36842105263158"/>
    <n v="0.22413635167261109"/>
    <n v="19"/>
    <n v="1"/>
  </r>
  <r>
    <x v="0"/>
    <s v="2025-05-18 18:56:05"/>
    <n v="7"/>
    <x v="0"/>
    <x v="5"/>
    <x v="0"/>
    <n v="2.5441095693860798"/>
    <n v="2E+20"/>
    <n v="5.33980154004325E-2"/>
    <n v="8.8170646661564795"/>
    <n v="112"/>
    <s v="Friday (Solucion: datafono, gofre, cocina y caja compartida)ClienteWait TimeEntity"/>
    <n v="19"/>
    <n v="3.6753649815042069"/>
    <n v="2.457799691981351"/>
    <n v="0.95"/>
    <n v="1.1846215317822661"/>
    <n v="1.88211764353336"/>
    <n v="12.695697184187701"/>
    <n v="3.57397384231746E-2"/>
    <n v="48.547399979086499"/>
    <n v="122.36842105263158"/>
    <n v="1.1846215317822661"/>
    <n v="19"/>
    <n v="1"/>
  </r>
  <r>
    <x v="0"/>
    <s v="2025-05-18 18:56:05"/>
    <n v="8"/>
    <x v="0"/>
    <x v="0"/>
    <x v="0"/>
    <n v="0"/>
    <n v="2E+20"/>
    <n v="0"/>
    <n v="0"/>
    <n v="135"/>
    <s v="Friday (Solucion: datafono, gofre, cocina y caja compartida)ClienteNVA TimeEntity"/>
    <n v="19"/>
    <n v="0"/>
    <n v="0"/>
    <n v="0.95"/>
    <n v="0"/>
    <n v="0"/>
    <n v="0"/>
    <n v="0"/>
    <n v="0"/>
    <n v="122.36842105263158"/>
    <n v="0"/>
    <n v="19"/>
    <n v="1"/>
  </r>
  <r>
    <x v="0"/>
    <s v="2025-05-18 18:56:05"/>
    <n v="8"/>
    <x v="0"/>
    <x v="1"/>
    <x v="0"/>
    <n v="0.66541236087301603"/>
    <n v="2E+20"/>
    <n v="4.6990588824101599E-2"/>
    <n v="2.7142094743074701"/>
    <n v="135"/>
    <s v="Friday (Solucion: datafono, gofre, cocina y caja compartida)ClienteOther TimeEntity"/>
    <n v="19"/>
    <n v="0.63507790130082442"/>
    <n v="3.8049773137108653E-2"/>
    <n v="0.95"/>
    <n v="1.8339403607505776E-2"/>
    <n v="0.55466095318799302"/>
    <n v="0.70846368869380205"/>
    <n v="4.6990588824101599E-2"/>
    <n v="2.8324325672652599"/>
    <n v="122.36842105263158"/>
    <n v="1.8339403607505776E-2"/>
    <n v="19"/>
    <n v="1"/>
  </r>
  <r>
    <x v="0"/>
    <s v="2025-05-18 18:56:05"/>
    <n v="8"/>
    <x v="0"/>
    <x v="2"/>
    <x v="0"/>
    <n v="5.8965473384769904"/>
    <n v="2E+20"/>
    <n v="0.68529338576375698"/>
    <n v="32.632046658621903"/>
    <n v="135"/>
    <s v="Friday (Solucion: datafono, gofre, cocina y caja compartida)ClienteTotal TimeEntity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8"/>
    <x v="0"/>
    <x v="3"/>
    <x v="0"/>
    <n v="0.233333333333338"/>
    <n v="2E+20"/>
    <n v="0.23333333333331999"/>
    <n v="0.23333333333334799"/>
    <n v="135"/>
    <s v="Friday (Solucion: datafono, gofre, cocina y caja compartida)ClienteTransfer TimeEntity"/>
    <n v="19"/>
    <n v="0.23333333333333742"/>
    <n v="1.1204111467455151E-15"/>
    <n v="0.95"/>
    <n v="5.4002088665477309E-16"/>
    <n v="0.233333333333336"/>
    <n v="0.23333333333334"/>
    <n v="0.23333333333331999"/>
    <n v="0.23333333333334799"/>
    <n v="122.36842105263158"/>
    <n v="5.4002088665477309E-16"/>
    <n v="19"/>
    <n v="1"/>
  </r>
  <r>
    <x v="0"/>
    <s v="2025-05-18 18:56:05"/>
    <n v="8"/>
    <x v="0"/>
    <x v="4"/>
    <x v="0"/>
    <n v="3.5617571477257801"/>
    <n v="2E+20"/>
    <n v="0.125718801369786"/>
    <n v="30.206467506714699"/>
    <n v="135"/>
    <s v="Friday (Solucion: datafono, gofre, cocina y caja compartida)ClienteVA TimeEntity"/>
    <n v="19"/>
    <n v="3.7328197351244743"/>
    <n v="0.46502806282270054"/>
    <n v="0.95"/>
    <n v="0.22413635167261109"/>
    <n v="2.8861185212318898"/>
    <n v="4.9064162118213703"/>
    <n v="0"/>
    <n v="47.429632233637001"/>
    <n v="122.36842105263158"/>
    <n v="0.22413635167261109"/>
    <n v="19"/>
    <n v="1"/>
  </r>
  <r>
    <x v="0"/>
    <s v="2025-05-18 18:56:05"/>
    <n v="8"/>
    <x v="0"/>
    <x v="5"/>
    <x v="0"/>
    <n v="3.6364410316570202"/>
    <n v="2E+20"/>
    <n v="0.138635605950128"/>
    <n v="11.903259514154"/>
    <n v="135"/>
    <s v="Friday (Solucion: datafono, gofre, cocina y caja compartida)ClienteWait TimeEntity"/>
    <n v="19"/>
    <n v="3.6753649815042069"/>
    <n v="2.457799691981351"/>
    <n v="0.95"/>
    <n v="1.1846215317822661"/>
    <n v="1.88211764353336"/>
    <n v="12.695697184187701"/>
    <n v="3.57397384231746E-2"/>
    <n v="48.547399979086499"/>
    <n v="122.36842105263158"/>
    <n v="1.1846215317822661"/>
    <n v="19"/>
    <n v="1"/>
  </r>
  <r>
    <x v="0"/>
    <s v="2025-05-18 18:56:05"/>
    <n v="9"/>
    <x v="0"/>
    <x v="0"/>
    <x v="0"/>
    <n v="0"/>
    <n v="2E+20"/>
    <n v="0"/>
    <n v="0"/>
    <n v="114"/>
    <s v="Friday (Solucion: datafono, gofre, cocina y caja compartida)ClienteNVA TimeEntity"/>
    <n v="19"/>
    <n v="0"/>
    <n v="0"/>
    <n v="0.95"/>
    <n v="0"/>
    <n v="0"/>
    <n v="0"/>
    <n v="0"/>
    <n v="0"/>
    <n v="122.36842105263158"/>
    <n v="0"/>
    <n v="19"/>
    <n v="1"/>
  </r>
  <r>
    <x v="0"/>
    <s v="2025-05-18 18:56:05"/>
    <n v="9"/>
    <x v="0"/>
    <x v="1"/>
    <x v="0"/>
    <n v="0.62865372653808405"/>
    <n v="2E+20"/>
    <n v="0.14633779548827899"/>
    <n v="1.4612908921002501"/>
    <n v="114"/>
    <s v="Friday (Solucion: datafono, gofre, cocina y caja compartida)ClienteOther TimeEntity"/>
    <n v="19"/>
    <n v="0.63507790130082442"/>
    <n v="3.8049773137108653E-2"/>
    <n v="0.95"/>
    <n v="1.8339403607505776E-2"/>
    <n v="0.55466095318799302"/>
    <n v="0.70846368869380205"/>
    <n v="4.6990588824101599E-2"/>
    <n v="2.8324325672652599"/>
    <n v="122.36842105263158"/>
    <n v="1.8339403607505776E-2"/>
    <n v="19"/>
    <n v="1"/>
  </r>
  <r>
    <x v="0"/>
    <s v="2025-05-18 18:56:05"/>
    <n v="9"/>
    <x v="0"/>
    <x v="2"/>
    <x v="0"/>
    <n v="5.63039811192073"/>
    <n v="2E+20"/>
    <n v="0.74864526886420901"/>
    <n v="33.450755225246603"/>
    <n v="114"/>
    <s v="Friday (Solucion: datafono, gofre, cocina y caja compartida)ClienteTotal TimeEntity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9"/>
    <x v="0"/>
    <x v="3"/>
    <x v="0"/>
    <n v="0.233333333333336"/>
    <n v="2E+20"/>
    <n v="0.23333333333331999"/>
    <n v="0.23333333333334799"/>
    <n v="114"/>
    <s v="Friday (Solucion: datafono, gofre, cocina y caja compartida)ClienteTransfer TimeEntity"/>
    <n v="19"/>
    <n v="0.23333333333333742"/>
    <n v="1.1204111467455151E-15"/>
    <n v="0.95"/>
    <n v="5.4002088665477309E-16"/>
    <n v="0.233333333333336"/>
    <n v="0.23333333333334"/>
    <n v="0.23333333333331999"/>
    <n v="0.23333333333334799"/>
    <n v="122.36842105263158"/>
    <n v="5.4002088665477309E-16"/>
    <n v="19"/>
    <n v="1"/>
  </r>
  <r>
    <x v="0"/>
    <s v="2025-05-18 18:56:05"/>
    <n v="9"/>
    <x v="0"/>
    <x v="4"/>
    <x v="0"/>
    <n v="4.0731203531077398"/>
    <n v="2E+20"/>
    <n v="7.0999501424836395E-2"/>
    <n v="33.028159386983397"/>
    <n v="114"/>
    <s v="Friday (Solucion: datafono, gofre, cocina y caja compartida)ClienteVA TimeEntity"/>
    <n v="19"/>
    <n v="3.7328197351244743"/>
    <n v="0.46502806282270054"/>
    <n v="0.95"/>
    <n v="0.22413635167261109"/>
    <n v="2.8861185212318898"/>
    <n v="4.9064162118213703"/>
    <n v="0"/>
    <n v="47.429632233637001"/>
    <n v="122.36842105263158"/>
    <n v="0.22413635167261109"/>
    <n v="19"/>
    <n v="1"/>
  </r>
  <r>
    <x v="0"/>
    <s v="2025-05-18 18:56:05"/>
    <n v="9"/>
    <x v="0"/>
    <x v="5"/>
    <x v="0"/>
    <n v="2.62806866754668"/>
    <n v="2E+20"/>
    <n v="5.4332834758156402E-2"/>
    <n v="9.6882014805709407"/>
    <n v="114"/>
    <s v="Friday (Solucion: datafono, gofre, cocina y caja compartida)ClienteWait TimeEntity"/>
    <n v="19"/>
    <n v="3.6753649815042069"/>
    <n v="2.457799691981351"/>
    <n v="0.95"/>
    <n v="1.1846215317822661"/>
    <n v="1.88211764353336"/>
    <n v="12.695697184187701"/>
    <n v="3.57397384231746E-2"/>
    <n v="48.547399979086499"/>
    <n v="122.36842105263158"/>
    <n v="1.1846215317822661"/>
    <n v="19"/>
    <n v="1"/>
  </r>
  <r>
    <x v="0"/>
    <s v="2025-05-18 18:56:05"/>
    <n v="10"/>
    <x v="0"/>
    <x v="0"/>
    <x v="0"/>
    <n v="0"/>
    <n v="2E+20"/>
    <n v="0"/>
    <n v="0"/>
    <n v="116"/>
    <s v="Friday (Solucion: datafono, gofre, cocina y caja compartida)ClienteNVA TimeEntity"/>
    <n v="19"/>
    <n v="0"/>
    <n v="0"/>
    <n v="0.95"/>
    <n v="0"/>
    <n v="0"/>
    <n v="0"/>
    <n v="0"/>
    <n v="0"/>
    <n v="122.36842105263158"/>
    <n v="0"/>
    <n v="19"/>
    <n v="1"/>
  </r>
  <r>
    <x v="0"/>
    <s v="2025-05-18 18:56:05"/>
    <n v="10"/>
    <x v="0"/>
    <x v="1"/>
    <x v="0"/>
    <n v="0.68273728357153796"/>
    <n v="2E+20"/>
    <n v="0.157739310061459"/>
    <n v="2.2698164115991801"/>
    <n v="116"/>
    <s v="Friday (Solucion: datafono, gofre, cocina y caja compartida)ClienteOther TimeEntity"/>
    <n v="19"/>
    <n v="0.63507790130082442"/>
    <n v="3.8049773137108653E-2"/>
    <n v="0.95"/>
    <n v="1.8339403607505776E-2"/>
    <n v="0.55466095318799302"/>
    <n v="0.70846368869380205"/>
    <n v="4.6990588824101599E-2"/>
    <n v="2.8324325672652599"/>
    <n v="122.36842105263158"/>
    <n v="1.8339403607505776E-2"/>
    <n v="19"/>
    <n v="1"/>
  </r>
  <r>
    <x v="0"/>
    <s v="2025-05-18 18:56:05"/>
    <n v="10"/>
    <x v="0"/>
    <x v="2"/>
    <x v="0"/>
    <n v="7.7213538413687797"/>
    <n v="2E+20"/>
    <n v="0.59592264307153198"/>
    <n v="35.522485212755001"/>
    <n v="116"/>
    <s v="Friday (Solucion: datafono, gofre, cocina y caja compartida)ClienteTotal TimeEntity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10"/>
    <x v="0"/>
    <x v="3"/>
    <x v="0"/>
    <n v="0.233333333333339"/>
    <n v="2E+20"/>
    <n v="0.23333333333331999"/>
    <n v="0.23333333333334799"/>
    <n v="116"/>
    <s v="Friday (Solucion: datafono, gofre, cocina y caja compartida)ClienteTransfer TimeEntity"/>
    <n v="19"/>
    <n v="0.23333333333333742"/>
    <n v="1.1204111467455151E-15"/>
    <n v="0.95"/>
    <n v="5.4002088665477309E-16"/>
    <n v="0.233333333333336"/>
    <n v="0.23333333333334"/>
    <n v="0.23333333333331999"/>
    <n v="0.23333333333334799"/>
    <n v="122.36842105263158"/>
    <n v="5.4002088665477309E-16"/>
    <n v="19"/>
    <n v="1"/>
  </r>
  <r>
    <x v="0"/>
    <s v="2025-05-18 18:56:05"/>
    <n v="10"/>
    <x v="0"/>
    <x v="4"/>
    <x v="0"/>
    <n v="4.9064162118213703"/>
    <n v="2E+20"/>
    <n v="0.14115056122463401"/>
    <n v="33.111186942994898"/>
    <n v="116"/>
    <s v="Friday (Solucion: datafono, gofre, cocina y caja compartida)ClienteVA TimeEntity"/>
    <n v="19"/>
    <n v="3.7328197351244743"/>
    <n v="0.46502806282270054"/>
    <n v="0.95"/>
    <n v="0.22413635167261109"/>
    <n v="2.8861185212318898"/>
    <n v="4.9064162118213703"/>
    <n v="0"/>
    <n v="47.429632233637001"/>
    <n v="122.36842105263158"/>
    <n v="0.22413635167261109"/>
    <n v="19"/>
    <n v="1"/>
  </r>
  <r>
    <x v="0"/>
    <s v="2025-05-18 18:56:05"/>
    <n v="10"/>
    <x v="0"/>
    <x v="5"/>
    <x v="0"/>
    <n v="4.4415565672966304"/>
    <n v="2E+20"/>
    <n v="0.215462939572859"/>
    <n v="13.7649921149502"/>
    <n v="116"/>
    <s v="Friday (Solucion: datafono, gofre, cocina y caja compartida)ClienteWait TimeEntity"/>
    <n v="19"/>
    <n v="3.6753649815042069"/>
    <n v="2.457799691981351"/>
    <n v="0.95"/>
    <n v="1.1846215317822661"/>
    <n v="1.88211764353336"/>
    <n v="12.695697184187701"/>
    <n v="3.57397384231746E-2"/>
    <n v="48.547399979086499"/>
    <n v="122.36842105263158"/>
    <n v="1.1846215317822661"/>
    <n v="19"/>
    <n v="1"/>
  </r>
  <r>
    <x v="0"/>
    <s v="2025-05-18 18:56:05"/>
    <n v="11"/>
    <x v="0"/>
    <x v="0"/>
    <x v="0"/>
    <n v="0"/>
    <n v="2E+20"/>
    <n v="0"/>
    <n v="0"/>
    <n v="115"/>
    <s v="Friday (Solucion: datafono, gofre, cocina y caja compartida)ClienteNVA TimeEntity"/>
    <n v="19"/>
    <n v="0"/>
    <n v="0"/>
    <n v="0.95"/>
    <n v="0"/>
    <n v="0"/>
    <n v="0"/>
    <n v="0"/>
    <n v="0"/>
    <n v="122.36842105263158"/>
    <n v="0"/>
    <n v="19"/>
    <n v="1"/>
  </r>
  <r>
    <x v="0"/>
    <s v="2025-05-18 18:56:05"/>
    <n v="11"/>
    <x v="0"/>
    <x v="1"/>
    <x v="0"/>
    <n v="0.64569713927184502"/>
    <n v="2E+20"/>
    <n v="0.17554561764273999"/>
    <n v="2.7755876432214301"/>
    <n v="115"/>
    <s v="Friday (Solucion: datafono, gofre, cocina y caja compartida)ClienteOther TimeEntity"/>
    <n v="19"/>
    <n v="0.63507790130082442"/>
    <n v="3.8049773137108653E-2"/>
    <n v="0.95"/>
    <n v="1.8339403607505776E-2"/>
    <n v="0.55466095318799302"/>
    <n v="0.70846368869380205"/>
    <n v="4.6990588824101599E-2"/>
    <n v="2.8324325672652599"/>
    <n v="122.36842105263158"/>
    <n v="1.8339403607505776E-2"/>
    <n v="19"/>
    <n v="1"/>
  </r>
  <r>
    <x v="0"/>
    <s v="2025-05-18 18:56:05"/>
    <n v="11"/>
    <x v="0"/>
    <x v="2"/>
    <x v="0"/>
    <n v="5.9000606491422101"/>
    <n v="2E+20"/>
    <n v="0.79935237358711198"/>
    <n v="42.017600569038599"/>
    <n v="115"/>
    <s v="Friday (Solucion: datafono, gofre, cocina y caja compartida)ClienteTotal TimeEntity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11"/>
    <x v="0"/>
    <x v="3"/>
    <x v="0"/>
    <n v="0.233333333333339"/>
    <n v="2E+20"/>
    <n v="0.23333333333331999"/>
    <n v="0.23333333333334799"/>
    <n v="115"/>
    <s v="Friday (Solucion: datafono, gofre, cocina y caja compartida)ClienteTransfer TimeEntity"/>
    <n v="19"/>
    <n v="0.23333333333333742"/>
    <n v="1.1204111467455151E-15"/>
    <n v="0.95"/>
    <n v="5.4002088665477309E-16"/>
    <n v="0.233333333333336"/>
    <n v="0.23333333333334"/>
    <n v="0.23333333333331999"/>
    <n v="0.23333333333334799"/>
    <n v="122.36842105263158"/>
    <n v="5.4002088665477309E-16"/>
    <n v="19"/>
    <n v="1"/>
  </r>
  <r>
    <x v="0"/>
    <s v="2025-05-18 18:56:05"/>
    <n v="11"/>
    <x v="0"/>
    <x v="4"/>
    <x v="0"/>
    <n v="3.8101514063439601"/>
    <n v="2E+20"/>
    <n v="6.3257868254424907E-2"/>
    <n v="29.796098431456201"/>
    <n v="115"/>
    <s v="Friday (Solucion: datafono, gofre, cocina y caja compartida)ClienteVA TimeEntity"/>
    <n v="19"/>
    <n v="3.7328197351244743"/>
    <n v="0.46502806282270054"/>
    <n v="0.95"/>
    <n v="0.22413635167261109"/>
    <n v="2.8861185212318898"/>
    <n v="4.9064162118213703"/>
    <n v="0"/>
    <n v="47.429632233637001"/>
    <n v="122.36842105263158"/>
    <n v="0.22413635167261109"/>
    <n v="19"/>
    <n v="1"/>
  </r>
  <r>
    <x v="0"/>
    <s v="2025-05-18 18:56:05"/>
    <n v="11"/>
    <x v="0"/>
    <x v="5"/>
    <x v="0"/>
    <n v="3.30680262921345"/>
    <n v="2E+20"/>
    <n v="0.115782029226267"/>
    <n v="19.075191099762701"/>
    <n v="115"/>
    <s v="Friday (Solucion: datafono, gofre, cocina y caja compartida)ClienteWait TimeEntity"/>
    <n v="19"/>
    <n v="3.6753649815042069"/>
    <n v="2.457799691981351"/>
    <n v="0.95"/>
    <n v="1.1846215317822661"/>
    <n v="1.88211764353336"/>
    <n v="12.695697184187701"/>
    <n v="3.57397384231746E-2"/>
    <n v="48.547399979086499"/>
    <n v="122.36842105263158"/>
    <n v="1.1846215317822661"/>
    <n v="19"/>
    <n v="1"/>
  </r>
  <r>
    <x v="0"/>
    <s v="2025-05-18 18:56:05"/>
    <n v="12"/>
    <x v="0"/>
    <x v="0"/>
    <x v="0"/>
    <n v="0"/>
    <n v="2E+20"/>
    <n v="0"/>
    <n v="0"/>
    <n v="120"/>
    <s v="Friday (Solucion: datafono, gofre, cocina y caja compartida)ClienteNVA TimeEntity"/>
    <n v="19"/>
    <n v="0"/>
    <n v="0"/>
    <n v="0.95"/>
    <n v="0"/>
    <n v="0"/>
    <n v="0"/>
    <n v="0"/>
    <n v="0"/>
    <n v="122.36842105263158"/>
    <n v="0"/>
    <n v="19"/>
    <n v="1"/>
  </r>
  <r>
    <x v="0"/>
    <s v="2025-05-18 18:56:05"/>
    <n v="12"/>
    <x v="0"/>
    <x v="1"/>
    <x v="0"/>
    <n v="0.64412104589499897"/>
    <n v="2E+20"/>
    <n v="0.11159644046412601"/>
    <n v="2.3512760511938802"/>
    <n v="120"/>
    <s v="Friday (Solucion: datafono, gofre, cocina y caja compartida)ClienteOther TimeEntity"/>
    <n v="19"/>
    <n v="0.63507790130082442"/>
    <n v="3.8049773137108653E-2"/>
    <n v="0.95"/>
    <n v="1.8339403607505776E-2"/>
    <n v="0.55466095318799302"/>
    <n v="0.70846368869380205"/>
    <n v="4.6990588824101599E-2"/>
    <n v="2.8324325672652599"/>
    <n v="122.36842105263158"/>
    <n v="1.8339403607505776E-2"/>
    <n v="19"/>
    <n v="1"/>
  </r>
  <r>
    <x v="0"/>
    <s v="2025-05-18 18:56:05"/>
    <n v="12"/>
    <x v="0"/>
    <x v="2"/>
    <x v="0"/>
    <n v="6.3747796947994502"/>
    <n v="2E+20"/>
    <n v="0.66391758995999295"/>
    <n v="44.043793385560598"/>
    <n v="120"/>
    <s v="Friday (Solucion: datafono, gofre, cocina y caja compartida)ClienteTotal TimeEntity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12"/>
    <x v="0"/>
    <x v="3"/>
    <x v="0"/>
    <n v="0.233333333333337"/>
    <n v="2E+20"/>
    <n v="0.23333333333331999"/>
    <n v="0.23333333333334799"/>
    <n v="120"/>
    <s v="Friday (Solucion: datafono, gofre, cocina y caja compartida)ClienteTransfer TimeEntity"/>
    <n v="19"/>
    <n v="0.23333333333333742"/>
    <n v="1.1204111467455151E-15"/>
    <n v="0.95"/>
    <n v="5.4002088665477309E-16"/>
    <n v="0.233333333333336"/>
    <n v="0.23333333333334"/>
    <n v="0.23333333333331999"/>
    <n v="0.23333333333334799"/>
    <n v="122.36842105263158"/>
    <n v="5.4002088665477309E-16"/>
    <n v="19"/>
    <n v="1"/>
  </r>
  <r>
    <x v="0"/>
    <s v="2025-05-18 18:56:05"/>
    <n v="12"/>
    <x v="0"/>
    <x v="4"/>
    <x v="0"/>
    <n v="3.7103463676395601"/>
    <n v="2E+20"/>
    <n v="0.104467793621836"/>
    <n v="34.616671895585498"/>
    <n v="120"/>
    <s v="Friday (Solucion: datafono, gofre, cocina y caja compartida)ClienteVA TimeEntity"/>
    <n v="19"/>
    <n v="3.7328197351244743"/>
    <n v="0.46502806282270054"/>
    <n v="0.95"/>
    <n v="0.22413635167261109"/>
    <n v="2.8861185212318898"/>
    <n v="4.9064162118213703"/>
    <n v="0"/>
    <n v="47.429632233637001"/>
    <n v="122.36842105263158"/>
    <n v="0.22413635167261109"/>
    <n v="19"/>
    <n v="1"/>
  </r>
  <r>
    <x v="0"/>
    <s v="2025-05-18 18:56:05"/>
    <n v="12"/>
    <x v="0"/>
    <x v="5"/>
    <x v="0"/>
    <n v="4.1705086825097801"/>
    <n v="2E+20"/>
    <n v="0.10500002708931799"/>
    <n v="24.557785256089801"/>
    <n v="120"/>
    <s v="Friday (Solucion: datafono, gofre, cocina y caja compartida)ClienteWait TimeEntity"/>
    <n v="19"/>
    <n v="3.6753649815042069"/>
    <n v="2.457799691981351"/>
    <n v="0.95"/>
    <n v="1.1846215317822661"/>
    <n v="1.88211764353336"/>
    <n v="12.695697184187701"/>
    <n v="3.57397384231746E-2"/>
    <n v="48.547399979086499"/>
    <n v="122.36842105263158"/>
    <n v="1.1846215317822661"/>
    <n v="19"/>
    <n v="1"/>
  </r>
  <r>
    <x v="0"/>
    <s v="2025-05-18 18:56:05"/>
    <n v="13"/>
    <x v="0"/>
    <x v="0"/>
    <x v="0"/>
    <n v="0"/>
    <n v="2E+20"/>
    <n v="0"/>
    <n v="0"/>
    <n v="116"/>
    <s v="Friday (Solucion: datafono, gofre, cocina y caja compartida)ClienteNVA TimeEntity"/>
    <n v="19"/>
    <n v="0"/>
    <n v="0"/>
    <n v="0.95"/>
    <n v="0"/>
    <n v="0"/>
    <n v="0"/>
    <n v="0"/>
    <n v="0"/>
    <n v="122.36842105263158"/>
    <n v="0"/>
    <n v="19"/>
    <n v="1"/>
  </r>
  <r>
    <x v="0"/>
    <s v="2025-05-18 18:56:05"/>
    <n v="13"/>
    <x v="0"/>
    <x v="1"/>
    <x v="0"/>
    <n v="0.60751052950344997"/>
    <n v="2E+20"/>
    <n v="0.11356873536371399"/>
    <n v="1.8452150657742401"/>
    <n v="116"/>
    <s v="Friday (Solucion: datafono, gofre, cocina y caja compartida)ClienteOther TimeEntity"/>
    <n v="19"/>
    <n v="0.63507790130082442"/>
    <n v="3.8049773137108653E-2"/>
    <n v="0.95"/>
    <n v="1.8339403607505776E-2"/>
    <n v="0.55466095318799302"/>
    <n v="0.70846368869380205"/>
    <n v="4.6990588824101599E-2"/>
    <n v="2.8324325672652599"/>
    <n v="122.36842105263158"/>
    <n v="1.8339403607505776E-2"/>
    <n v="19"/>
    <n v="1"/>
  </r>
  <r>
    <x v="0"/>
    <s v="2025-05-18 18:56:05"/>
    <n v="13"/>
    <x v="0"/>
    <x v="2"/>
    <x v="0"/>
    <n v="5.7263554213937002"/>
    <n v="2E+20"/>
    <n v="0.66732471695547702"/>
    <n v="42.764047605892102"/>
    <n v="116"/>
    <s v="Friday (Solucion: datafono, gofre, cocina y caja compartida)ClienteTotal TimeEntity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13"/>
    <x v="0"/>
    <x v="3"/>
    <x v="0"/>
    <n v="0.233333333333338"/>
    <n v="2E+20"/>
    <n v="0.23333333333331999"/>
    <n v="0.23333333333334799"/>
    <n v="116"/>
    <s v="Friday (Solucion: datafono, gofre, cocina y caja compartida)ClienteTransfer TimeEntity"/>
    <n v="19"/>
    <n v="0.23333333333333742"/>
    <n v="1.1204111467455151E-15"/>
    <n v="0.95"/>
    <n v="5.4002088665477309E-16"/>
    <n v="0.233333333333336"/>
    <n v="0.23333333333334"/>
    <n v="0.23333333333331999"/>
    <n v="0.23333333333334799"/>
    <n v="122.36842105263158"/>
    <n v="5.4002088665477309E-16"/>
    <n v="19"/>
    <n v="1"/>
  </r>
  <r>
    <x v="0"/>
    <s v="2025-05-18 18:56:05"/>
    <n v="13"/>
    <x v="0"/>
    <x v="4"/>
    <x v="0"/>
    <n v="3.84092276875373"/>
    <n v="2E+20"/>
    <n v="0.10867029340060699"/>
    <n v="41.105392082412301"/>
    <n v="116"/>
    <s v="Friday (Solucion: datafono, gofre, cocina y caja compartida)ClienteVA TimeEntity"/>
    <n v="19"/>
    <n v="3.7328197351244743"/>
    <n v="0.46502806282270054"/>
    <n v="0.95"/>
    <n v="0.22413635167261109"/>
    <n v="2.8861185212318898"/>
    <n v="4.9064162118213703"/>
    <n v="0"/>
    <n v="47.429632233637001"/>
    <n v="122.36842105263158"/>
    <n v="0.22413635167261109"/>
    <n v="19"/>
    <n v="1"/>
  </r>
  <r>
    <x v="0"/>
    <s v="2025-05-18 18:56:05"/>
    <n v="13"/>
    <x v="0"/>
    <x v="5"/>
    <x v="0"/>
    <n v="2.9934017628999299"/>
    <n v="2E+20"/>
    <n v="0.12907321529539201"/>
    <n v="10.5187271447118"/>
    <n v="116"/>
    <s v="Friday (Solucion: datafono, gofre, cocina y caja compartida)ClienteWait TimeEntity"/>
    <n v="19"/>
    <n v="3.6753649815042069"/>
    <n v="2.457799691981351"/>
    <n v="0.95"/>
    <n v="1.1846215317822661"/>
    <n v="1.88211764353336"/>
    <n v="12.695697184187701"/>
    <n v="3.57397384231746E-2"/>
    <n v="48.547399979086499"/>
    <n v="122.36842105263158"/>
    <n v="1.1846215317822661"/>
    <n v="19"/>
    <n v="1"/>
  </r>
  <r>
    <x v="0"/>
    <s v="2025-05-18 18:56:05"/>
    <n v="14"/>
    <x v="0"/>
    <x v="0"/>
    <x v="0"/>
    <n v="0"/>
    <n v="2E+20"/>
    <n v="0"/>
    <n v="0"/>
    <n v="135"/>
    <s v="Friday (Solucion: datafono, gofre, cocina y caja compartida)ClienteNVA TimeEntity"/>
    <n v="19"/>
    <n v="0"/>
    <n v="0"/>
    <n v="0.95"/>
    <n v="0"/>
    <n v="0"/>
    <n v="0"/>
    <n v="0"/>
    <n v="0"/>
    <n v="122.36842105263158"/>
    <n v="0"/>
    <n v="19"/>
    <n v="1"/>
  </r>
  <r>
    <x v="0"/>
    <s v="2025-05-18 18:56:05"/>
    <n v="14"/>
    <x v="0"/>
    <x v="1"/>
    <x v="0"/>
    <n v="0.63767452361924704"/>
    <n v="2E+20"/>
    <n v="0.15906741871862101"/>
    <n v="2.31473104759531"/>
    <n v="135"/>
    <s v="Friday (Solucion: datafono, gofre, cocina y caja compartida)ClienteOther TimeEntity"/>
    <n v="19"/>
    <n v="0.63507790130082442"/>
    <n v="3.8049773137108653E-2"/>
    <n v="0.95"/>
    <n v="1.8339403607505776E-2"/>
    <n v="0.55466095318799302"/>
    <n v="0.70846368869380205"/>
    <n v="4.6990588824101599E-2"/>
    <n v="2.8324325672652599"/>
    <n v="122.36842105263158"/>
    <n v="1.8339403607505776E-2"/>
    <n v="19"/>
    <n v="1"/>
  </r>
  <r>
    <x v="0"/>
    <s v="2025-05-18 18:56:05"/>
    <n v="14"/>
    <x v="0"/>
    <x v="2"/>
    <x v="0"/>
    <n v="6.0688050211007702"/>
    <n v="2E+20"/>
    <n v="0.54564677089423697"/>
    <n v="34.472039274439503"/>
    <n v="135"/>
    <s v="Friday (Solucion: datafono, gofre, cocina y caja compartida)ClienteTotal TimeEntity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14"/>
    <x v="0"/>
    <x v="3"/>
    <x v="0"/>
    <n v="0.233333333333338"/>
    <n v="2E+20"/>
    <n v="0.23333333333331999"/>
    <n v="0.23333333333334799"/>
    <n v="135"/>
    <s v="Friday (Solucion: datafono, gofre, cocina y caja compartida)ClienteTransfer TimeEntity"/>
    <n v="19"/>
    <n v="0.23333333333333742"/>
    <n v="1.1204111467455151E-15"/>
    <n v="0.95"/>
    <n v="5.4002088665477309E-16"/>
    <n v="0.233333333333336"/>
    <n v="0.23333333333334"/>
    <n v="0.23333333333331999"/>
    <n v="0.23333333333334799"/>
    <n v="122.36842105263158"/>
    <n v="5.4002088665477309E-16"/>
    <n v="19"/>
    <n v="1"/>
  </r>
  <r>
    <x v="0"/>
    <s v="2025-05-18 18:56:05"/>
    <n v="14"/>
    <x v="0"/>
    <x v="4"/>
    <x v="0"/>
    <n v="3.6657654676815299"/>
    <n v="2E+20"/>
    <n v="8.1707279932245996E-2"/>
    <n v="33.584233587201197"/>
    <n v="135"/>
    <s v="Friday (Solucion: datafono, gofre, cocina y caja compartida)ClienteVA TimeEntity"/>
    <n v="19"/>
    <n v="3.7328197351244743"/>
    <n v="0.46502806282270054"/>
    <n v="0.95"/>
    <n v="0.22413635167261109"/>
    <n v="2.8861185212318898"/>
    <n v="4.9064162118213703"/>
    <n v="0"/>
    <n v="47.429632233637001"/>
    <n v="122.36842105263158"/>
    <n v="0.22413635167261109"/>
    <n v="19"/>
    <n v="1"/>
  </r>
  <r>
    <x v="0"/>
    <s v="2025-05-18 18:56:05"/>
    <n v="14"/>
    <x v="0"/>
    <x v="5"/>
    <x v="0"/>
    <n v="3.6954576758486399"/>
    <n v="2E+20"/>
    <n v="9.3761640585682898E-2"/>
    <n v="13.82375757316"/>
    <n v="135"/>
    <s v="Friday (Solucion: datafono, gofre, cocina y caja compartida)ClienteWait TimeEntity"/>
    <n v="19"/>
    <n v="3.6753649815042069"/>
    <n v="2.457799691981351"/>
    <n v="0.95"/>
    <n v="1.1846215317822661"/>
    <n v="1.88211764353336"/>
    <n v="12.695697184187701"/>
    <n v="3.57397384231746E-2"/>
    <n v="48.547399979086499"/>
    <n v="122.36842105263158"/>
    <n v="1.1846215317822661"/>
    <n v="19"/>
    <n v="1"/>
  </r>
  <r>
    <x v="0"/>
    <s v="2025-05-18 18:56:05"/>
    <n v="15"/>
    <x v="0"/>
    <x v="0"/>
    <x v="0"/>
    <n v="0"/>
    <n v="2E+20"/>
    <n v="0"/>
    <n v="0"/>
    <n v="128"/>
    <s v="Friday (Solucion: datafono, gofre, cocina y caja compartida)ClienteNVA TimeEntity"/>
    <n v="19"/>
    <n v="0"/>
    <n v="0"/>
    <n v="0.95"/>
    <n v="0"/>
    <n v="0"/>
    <n v="0"/>
    <n v="0"/>
    <n v="0"/>
    <n v="122.36842105263158"/>
    <n v="0"/>
    <n v="19"/>
    <n v="1"/>
  </r>
  <r>
    <x v="0"/>
    <s v="2025-05-18 18:56:05"/>
    <n v="15"/>
    <x v="0"/>
    <x v="1"/>
    <x v="0"/>
    <n v="0.63445713285014305"/>
    <n v="2E+20"/>
    <n v="0.143991735142151"/>
    <n v="2.447024445127"/>
    <n v="128"/>
    <s v="Friday (Solucion: datafono, gofre, cocina y caja compartida)ClienteOther TimeEntity"/>
    <n v="19"/>
    <n v="0.63507790130082442"/>
    <n v="3.8049773137108653E-2"/>
    <n v="0.95"/>
    <n v="1.8339403607505776E-2"/>
    <n v="0.55466095318799302"/>
    <n v="0.70846368869380205"/>
    <n v="4.6990588824101599E-2"/>
    <n v="2.8324325672652599"/>
    <n v="122.36842105263158"/>
    <n v="1.8339403607505776E-2"/>
    <n v="19"/>
    <n v="1"/>
  </r>
  <r>
    <x v="0"/>
    <s v="2025-05-18 18:56:05"/>
    <n v="15"/>
    <x v="0"/>
    <x v="2"/>
    <x v="0"/>
    <n v="5.2918619779328004"/>
    <n v="2E+20"/>
    <n v="0.42710492268932398"/>
    <n v="38.964637179729202"/>
    <n v="128"/>
    <s v="Friday (Solucion: datafono, gofre, cocina y caja compartida)ClienteTotal TimeEntity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15"/>
    <x v="0"/>
    <x v="3"/>
    <x v="0"/>
    <n v="0.233333333333337"/>
    <n v="2E+20"/>
    <n v="0.23333333333331999"/>
    <n v="0.23333333333334799"/>
    <n v="128"/>
    <s v="Friday (Solucion: datafono, gofre, cocina y caja compartida)ClienteTransfer TimeEntity"/>
    <n v="19"/>
    <n v="0.23333333333333742"/>
    <n v="1.1204111467455151E-15"/>
    <n v="0.95"/>
    <n v="5.4002088665477309E-16"/>
    <n v="0.233333333333336"/>
    <n v="0.23333333333334"/>
    <n v="0.23333333333331999"/>
    <n v="0.23333333333334799"/>
    <n v="122.36842105263158"/>
    <n v="5.4002088665477309E-16"/>
    <n v="19"/>
    <n v="1"/>
  </r>
  <r>
    <x v="0"/>
    <s v="2025-05-18 18:56:05"/>
    <n v="15"/>
    <x v="0"/>
    <x v="4"/>
    <x v="0"/>
    <n v="3.4197821698659299"/>
    <n v="2E+20"/>
    <n v="9.3403613298860905E-2"/>
    <n v="37.648155179221398"/>
    <n v="128"/>
    <s v="Friday (Solucion: datafono, gofre, cocina y caja compartida)ClienteVA TimeEntity"/>
    <n v="19"/>
    <n v="3.7328197351244743"/>
    <n v="0.46502806282270054"/>
    <n v="0.95"/>
    <n v="0.22413635167261109"/>
    <n v="2.8861185212318898"/>
    <n v="4.9064162118213703"/>
    <n v="0"/>
    <n v="47.429632233637001"/>
    <n v="122.36842105263158"/>
    <n v="0.22413635167261109"/>
    <n v="19"/>
    <n v="1"/>
  </r>
  <r>
    <x v="0"/>
    <s v="2025-05-18 18:56:05"/>
    <n v="15"/>
    <x v="0"/>
    <x v="5"/>
    <x v="0"/>
    <n v="2.9667733339648099"/>
    <n v="2E+20"/>
    <n v="5.9856115289051097E-2"/>
    <n v="12.4559071320712"/>
    <n v="128"/>
    <s v="Friday (Solucion: datafono, gofre, cocina y caja compartida)ClienteWait TimeEntity"/>
    <n v="19"/>
    <n v="3.6753649815042069"/>
    <n v="2.457799691981351"/>
    <n v="0.95"/>
    <n v="1.1846215317822661"/>
    <n v="1.88211764353336"/>
    <n v="12.695697184187701"/>
    <n v="3.57397384231746E-2"/>
    <n v="48.547399979086499"/>
    <n v="122.36842105263158"/>
    <n v="1.1846215317822661"/>
    <n v="19"/>
    <n v="1"/>
  </r>
  <r>
    <x v="0"/>
    <s v="2025-05-18 18:56:05"/>
    <n v="16"/>
    <x v="0"/>
    <x v="0"/>
    <x v="0"/>
    <n v="0"/>
    <n v="2E+20"/>
    <n v="0"/>
    <n v="0"/>
    <n v="131"/>
    <s v="Friday (Solucion: datafono, gofre, cocina y caja compartida)ClienteNVA TimeEntity"/>
    <n v="19"/>
    <n v="0"/>
    <n v="0"/>
    <n v="0.95"/>
    <n v="0"/>
    <n v="0"/>
    <n v="0"/>
    <n v="0"/>
    <n v="0"/>
    <n v="122.36842105263158"/>
    <n v="0"/>
    <n v="19"/>
    <n v="1"/>
  </r>
  <r>
    <x v="0"/>
    <s v="2025-05-18 18:56:05"/>
    <n v="16"/>
    <x v="0"/>
    <x v="1"/>
    <x v="0"/>
    <n v="0.58221134053425505"/>
    <n v="2E+20"/>
    <n v="0.132655615476239"/>
    <n v="1.22078424092084"/>
    <n v="131"/>
    <s v="Friday (Solucion: datafono, gofre, cocina y caja compartida)ClienteOther TimeEntity"/>
    <n v="19"/>
    <n v="0.63507790130082442"/>
    <n v="3.8049773137108653E-2"/>
    <n v="0.95"/>
    <n v="1.8339403607505776E-2"/>
    <n v="0.55466095318799302"/>
    <n v="0.70846368869380205"/>
    <n v="4.6990588824101599E-2"/>
    <n v="2.8324325672652599"/>
    <n v="122.36842105263158"/>
    <n v="1.8339403607505776E-2"/>
    <n v="19"/>
    <n v="1"/>
  </r>
  <r>
    <x v="0"/>
    <s v="2025-05-18 18:56:05"/>
    <n v="16"/>
    <x v="0"/>
    <x v="2"/>
    <x v="0"/>
    <n v="5.1069599568864099"/>
    <n v="2E+20"/>
    <n v="0.50900606419733696"/>
    <n v="40.377024852532202"/>
    <n v="131"/>
    <s v="Friday (Solucion: datafono, gofre, cocina y caja compartida)ClienteTotal TimeEntity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16"/>
    <x v="0"/>
    <x v="3"/>
    <x v="0"/>
    <n v="0.233333333333336"/>
    <n v="2E+20"/>
    <n v="0.23333333333331999"/>
    <n v="0.23333333333334799"/>
    <n v="131"/>
    <s v="Friday (Solucion: datafono, gofre, cocina y caja compartida)ClienteTransfer TimeEntity"/>
    <n v="19"/>
    <n v="0.23333333333333742"/>
    <n v="1.1204111467455151E-15"/>
    <n v="0.95"/>
    <n v="5.4002088665477309E-16"/>
    <n v="0.233333333333336"/>
    <n v="0.23333333333334"/>
    <n v="0.23333333333331999"/>
    <n v="0.23333333333334799"/>
    <n v="122.36842105263158"/>
    <n v="5.4002088665477309E-16"/>
    <n v="19"/>
    <n v="1"/>
  </r>
  <r>
    <x v="0"/>
    <s v="2025-05-18 18:56:05"/>
    <n v="16"/>
    <x v="0"/>
    <x v="4"/>
    <x v="0"/>
    <n v="3.6501127501799702"/>
    <n v="2E+20"/>
    <n v="6.2892149244035495E-2"/>
    <n v="35.160771217275901"/>
    <n v="131"/>
    <s v="Friday (Solucion: datafono, gofre, cocina y caja compartida)ClienteVA TimeEntity"/>
    <n v="19"/>
    <n v="3.7328197351244743"/>
    <n v="0.46502806282270054"/>
    <n v="0.95"/>
    <n v="0.22413635167261109"/>
    <n v="2.8861185212318898"/>
    <n v="4.9064162118213703"/>
    <n v="0"/>
    <n v="47.429632233637001"/>
    <n v="122.36842105263158"/>
    <n v="0.22413635167261109"/>
    <n v="19"/>
    <n v="1"/>
  </r>
  <r>
    <x v="0"/>
    <s v="2025-05-18 18:56:05"/>
    <n v="16"/>
    <x v="0"/>
    <x v="5"/>
    <x v="0"/>
    <n v="2.2060195919311401"/>
    <n v="2E+20"/>
    <n v="4.6225482577369803E-2"/>
    <n v="24.993572399149901"/>
    <n v="131"/>
    <s v="Friday (Solucion: datafono, gofre, cocina y caja compartida)ClienteWait TimeEntity"/>
    <n v="19"/>
    <n v="3.6753649815042069"/>
    <n v="2.457799691981351"/>
    <n v="0.95"/>
    <n v="1.1846215317822661"/>
    <n v="1.88211764353336"/>
    <n v="12.695697184187701"/>
    <n v="3.57397384231746E-2"/>
    <n v="48.547399979086499"/>
    <n v="122.36842105263158"/>
    <n v="1.1846215317822661"/>
    <n v="19"/>
    <n v="1"/>
  </r>
  <r>
    <x v="0"/>
    <s v="2025-05-18 18:56:05"/>
    <n v="17"/>
    <x v="0"/>
    <x v="0"/>
    <x v="0"/>
    <n v="0"/>
    <n v="2E+20"/>
    <n v="0"/>
    <n v="0"/>
    <n v="124"/>
    <s v="Friday (Solucion: datafono, gofre, cocina y caja compartida)ClienteNVA TimeEntity"/>
    <n v="19"/>
    <n v="0"/>
    <n v="0"/>
    <n v="0.95"/>
    <n v="0"/>
    <n v="0"/>
    <n v="0"/>
    <n v="0"/>
    <n v="0"/>
    <n v="122.36842105263158"/>
    <n v="0"/>
    <n v="19"/>
    <n v="1"/>
  </r>
  <r>
    <x v="0"/>
    <s v="2025-05-18 18:56:05"/>
    <n v="17"/>
    <x v="0"/>
    <x v="1"/>
    <x v="0"/>
    <n v="0.59793872571471995"/>
    <n v="2E+20"/>
    <n v="0.14249025763181999"/>
    <n v="2.8324325672652599"/>
    <n v="124"/>
    <s v="Friday (Solucion: datafono, gofre, cocina y caja compartida)ClienteOther TimeEntity"/>
    <n v="19"/>
    <n v="0.63507790130082442"/>
    <n v="3.8049773137108653E-2"/>
    <n v="0.95"/>
    <n v="1.8339403607505776E-2"/>
    <n v="0.55466095318799302"/>
    <n v="0.70846368869380205"/>
    <n v="4.6990588824101599E-2"/>
    <n v="2.8324325672652599"/>
    <n v="122.36842105263158"/>
    <n v="1.8339403607505776E-2"/>
    <n v="19"/>
    <n v="1"/>
  </r>
  <r>
    <x v="0"/>
    <s v="2025-05-18 18:56:05"/>
    <n v="17"/>
    <x v="0"/>
    <x v="2"/>
    <x v="0"/>
    <n v="5.7418252784821497"/>
    <n v="2E+20"/>
    <n v="0.57202204234091902"/>
    <n v="42.919398101907198"/>
    <n v="124"/>
    <s v="Friday (Solucion: datafono, gofre, cocina y caja compartida)ClienteTotal TimeEntity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17"/>
    <x v="0"/>
    <x v="3"/>
    <x v="0"/>
    <n v="0.233333333333336"/>
    <n v="2E+20"/>
    <n v="0.23333333333331999"/>
    <n v="0.23333333333334799"/>
    <n v="124"/>
    <s v="Friday (Solucion: datafono, gofre, cocina y caja compartida)ClienteTransfer TimeEntity"/>
    <n v="19"/>
    <n v="0.23333333333333742"/>
    <n v="1.1204111467455151E-15"/>
    <n v="0.95"/>
    <n v="5.4002088665477309E-16"/>
    <n v="0.233333333333336"/>
    <n v="0.23333333333334"/>
    <n v="0.23333333333331999"/>
    <n v="0.23333333333334799"/>
    <n v="122.36842105263158"/>
    <n v="5.4002088665477309E-16"/>
    <n v="19"/>
    <n v="1"/>
  </r>
  <r>
    <x v="0"/>
    <s v="2025-05-18 18:56:05"/>
    <n v="17"/>
    <x v="0"/>
    <x v="4"/>
    <x v="0"/>
    <n v="3.91629592665906"/>
    <n v="2E+20"/>
    <n v="8.6922262650745097E-2"/>
    <n v="41.368211003183198"/>
    <n v="124"/>
    <s v="Friday (Solucion: datafono, gofre, cocina y caja compartida)ClienteVA TimeEntity"/>
    <n v="19"/>
    <n v="3.7328197351244743"/>
    <n v="0.46502806282270054"/>
    <n v="0.95"/>
    <n v="0.22413635167261109"/>
    <n v="2.8861185212318898"/>
    <n v="4.9064162118213703"/>
    <n v="0"/>
    <n v="47.429632233637001"/>
    <n v="122.36842105263158"/>
    <n v="0.22413635167261109"/>
    <n v="19"/>
    <n v="1"/>
  </r>
  <r>
    <x v="0"/>
    <s v="2025-05-18 18:56:05"/>
    <n v="17"/>
    <x v="0"/>
    <x v="5"/>
    <x v="0"/>
    <n v="2.9170095439191099"/>
    <n v="2E+20"/>
    <n v="5.4088308983693899E-2"/>
    <n v="12.260143401516"/>
    <n v="124"/>
    <s v="Friday (Solucion: datafono, gofre, cocina y caja compartida)ClienteWait TimeEntity"/>
    <n v="19"/>
    <n v="3.6753649815042069"/>
    <n v="2.457799691981351"/>
    <n v="0.95"/>
    <n v="1.1846215317822661"/>
    <n v="1.88211764353336"/>
    <n v="12.695697184187701"/>
    <n v="3.57397384231746E-2"/>
    <n v="48.547399979086499"/>
    <n v="122.36842105263158"/>
    <n v="1.1846215317822661"/>
    <n v="19"/>
    <n v="1"/>
  </r>
  <r>
    <x v="0"/>
    <s v="2025-05-18 18:56:05"/>
    <n v="18"/>
    <x v="0"/>
    <x v="0"/>
    <x v="0"/>
    <n v="0"/>
    <n v="2E+20"/>
    <n v="0"/>
    <n v="0"/>
    <n v="122"/>
    <s v="Friday (Solucion: datafono, gofre, cocina y caja compartida)ClienteNVA TimeEntity"/>
    <n v="19"/>
    <n v="0"/>
    <n v="0"/>
    <n v="0.95"/>
    <n v="0"/>
    <n v="0"/>
    <n v="0"/>
    <n v="0"/>
    <n v="0"/>
    <n v="122.36842105263158"/>
    <n v="0"/>
    <n v="19"/>
    <n v="1"/>
  </r>
  <r>
    <x v="0"/>
    <s v="2025-05-18 18:56:05"/>
    <n v="18"/>
    <x v="0"/>
    <x v="1"/>
    <x v="0"/>
    <n v="0.58427892846539498"/>
    <n v="2E+20"/>
    <n v="9.2656848499188996E-2"/>
    <n v="1.3365096395420699"/>
    <n v="122"/>
    <s v="Friday (Solucion: datafono, gofre, cocina y caja compartida)ClienteOther TimeEntity"/>
    <n v="19"/>
    <n v="0.63507790130082442"/>
    <n v="3.8049773137108653E-2"/>
    <n v="0.95"/>
    <n v="1.8339403607505776E-2"/>
    <n v="0.55466095318799302"/>
    <n v="0.70846368869380205"/>
    <n v="4.6990588824101599E-2"/>
    <n v="2.8324325672652599"/>
    <n v="122.36842105263158"/>
    <n v="1.8339403607505776E-2"/>
    <n v="19"/>
    <n v="1"/>
  </r>
  <r>
    <x v="0"/>
    <s v="2025-05-18 18:56:05"/>
    <n v="18"/>
    <x v="0"/>
    <x v="2"/>
    <x v="0"/>
    <n v="6.3388926776326597"/>
    <n v="2E+20"/>
    <n v="0.45382681950752601"/>
    <n v="54.081238089079903"/>
    <n v="122"/>
    <s v="Friday (Solucion: datafono, gofre, cocina y caja compartida)ClienteTotal TimeEntity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18"/>
    <x v="0"/>
    <x v="3"/>
    <x v="0"/>
    <n v="0.233333333333337"/>
    <n v="2E+20"/>
    <n v="0.23333333333331999"/>
    <n v="0.23333333333334799"/>
    <n v="122"/>
    <s v="Friday (Solucion: datafono, gofre, cocina y caja compartida)ClienteTransfer TimeEntity"/>
    <n v="19"/>
    <n v="0.23333333333333742"/>
    <n v="1.1204111467455151E-15"/>
    <n v="0.95"/>
    <n v="5.4002088665477309E-16"/>
    <n v="0.233333333333336"/>
    <n v="0.23333333333334"/>
    <n v="0.23333333333331999"/>
    <n v="0.23333333333334799"/>
    <n v="122.36842105263158"/>
    <n v="5.4002088665477309E-16"/>
    <n v="19"/>
    <n v="1"/>
  </r>
  <r>
    <x v="0"/>
    <s v="2025-05-18 18:56:05"/>
    <n v="18"/>
    <x v="0"/>
    <x v="4"/>
    <x v="0"/>
    <n v="3.8271793209992899"/>
    <n v="2E+20"/>
    <n v="0"/>
    <n v="41.189798803136199"/>
    <n v="122"/>
    <s v="Friday (Solucion: datafono, gofre, cocina y caja compartida)ClienteVA TimeEntity"/>
    <n v="19"/>
    <n v="3.7328197351244743"/>
    <n v="0.46502806282270054"/>
    <n v="0.95"/>
    <n v="0.22413635167261109"/>
    <n v="2.8861185212318898"/>
    <n v="4.9064162118213703"/>
    <n v="0"/>
    <n v="47.429632233637001"/>
    <n v="122.36842105263158"/>
    <n v="0.22413635167261109"/>
    <n v="19"/>
    <n v="1"/>
  </r>
  <r>
    <x v="0"/>
    <s v="2025-05-18 18:56:05"/>
    <n v="18"/>
    <x v="0"/>
    <x v="5"/>
    <x v="0"/>
    <n v="4.2372491970318"/>
    <n v="2E+20"/>
    <n v="0.119695351013746"/>
    <n v="21.734155580950599"/>
    <n v="122"/>
    <s v="Friday (Solucion: datafono, gofre, cocina y caja compartida)ClienteWait TimeEntity"/>
    <n v="19"/>
    <n v="3.6753649815042069"/>
    <n v="2.457799691981351"/>
    <n v="0.95"/>
    <n v="1.1846215317822661"/>
    <n v="1.88211764353336"/>
    <n v="12.695697184187701"/>
    <n v="3.57397384231746E-2"/>
    <n v="48.547399979086499"/>
    <n v="122.36842105263158"/>
    <n v="1.1846215317822661"/>
    <n v="19"/>
    <n v="1"/>
  </r>
  <r>
    <x v="0"/>
    <s v="2025-05-18 18:56:05"/>
    <n v="19"/>
    <x v="0"/>
    <x v="0"/>
    <x v="0"/>
    <n v="0"/>
    <n v="2E+20"/>
    <n v="0"/>
    <n v="0"/>
    <n v="121"/>
    <s v="Friday (Solucion: datafono, gofre, cocina y caja compartida)ClienteNVA TimeEntity"/>
    <n v="19"/>
    <n v="0"/>
    <n v="0"/>
    <n v="0.95"/>
    <n v="0"/>
    <n v="0"/>
    <n v="0"/>
    <n v="0"/>
    <n v="0"/>
    <n v="122.36842105263158"/>
    <n v="0"/>
    <n v="19"/>
    <n v="1"/>
  </r>
  <r>
    <x v="0"/>
    <s v="2025-05-18 18:56:05"/>
    <n v="19"/>
    <x v="0"/>
    <x v="1"/>
    <x v="0"/>
    <n v="0.64029117514185396"/>
    <n v="2E+20"/>
    <n v="0.205522682088144"/>
    <n v="1.9005556152863201"/>
    <n v="121"/>
    <s v="Friday (Solucion: datafono, gofre, cocina y caja compartida)ClienteOther TimeEntity"/>
    <n v="19"/>
    <n v="0.63507790130082442"/>
    <n v="3.8049773137108653E-2"/>
    <n v="0.95"/>
    <n v="1.8339403607505776E-2"/>
    <n v="0.55466095318799302"/>
    <n v="0.70846368869380205"/>
    <n v="4.6990588824101599E-2"/>
    <n v="2.8324325672652599"/>
    <n v="122.36842105263158"/>
    <n v="1.8339403607505776E-2"/>
    <n v="19"/>
    <n v="1"/>
  </r>
  <r>
    <x v="0"/>
    <s v="2025-05-18 18:56:05"/>
    <n v="19"/>
    <x v="0"/>
    <x v="2"/>
    <x v="0"/>
    <n v="4.59328334182731"/>
    <n v="2E+20"/>
    <n v="0.63745372587239002"/>
    <n v="28.7626893681803"/>
    <n v="121"/>
    <s v="Friday (Solucion: datafono, gofre, cocina y caja compartida)ClienteTotal TimeEntity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19"/>
    <x v="0"/>
    <x v="3"/>
    <x v="0"/>
    <n v="0.23333333333334"/>
    <n v="2E+20"/>
    <n v="0.23333333333331999"/>
    <n v="0.23333333333334799"/>
    <n v="121"/>
    <s v="Friday (Solucion: datafono, gofre, cocina y caja compartida)ClienteTransfer TimeEntity"/>
    <n v="19"/>
    <n v="0.23333333333333742"/>
    <n v="1.1204111467455151E-15"/>
    <n v="0.95"/>
    <n v="5.4002088665477309E-16"/>
    <n v="0.233333333333336"/>
    <n v="0.23333333333334"/>
    <n v="0.23333333333331999"/>
    <n v="0.23333333333334799"/>
    <n v="122.36842105263158"/>
    <n v="5.4002088665477309E-16"/>
    <n v="19"/>
    <n v="1"/>
  </r>
  <r>
    <x v="0"/>
    <s v="2025-05-18 18:56:05"/>
    <n v="19"/>
    <x v="0"/>
    <x v="4"/>
    <x v="0"/>
    <n v="3.09250548655849"/>
    <n v="2E+20"/>
    <n v="7.7292610103711495E-2"/>
    <n v="26.9854560285739"/>
    <n v="121"/>
    <s v="Friday (Solucion: datafono, gofre, cocina y caja compartida)ClienteVA TimeEntity"/>
    <n v="19"/>
    <n v="3.7328197351244743"/>
    <n v="0.46502806282270054"/>
    <n v="0.95"/>
    <n v="0.22413635167261109"/>
    <n v="2.8861185212318898"/>
    <n v="4.9064162118213703"/>
    <n v="0"/>
    <n v="47.429632233637001"/>
    <n v="122.36842105263158"/>
    <n v="0.22413635167261109"/>
    <n v="19"/>
    <n v="1"/>
  </r>
  <r>
    <x v="0"/>
    <s v="2025-05-18 18:56:05"/>
    <n v="19"/>
    <x v="0"/>
    <x v="5"/>
    <x v="0"/>
    <n v="2.21832685277858"/>
    <n v="2E+20"/>
    <n v="9.2421561884947295E-2"/>
    <n v="11.1216888423196"/>
    <n v="121"/>
    <s v="Friday (Solucion: datafono, gofre, cocina y caja compartida)ClienteWait TimeEntity"/>
    <n v="19"/>
    <n v="3.6753649815042069"/>
    <n v="2.457799691981351"/>
    <n v="0.95"/>
    <n v="1.1846215317822661"/>
    <n v="1.88211764353336"/>
    <n v="12.695697184187701"/>
    <n v="3.57397384231746E-2"/>
    <n v="48.547399979086499"/>
    <n v="122.36842105263158"/>
    <n v="1.1846215317822661"/>
    <n v="19"/>
    <n v="1"/>
  </r>
  <r>
    <x v="0"/>
    <s v="2025-05-18 18:56:05"/>
    <n v="1"/>
    <x v="1"/>
    <x v="6"/>
    <x v="1"/>
    <n v="8.86"/>
    <n v="2E+20"/>
    <n v="0"/>
    <n v="22"/>
    <n v="150"/>
    <s v="Friday (Solucion: datafono, gofre, cocina y caja compartida)ClientesEnSistemaExpressionUser Specified"/>
    <n v="19"/>
    <n v="3.8510772186580167"/>
    <n v="1.3964350237206895"/>
    <n v="0.95"/>
    <n v="0.67306013676844423"/>
    <n v="2.6330275229357798"/>
    <n v="8.86"/>
    <n v="0"/>
    <n v="22"/>
    <n v="122.36842105263158"/>
    <n v="0.67306013676844423"/>
    <n v="19"/>
    <n v="1"/>
  </r>
  <r>
    <x v="0"/>
    <s v="2025-05-18 18:56:05"/>
    <n v="2"/>
    <x v="1"/>
    <x v="6"/>
    <x v="1"/>
    <n v="2.6330275229357798"/>
    <n v="2E+20"/>
    <n v="0"/>
    <n v="8"/>
    <n v="109"/>
    <s v="Friday (Solucion: datafono, gofre, cocina y caja compartida)ClientesEnSistemaExpressionUser Specified"/>
    <n v="19"/>
    <n v="3.8510772186580167"/>
    <n v="1.3964350237206895"/>
    <n v="0.95"/>
    <n v="0.67306013676844423"/>
    <n v="2.6330275229357798"/>
    <n v="8.86"/>
    <n v="0"/>
    <n v="22"/>
    <n v="122.36842105263158"/>
    <n v="0.67306013676844423"/>
    <n v="19"/>
    <n v="1"/>
  </r>
  <r>
    <x v="0"/>
    <s v="2025-05-18 18:56:05"/>
    <n v="3"/>
    <x v="1"/>
    <x v="6"/>
    <x v="1"/>
    <n v="4.9913043478260901"/>
    <n v="2E+20"/>
    <n v="0"/>
    <n v="14"/>
    <n v="115"/>
    <s v="Friday (Solucion: datafono, gofre, cocina y caja compartida)ClientesEnSistemaExpressionUser Specified"/>
    <n v="19"/>
    <n v="3.8510772186580167"/>
    <n v="1.3964350237206895"/>
    <n v="0.95"/>
    <n v="0.67306013676844423"/>
    <n v="2.6330275229357798"/>
    <n v="8.86"/>
    <n v="0"/>
    <n v="22"/>
    <n v="122.36842105263158"/>
    <n v="0.67306013676844423"/>
    <n v="19"/>
    <n v="1"/>
  </r>
  <r>
    <x v="0"/>
    <s v="2025-05-18 18:56:05"/>
    <n v="4"/>
    <x v="1"/>
    <x v="6"/>
    <x v="1"/>
    <n v="2.8534482758620698"/>
    <n v="2E+20"/>
    <n v="1"/>
    <n v="6"/>
    <n v="116"/>
    <s v="Friday (Solucion: datafono, gofre, cocina y caja compartida)ClientesEnSistemaExpressionUser Specified"/>
    <n v="19"/>
    <n v="3.8510772186580167"/>
    <n v="1.3964350237206895"/>
    <n v="0.95"/>
    <n v="0.67306013676844423"/>
    <n v="2.6330275229357798"/>
    <n v="8.86"/>
    <n v="0"/>
    <n v="22"/>
    <n v="122.36842105263158"/>
    <n v="0.67306013676844423"/>
    <n v="19"/>
    <n v="1"/>
  </r>
  <r>
    <x v="0"/>
    <s v="2025-05-18 18:56:05"/>
    <n v="5"/>
    <x v="1"/>
    <x v="6"/>
    <x v="1"/>
    <n v="3.2170542635658901"/>
    <n v="2E+20"/>
    <n v="0"/>
    <n v="7"/>
    <n v="129"/>
    <s v="Friday (Solucion: datafono, gofre, cocina y caja compartida)ClientesEnSistemaExpressionUser Specified"/>
    <n v="19"/>
    <n v="3.8510772186580167"/>
    <n v="1.3964350237206895"/>
    <n v="0.95"/>
    <n v="0.67306013676844423"/>
    <n v="2.6330275229357798"/>
    <n v="8.86"/>
    <n v="0"/>
    <n v="22"/>
    <n v="122.36842105263158"/>
    <n v="0.67306013676844423"/>
    <n v="19"/>
    <n v="1"/>
  </r>
  <r>
    <x v="0"/>
    <s v="2025-05-18 18:56:05"/>
    <n v="6"/>
    <x v="1"/>
    <x v="6"/>
    <x v="1"/>
    <n v="3"/>
    <n v="2E+20"/>
    <n v="0"/>
    <n v="7"/>
    <n v="117"/>
    <s v="Friday (Solucion: datafono, gofre, cocina y caja compartida)ClientesEnSistemaExpressionUser Specified"/>
    <n v="19"/>
    <n v="3.8510772186580167"/>
    <n v="1.3964350237206895"/>
    <n v="0.95"/>
    <n v="0.67306013676844423"/>
    <n v="2.6330275229357798"/>
    <n v="8.86"/>
    <n v="0"/>
    <n v="22"/>
    <n v="122.36842105263158"/>
    <n v="0.67306013676844423"/>
    <n v="19"/>
    <n v="1"/>
  </r>
  <r>
    <x v="0"/>
    <s v="2025-05-18 18:56:05"/>
    <n v="7"/>
    <x v="1"/>
    <x v="6"/>
    <x v="1"/>
    <n v="3.4196428571428599"/>
    <n v="2E+20"/>
    <n v="0"/>
    <n v="8"/>
    <n v="112"/>
    <s v="Friday (Solucion: datafono, gofre, cocina y caja compartida)ClientesEnSistemaExpressionUser Specified"/>
    <n v="19"/>
    <n v="3.8510772186580167"/>
    <n v="1.3964350237206895"/>
    <n v="0.95"/>
    <n v="0.67306013676844423"/>
    <n v="2.6330275229357798"/>
    <n v="8.86"/>
    <n v="0"/>
    <n v="22"/>
    <n v="122.36842105263158"/>
    <n v="0.67306013676844423"/>
    <n v="19"/>
    <n v="1"/>
  </r>
  <r>
    <x v="0"/>
    <s v="2025-05-18 18:56:05"/>
    <n v="8"/>
    <x v="1"/>
    <x v="6"/>
    <x v="1"/>
    <n v="4.0814814814814797"/>
    <n v="2E+20"/>
    <n v="0"/>
    <n v="10"/>
    <n v="135"/>
    <s v="Friday (Solucion: datafono, gofre, cocina y caja compartida)ClientesEnSistemaExpressionUser Specified"/>
    <n v="19"/>
    <n v="3.8510772186580167"/>
    <n v="1.3964350237206895"/>
    <n v="0.95"/>
    <n v="0.67306013676844423"/>
    <n v="2.6330275229357798"/>
    <n v="8.86"/>
    <n v="0"/>
    <n v="22"/>
    <n v="122.36842105263158"/>
    <n v="0.67306013676844423"/>
    <n v="19"/>
    <n v="1"/>
  </r>
  <r>
    <x v="0"/>
    <s v="2025-05-18 18:56:05"/>
    <n v="9"/>
    <x v="1"/>
    <x v="6"/>
    <x v="1"/>
    <n v="3.0701754385964901"/>
    <n v="2E+20"/>
    <n v="0"/>
    <n v="7"/>
    <n v="114"/>
    <s v="Friday (Solucion: datafono, gofre, cocina y caja compartida)ClientesEnSistemaExpressionUser Specified"/>
    <n v="19"/>
    <n v="3.8510772186580167"/>
    <n v="1.3964350237206895"/>
    <n v="0.95"/>
    <n v="0.67306013676844423"/>
    <n v="2.6330275229357798"/>
    <n v="8.86"/>
    <n v="0"/>
    <n v="22"/>
    <n v="122.36842105263158"/>
    <n v="0.67306013676844423"/>
    <n v="19"/>
    <n v="1"/>
  </r>
  <r>
    <x v="0"/>
    <s v="2025-05-18 18:56:05"/>
    <n v="10"/>
    <x v="1"/>
    <x v="6"/>
    <x v="1"/>
    <n v="5.2241379310344804"/>
    <n v="2E+20"/>
    <n v="0"/>
    <n v="12"/>
    <n v="116"/>
    <s v="Friday (Solucion: datafono, gofre, cocina y caja compartida)ClientesEnSistemaExpressionUser Specified"/>
    <n v="19"/>
    <n v="3.8510772186580167"/>
    <n v="1.3964350237206895"/>
    <n v="0.95"/>
    <n v="0.67306013676844423"/>
    <n v="2.6330275229357798"/>
    <n v="8.86"/>
    <n v="0"/>
    <n v="22"/>
    <n v="122.36842105263158"/>
    <n v="0.67306013676844423"/>
    <n v="19"/>
    <n v="1"/>
  </r>
  <r>
    <x v="0"/>
    <s v="2025-05-18 18:56:05"/>
    <n v="11"/>
    <x v="1"/>
    <x v="6"/>
    <x v="1"/>
    <n v="3.4695652173912999"/>
    <n v="2E+20"/>
    <n v="0"/>
    <n v="12"/>
    <n v="115"/>
    <s v="Friday (Solucion: datafono, gofre, cocina y caja compartida)ClientesEnSistemaExpressionUser Specified"/>
    <n v="19"/>
    <n v="3.8510772186580167"/>
    <n v="1.3964350237206895"/>
    <n v="0.95"/>
    <n v="0.67306013676844423"/>
    <n v="2.6330275229357798"/>
    <n v="8.86"/>
    <n v="0"/>
    <n v="22"/>
    <n v="122.36842105263158"/>
    <n v="0.67306013676844423"/>
    <n v="19"/>
    <n v="1"/>
  </r>
  <r>
    <x v="0"/>
    <s v="2025-05-18 18:56:05"/>
    <n v="12"/>
    <x v="1"/>
    <x v="6"/>
    <x v="1"/>
    <n v="3.3916666666666702"/>
    <n v="2E+20"/>
    <n v="0"/>
    <n v="10"/>
    <n v="120"/>
    <s v="Friday (Solucion: datafono, gofre, cocina y caja compartida)ClientesEnSistemaExpressionUser Specified"/>
    <n v="19"/>
    <n v="3.8510772186580167"/>
    <n v="1.3964350237206895"/>
    <n v="0.95"/>
    <n v="0.67306013676844423"/>
    <n v="2.6330275229357798"/>
    <n v="8.86"/>
    <n v="0"/>
    <n v="22"/>
    <n v="122.36842105263158"/>
    <n v="0.67306013676844423"/>
    <n v="19"/>
    <n v="1"/>
  </r>
  <r>
    <x v="0"/>
    <s v="2025-05-18 18:56:05"/>
    <n v="13"/>
    <x v="1"/>
    <x v="6"/>
    <x v="1"/>
    <n v="3.5948275862068999"/>
    <n v="2E+20"/>
    <n v="0"/>
    <n v="7"/>
    <n v="116"/>
    <s v="Friday (Solucion: datafono, gofre, cocina y caja compartida)ClientesEnSistemaExpressionUser Specified"/>
    <n v="19"/>
    <n v="3.8510772186580167"/>
    <n v="1.3964350237206895"/>
    <n v="0.95"/>
    <n v="0.67306013676844423"/>
    <n v="2.6330275229357798"/>
    <n v="8.86"/>
    <n v="0"/>
    <n v="22"/>
    <n v="122.36842105263158"/>
    <n v="0.67306013676844423"/>
    <n v="19"/>
    <n v="1"/>
  </r>
  <r>
    <x v="0"/>
    <s v="2025-05-18 18:56:05"/>
    <n v="14"/>
    <x v="1"/>
    <x v="6"/>
    <x v="1"/>
    <n v="4.3333333333333401"/>
    <n v="2E+20"/>
    <n v="1"/>
    <n v="10"/>
    <n v="135"/>
    <s v="Friday (Solucion: datafono, gofre, cocina y caja compartida)ClientesEnSistemaExpressionUser Specified"/>
    <n v="19"/>
    <n v="3.8510772186580167"/>
    <n v="1.3964350237206895"/>
    <n v="0.95"/>
    <n v="0.67306013676844423"/>
    <n v="2.6330275229357798"/>
    <n v="8.86"/>
    <n v="0"/>
    <n v="22"/>
    <n v="122.36842105263158"/>
    <n v="0.67306013676844423"/>
    <n v="19"/>
    <n v="1"/>
  </r>
  <r>
    <x v="0"/>
    <s v="2025-05-18 18:56:05"/>
    <n v="15"/>
    <x v="1"/>
    <x v="6"/>
    <x v="1"/>
    <n v="3.5390625"/>
    <n v="2E+20"/>
    <n v="0"/>
    <n v="8"/>
    <n v="128"/>
    <s v="Friday (Solucion: datafono, gofre, cocina y caja compartida)ClientesEnSistemaExpressionUser Specified"/>
    <n v="19"/>
    <n v="3.8510772186580167"/>
    <n v="1.3964350237206895"/>
    <n v="0.95"/>
    <n v="0.67306013676844423"/>
    <n v="2.6330275229357798"/>
    <n v="8.86"/>
    <n v="0"/>
    <n v="22"/>
    <n v="122.36842105263158"/>
    <n v="0.67306013676844423"/>
    <n v="19"/>
    <n v="1"/>
  </r>
  <r>
    <x v="0"/>
    <s v="2025-05-18 18:56:05"/>
    <n v="16"/>
    <x v="1"/>
    <x v="6"/>
    <x v="1"/>
    <n v="3.2671755725190801"/>
    <n v="2E+20"/>
    <n v="0"/>
    <n v="6"/>
    <n v="131"/>
    <s v="Friday (Solucion: datafono, gofre, cocina y caja compartida)ClientesEnSistemaExpressionUser Specified"/>
    <n v="19"/>
    <n v="3.8510772186580167"/>
    <n v="1.3964350237206895"/>
    <n v="0.95"/>
    <n v="0.67306013676844423"/>
    <n v="2.6330275229357798"/>
    <n v="8.86"/>
    <n v="0"/>
    <n v="22"/>
    <n v="122.36842105263158"/>
    <n v="0.67306013676844423"/>
    <n v="19"/>
    <n v="1"/>
  </r>
  <r>
    <x v="0"/>
    <s v="2025-05-18 18:56:05"/>
    <n v="17"/>
    <x v="1"/>
    <x v="6"/>
    <x v="1"/>
    <n v="3.6693548387096802"/>
    <n v="2E+20"/>
    <n v="1"/>
    <n v="9"/>
    <n v="124"/>
    <s v="Friday (Solucion: datafono, gofre, cocina y caja compartida)ClientesEnSistemaExpressionUser Specified"/>
    <n v="19"/>
    <n v="3.8510772186580167"/>
    <n v="1.3964350237206895"/>
    <n v="0.95"/>
    <n v="0.67306013676844423"/>
    <n v="2.6330275229357798"/>
    <n v="8.86"/>
    <n v="0"/>
    <n v="22"/>
    <n v="122.36842105263158"/>
    <n v="0.67306013676844423"/>
    <n v="19"/>
    <n v="1"/>
  </r>
  <r>
    <x v="0"/>
    <s v="2025-05-18 18:56:05"/>
    <n v="18"/>
    <x v="1"/>
    <x v="6"/>
    <x v="1"/>
    <n v="3.8196721311475401"/>
    <n v="2E+20"/>
    <n v="0"/>
    <n v="11"/>
    <n v="122"/>
    <s v="Friday (Solucion: datafono, gofre, cocina y caja compartida)ClientesEnSistemaExpressionUser Specified"/>
    <n v="19"/>
    <n v="3.8510772186580167"/>
    <n v="1.3964350237206895"/>
    <n v="0.95"/>
    <n v="0.67306013676844423"/>
    <n v="2.6330275229357798"/>
    <n v="8.86"/>
    <n v="0"/>
    <n v="22"/>
    <n v="122.36842105263158"/>
    <n v="0.67306013676844423"/>
    <n v="19"/>
    <n v="1"/>
  </r>
  <r>
    <x v="0"/>
    <s v="2025-05-18 18:56:05"/>
    <n v="19"/>
    <x v="1"/>
    <x v="6"/>
    <x v="1"/>
    <n v="2.7355371900826499"/>
    <n v="2E+20"/>
    <n v="0"/>
    <n v="9"/>
    <n v="121"/>
    <s v="Friday (Solucion: datafono, gofre, cocina y caja compartida)ClientesEnSistemaExpressionUser Specified"/>
    <n v="19"/>
    <n v="3.8510772186580167"/>
    <n v="1.3964350237206895"/>
    <n v="0.95"/>
    <n v="0.67306013676844423"/>
    <n v="2.6330275229357798"/>
    <n v="8.86"/>
    <n v="0"/>
    <n v="22"/>
    <n v="122.36842105263158"/>
    <n v="0.67306013676844423"/>
    <n v="19"/>
    <n v="1"/>
  </r>
  <r>
    <x v="0"/>
    <s v="2025-05-18 18:56:05"/>
    <n v="1"/>
    <x v="2"/>
    <x v="6"/>
    <x v="1"/>
    <n v="16.964285714285701"/>
    <n v="2E+20"/>
    <n v="16.964285714285701"/>
    <n v="16.964285714285701"/>
    <n v="1"/>
    <s v="Friday (Solucion: datafono, gofre, cocina y caja compartida)ClientesSisH1ExpressionUser Specified"/>
    <n v="19"/>
    <n v="4.4411868115403079"/>
    <n v="3.3358212393347739"/>
    <n v="0.95"/>
    <n v="1.6078143711975699"/>
    <n v="1.9032258064516101"/>
    <n v="16.964285714285701"/>
    <n v="1.9032258064516101"/>
    <n v="16.964285714285701"/>
    <n v="1"/>
    <n v="1.6078143711975699"/>
    <n v="19"/>
    <n v="1"/>
  </r>
  <r>
    <x v="0"/>
    <s v="2025-05-18 18:56:05"/>
    <n v="2"/>
    <x v="2"/>
    <x v="6"/>
    <x v="1"/>
    <n v="2.625"/>
    <n v="2E+20"/>
    <n v="2.625"/>
    <n v="2.625"/>
    <n v="1"/>
    <s v="Friday (Solucion: datafono, gofre, cocina y caja compartida)ClientesSisH1ExpressionUser Specified"/>
    <n v="19"/>
    <n v="4.4411868115403079"/>
    <n v="3.3358212393347739"/>
    <n v="0.95"/>
    <n v="1.6078143711975699"/>
    <n v="1.9032258064516101"/>
    <n v="16.964285714285701"/>
    <n v="1.9032258064516101"/>
    <n v="16.964285714285701"/>
    <n v="1"/>
    <n v="1.6078143711975699"/>
    <n v="19"/>
    <n v="1"/>
  </r>
  <r>
    <x v="0"/>
    <s v="2025-05-18 18:56:05"/>
    <n v="3"/>
    <x v="2"/>
    <x v="6"/>
    <x v="1"/>
    <n v="8.41463414634147"/>
    <n v="2E+20"/>
    <n v="8.41463414634147"/>
    <n v="8.41463414634147"/>
    <n v="1"/>
    <s v="Friday (Solucion: datafono, gofre, cocina y caja compartida)ClientesSisH1ExpressionUser Specified"/>
    <n v="19"/>
    <n v="4.4411868115403079"/>
    <n v="3.3358212393347739"/>
    <n v="0.95"/>
    <n v="1.6078143711975699"/>
    <n v="1.9032258064516101"/>
    <n v="16.964285714285701"/>
    <n v="1.9032258064516101"/>
    <n v="16.964285714285701"/>
    <n v="1"/>
    <n v="1.6078143711975699"/>
    <n v="19"/>
    <n v="1"/>
  </r>
  <r>
    <x v="0"/>
    <s v="2025-05-18 18:56:05"/>
    <n v="4"/>
    <x v="2"/>
    <x v="6"/>
    <x v="1"/>
    <n v="2.8048780487804899"/>
    <n v="2E+20"/>
    <n v="2.8048780487804899"/>
    <n v="2.8048780487804899"/>
    <n v="1"/>
    <s v="Friday (Solucion: datafono, gofre, cocina y caja compartida)ClientesSisH1ExpressionUser Specified"/>
    <n v="19"/>
    <n v="4.4411868115403079"/>
    <n v="3.3358212393347739"/>
    <n v="0.95"/>
    <n v="1.6078143711975699"/>
    <n v="1.9032258064516101"/>
    <n v="16.964285714285701"/>
    <n v="1.9032258064516101"/>
    <n v="16.964285714285701"/>
    <n v="1"/>
    <n v="1.6078143711975699"/>
    <n v="19"/>
    <n v="1"/>
  </r>
  <r>
    <x v="0"/>
    <s v="2025-05-18 18:56:05"/>
    <n v="5"/>
    <x v="2"/>
    <x v="6"/>
    <x v="1"/>
    <n v="2.6170212765957399"/>
    <n v="2E+20"/>
    <n v="2.6170212765957399"/>
    <n v="2.6170212765957399"/>
    <n v="1"/>
    <s v="Friday (Solucion: datafono, gofre, cocina y caja compartida)ClientesSisH1ExpressionUser Specified"/>
    <n v="19"/>
    <n v="4.4411868115403079"/>
    <n v="3.3358212393347739"/>
    <n v="0.95"/>
    <n v="1.6078143711975699"/>
    <n v="1.9032258064516101"/>
    <n v="16.964285714285701"/>
    <n v="1.9032258064516101"/>
    <n v="16.964285714285701"/>
    <n v="1"/>
    <n v="1.6078143711975699"/>
    <n v="19"/>
    <n v="1"/>
  </r>
  <r>
    <x v="0"/>
    <s v="2025-05-18 18:56:05"/>
    <n v="6"/>
    <x v="2"/>
    <x v="6"/>
    <x v="1"/>
    <n v="3.6"/>
    <n v="2E+20"/>
    <n v="3.6"/>
    <n v="3.6"/>
    <n v="1"/>
    <s v="Friday (Solucion: datafono, gofre, cocina y caja compartida)ClientesSisH1ExpressionUser Specified"/>
    <n v="19"/>
    <n v="4.4411868115403079"/>
    <n v="3.3358212393347739"/>
    <n v="0.95"/>
    <n v="1.6078143711975699"/>
    <n v="1.9032258064516101"/>
    <n v="16.964285714285701"/>
    <n v="1.9032258064516101"/>
    <n v="16.964285714285701"/>
    <n v="1"/>
    <n v="1.6078143711975699"/>
    <n v="19"/>
    <n v="1"/>
  </r>
  <r>
    <x v="0"/>
    <s v="2025-05-18 18:56:05"/>
    <n v="7"/>
    <x v="2"/>
    <x v="6"/>
    <x v="1"/>
    <n v="3.375"/>
    <n v="2E+20"/>
    <n v="3.375"/>
    <n v="3.375"/>
    <n v="1"/>
    <s v="Friday (Solucion: datafono, gofre, cocina y caja compartida)ClientesSisH1ExpressionUser Specified"/>
    <n v="19"/>
    <n v="4.4411868115403079"/>
    <n v="3.3358212393347739"/>
    <n v="0.95"/>
    <n v="1.6078143711975699"/>
    <n v="1.9032258064516101"/>
    <n v="16.964285714285701"/>
    <n v="1.9032258064516101"/>
    <n v="16.964285714285701"/>
    <n v="1"/>
    <n v="1.6078143711975699"/>
    <n v="19"/>
    <n v="1"/>
  </r>
  <r>
    <x v="0"/>
    <s v="2025-05-18 18:56:05"/>
    <n v="8"/>
    <x v="2"/>
    <x v="6"/>
    <x v="1"/>
    <n v="3.6590909090909101"/>
    <n v="2E+20"/>
    <n v="3.6590909090909101"/>
    <n v="3.6590909090909101"/>
    <n v="1"/>
    <s v="Friday (Solucion: datafono, gofre, cocina y caja compartida)ClientesSisH1ExpressionUser Specified"/>
    <n v="19"/>
    <n v="4.4411868115403079"/>
    <n v="3.3358212393347739"/>
    <n v="0.95"/>
    <n v="1.6078143711975699"/>
    <n v="1.9032258064516101"/>
    <n v="16.964285714285701"/>
    <n v="1.9032258064516101"/>
    <n v="16.964285714285701"/>
    <n v="1"/>
    <n v="1.6078143711975699"/>
    <n v="19"/>
    <n v="1"/>
  </r>
  <r>
    <x v="0"/>
    <s v="2025-05-18 18:56:05"/>
    <n v="9"/>
    <x v="2"/>
    <x v="6"/>
    <x v="1"/>
    <n v="4.1219512195121899"/>
    <n v="2E+20"/>
    <n v="4.1219512195121899"/>
    <n v="4.1219512195121899"/>
    <n v="1"/>
    <s v="Friday (Solucion: datafono, gofre, cocina y caja compartida)ClientesSisH1ExpressionUser Specified"/>
    <n v="19"/>
    <n v="4.4411868115403079"/>
    <n v="3.3358212393347739"/>
    <n v="0.95"/>
    <n v="1.6078143711975699"/>
    <n v="1.9032258064516101"/>
    <n v="16.964285714285701"/>
    <n v="1.9032258064516101"/>
    <n v="16.964285714285701"/>
    <n v="1"/>
    <n v="1.6078143711975699"/>
    <n v="19"/>
    <n v="1"/>
  </r>
  <r>
    <x v="0"/>
    <s v="2025-05-18 18:56:05"/>
    <n v="10"/>
    <x v="2"/>
    <x v="6"/>
    <x v="1"/>
    <n v="4.28571428571429"/>
    <n v="2E+20"/>
    <n v="4.28571428571429"/>
    <n v="4.28571428571429"/>
    <n v="1"/>
    <s v="Friday (Solucion: datafono, gofre, cocina y caja compartida)ClientesSisH1ExpressionUser Specified"/>
    <n v="19"/>
    <n v="4.4411868115403079"/>
    <n v="3.3358212393347739"/>
    <n v="0.95"/>
    <n v="1.6078143711975699"/>
    <n v="1.9032258064516101"/>
    <n v="16.964285714285701"/>
    <n v="1.9032258064516101"/>
    <n v="16.964285714285701"/>
    <n v="1"/>
    <n v="1.6078143711975699"/>
    <n v="19"/>
    <n v="1"/>
  </r>
  <r>
    <x v="0"/>
    <s v="2025-05-18 18:56:05"/>
    <n v="11"/>
    <x v="2"/>
    <x v="6"/>
    <x v="1"/>
    <n v="2"/>
    <n v="2E+20"/>
    <n v="2"/>
    <n v="2"/>
    <n v="1"/>
    <s v="Friday (Solucion: datafono, gofre, cocina y caja compartida)ClientesSisH1ExpressionUser Specified"/>
    <n v="19"/>
    <n v="4.4411868115403079"/>
    <n v="3.3358212393347739"/>
    <n v="0.95"/>
    <n v="1.6078143711975699"/>
    <n v="1.9032258064516101"/>
    <n v="16.964285714285701"/>
    <n v="1.9032258064516101"/>
    <n v="16.964285714285701"/>
    <n v="1"/>
    <n v="1.6078143711975699"/>
    <n v="19"/>
    <n v="1"/>
  </r>
  <r>
    <x v="0"/>
    <s v="2025-05-18 18:56:05"/>
    <n v="12"/>
    <x v="2"/>
    <x v="6"/>
    <x v="1"/>
    <n v="3.9767441860465098"/>
    <n v="2E+20"/>
    <n v="3.9767441860465098"/>
    <n v="3.9767441860465098"/>
    <n v="1"/>
    <s v="Friday (Solucion: datafono, gofre, cocina y caja compartida)ClientesSisH1ExpressionUser Specified"/>
    <n v="19"/>
    <n v="4.4411868115403079"/>
    <n v="3.3358212393347739"/>
    <n v="0.95"/>
    <n v="1.6078143711975699"/>
    <n v="1.9032258064516101"/>
    <n v="16.964285714285701"/>
    <n v="1.9032258064516101"/>
    <n v="16.964285714285701"/>
    <n v="1"/>
    <n v="1.6078143711975699"/>
    <n v="19"/>
    <n v="1"/>
  </r>
  <r>
    <x v="0"/>
    <s v="2025-05-18 18:56:05"/>
    <n v="13"/>
    <x v="2"/>
    <x v="6"/>
    <x v="1"/>
    <n v="3.5675675675675702"/>
    <n v="2E+20"/>
    <n v="3.5675675675675702"/>
    <n v="3.5675675675675702"/>
    <n v="1"/>
    <s v="Friday (Solucion: datafono, gofre, cocina y caja compartida)ClientesSisH1ExpressionUser Specified"/>
    <n v="19"/>
    <n v="4.4411868115403079"/>
    <n v="3.3358212393347739"/>
    <n v="0.95"/>
    <n v="1.6078143711975699"/>
    <n v="1.9032258064516101"/>
    <n v="16.964285714285701"/>
    <n v="1.9032258064516101"/>
    <n v="16.964285714285701"/>
    <n v="1"/>
    <n v="1.6078143711975699"/>
    <n v="19"/>
    <n v="1"/>
  </r>
  <r>
    <x v="0"/>
    <s v="2025-05-18 18:56:05"/>
    <n v="14"/>
    <x v="2"/>
    <x v="6"/>
    <x v="1"/>
    <n v="3.3695652173913002"/>
    <n v="2E+20"/>
    <n v="3.3695652173913002"/>
    <n v="3.3695652173913002"/>
    <n v="1"/>
    <s v="Friday (Solucion: datafono, gofre, cocina y caja compartida)ClientesSisH1ExpressionUser Specified"/>
    <n v="19"/>
    <n v="4.4411868115403079"/>
    <n v="3.3358212393347739"/>
    <n v="0.95"/>
    <n v="1.6078143711975699"/>
    <n v="1.9032258064516101"/>
    <n v="16.964285714285701"/>
    <n v="1.9032258064516101"/>
    <n v="16.964285714285701"/>
    <n v="1"/>
    <n v="1.6078143711975699"/>
    <n v="19"/>
    <n v="1"/>
  </r>
  <r>
    <x v="0"/>
    <s v="2025-05-18 18:56:05"/>
    <n v="15"/>
    <x v="2"/>
    <x v="6"/>
    <x v="1"/>
    <n v="4.0888888888888903"/>
    <n v="2E+20"/>
    <n v="4.0888888888888903"/>
    <n v="4.0888888888888903"/>
    <n v="1"/>
    <s v="Friday (Solucion: datafono, gofre, cocina y caja compartida)ClientesSisH1ExpressionUser Specified"/>
    <n v="19"/>
    <n v="4.4411868115403079"/>
    <n v="3.3358212393347739"/>
    <n v="0.95"/>
    <n v="1.6078143711975699"/>
    <n v="1.9032258064516101"/>
    <n v="16.964285714285701"/>
    <n v="1.9032258064516101"/>
    <n v="16.964285714285701"/>
    <n v="1"/>
    <n v="1.6078143711975699"/>
    <n v="19"/>
    <n v="1"/>
  </r>
  <r>
    <x v="0"/>
    <s v="2025-05-18 18:56:05"/>
    <n v="16"/>
    <x v="2"/>
    <x v="6"/>
    <x v="1"/>
    <n v="3.6346153846153801"/>
    <n v="2E+20"/>
    <n v="3.6346153846153801"/>
    <n v="3.6346153846153801"/>
    <n v="1"/>
    <s v="Friday (Solucion: datafono, gofre, cocina y caja compartida)ClientesSisH1ExpressionUser Specified"/>
    <n v="19"/>
    <n v="4.4411868115403079"/>
    <n v="3.3358212393347739"/>
    <n v="0.95"/>
    <n v="1.6078143711975699"/>
    <n v="1.9032258064516101"/>
    <n v="16.964285714285701"/>
    <n v="1.9032258064516101"/>
    <n v="16.964285714285701"/>
    <n v="1"/>
    <n v="1.6078143711975699"/>
    <n v="19"/>
    <n v="1"/>
  </r>
  <r>
    <x v="0"/>
    <s v="2025-05-18 18:56:05"/>
    <n v="17"/>
    <x v="2"/>
    <x v="6"/>
    <x v="1"/>
    <n v="4.2553191489361701"/>
    <n v="2E+20"/>
    <n v="4.2553191489361701"/>
    <n v="4.2553191489361701"/>
    <n v="1"/>
    <s v="Friday (Solucion: datafono, gofre, cocina y caja compartida)ClientesSisH1ExpressionUser Specified"/>
    <n v="19"/>
    <n v="4.4411868115403079"/>
    <n v="3.3358212393347739"/>
    <n v="0.95"/>
    <n v="1.6078143711975699"/>
    <n v="1.9032258064516101"/>
    <n v="16.964285714285701"/>
    <n v="1.9032258064516101"/>
    <n v="16.964285714285701"/>
    <n v="1"/>
    <n v="1.6078143711975699"/>
    <n v="19"/>
    <n v="1"/>
  </r>
  <r>
    <x v="0"/>
    <s v="2025-05-18 18:56:05"/>
    <n v="18"/>
    <x v="2"/>
    <x v="6"/>
    <x v="1"/>
    <n v="5.1190476190476204"/>
    <n v="2E+20"/>
    <n v="5.1190476190476204"/>
    <n v="5.1190476190476204"/>
    <n v="1"/>
    <s v="Friday (Solucion: datafono, gofre, cocina y caja compartida)ClientesSisH1ExpressionUser Specified"/>
    <n v="19"/>
    <n v="4.4411868115403079"/>
    <n v="3.3358212393347739"/>
    <n v="0.95"/>
    <n v="1.6078143711975699"/>
    <n v="1.9032258064516101"/>
    <n v="16.964285714285701"/>
    <n v="1.9032258064516101"/>
    <n v="16.964285714285701"/>
    <n v="1"/>
    <n v="1.6078143711975699"/>
    <n v="19"/>
    <n v="1"/>
  </r>
  <r>
    <x v="0"/>
    <s v="2025-05-18 18:56:05"/>
    <n v="19"/>
    <x v="2"/>
    <x v="6"/>
    <x v="1"/>
    <n v="1.9032258064516101"/>
    <n v="2E+20"/>
    <n v="1.9032258064516101"/>
    <n v="1.9032258064516101"/>
    <n v="1"/>
    <s v="Friday (Solucion: datafono, gofre, cocina y caja compartida)ClientesSisH1ExpressionUser Specified"/>
    <n v="19"/>
    <n v="4.4411868115403079"/>
    <n v="3.3358212393347739"/>
    <n v="0.95"/>
    <n v="1.6078143711975699"/>
    <n v="1.9032258064516101"/>
    <n v="16.964285714285701"/>
    <n v="1.9032258064516101"/>
    <n v="16.964285714285701"/>
    <n v="1"/>
    <n v="1.6078143711975699"/>
    <n v="19"/>
    <n v="1"/>
  </r>
  <r>
    <x v="0"/>
    <s v="2025-05-18 18:56:05"/>
    <n v="1"/>
    <x v="3"/>
    <x v="6"/>
    <x v="1"/>
    <n v="10.7722772277228"/>
    <n v="2E+20"/>
    <n v="10.7722772277228"/>
    <n v="10.7722772277228"/>
    <n v="1"/>
    <s v="Friday (Solucion: datafono, gofre, cocina y caja compartida)ClientesSisH2ExpressionUser Specified"/>
    <n v="19"/>
    <n v="3.9030120295014323"/>
    <n v="1.8823568935580257"/>
    <n v="0.95"/>
    <n v="0.90726698106549186"/>
    <n v="2.5249999999999999"/>
    <n v="10.7722772277228"/>
    <n v="2.5249999999999999"/>
    <n v="10.7722772277228"/>
    <n v="1"/>
    <n v="0.90726698106549186"/>
    <n v="19"/>
    <n v="1"/>
  </r>
  <r>
    <x v="0"/>
    <s v="2025-05-18 18:56:05"/>
    <n v="2"/>
    <x v="3"/>
    <x v="6"/>
    <x v="1"/>
    <n v="2.5249999999999999"/>
    <n v="2E+20"/>
    <n v="2.5249999999999999"/>
    <n v="2.5249999999999999"/>
    <n v="1"/>
    <s v="Friday (Solucion: datafono, gofre, cocina y caja compartida)ClientesSisH2ExpressionUser Specified"/>
    <n v="19"/>
    <n v="3.9030120295014323"/>
    <n v="1.8823568935580257"/>
    <n v="0.95"/>
    <n v="0.90726698106549186"/>
    <n v="2.5249999999999999"/>
    <n v="10.7722772277228"/>
    <n v="2.5249999999999999"/>
    <n v="10.7722772277228"/>
    <n v="1"/>
    <n v="0.90726698106549186"/>
    <n v="19"/>
    <n v="1"/>
  </r>
  <r>
    <x v="0"/>
    <s v="2025-05-18 18:56:05"/>
    <n v="3"/>
    <x v="3"/>
    <x v="6"/>
    <x v="1"/>
    <n v="6.1445783132530103"/>
    <n v="2E+20"/>
    <n v="6.1445783132530103"/>
    <n v="6.1445783132530103"/>
    <n v="1"/>
    <s v="Friday (Solucion: datafono, gofre, cocina y caja compartida)ClientesSisH2ExpressionUser Specified"/>
    <n v="19"/>
    <n v="3.9030120295014323"/>
    <n v="1.8823568935580257"/>
    <n v="0.95"/>
    <n v="0.90726698106549186"/>
    <n v="2.5249999999999999"/>
    <n v="10.7722772277228"/>
    <n v="2.5249999999999999"/>
    <n v="10.7722772277228"/>
    <n v="1"/>
    <n v="0.90726698106549186"/>
    <n v="19"/>
    <n v="1"/>
  </r>
  <r>
    <x v="0"/>
    <s v="2025-05-18 18:56:05"/>
    <n v="4"/>
    <x v="3"/>
    <x v="6"/>
    <x v="1"/>
    <n v="3"/>
    <n v="2E+20"/>
    <n v="3"/>
    <n v="3"/>
    <n v="1"/>
    <s v="Friday (Solucion: datafono, gofre, cocina y caja compartida)ClientesSisH2ExpressionUser Specified"/>
    <n v="19"/>
    <n v="3.9030120295014323"/>
    <n v="1.8823568935580257"/>
    <n v="0.95"/>
    <n v="0.90726698106549186"/>
    <n v="2.5249999999999999"/>
    <n v="10.7722772277228"/>
    <n v="2.5249999999999999"/>
    <n v="10.7722772277228"/>
    <n v="1"/>
    <n v="0.90726698106549186"/>
    <n v="19"/>
    <n v="1"/>
  </r>
  <r>
    <x v="0"/>
    <s v="2025-05-18 18:56:05"/>
    <n v="5"/>
    <x v="3"/>
    <x v="6"/>
    <x v="1"/>
    <n v="2.6235294117647001"/>
    <n v="2E+20"/>
    <n v="2.6235294117647001"/>
    <n v="2.6235294117647001"/>
    <n v="1"/>
    <s v="Friday (Solucion: datafono, gofre, cocina y caja compartida)ClientesSisH2ExpressionUser Specified"/>
    <n v="19"/>
    <n v="3.9030120295014323"/>
    <n v="1.8823568935580257"/>
    <n v="0.95"/>
    <n v="0.90726698106549186"/>
    <n v="2.5249999999999999"/>
    <n v="10.7722772277228"/>
    <n v="2.5249999999999999"/>
    <n v="10.7722772277228"/>
    <n v="1"/>
    <n v="0.90726698106549186"/>
    <n v="19"/>
    <n v="1"/>
  </r>
  <r>
    <x v="0"/>
    <s v="2025-05-18 18:56:05"/>
    <n v="6"/>
    <x v="3"/>
    <x v="6"/>
    <x v="1"/>
    <n v="3.1447368421052602"/>
    <n v="2E+20"/>
    <n v="3.1447368421052602"/>
    <n v="3.1447368421052602"/>
    <n v="1"/>
    <s v="Friday (Solucion: datafono, gofre, cocina y caja compartida)ClientesSisH2ExpressionUser Specified"/>
    <n v="19"/>
    <n v="3.9030120295014323"/>
    <n v="1.8823568935580257"/>
    <n v="0.95"/>
    <n v="0.90726698106549186"/>
    <n v="2.5249999999999999"/>
    <n v="10.7722772277228"/>
    <n v="2.5249999999999999"/>
    <n v="10.7722772277228"/>
    <n v="1"/>
    <n v="0.90726698106549186"/>
    <n v="19"/>
    <n v="1"/>
  </r>
  <r>
    <x v="0"/>
    <s v="2025-05-18 18:56:05"/>
    <n v="7"/>
    <x v="3"/>
    <x v="6"/>
    <x v="1"/>
    <n v="3.64556962025316"/>
    <n v="2E+20"/>
    <n v="3.64556962025316"/>
    <n v="3.64556962025316"/>
    <n v="1"/>
    <s v="Friday (Solucion: datafono, gofre, cocina y caja compartida)ClientesSisH2ExpressionUser Specified"/>
    <n v="19"/>
    <n v="3.9030120295014323"/>
    <n v="1.8823568935580257"/>
    <n v="0.95"/>
    <n v="0.90726698106549186"/>
    <n v="2.5249999999999999"/>
    <n v="10.7722772277228"/>
    <n v="2.5249999999999999"/>
    <n v="10.7722772277228"/>
    <n v="1"/>
    <n v="0.90726698106549186"/>
    <n v="19"/>
    <n v="1"/>
  </r>
  <r>
    <x v="0"/>
    <s v="2025-05-18 18:56:05"/>
    <n v="8"/>
    <x v="3"/>
    <x v="6"/>
    <x v="1"/>
    <n v="4.31034482758621"/>
    <n v="2E+20"/>
    <n v="4.31034482758621"/>
    <n v="4.31034482758621"/>
    <n v="1"/>
    <s v="Friday (Solucion: datafono, gofre, cocina y caja compartida)ClientesSisH2ExpressionUser Specified"/>
    <n v="19"/>
    <n v="3.9030120295014323"/>
    <n v="1.8823568935580257"/>
    <n v="0.95"/>
    <n v="0.90726698106549186"/>
    <n v="2.5249999999999999"/>
    <n v="10.7722772277228"/>
    <n v="2.5249999999999999"/>
    <n v="10.7722772277228"/>
    <n v="1"/>
    <n v="0.90726698106549186"/>
    <n v="19"/>
    <n v="1"/>
  </r>
  <r>
    <x v="0"/>
    <s v="2025-05-18 18:56:05"/>
    <n v="9"/>
    <x v="3"/>
    <x v="6"/>
    <x v="1"/>
    <n v="3.24050632911392"/>
    <n v="2E+20"/>
    <n v="3.24050632911392"/>
    <n v="3.24050632911392"/>
    <n v="1"/>
    <s v="Friday (Solucion: datafono, gofre, cocina y caja compartida)ClientesSisH2ExpressionUser Specified"/>
    <n v="19"/>
    <n v="3.9030120295014323"/>
    <n v="1.8823568935580257"/>
    <n v="0.95"/>
    <n v="0.90726698106549186"/>
    <n v="2.5249999999999999"/>
    <n v="10.7722772277228"/>
    <n v="2.5249999999999999"/>
    <n v="10.7722772277228"/>
    <n v="1"/>
    <n v="0.90726698106549186"/>
    <n v="19"/>
    <n v="1"/>
  </r>
  <r>
    <x v="0"/>
    <s v="2025-05-18 18:56:05"/>
    <n v="10"/>
    <x v="3"/>
    <x v="6"/>
    <x v="1"/>
    <n v="4.9459459459459501"/>
    <n v="2E+20"/>
    <n v="4.9459459459459501"/>
    <n v="4.9459459459459501"/>
    <n v="1"/>
    <s v="Friday (Solucion: datafono, gofre, cocina y caja compartida)ClientesSisH2ExpressionUser Specified"/>
    <n v="19"/>
    <n v="3.9030120295014323"/>
    <n v="1.8823568935580257"/>
    <n v="0.95"/>
    <n v="0.90726698106549186"/>
    <n v="2.5249999999999999"/>
    <n v="10.7722772277228"/>
    <n v="2.5249999999999999"/>
    <n v="10.7722772277228"/>
    <n v="1"/>
    <n v="0.90726698106549186"/>
    <n v="19"/>
    <n v="1"/>
  </r>
  <r>
    <x v="0"/>
    <s v="2025-05-18 18:56:05"/>
    <n v="11"/>
    <x v="3"/>
    <x v="6"/>
    <x v="1"/>
    <n v="2.5857142857142899"/>
    <n v="2E+20"/>
    <n v="2.5857142857142899"/>
    <n v="2.5857142857142899"/>
    <n v="1"/>
    <s v="Friday (Solucion: datafono, gofre, cocina y caja compartida)ClientesSisH2ExpressionUser Specified"/>
    <n v="19"/>
    <n v="3.9030120295014323"/>
    <n v="1.8823568935580257"/>
    <n v="0.95"/>
    <n v="0.90726698106549186"/>
    <n v="2.5249999999999999"/>
    <n v="10.7722772277228"/>
    <n v="2.5249999999999999"/>
    <n v="10.7722772277228"/>
    <n v="1"/>
    <n v="0.90726698106549186"/>
    <n v="19"/>
    <n v="1"/>
  </r>
  <r>
    <x v="0"/>
    <s v="2025-05-18 18:56:05"/>
    <n v="12"/>
    <x v="3"/>
    <x v="6"/>
    <x v="1"/>
    <n v="3.36708860759494"/>
    <n v="2E+20"/>
    <n v="3.36708860759494"/>
    <n v="3.36708860759494"/>
    <n v="1"/>
    <s v="Friday (Solucion: datafono, gofre, cocina y caja compartida)ClientesSisH2ExpressionUser Specified"/>
    <n v="19"/>
    <n v="3.9030120295014323"/>
    <n v="1.8823568935580257"/>
    <n v="0.95"/>
    <n v="0.90726698106549186"/>
    <n v="2.5249999999999999"/>
    <n v="10.7722772277228"/>
    <n v="2.5249999999999999"/>
    <n v="10.7722772277228"/>
    <n v="1"/>
    <n v="0.90726698106549186"/>
    <n v="19"/>
    <n v="1"/>
  </r>
  <r>
    <x v="0"/>
    <s v="2025-05-18 18:56:05"/>
    <n v="13"/>
    <x v="3"/>
    <x v="6"/>
    <x v="1"/>
    <n v="3.65"/>
    <n v="2E+20"/>
    <n v="3.65"/>
    <n v="3.65"/>
    <n v="1"/>
    <s v="Friday (Solucion: datafono, gofre, cocina y caja compartida)ClientesSisH2ExpressionUser Specified"/>
    <n v="19"/>
    <n v="3.9030120295014323"/>
    <n v="1.8823568935580257"/>
    <n v="0.95"/>
    <n v="0.90726698106549186"/>
    <n v="2.5249999999999999"/>
    <n v="10.7722772277228"/>
    <n v="2.5249999999999999"/>
    <n v="10.7722772277228"/>
    <n v="1"/>
    <n v="0.90726698106549186"/>
    <n v="19"/>
    <n v="1"/>
  </r>
  <r>
    <x v="0"/>
    <s v="2025-05-18 18:56:05"/>
    <n v="14"/>
    <x v="3"/>
    <x v="6"/>
    <x v="1"/>
    <n v="3.2471910112359499"/>
    <n v="2E+20"/>
    <n v="3.2471910112359499"/>
    <n v="3.2471910112359499"/>
    <n v="1"/>
    <s v="Friday (Solucion: datafono, gofre, cocina y caja compartida)ClientesSisH2ExpressionUser Specified"/>
    <n v="19"/>
    <n v="3.9030120295014323"/>
    <n v="1.8823568935580257"/>
    <n v="0.95"/>
    <n v="0.90726698106549186"/>
    <n v="2.5249999999999999"/>
    <n v="10.7722772277228"/>
    <n v="2.5249999999999999"/>
    <n v="10.7722772277228"/>
    <n v="1"/>
    <n v="0.90726698106549186"/>
    <n v="19"/>
    <n v="1"/>
  </r>
  <r>
    <x v="0"/>
    <s v="2025-05-18 18:56:05"/>
    <n v="15"/>
    <x v="3"/>
    <x v="6"/>
    <x v="1"/>
    <n v="3.1176470588235299"/>
    <n v="2E+20"/>
    <n v="3.1176470588235299"/>
    <n v="3.1176470588235299"/>
    <n v="1"/>
    <s v="Friday (Solucion: datafono, gofre, cocina y caja compartida)ClientesSisH2ExpressionUser Specified"/>
    <n v="19"/>
    <n v="3.9030120295014323"/>
    <n v="1.8823568935580257"/>
    <n v="0.95"/>
    <n v="0.90726698106549186"/>
    <n v="2.5249999999999999"/>
    <n v="10.7722772277228"/>
    <n v="2.5249999999999999"/>
    <n v="10.7722772277228"/>
    <n v="1"/>
    <n v="0.90726698106549186"/>
    <n v="19"/>
    <n v="1"/>
  </r>
  <r>
    <x v="0"/>
    <s v="2025-05-18 18:56:05"/>
    <n v="16"/>
    <x v="3"/>
    <x v="6"/>
    <x v="1"/>
    <n v="3.1704545454545499"/>
    <n v="2E+20"/>
    <n v="3.1704545454545499"/>
    <n v="3.1704545454545499"/>
    <n v="1"/>
    <s v="Friday (Solucion: datafono, gofre, cocina y caja compartida)ClientesSisH2ExpressionUser Specified"/>
    <n v="19"/>
    <n v="3.9030120295014323"/>
    <n v="1.8823568935580257"/>
    <n v="0.95"/>
    <n v="0.90726698106549186"/>
    <n v="2.5249999999999999"/>
    <n v="10.7722772277228"/>
    <n v="2.5249999999999999"/>
    <n v="10.7722772277228"/>
    <n v="1"/>
    <n v="0.90726698106549186"/>
    <n v="19"/>
    <n v="1"/>
  </r>
  <r>
    <x v="0"/>
    <s v="2025-05-18 18:56:05"/>
    <n v="17"/>
    <x v="3"/>
    <x v="6"/>
    <x v="1"/>
    <n v="4.0459770114942604"/>
    <n v="2E+20"/>
    <n v="4.0459770114942604"/>
    <n v="4.0459770114942604"/>
    <n v="1"/>
    <s v="Friday (Solucion: datafono, gofre, cocina y caja compartida)ClientesSisH2ExpressionUser Specified"/>
    <n v="19"/>
    <n v="3.9030120295014323"/>
    <n v="1.8823568935580257"/>
    <n v="0.95"/>
    <n v="0.90726698106549186"/>
    <n v="2.5249999999999999"/>
    <n v="10.7722772277228"/>
    <n v="2.5249999999999999"/>
    <n v="10.7722772277228"/>
    <n v="1"/>
    <n v="0.90726698106549186"/>
    <n v="19"/>
    <n v="1"/>
  </r>
  <r>
    <x v="0"/>
    <s v="2025-05-18 18:56:05"/>
    <n v="18"/>
    <x v="3"/>
    <x v="6"/>
    <x v="1"/>
    <n v="3.8048780487804899"/>
    <n v="2E+20"/>
    <n v="3.8048780487804899"/>
    <n v="3.8048780487804899"/>
    <n v="1"/>
    <s v="Friday (Solucion: datafono, gofre, cocina y caja compartida)ClientesSisH2ExpressionUser Specified"/>
    <n v="19"/>
    <n v="3.9030120295014323"/>
    <n v="1.8823568935580257"/>
    <n v="0.95"/>
    <n v="0.90726698106549186"/>
    <n v="2.5249999999999999"/>
    <n v="10.7722772277228"/>
    <n v="2.5249999999999999"/>
    <n v="10.7722772277228"/>
    <n v="1"/>
    <n v="0.90726698106549186"/>
    <n v="19"/>
    <n v="1"/>
  </r>
  <r>
    <x v="0"/>
    <s v="2025-05-18 18:56:05"/>
    <n v="19"/>
    <x v="3"/>
    <x v="6"/>
    <x v="1"/>
    <n v="2.8157894736842102"/>
    <n v="2E+20"/>
    <n v="2.8157894736842102"/>
    <n v="2.8157894736842102"/>
    <n v="1"/>
    <s v="Friday (Solucion: datafono, gofre, cocina y caja compartida)ClientesSisH2ExpressionUser Specified"/>
    <n v="19"/>
    <n v="3.9030120295014323"/>
    <n v="1.8823568935580257"/>
    <n v="0.95"/>
    <n v="0.90726698106549186"/>
    <n v="2.5249999999999999"/>
    <n v="10.7722772277228"/>
    <n v="2.5249999999999999"/>
    <n v="10.7722772277228"/>
    <n v="1"/>
    <n v="0.90726698106549186"/>
    <n v="19"/>
    <n v="1"/>
  </r>
  <r>
    <x v="0"/>
    <s v="2025-05-18 18:56:05"/>
    <n v="1"/>
    <x v="4"/>
    <x v="6"/>
    <x v="1"/>
    <n v="8.86"/>
    <n v="2E+20"/>
    <n v="8.86"/>
    <n v="8.86"/>
    <n v="1"/>
    <s v="Friday (Solucion: datafono, gofre, cocina y caja compartida)ClientesSisH3ExpressionUser Specified"/>
    <n v="19"/>
    <n v="3.8510772186580167"/>
    <n v="1.3964350237206895"/>
    <n v="0.95"/>
    <n v="0.67306013676844423"/>
    <n v="2.6330275229357798"/>
    <n v="8.86"/>
    <n v="2.6330275229357798"/>
    <n v="8.86"/>
    <n v="1"/>
    <n v="0.67306013676844423"/>
    <n v="19"/>
    <n v="1"/>
  </r>
  <r>
    <x v="0"/>
    <s v="2025-05-18 18:56:05"/>
    <n v="2"/>
    <x v="4"/>
    <x v="6"/>
    <x v="1"/>
    <n v="2.6330275229357798"/>
    <n v="2E+20"/>
    <n v="2.6330275229357798"/>
    <n v="2.6330275229357798"/>
    <n v="1"/>
    <s v="Friday (Solucion: datafono, gofre, cocina y caja compartida)ClientesSisH3ExpressionUser Specified"/>
    <n v="19"/>
    <n v="3.8510772186580167"/>
    <n v="1.3964350237206895"/>
    <n v="0.95"/>
    <n v="0.67306013676844423"/>
    <n v="2.6330275229357798"/>
    <n v="8.86"/>
    <n v="2.6330275229357798"/>
    <n v="8.86"/>
    <n v="1"/>
    <n v="0.67306013676844423"/>
    <n v="19"/>
    <n v="1"/>
  </r>
  <r>
    <x v="0"/>
    <s v="2025-05-18 18:56:05"/>
    <n v="3"/>
    <x v="4"/>
    <x v="6"/>
    <x v="1"/>
    <n v="4.9913043478260901"/>
    <n v="2E+20"/>
    <n v="4.9913043478260901"/>
    <n v="4.9913043478260901"/>
    <n v="1"/>
    <s v="Friday (Solucion: datafono, gofre, cocina y caja compartida)ClientesSisH3ExpressionUser Specified"/>
    <n v="19"/>
    <n v="3.8510772186580167"/>
    <n v="1.3964350237206895"/>
    <n v="0.95"/>
    <n v="0.67306013676844423"/>
    <n v="2.6330275229357798"/>
    <n v="8.86"/>
    <n v="2.6330275229357798"/>
    <n v="8.86"/>
    <n v="1"/>
    <n v="0.67306013676844423"/>
    <n v="19"/>
    <n v="1"/>
  </r>
  <r>
    <x v="0"/>
    <s v="2025-05-18 18:56:05"/>
    <n v="4"/>
    <x v="4"/>
    <x v="6"/>
    <x v="1"/>
    <n v="2.8534482758620698"/>
    <n v="2E+20"/>
    <n v="2.8534482758620698"/>
    <n v="2.8534482758620698"/>
    <n v="1"/>
    <s v="Friday (Solucion: datafono, gofre, cocina y caja compartida)ClientesSisH3ExpressionUser Specified"/>
    <n v="19"/>
    <n v="3.8510772186580167"/>
    <n v="1.3964350237206895"/>
    <n v="0.95"/>
    <n v="0.67306013676844423"/>
    <n v="2.6330275229357798"/>
    <n v="8.86"/>
    <n v="2.6330275229357798"/>
    <n v="8.86"/>
    <n v="1"/>
    <n v="0.67306013676844423"/>
    <n v="19"/>
    <n v="1"/>
  </r>
  <r>
    <x v="0"/>
    <s v="2025-05-18 18:56:05"/>
    <n v="5"/>
    <x v="4"/>
    <x v="6"/>
    <x v="1"/>
    <n v="3.2170542635658901"/>
    <n v="2E+20"/>
    <n v="3.2170542635658901"/>
    <n v="3.2170542635658901"/>
    <n v="1"/>
    <s v="Friday (Solucion: datafono, gofre, cocina y caja compartida)ClientesSisH3ExpressionUser Specified"/>
    <n v="19"/>
    <n v="3.8510772186580167"/>
    <n v="1.3964350237206895"/>
    <n v="0.95"/>
    <n v="0.67306013676844423"/>
    <n v="2.6330275229357798"/>
    <n v="8.86"/>
    <n v="2.6330275229357798"/>
    <n v="8.86"/>
    <n v="1"/>
    <n v="0.67306013676844423"/>
    <n v="19"/>
    <n v="1"/>
  </r>
  <r>
    <x v="0"/>
    <s v="2025-05-18 18:56:05"/>
    <n v="6"/>
    <x v="4"/>
    <x v="6"/>
    <x v="1"/>
    <n v="3"/>
    <n v="2E+20"/>
    <n v="3"/>
    <n v="3"/>
    <n v="1"/>
    <s v="Friday (Solucion: datafono, gofre, cocina y caja compartida)ClientesSisH3ExpressionUser Specified"/>
    <n v="19"/>
    <n v="3.8510772186580167"/>
    <n v="1.3964350237206895"/>
    <n v="0.95"/>
    <n v="0.67306013676844423"/>
    <n v="2.6330275229357798"/>
    <n v="8.86"/>
    <n v="2.6330275229357798"/>
    <n v="8.86"/>
    <n v="1"/>
    <n v="0.67306013676844423"/>
    <n v="19"/>
    <n v="1"/>
  </r>
  <r>
    <x v="0"/>
    <s v="2025-05-18 18:56:05"/>
    <n v="7"/>
    <x v="4"/>
    <x v="6"/>
    <x v="1"/>
    <n v="3.4196428571428599"/>
    <n v="2E+20"/>
    <n v="3.4196428571428599"/>
    <n v="3.4196428571428599"/>
    <n v="1"/>
    <s v="Friday (Solucion: datafono, gofre, cocina y caja compartida)ClientesSisH3ExpressionUser Specified"/>
    <n v="19"/>
    <n v="3.8510772186580167"/>
    <n v="1.3964350237206895"/>
    <n v="0.95"/>
    <n v="0.67306013676844423"/>
    <n v="2.6330275229357798"/>
    <n v="8.86"/>
    <n v="2.6330275229357798"/>
    <n v="8.86"/>
    <n v="1"/>
    <n v="0.67306013676844423"/>
    <n v="19"/>
    <n v="1"/>
  </r>
  <r>
    <x v="0"/>
    <s v="2025-05-18 18:56:05"/>
    <n v="8"/>
    <x v="4"/>
    <x v="6"/>
    <x v="1"/>
    <n v="4.0814814814814797"/>
    <n v="2E+20"/>
    <n v="4.0814814814814797"/>
    <n v="4.0814814814814797"/>
    <n v="1"/>
    <s v="Friday (Solucion: datafono, gofre, cocina y caja compartida)ClientesSisH3ExpressionUser Specified"/>
    <n v="19"/>
    <n v="3.8510772186580167"/>
    <n v="1.3964350237206895"/>
    <n v="0.95"/>
    <n v="0.67306013676844423"/>
    <n v="2.6330275229357798"/>
    <n v="8.86"/>
    <n v="2.6330275229357798"/>
    <n v="8.86"/>
    <n v="1"/>
    <n v="0.67306013676844423"/>
    <n v="19"/>
    <n v="1"/>
  </r>
  <r>
    <x v="0"/>
    <s v="2025-05-18 18:56:05"/>
    <n v="9"/>
    <x v="4"/>
    <x v="6"/>
    <x v="1"/>
    <n v="3.0701754385964901"/>
    <n v="2E+20"/>
    <n v="3.0701754385964901"/>
    <n v="3.0701754385964901"/>
    <n v="1"/>
    <s v="Friday (Solucion: datafono, gofre, cocina y caja compartida)ClientesSisH3ExpressionUser Specified"/>
    <n v="19"/>
    <n v="3.8510772186580167"/>
    <n v="1.3964350237206895"/>
    <n v="0.95"/>
    <n v="0.67306013676844423"/>
    <n v="2.6330275229357798"/>
    <n v="8.86"/>
    <n v="2.6330275229357798"/>
    <n v="8.86"/>
    <n v="1"/>
    <n v="0.67306013676844423"/>
    <n v="19"/>
    <n v="1"/>
  </r>
  <r>
    <x v="0"/>
    <s v="2025-05-18 18:56:05"/>
    <n v="10"/>
    <x v="4"/>
    <x v="6"/>
    <x v="1"/>
    <n v="5.2241379310344804"/>
    <n v="2E+20"/>
    <n v="5.2241379310344804"/>
    <n v="5.2241379310344804"/>
    <n v="1"/>
    <s v="Friday (Solucion: datafono, gofre, cocina y caja compartida)ClientesSisH3ExpressionUser Specified"/>
    <n v="19"/>
    <n v="3.8510772186580167"/>
    <n v="1.3964350237206895"/>
    <n v="0.95"/>
    <n v="0.67306013676844423"/>
    <n v="2.6330275229357798"/>
    <n v="8.86"/>
    <n v="2.6330275229357798"/>
    <n v="8.86"/>
    <n v="1"/>
    <n v="0.67306013676844423"/>
    <n v="19"/>
    <n v="1"/>
  </r>
  <r>
    <x v="0"/>
    <s v="2025-05-18 18:56:05"/>
    <n v="11"/>
    <x v="4"/>
    <x v="6"/>
    <x v="1"/>
    <n v="3.4695652173912999"/>
    <n v="2E+20"/>
    <n v="3.4695652173912999"/>
    <n v="3.4695652173912999"/>
    <n v="1"/>
    <s v="Friday (Solucion: datafono, gofre, cocina y caja compartida)ClientesSisH3ExpressionUser Specified"/>
    <n v="19"/>
    <n v="3.8510772186580167"/>
    <n v="1.3964350237206895"/>
    <n v="0.95"/>
    <n v="0.67306013676844423"/>
    <n v="2.6330275229357798"/>
    <n v="8.86"/>
    <n v="2.6330275229357798"/>
    <n v="8.86"/>
    <n v="1"/>
    <n v="0.67306013676844423"/>
    <n v="19"/>
    <n v="1"/>
  </r>
  <r>
    <x v="0"/>
    <s v="2025-05-18 18:56:05"/>
    <n v="12"/>
    <x v="4"/>
    <x v="6"/>
    <x v="1"/>
    <n v="3.3916666666666702"/>
    <n v="2E+20"/>
    <n v="3.3916666666666702"/>
    <n v="3.3916666666666702"/>
    <n v="1"/>
    <s v="Friday (Solucion: datafono, gofre, cocina y caja compartida)ClientesSisH3ExpressionUser Specified"/>
    <n v="19"/>
    <n v="3.8510772186580167"/>
    <n v="1.3964350237206895"/>
    <n v="0.95"/>
    <n v="0.67306013676844423"/>
    <n v="2.6330275229357798"/>
    <n v="8.86"/>
    <n v="2.6330275229357798"/>
    <n v="8.86"/>
    <n v="1"/>
    <n v="0.67306013676844423"/>
    <n v="19"/>
    <n v="1"/>
  </r>
  <r>
    <x v="0"/>
    <s v="2025-05-18 18:56:05"/>
    <n v="13"/>
    <x v="4"/>
    <x v="6"/>
    <x v="1"/>
    <n v="3.5948275862068999"/>
    <n v="2E+20"/>
    <n v="3.5948275862068999"/>
    <n v="3.5948275862068999"/>
    <n v="1"/>
    <s v="Friday (Solucion: datafono, gofre, cocina y caja compartida)ClientesSisH3ExpressionUser Specified"/>
    <n v="19"/>
    <n v="3.8510772186580167"/>
    <n v="1.3964350237206895"/>
    <n v="0.95"/>
    <n v="0.67306013676844423"/>
    <n v="2.6330275229357798"/>
    <n v="8.86"/>
    <n v="2.6330275229357798"/>
    <n v="8.86"/>
    <n v="1"/>
    <n v="0.67306013676844423"/>
    <n v="19"/>
    <n v="1"/>
  </r>
  <r>
    <x v="0"/>
    <s v="2025-05-18 18:56:05"/>
    <n v="14"/>
    <x v="4"/>
    <x v="6"/>
    <x v="1"/>
    <n v="4.3333333333333401"/>
    <n v="2E+20"/>
    <n v="4.3333333333333401"/>
    <n v="4.3333333333333401"/>
    <n v="1"/>
    <s v="Friday (Solucion: datafono, gofre, cocina y caja compartida)ClientesSisH3ExpressionUser Specified"/>
    <n v="19"/>
    <n v="3.8510772186580167"/>
    <n v="1.3964350237206895"/>
    <n v="0.95"/>
    <n v="0.67306013676844423"/>
    <n v="2.6330275229357798"/>
    <n v="8.86"/>
    <n v="2.6330275229357798"/>
    <n v="8.86"/>
    <n v="1"/>
    <n v="0.67306013676844423"/>
    <n v="19"/>
    <n v="1"/>
  </r>
  <r>
    <x v="0"/>
    <s v="2025-05-18 18:56:05"/>
    <n v="15"/>
    <x v="4"/>
    <x v="6"/>
    <x v="1"/>
    <n v="3.5390625"/>
    <n v="2E+20"/>
    <n v="3.5390625"/>
    <n v="3.5390625"/>
    <n v="1"/>
    <s v="Friday (Solucion: datafono, gofre, cocina y caja compartida)ClientesSisH3ExpressionUser Specified"/>
    <n v="19"/>
    <n v="3.8510772186580167"/>
    <n v="1.3964350237206895"/>
    <n v="0.95"/>
    <n v="0.67306013676844423"/>
    <n v="2.6330275229357798"/>
    <n v="8.86"/>
    <n v="2.6330275229357798"/>
    <n v="8.86"/>
    <n v="1"/>
    <n v="0.67306013676844423"/>
    <n v="19"/>
    <n v="1"/>
  </r>
  <r>
    <x v="0"/>
    <s v="2025-05-18 18:56:05"/>
    <n v="16"/>
    <x v="4"/>
    <x v="6"/>
    <x v="1"/>
    <n v="3.2671755725190801"/>
    <n v="2E+20"/>
    <n v="3.2671755725190801"/>
    <n v="3.2671755725190801"/>
    <n v="1"/>
    <s v="Friday (Solucion: datafono, gofre, cocina y caja compartida)ClientesSisH3ExpressionUser Specified"/>
    <n v="19"/>
    <n v="3.8510772186580167"/>
    <n v="1.3964350237206895"/>
    <n v="0.95"/>
    <n v="0.67306013676844423"/>
    <n v="2.6330275229357798"/>
    <n v="8.86"/>
    <n v="2.6330275229357798"/>
    <n v="8.86"/>
    <n v="1"/>
    <n v="0.67306013676844423"/>
    <n v="19"/>
    <n v="1"/>
  </r>
  <r>
    <x v="0"/>
    <s v="2025-05-18 18:56:05"/>
    <n v="17"/>
    <x v="4"/>
    <x v="6"/>
    <x v="1"/>
    <n v="3.6693548387096802"/>
    <n v="2E+20"/>
    <n v="3.6693548387096802"/>
    <n v="3.6693548387096802"/>
    <n v="1"/>
    <s v="Friday (Solucion: datafono, gofre, cocina y caja compartida)ClientesSisH3ExpressionUser Specified"/>
    <n v="19"/>
    <n v="3.8510772186580167"/>
    <n v="1.3964350237206895"/>
    <n v="0.95"/>
    <n v="0.67306013676844423"/>
    <n v="2.6330275229357798"/>
    <n v="8.86"/>
    <n v="2.6330275229357798"/>
    <n v="8.86"/>
    <n v="1"/>
    <n v="0.67306013676844423"/>
    <n v="19"/>
    <n v="1"/>
  </r>
  <r>
    <x v="0"/>
    <s v="2025-05-18 18:56:05"/>
    <n v="18"/>
    <x v="4"/>
    <x v="6"/>
    <x v="1"/>
    <n v="3.8196721311475401"/>
    <n v="2E+20"/>
    <n v="3.8196721311475401"/>
    <n v="3.8196721311475401"/>
    <n v="1"/>
    <s v="Friday (Solucion: datafono, gofre, cocina y caja compartida)ClientesSisH3ExpressionUser Specified"/>
    <n v="19"/>
    <n v="3.8510772186580167"/>
    <n v="1.3964350237206895"/>
    <n v="0.95"/>
    <n v="0.67306013676844423"/>
    <n v="2.6330275229357798"/>
    <n v="8.86"/>
    <n v="2.6330275229357798"/>
    <n v="8.86"/>
    <n v="1"/>
    <n v="0.67306013676844423"/>
    <n v="19"/>
    <n v="1"/>
  </r>
  <r>
    <x v="0"/>
    <s v="2025-05-18 18:56:05"/>
    <n v="19"/>
    <x v="4"/>
    <x v="6"/>
    <x v="1"/>
    <n v="2.7355371900826499"/>
    <n v="2E+20"/>
    <n v="2.7355371900826499"/>
    <n v="2.7355371900826499"/>
    <n v="1"/>
    <s v="Friday (Solucion: datafono, gofre, cocina y caja compartida)ClientesSisH3ExpressionUser Specified"/>
    <n v="19"/>
    <n v="3.8510772186580167"/>
    <n v="1.3964350237206895"/>
    <n v="0.95"/>
    <n v="0.67306013676844423"/>
    <n v="2.6330275229357798"/>
    <n v="8.86"/>
    <n v="2.6330275229357798"/>
    <n v="8.86"/>
    <n v="1"/>
    <n v="0.67306013676844423"/>
    <n v="19"/>
    <n v="1"/>
  </r>
  <r>
    <x v="0"/>
    <s v="2025-05-18 18:56:05"/>
    <n v="1"/>
    <x v="5"/>
    <x v="7"/>
    <x v="2"/>
    <n v="21.2089552841257"/>
    <n v="2E+20"/>
    <n v="0"/>
    <n v="34.6364637997522"/>
    <n v="19"/>
    <s v="Friday (Solucion: datafono, gofre, cocina y caja compartida)Comer en MesaTotal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"/>
    <x v="5"/>
    <x v="8"/>
    <x v="2"/>
    <n v="21.2089552841257"/>
    <n v="2E+20"/>
    <n v="0"/>
    <n v="34.6364637997522"/>
    <n v="19"/>
    <s v="Friday (Solucion: datafono, gofre, cocina y caja compartida)Comer en MesaVA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"/>
    <x v="5"/>
    <x v="9"/>
    <x v="2"/>
    <n v="0"/>
    <n v="2E+20"/>
    <n v="0"/>
    <n v="0"/>
    <n v="19"/>
    <s v="Friday (Solucion: datafono, gofre, cocina y caja compartida)Comer en MesaWait Time Per EntityProcess"/>
    <n v="19"/>
    <n v="0"/>
    <n v="0"/>
    <n v="0.95"/>
    <n v="0"/>
    <n v="0"/>
    <n v="0"/>
    <n v="0"/>
    <n v="0"/>
    <n v="16.263157894736842"/>
    <n v="0"/>
    <n v="19"/>
    <n v="1"/>
  </r>
  <r>
    <x v="0"/>
    <s v="2025-05-18 18:56:05"/>
    <n v="2"/>
    <x v="5"/>
    <x v="7"/>
    <x v="2"/>
    <n v="19.6313420657176"/>
    <n v="2E+20"/>
    <n v="9.9444268178419204"/>
    <n v="27.9315255641779"/>
    <n v="8"/>
    <s v="Friday (Solucion: datafono, gofre, cocina y caja compartida)Comer en MesaTotal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2"/>
    <x v="5"/>
    <x v="8"/>
    <x v="2"/>
    <n v="19.6313420657176"/>
    <n v="2E+20"/>
    <n v="9.9444268178419204"/>
    <n v="27.9315255641779"/>
    <n v="8"/>
    <s v="Friday (Solucion: datafono, gofre, cocina y caja compartida)Comer en MesaVA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2"/>
    <x v="5"/>
    <x v="9"/>
    <x v="2"/>
    <n v="0"/>
    <n v="2E+20"/>
    <n v="0"/>
    <n v="0"/>
    <n v="8"/>
    <s v="Friday (Solucion: datafono, gofre, cocina y caja compartida)Comer en MesaWait Time Per EntityProcess"/>
    <n v="19"/>
    <n v="0"/>
    <n v="0"/>
    <n v="0.95"/>
    <n v="0"/>
    <n v="0"/>
    <n v="0"/>
    <n v="0"/>
    <n v="0"/>
    <n v="16.263157894736842"/>
    <n v="0"/>
    <n v="19"/>
    <n v="1"/>
  </r>
  <r>
    <x v="0"/>
    <s v="2025-05-18 18:56:05"/>
    <n v="3"/>
    <x v="5"/>
    <x v="7"/>
    <x v="2"/>
    <n v="20.508291855783199"/>
    <n v="2E+20"/>
    <n v="6.0706382337500003E-2"/>
    <n v="47.092378696302802"/>
    <n v="16"/>
    <s v="Friday (Solucion: datafono, gofre, cocina y caja compartida)Comer en MesaTotal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3"/>
    <x v="5"/>
    <x v="8"/>
    <x v="2"/>
    <n v="20.508291855783199"/>
    <n v="2E+20"/>
    <n v="6.0706382337500003E-2"/>
    <n v="47.092378696302802"/>
    <n v="16"/>
    <s v="Friday (Solucion: datafono, gofre, cocina y caja compartida)Comer en MesaVA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3"/>
    <x v="5"/>
    <x v="9"/>
    <x v="2"/>
    <n v="0"/>
    <n v="2E+20"/>
    <n v="0"/>
    <n v="0"/>
    <n v="16"/>
    <s v="Friday (Solucion: datafono, gofre, cocina y caja compartida)Comer en MesaWait Time Per EntityProcess"/>
    <n v="19"/>
    <n v="0"/>
    <n v="0"/>
    <n v="0.95"/>
    <n v="0"/>
    <n v="0"/>
    <n v="0"/>
    <n v="0"/>
    <n v="0"/>
    <n v="16.263157894736842"/>
    <n v="0"/>
    <n v="19"/>
    <n v="1"/>
  </r>
  <r>
    <x v="0"/>
    <s v="2025-05-18 18:56:05"/>
    <n v="4"/>
    <x v="5"/>
    <x v="7"/>
    <x v="2"/>
    <n v="14.414452128519001"/>
    <n v="2E+20"/>
    <n v="5.3427333269881103"/>
    <n v="30.217503219100902"/>
    <n v="15"/>
    <s v="Friday (Solucion: datafono, gofre, cocina y caja compartida)Comer en MesaTotal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4"/>
    <x v="5"/>
    <x v="8"/>
    <x v="2"/>
    <n v="14.414452128519001"/>
    <n v="2E+20"/>
    <n v="5.3427333269881103"/>
    <n v="30.217503219100902"/>
    <n v="15"/>
    <s v="Friday (Solucion: datafono, gofre, cocina y caja compartida)Comer en MesaVA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4"/>
    <x v="5"/>
    <x v="9"/>
    <x v="2"/>
    <n v="0"/>
    <n v="2E+20"/>
    <n v="0"/>
    <n v="0"/>
    <n v="15"/>
    <s v="Friday (Solucion: datafono, gofre, cocina y caja compartida)Comer en MesaWait Time Per EntityProcess"/>
    <n v="19"/>
    <n v="0"/>
    <n v="0"/>
    <n v="0.95"/>
    <n v="0"/>
    <n v="0"/>
    <n v="0"/>
    <n v="0"/>
    <n v="0"/>
    <n v="16.263157894736842"/>
    <n v="0"/>
    <n v="19"/>
    <n v="1"/>
  </r>
  <r>
    <x v="0"/>
    <s v="2025-05-18 18:56:05"/>
    <n v="5"/>
    <x v="5"/>
    <x v="7"/>
    <x v="2"/>
    <n v="19.1282213603067"/>
    <n v="2E+20"/>
    <n v="0"/>
    <n v="28.701319724811999"/>
    <n v="15"/>
    <s v="Friday (Solucion: datafono, gofre, cocina y caja compartida)Comer en MesaTotal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5"/>
    <x v="5"/>
    <x v="8"/>
    <x v="2"/>
    <n v="19.1282213603067"/>
    <n v="2E+20"/>
    <n v="0"/>
    <n v="28.701319724811999"/>
    <n v="15"/>
    <s v="Friday (Solucion: datafono, gofre, cocina y caja compartida)Comer en MesaVA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5"/>
    <x v="5"/>
    <x v="9"/>
    <x v="2"/>
    <n v="0"/>
    <n v="2E+20"/>
    <n v="0"/>
    <n v="0"/>
    <n v="15"/>
    <s v="Friday (Solucion: datafono, gofre, cocina y caja compartida)Comer en MesaWait Time Per EntityProcess"/>
    <n v="19"/>
    <n v="0"/>
    <n v="0"/>
    <n v="0.95"/>
    <n v="0"/>
    <n v="0"/>
    <n v="0"/>
    <n v="0"/>
    <n v="0"/>
    <n v="16.263157894736842"/>
    <n v="0"/>
    <n v="19"/>
    <n v="1"/>
  </r>
  <r>
    <x v="0"/>
    <s v="2025-05-18 18:56:05"/>
    <n v="6"/>
    <x v="5"/>
    <x v="7"/>
    <x v="2"/>
    <n v="15.9568624069253"/>
    <n v="2E+20"/>
    <n v="0"/>
    <n v="30.271633287238298"/>
    <n v="17"/>
    <s v="Friday (Solucion: datafono, gofre, cocina y caja compartida)Comer en MesaTotal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6"/>
    <x v="5"/>
    <x v="8"/>
    <x v="2"/>
    <n v="15.9568624069253"/>
    <n v="2E+20"/>
    <n v="0"/>
    <n v="30.271633287238298"/>
    <n v="17"/>
    <s v="Friday (Solucion: datafono, gofre, cocina y caja compartida)Comer en MesaVA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6"/>
    <x v="5"/>
    <x v="9"/>
    <x v="2"/>
    <n v="0"/>
    <n v="2E+20"/>
    <n v="0"/>
    <n v="0"/>
    <n v="17"/>
    <s v="Friday (Solucion: datafono, gofre, cocina y caja compartida)Comer en MesaWait Time Per EntityProcess"/>
    <n v="19"/>
    <n v="0"/>
    <n v="0"/>
    <n v="0.95"/>
    <n v="0"/>
    <n v="0"/>
    <n v="0"/>
    <n v="0"/>
    <n v="0"/>
    <n v="16.263157894736842"/>
    <n v="0"/>
    <n v="19"/>
    <n v="1"/>
  </r>
  <r>
    <x v="0"/>
    <s v="2025-05-18 18:56:05"/>
    <n v="7"/>
    <x v="5"/>
    <x v="7"/>
    <x v="2"/>
    <n v="13.952545113918999"/>
    <n v="2E+20"/>
    <n v="0"/>
    <n v="28.226229639215401"/>
    <n v="19"/>
    <s v="Friday (Solucion: datafono, gofre, cocina y caja compartida)Comer en MesaTotal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7"/>
    <x v="5"/>
    <x v="8"/>
    <x v="2"/>
    <n v="13.952545113918999"/>
    <n v="2E+20"/>
    <n v="0"/>
    <n v="28.226229639215401"/>
    <n v="19"/>
    <s v="Friday (Solucion: datafono, gofre, cocina y caja compartida)Comer en MesaVA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7"/>
    <x v="5"/>
    <x v="9"/>
    <x v="2"/>
    <n v="0"/>
    <n v="2E+20"/>
    <n v="0"/>
    <n v="0"/>
    <n v="19"/>
    <s v="Friday (Solucion: datafono, gofre, cocina y caja compartida)Comer en MesaWait Time Per EntityProcess"/>
    <n v="19"/>
    <n v="0"/>
    <n v="0"/>
    <n v="0.95"/>
    <n v="0"/>
    <n v="0"/>
    <n v="0"/>
    <n v="0"/>
    <n v="0"/>
    <n v="16.263157894736842"/>
    <n v="0"/>
    <n v="19"/>
    <n v="1"/>
  </r>
  <r>
    <x v="0"/>
    <s v="2025-05-18 18:56:05"/>
    <n v="8"/>
    <x v="5"/>
    <x v="7"/>
    <x v="2"/>
    <n v="17.724345469077701"/>
    <n v="2E+20"/>
    <n v="0"/>
    <n v="28.942651805576201"/>
    <n v="16"/>
    <s v="Friday (Solucion: datafono, gofre, cocina y caja compartida)Comer en MesaTotal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8"/>
    <x v="5"/>
    <x v="8"/>
    <x v="2"/>
    <n v="17.724345469077701"/>
    <n v="2E+20"/>
    <n v="0"/>
    <n v="28.942651805576201"/>
    <n v="16"/>
    <s v="Friday (Solucion: datafono, gofre, cocina y caja compartida)Comer en MesaVA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8"/>
    <x v="5"/>
    <x v="9"/>
    <x v="2"/>
    <n v="0"/>
    <n v="2E+20"/>
    <n v="0"/>
    <n v="0"/>
    <n v="16"/>
    <s v="Friday (Solucion: datafono, gofre, cocina y caja compartida)Comer en MesaWait Time Per EntityProcess"/>
    <n v="19"/>
    <n v="0"/>
    <n v="0"/>
    <n v="0.95"/>
    <n v="0"/>
    <n v="0"/>
    <n v="0"/>
    <n v="0"/>
    <n v="0"/>
    <n v="16.263157894736842"/>
    <n v="0"/>
    <n v="19"/>
    <n v="1"/>
  </r>
  <r>
    <x v="0"/>
    <s v="2025-05-18 18:56:05"/>
    <n v="9"/>
    <x v="5"/>
    <x v="7"/>
    <x v="2"/>
    <n v="15.214096339510499"/>
    <n v="2E+20"/>
    <n v="1.5059276457572499"/>
    <n v="32.099395179810003"/>
    <n v="19"/>
    <s v="Friday (Solucion: datafono, gofre, cocina y caja compartida)Comer en MesaTotal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9"/>
    <x v="5"/>
    <x v="8"/>
    <x v="2"/>
    <n v="15.214096339510499"/>
    <n v="2E+20"/>
    <n v="1.5059276457572499"/>
    <n v="32.099395179810003"/>
    <n v="19"/>
    <s v="Friday (Solucion: datafono, gofre, cocina y caja compartida)Comer en MesaVA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9"/>
    <x v="5"/>
    <x v="9"/>
    <x v="2"/>
    <n v="0"/>
    <n v="2E+20"/>
    <n v="0"/>
    <n v="0"/>
    <n v="19"/>
    <s v="Friday (Solucion: datafono, gofre, cocina y caja compartida)Comer en MesaWait Time Per EntityProcess"/>
    <n v="19"/>
    <n v="0"/>
    <n v="0"/>
    <n v="0.95"/>
    <n v="0"/>
    <n v="0"/>
    <n v="0"/>
    <n v="0"/>
    <n v="0"/>
    <n v="16.263157894736842"/>
    <n v="0"/>
    <n v="19"/>
    <n v="1"/>
  </r>
  <r>
    <x v="0"/>
    <s v="2025-05-18 18:56:05"/>
    <n v="10"/>
    <x v="5"/>
    <x v="7"/>
    <x v="2"/>
    <n v="17.5379961470727"/>
    <n v="2E+20"/>
    <n v="0"/>
    <n v="31.3931069447151"/>
    <n v="22"/>
    <s v="Friday (Solucion: datafono, gofre, cocina y caja compartida)Comer en MesaTotal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0"/>
    <x v="5"/>
    <x v="8"/>
    <x v="2"/>
    <n v="17.5379961470727"/>
    <n v="2E+20"/>
    <n v="0"/>
    <n v="31.3931069447151"/>
    <n v="22"/>
    <s v="Friday (Solucion: datafono, gofre, cocina y caja compartida)Comer en MesaVA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0"/>
    <x v="5"/>
    <x v="9"/>
    <x v="2"/>
    <n v="0"/>
    <n v="2E+20"/>
    <n v="0"/>
    <n v="0"/>
    <n v="22"/>
    <s v="Friday (Solucion: datafono, gofre, cocina y caja compartida)Comer en MesaWait Time Per EntityProcess"/>
    <n v="19"/>
    <n v="0"/>
    <n v="0"/>
    <n v="0.95"/>
    <n v="0"/>
    <n v="0"/>
    <n v="0"/>
    <n v="0"/>
    <n v="0"/>
    <n v="16.263157894736842"/>
    <n v="0"/>
    <n v="19"/>
    <n v="1"/>
  </r>
  <r>
    <x v="0"/>
    <s v="2025-05-18 18:56:05"/>
    <n v="11"/>
    <x v="5"/>
    <x v="7"/>
    <x v="2"/>
    <n v="14.2546755862785"/>
    <n v="2E+20"/>
    <n v="0"/>
    <n v="29.348960683239302"/>
    <n v="19"/>
    <s v="Friday (Solucion: datafono, gofre, cocina y caja compartida)Comer en MesaTotal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1"/>
    <x v="5"/>
    <x v="8"/>
    <x v="2"/>
    <n v="14.2546755862785"/>
    <n v="2E+20"/>
    <n v="0"/>
    <n v="29.348960683239302"/>
    <n v="19"/>
    <s v="Friday (Solucion: datafono, gofre, cocina y caja compartida)Comer en MesaVA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1"/>
    <x v="5"/>
    <x v="9"/>
    <x v="2"/>
    <n v="0"/>
    <n v="2E+20"/>
    <n v="0"/>
    <n v="0"/>
    <n v="19"/>
    <s v="Friday (Solucion: datafono, gofre, cocina y caja compartida)Comer en MesaWait Time Per EntityProcess"/>
    <n v="19"/>
    <n v="0"/>
    <n v="0"/>
    <n v="0.95"/>
    <n v="0"/>
    <n v="0"/>
    <n v="0"/>
    <n v="0"/>
    <n v="0"/>
    <n v="16.263157894736842"/>
    <n v="0"/>
    <n v="19"/>
    <n v="1"/>
  </r>
  <r>
    <x v="0"/>
    <s v="2025-05-18 18:56:05"/>
    <n v="12"/>
    <x v="5"/>
    <x v="7"/>
    <x v="2"/>
    <n v="19.049187216616001"/>
    <n v="2E+20"/>
    <n v="1.5356469413879701"/>
    <n v="33.476019315059702"/>
    <n v="14"/>
    <s v="Friday (Solucion: datafono, gofre, cocina y caja compartida)Comer en MesaTotal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2"/>
    <x v="5"/>
    <x v="8"/>
    <x v="2"/>
    <n v="19.049187216616001"/>
    <n v="2E+20"/>
    <n v="1.5356469413879701"/>
    <n v="33.476019315059702"/>
    <n v="14"/>
    <s v="Friday (Solucion: datafono, gofre, cocina y caja compartida)Comer en MesaVA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2"/>
    <x v="5"/>
    <x v="9"/>
    <x v="2"/>
    <n v="0"/>
    <n v="2E+20"/>
    <n v="0"/>
    <n v="0"/>
    <n v="14"/>
    <s v="Friday (Solucion: datafono, gofre, cocina y caja compartida)Comer en MesaWait Time Per EntityProcess"/>
    <n v="19"/>
    <n v="0"/>
    <n v="0"/>
    <n v="0.95"/>
    <n v="0"/>
    <n v="0"/>
    <n v="0"/>
    <n v="0"/>
    <n v="0"/>
    <n v="16.263157894736842"/>
    <n v="0"/>
    <n v="19"/>
    <n v="1"/>
  </r>
  <r>
    <x v="0"/>
    <s v="2025-05-18 18:56:05"/>
    <n v="13"/>
    <x v="5"/>
    <x v="7"/>
    <x v="2"/>
    <n v="22.975696741341299"/>
    <n v="2E+20"/>
    <n v="1.8155272354759999"/>
    <n v="37.998935754854699"/>
    <n v="12"/>
    <s v="Friday (Solucion: datafono, gofre, cocina y caja compartida)Comer en MesaTotal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3"/>
    <x v="5"/>
    <x v="8"/>
    <x v="2"/>
    <n v="22.975696741341299"/>
    <n v="2E+20"/>
    <n v="1.8155272354759999"/>
    <n v="37.998935754854699"/>
    <n v="12"/>
    <s v="Friday (Solucion: datafono, gofre, cocina y caja compartida)Comer en MesaVA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3"/>
    <x v="5"/>
    <x v="9"/>
    <x v="2"/>
    <n v="0"/>
    <n v="2E+20"/>
    <n v="0"/>
    <n v="0"/>
    <n v="12"/>
    <s v="Friday (Solucion: datafono, gofre, cocina y caja compartida)Comer en MesaWait Time Per EntityProcess"/>
    <n v="19"/>
    <n v="0"/>
    <n v="0"/>
    <n v="0.95"/>
    <n v="0"/>
    <n v="0"/>
    <n v="0"/>
    <n v="0"/>
    <n v="0"/>
    <n v="16.263157894736842"/>
    <n v="0"/>
    <n v="19"/>
    <n v="1"/>
  </r>
  <r>
    <x v="0"/>
    <s v="2025-05-18 18:56:05"/>
    <n v="14"/>
    <x v="5"/>
    <x v="7"/>
    <x v="2"/>
    <n v="17.5786024293397"/>
    <n v="2E+20"/>
    <n v="3.1692109824593002"/>
    <n v="32.020590379549702"/>
    <n v="18"/>
    <s v="Friday (Solucion: datafono, gofre, cocina y caja compartida)Comer en MesaTotal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4"/>
    <x v="5"/>
    <x v="8"/>
    <x v="2"/>
    <n v="17.5786024293397"/>
    <n v="2E+20"/>
    <n v="3.1692109824593002"/>
    <n v="32.020590379549702"/>
    <n v="18"/>
    <s v="Friday (Solucion: datafono, gofre, cocina y caja compartida)Comer en MesaVA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4"/>
    <x v="5"/>
    <x v="9"/>
    <x v="2"/>
    <n v="0"/>
    <n v="2E+20"/>
    <n v="0"/>
    <n v="0"/>
    <n v="18"/>
    <s v="Friday (Solucion: datafono, gofre, cocina y caja compartida)Comer en MesaWait Time Per EntityProcess"/>
    <n v="19"/>
    <n v="0"/>
    <n v="0"/>
    <n v="0.95"/>
    <n v="0"/>
    <n v="0"/>
    <n v="0"/>
    <n v="0"/>
    <n v="0"/>
    <n v="16.263157894736842"/>
    <n v="0"/>
    <n v="19"/>
    <n v="1"/>
  </r>
  <r>
    <x v="0"/>
    <s v="2025-05-18 18:56:05"/>
    <n v="15"/>
    <x v="5"/>
    <x v="7"/>
    <x v="2"/>
    <n v="21.4760693596075"/>
    <n v="2E+20"/>
    <n v="10.4937674299"/>
    <n v="37.486560303480303"/>
    <n v="12"/>
    <s v="Friday (Solucion: datafono, gofre, cocina y caja compartida)Comer en MesaTotal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5"/>
    <x v="5"/>
    <x v="8"/>
    <x v="2"/>
    <n v="21.4760693596075"/>
    <n v="2E+20"/>
    <n v="10.4937674299"/>
    <n v="37.486560303480303"/>
    <n v="12"/>
    <s v="Friday (Solucion: datafono, gofre, cocina y caja compartida)Comer en MesaVA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5"/>
    <x v="5"/>
    <x v="9"/>
    <x v="2"/>
    <n v="0"/>
    <n v="2E+20"/>
    <n v="0"/>
    <n v="0"/>
    <n v="12"/>
    <s v="Friday (Solucion: datafono, gofre, cocina y caja compartida)Comer en MesaWait Time Per EntityProcess"/>
    <n v="19"/>
    <n v="0"/>
    <n v="0"/>
    <n v="0.95"/>
    <n v="0"/>
    <n v="0"/>
    <n v="0"/>
    <n v="0"/>
    <n v="0"/>
    <n v="16.263157894736842"/>
    <n v="0"/>
    <n v="19"/>
    <n v="1"/>
  </r>
  <r>
    <x v="0"/>
    <s v="2025-05-18 18:56:05"/>
    <n v="16"/>
    <x v="5"/>
    <x v="7"/>
    <x v="2"/>
    <n v="15.041847416662399"/>
    <n v="2E+20"/>
    <n v="2.2940863603439499"/>
    <n v="29.401923921538302"/>
    <n v="21"/>
    <s v="Friday (Solucion: datafono, gofre, cocina y caja compartida)Comer en MesaTotal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6"/>
    <x v="5"/>
    <x v="8"/>
    <x v="2"/>
    <n v="15.041847416662399"/>
    <n v="2E+20"/>
    <n v="2.2940863603439499"/>
    <n v="29.401923921538302"/>
    <n v="21"/>
    <s v="Friday (Solucion: datafono, gofre, cocina y caja compartida)Comer en MesaVA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6"/>
    <x v="5"/>
    <x v="9"/>
    <x v="2"/>
    <n v="0"/>
    <n v="2E+20"/>
    <n v="0"/>
    <n v="0"/>
    <n v="21"/>
    <s v="Friday (Solucion: datafono, gofre, cocina y caja compartida)Comer en MesaWait Time Per EntityProcess"/>
    <n v="19"/>
    <n v="0"/>
    <n v="0"/>
    <n v="0.95"/>
    <n v="0"/>
    <n v="0"/>
    <n v="0"/>
    <n v="0"/>
    <n v="0"/>
    <n v="16.263157894736842"/>
    <n v="0"/>
    <n v="19"/>
    <n v="1"/>
  </r>
  <r>
    <x v="0"/>
    <s v="2025-05-18 18:56:05"/>
    <n v="17"/>
    <x v="5"/>
    <x v="7"/>
    <x v="2"/>
    <n v="20.538119910750599"/>
    <n v="2E+20"/>
    <n v="8.7343176684467796"/>
    <n v="38.200866292722203"/>
    <n v="15"/>
    <s v="Friday (Solucion: datafono, gofre, cocina y caja compartida)Comer en MesaTotal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7"/>
    <x v="5"/>
    <x v="8"/>
    <x v="2"/>
    <n v="20.538119910750599"/>
    <n v="2E+20"/>
    <n v="8.7343176684467796"/>
    <n v="38.200866292722203"/>
    <n v="15"/>
    <s v="Friday (Solucion: datafono, gofre, cocina y caja compartida)Comer en MesaVA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7"/>
    <x v="5"/>
    <x v="9"/>
    <x v="2"/>
    <n v="0"/>
    <n v="2E+20"/>
    <n v="0"/>
    <n v="0"/>
    <n v="15"/>
    <s v="Friday (Solucion: datafono, gofre, cocina y caja compartida)Comer en MesaWait Time Per EntityProcess"/>
    <n v="19"/>
    <n v="0"/>
    <n v="0"/>
    <n v="0.95"/>
    <n v="0"/>
    <n v="0"/>
    <n v="0"/>
    <n v="0"/>
    <n v="0"/>
    <n v="16.263157894736842"/>
    <n v="0"/>
    <n v="19"/>
    <n v="1"/>
  </r>
  <r>
    <x v="0"/>
    <s v="2025-05-18 18:56:05"/>
    <n v="18"/>
    <x v="5"/>
    <x v="7"/>
    <x v="2"/>
    <n v="17.28002023837"/>
    <n v="2E+20"/>
    <n v="4.8549629102608396"/>
    <n v="40.684021884533799"/>
    <n v="15"/>
    <s v="Friday (Solucion: datafono, gofre, cocina y caja compartida)Comer en MesaTotal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8"/>
    <x v="5"/>
    <x v="8"/>
    <x v="2"/>
    <n v="17.28002023837"/>
    <n v="2E+20"/>
    <n v="4.8549629102608396"/>
    <n v="40.684021884533799"/>
    <n v="15"/>
    <s v="Friday (Solucion: datafono, gofre, cocina y caja compartida)Comer en MesaVA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8"/>
    <x v="5"/>
    <x v="9"/>
    <x v="2"/>
    <n v="0"/>
    <n v="2E+20"/>
    <n v="0"/>
    <n v="0"/>
    <n v="15"/>
    <s v="Friday (Solucion: datafono, gofre, cocina y caja compartida)Comer en MesaWait Time Per EntityProcess"/>
    <n v="19"/>
    <n v="0"/>
    <n v="0"/>
    <n v="0.95"/>
    <n v="0"/>
    <n v="0"/>
    <n v="0"/>
    <n v="0"/>
    <n v="0"/>
    <n v="16.263157894736842"/>
    <n v="0"/>
    <n v="19"/>
    <n v="1"/>
  </r>
  <r>
    <x v="0"/>
    <s v="2025-05-18 18:56:05"/>
    <n v="19"/>
    <x v="5"/>
    <x v="7"/>
    <x v="2"/>
    <n v="13.101063207922801"/>
    <n v="2E+20"/>
    <n v="1.07901038776188"/>
    <n v="26.2201450806797"/>
    <n v="17"/>
    <s v="Friday (Solucion: datafono, gofre, cocina y caja compartida)Comer en MesaTotal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9"/>
    <x v="5"/>
    <x v="8"/>
    <x v="2"/>
    <n v="13.101063207922801"/>
    <n v="2E+20"/>
    <n v="1.07901038776188"/>
    <n v="26.2201450806797"/>
    <n v="17"/>
    <s v="Friday (Solucion: datafono, gofre, cocina y caja compartida)Comer en MesaVA Time Per EntityProcess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9"/>
    <x v="5"/>
    <x v="9"/>
    <x v="2"/>
    <n v="0"/>
    <n v="2E+20"/>
    <n v="0"/>
    <n v="0"/>
    <n v="17"/>
    <s v="Friday (Solucion: datafono, gofre, cocina y caja compartida)Comer en MesaWait Time Per EntityProcess"/>
    <n v="19"/>
    <n v="0"/>
    <n v="0"/>
    <n v="0.95"/>
    <n v="0"/>
    <n v="0"/>
    <n v="0"/>
    <n v="0"/>
    <n v="0"/>
    <n v="16.263157894736842"/>
    <n v="0"/>
    <n v="19"/>
    <n v="1"/>
  </r>
  <r>
    <x v="0"/>
    <s v="2025-05-18 18:56:05"/>
    <n v="1"/>
    <x v="6"/>
    <x v="10"/>
    <x v="3"/>
    <n v="0"/>
    <n v="2E+20"/>
    <n v="0"/>
    <n v="0"/>
    <n v="19"/>
    <s v="Friday (Solucion: datafono, gofre, cocina y caja compartida)Comer en Mesa.QueueWaiting TimeQueue"/>
    <n v="19"/>
    <n v="0"/>
    <n v="0"/>
    <n v="0.95"/>
    <n v="0"/>
    <n v="0"/>
    <n v="0"/>
    <n v="0"/>
    <n v="0"/>
    <n v="16.157894736842106"/>
    <n v="0"/>
    <n v="19"/>
    <n v="1"/>
  </r>
  <r>
    <x v="0"/>
    <s v="2025-05-18 18:56:05"/>
    <n v="2"/>
    <x v="6"/>
    <x v="10"/>
    <x v="3"/>
    <n v="0"/>
    <n v="2E+20"/>
    <n v="0"/>
    <n v="0"/>
    <n v="9"/>
    <s v="Friday (Solucion: datafono, gofre, cocina y caja compartida)Comer en Mesa.QueueWaiting TimeQueue"/>
    <n v="19"/>
    <n v="0"/>
    <n v="0"/>
    <n v="0.95"/>
    <n v="0"/>
    <n v="0"/>
    <n v="0"/>
    <n v="0"/>
    <n v="0"/>
    <n v="16.157894736842106"/>
    <n v="0"/>
    <n v="19"/>
    <n v="1"/>
  </r>
  <r>
    <x v="0"/>
    <s v="2025-05-18 18:56:05"/>
    <n v="3"/>
    <x v="6"/>
    <x v="10"/>
    <x v="3"/>
    <n v="0"/>
    <n v="2E+20"/>
    <n v="0"/>
    <n v="0"/>
    <n v="14"/>
    <s v="Friday (Solucion: datafono, gofre, cocina y caja compartida)Comer en Mesa.QueueWaiting TimeQueue"/>
    <n v="19"/>
    <n v="0"/>
    <n v="0"/>
    <n v="0.95"/>
    <n v="0"/>
    <n v="0"/>
    <n v="0"/>
    <n v="0"/>
    <n v="0"/>
    <n v="16.157894736842106"/>
    <n v="0"/>
    <n v="19"/>
    <n v="1"/>
  </r>
  <r>
    <x v="0"/>
    <s v="2025-05-18 18:56:05"/>
    <n v="4"/>
    <x v="6"/>
    <x v="10"/>
    <x v="3"/>
    <n v="0"/>
    <n v="2E+20"/>
    <n v="0"/>
    <n v="0"/>
    <n v="17"/>
    <s v="Friday (Solucion: datafono, gofre, cocina y caja compartida)Comer en Mesa.QueueWaiting TimeQueue"/>
    <n v="19"/>
    <n v="0"/>
    <n v="0"/>
    <n v="0.95"/>
    <n v="0"/>
    <n v="0"/>
    <n v="0"/>
    <n v="0"/>
    <n v="0"/>
    <n v="16.157894736842106"/>
    <n v="0"/>
    <n v="19"/>
    <n v="1"/>
  </r>
  <r>
    <x v="0"/>
    <s v="2025-05-18 18:56:05"/>
    <n v="5"/>
    <x v="6"/>
    <x v="10"/>
    <x v="3"/>
    <n v="0"/>
    <n v="2E+20"/>
    <n v="0"/>
    <n v="0"/>
    <n v="17"/>
    <s v="Friday (Solucion: datafono, gofre, cocina y caja compartida)Comer en Mesa.QueueWaiting TimeQueue"/>
    <n v="19"/>
    <n v="0"/>
    <n v="0"/>
    <n v="0.95"/>
    <n v="0"/>
    <n v="0"/>
    <n v="0"/>
    <n v="0"/>
    <n v="0"/>
    <n v="16.157894736842106"/>
    <n v="0"/>
    <n v="19"/>
    <n v="1"/>
  </r>
  <r>
    <x v="0"/>
    <s v="2025-05-18 18:56:05"/>
    <n v="6"/>
    <x v="6"/>
    <x v="10"/>
    <x v="3"/>
    <n v="0"/>
    <n v="2E+20"/>
    <n v="0"/>
    <n v="0"/>
    <n v="15"/>
    <s v="Friday (Solucion: datafono, gofre, cocina y caja compartida)Comer en Mesa.QueueWaiting TimeQueue"/>
    <n v="19"/>
    <n v="0"/>
    <n v="0"/>
    <n v="0.95"/>
    <n v="0"/>
    <n v="0"/>
    <n v="0"/>
    <n v="0"/>
    <n v="0"/>
    <n v="16.157894736842106"/>
    <n v="0"/>
    <n v="19"/>
    <n v="1"/>
  </r>
  <r>
    <x v="0"/>
    <s v="2025-05-18 18:56:05"/>
    <n v="7"/>
    <x v="6"/>
    <x v="10"/>
    <x v="3"/>
    <n v="0"/>
    <n v="2E+20"/>
    <n v="0"/>
    <n v="0"/>
    <n v="21"/>
    <s v="Friday (Solucion: datafono, gofre, cocina y caja compartida)Comer en Mesa.QueueWaiting TimeQueue"/>
    <n v="19"/>
    <n v="0"/>
    <n v="0"/>
    <n v="0.95"/>
    <n v="0"/>
    <n v="0"/>
    <n v="0"/>
    <n v="0"/>
    <n v="0"/>
    <n v="16.157894736842106"/>
    <n v="0"/>
    <n v="19"/>
    <n v="1"/>
  </r>
  <r>
    <x v="0"/>
    <s v="2025-05-18 18:56:05"/>
    <n v="8"/>
    <x v="6"/>
    <x v="10"/>
    <x v="3"/>
    <n v="0"/>
    <n v="2E+20"/>
    <n v="0"/>
    <n v="0"/>
    <n v="17"/>
    <s v="Friday (Solucion: datafono, gofre, cocina y caja compartida)Comer en Mesa.QueueWaiting TimeQueue"/>
    <n v="19"/>
    <n v="0"/>
    <n v="0"/>
    <n v="0.95"/>
    <n v="0"/>
    <n v="0"/>
    <n v="0"/>
    <n v="0"/>
    <n v="0"/>
    <n v="16.157894736842106"/>
    <n v="0"/>
    <n v="19"/>
    <n v="1"/>
  </r>
  <r>
    <x v="0"/>
    <s v="2025-05-18 18:56:05"/>
    <n v="9"/>
    <x v="6"/>
    <x v="10"/>
    <x v="3"/>
    <n v="0"/>
    <n v="2E+20"/>
    <n v="0"/>
    <n v="0"/>
    <n v="16"/>
    <s v="Friday (Solucion: datafono, gofre, cocina y caja compartida)Comer en Mesa.QueueWaiting TimeQueue"/>
    <n v="19"/>
    <n v="0"/>
    <n v="0"/>
    <n v="0.95"/>
    <n v="0"/>
    <n v="0"/>
    <n v="0"/>
    <n v="0"/>
    <n v="0"/>
    <n v="16.157894736842106"/>
    <n v="0"/>
    <n v="19"/>
    <n v="1"/>
  </r>
  <r>
    <x v="0"/>
    <s v="2025-05-18 18:56:05"/>
    <n v="10"/>
    <x v="6"/>
    <x v="10"/>
    <x v="3"/>
    <n v="0"/>
    <n v="2E+20"/>
    <n v="0"/>
    <n v="0"/>
    <n v="24"/>
    <s v="Friday (Solucion: datafono, gofre, cocina y caja compartida)Comer en Mesa.QueueWaiting TimeQueue"/>
    <n v="19"/>
    <n v="0"/>
    <n v="0"/>
    <n v="0.95"/>
    <n v="0"/>
    <n v="0"/>
    <n v="0"/>
    <n v="0"/>
    <n v="0"/>
    <n v="16.157894736842106"/>
    <n v="0"/>
    <n v="19"/>
    <n v="1"/>
  </r>
  <r>
    <x v="0"/>
    <s v="2025-05-18 18:56:05"/>
    <n v="11"/>
    <x v="6"/>
    <x v="10"/>
    <x v="3"/>
    <n v="0"/>
    <n v="2E+20"/>
    <n v="0"/>
    <n v="0"/>
    <n v="20"/>
    <s v="Friday (Solucion: datafono, gofre, cocina y caja compartida)Comer en Mesa.QueueWaiting TimeQueue"/>
    <n v="19"/>
    <n v="0"/>
    <n v="0"/>
    <n v="0.95"/>
    <n v="0"/>
    <n v="0"/>
    <n v="0"/>
    <n v="0"/>
    <n v="0"/>
    <n v="16.157894736842106"/>
    <n v="0"/>
    <n v="19"/>
    <n v="1"/>
  </r>
  <r>
    <x v="0"/>
    <s v="2025-05-18 18:56:05"/>
    <n v="12"/>
    <x v="6"/>
    <x v="10"/>
    <x v="3"/>
    <n v="0"/>
    <n v="2E+20"/>
    <n v="0"/>
    <n v="0"/>
    <n v="13"/>
    <s v="Friday (Solucion: datafono, gofre, cocina y caja compartida)Comer en Mesa.QueueWaiting TimeQueue"/>
    <n v="19"/>
    <n v="0"/>
    <n v="0"/>
    <n v="0.95"/>
    <n v="0"/>
    <n v="0"/>
    <n v="0"/>
    <n v="0"/>
    <n v="0"/>
    <n v="16.157894736842106"/>
    <n v="0"/>
    <n v="19"/>
    <n v="1"/>
  </r>
  <r>
    <x v="0"/>
    <s v="2025-05-18 18:56:05"/>
    <n v="13"/>
    <x v="6"/>
    <x v="10"/>
    <x v="3"/>
    <n v="0"/>
    <n v="2E+20"/>
    <n v="0"/>
    <n v="0"/>
    <n v="11"/>
    <s v="Friday (Solucion: datafono, gofre, cocina y caja compartida)Comer en Mesa.QueueWaiting TimeQueue"/>
    <n v="19"/>
    <n v="0"/>
    <n v="0"/>
    <n v="0.95"/>
    <n v="0"/>
    <n v="0"/>
    <n v="0"/>
    <n v="0"/>
    <n v="0"/>
    <n v="16.157894736842106"/>
    <n v="0"/>
    <n v="19"/>
    <n v="1"/>
  </r>
  <r>
    <x v="0"/>
    <s v="2025-05-18 18:56:05"/>
    <n v="14"/>
    <x v="6"/>
    <x v="10"/>
    <x v="3"/>
    <n v="0"/>
    <n v="2E+20"/>
    <n v="0"/>
    <n v="0"/>
    <n v="16"/>
    <s v="Friday (Solucion: datafono, gofre, cocina y caja compartida)Comer en Mesa.QueueWaiting TimeQueue"/>
    <n v="19"/>
    <n v="0"/>
    <n v="0"/>
    <n v="0.95"/>
    <n v="0"/>
    <n v="0"/>
    <n v="0"/>
    <n v="0"/>
    <n v="0"/>
    <n v="16.157894736842106"/>
    <n v="0"/>
    <n v="19"/>
    <n v="1"/>
  </r>
  <r>
    <x v="0"/>
    <s v="2025-05-18 18:56:05"/>
    <n v="15"/>
    <x v="6"/>
    <x v="10"/>
    <x v="3"/>
    <n v="0"/>
    <n v="2E+20"/>
    <n v="0"/>
    <n v="0"/>
    <n v="11"/>
    <s v="Friday (Solucion: datafono, gofre, cocina y caja compartida)Comer en Mesa.QueueWaiting TimeQueue"/>
    <n v="19"/>
    <n v="0"/>
    <n v="0"/>
    <n v="0.95"/>
    <n v="0"/>
    <n v="0"/>
    <n v="0"/>
    <n v="0"/>
    <n v="0"/>
    <n v="16.157894736842106"/>
    <n v="0"/>
    <n v="19"/>
    <n v="1"/>
  </r>
  <r>
    <x v="0"/>
    <s v="2025-05-18 18:56:05"/>
    <n v="16"/>
    <x v="6"/>
    <x v="10"/>
    <x v="3"/>
    <n v="0"/>
    <n v="2E+20"/>
    <n v="0"/>
    <n v="0"/>
    <n v="21"/>
    <s v="Friday (Solucion: datafono, gofre, cocina y caja compartida)Comer en Mesa.QueueWaiting TimeQueue"/>
    <n v="19"/>
    <n v="0"/>
    <n v="0"/>
    <n v="0.95"/>
    <n v="0"/>
    <n v="0"/>
    <n v="0"/>
    <n v="0"/>
    <n v="0"/>
    <n v="16.157894736842106"/>
    <n v="0"/>
    <n v="19"/>
    <n v="1"/>
  </r>
  <r>
    <x v="0"/>
    <s v="2025-05-18 18:56:05"/>
    <n v="17"/>
    <x v="6"/>
    <x v="10"/>
    <x v="3"/>
    <n v="0"/>
    <n v="2E+20"/>
    <n v="0"/>
    <n v="0"/>
    <n v="15"/>
    <s v="Friday (Solucion: datafono, gofre, cocina y caja compartida)Comer en Mesa.QueueWaiting TimeQueue"/>
    <n v="19"/>
    <n v="0"/>
    <n v="0"/>
    <n v="0.95"/>
    <n v="0"/>
    <n v="0"/>
    <n v="0"/>
    <n v="0"/>
    <n v="0"/>
    <n v="16.157894736842106"/>
    <n v="0"/>
    <n v="19"/>
    <n v="1"/>
  </r>
  <r>
    <x v="0"/>
    <s v="2025-05-18 18:56:05"/>
    <n v="18"/>
    <x v="6"/>
    <x v="10"/>
    <x v="3"/>
    <n v="0"/>
    <n v="2E+20"/>
    <n v="0"/>
    <n v="0"/>
    <n v="14"/>
    <s v="Friday (Solucion: datafono, gofre, cocina y caja compartida)Comer en Mesa.QueueWaiting TimeQueue"/>
    <n v="19"/>
    <n v="0"/>
    <n v="0"/>
    <n v="0.95"/>
    <n v="0"/>
    <n v="0"/>
    <n v="0"/>
    <n v="0"/>
    <n v="0"/>
    <n v="16.157894736842106"/>
    <n v="0"/>
    <n v="19"/>
    <n v="1"/>
  </r>
  <r>
    <x v="0"/>
    <s v="2025-05-18 18:56:05"/>
    <n v="19"/>
    <x v="6"/>
    <x v="10"/>
    <x v="3"/>
    <n v="0"/>
    <n v="2E+20"/>
    <n v="0"/>
    <n v="0"/>
    <n v="17"/>
    <s v="Friday (Solucion: datafono, gofre, cocina y caja compartida)Comer en Mesa.QueueWaiting TimeQueue"/>
    <n v="19"/>
    <n v="0"/>
    <n v="0"/>
    <n v="0.95"/>
    <n v="0"/>
    <n v="0"/>
    <n v="0"/>
    <n v="0"/>
    <n v="0"/>
    <n v="16.157894736842106"/>
    <n v="0"/>
    <n v="19"/>
    <n v="1"/>
  </r>
  <r>
    <x v="0"/>
    <s v="2025-05-18 18:56:05"/>
    <n v="1"/>
    <x v="7"/>
    <x v="10"/>
    <x v="3"/>
    <n v="2.4089144698203002"/>
    <n v="2E+20"/>
    <n v="0"/>
    <n v="23.2129094911439"/>
    <n v="300"/>
    <s v="Friday (Solucion: datafono, gofre, cocina y caja compartida)Entrega pedido.QueueWaiting TimeQueue"/>
    <n v="19"/>
    <n v="1.0553731068142862"/>
    <n v="0.39155855051719024"/>
    <n v="0.95"/>
    <n v="0.18872518025347579"/>
    <n v="0.71661232804193897"/>
    <n v="2.4089144698203002"/>
    <n v="0"/>
    <n v="23.2129094911439"/>
    <n v="244.63157894736841"/>
    <n v="0.18872518025347579"/>
    <n v="19"/>
    <n v="1"/>
  </r>
  <r>
    <x v="0"/>
    <s v="2025-05-18 18:56:05"/>
    <n v="2"/>
    <x v="7"/>
    <x v="10"/>
    <x v="3"/>
    <n v="0.92510917530521797"/>
    <n v="2E+20"/>
    <n v="0"/>
    <n v="6.4873195122957599"/>
    <n v="222"/>
    <s v="Friday (Solucion: datafono, gofre, cocina y caja compartida)Entrega pedido.QueueWaiting TimeQueue"/>
    <n v="19"/>
    <n v="1.0553731068142862"/>
    <n v="0.39155855051719024"/>
    <n v="0.95"/>
    <n v="0.18872518025347579"/>
    <n v="0.71661232804193897"/>
    <n v="2.4089144698203002"/>
    <n v="0"/>
    <n v="23.2129094911439"/>
    <n v="244.63157894736841"/>
    <n v="0.18872518025347579"/>
    <n v="19"/>
    <n v="1"/>
  </r>
  <r>
    <x v="0"/>
    <s v="2025-05-18 18:56:05"/>
    <n v="3"/>
    <x v="7"/>
    <x v="10"/>
    <x v="3"/>
    <n v="1.5814880643873701"/>
    <n v="2E+20"/>
    <n v="0"/>
    <n v="11.2208501331306"/>
    <n v="228"/>
    <s v="Friday (Solucion: datafono, gofre, cocina y caja compartida)Entrega pedido.QueueWaiting TimeQueue"/>
    <n v="19"/>
    <n v="1.0553731068142862"/>
    <n v="0.39155855051719024"/>
    <n v="0.95"/>
    <n v="0.18872518025347579"/>
    <n v="0.71661232804193897"/>
    <n v="2.4089144698203002"/>
    <n v="0"/>
    <n v="23.2129094911439"/>
    <n v="244.63157894736841"/>
    <n v="0.18872518025347579"/>
    <n v="19"/>
    <n v="1"/>
  </r>
  <r>
    <x v="0"/>
    <s v="2025-05-18 18:56:05"/>
    <n v="4"/>
    <x v="7"/>
    <x v="10"/>
    <x v="3"/>
    <n v="0.854340954059847"/>
    <n v="2E+20"/>
    <n v="0"/>
    <n v="6.83408458739558"/>
    <n v="234"/>
    <s v="Friday (Solucion: datafono, gofre, cocina y caja compartida)Entrega pedido.QueueWaiting TimeQueue"/>
    <n v="19"/>
    <n v="1.0553731068142862"/>
    <n v="0.39155855051719024"/>
    <n v="0.95"/>
    <n v="0.18872518025347579"/>
    <n v="0.71661232804193897"/>
    <n v="2.4089144698203002"/>
    <n v="0"/>
    <n v="23.2129094911439"/>
    <n v="244.63157894736841"/>
    <n v="0.18872518025347579"/>
    <n v="19"/>
    <n v="1"/>
  </r>
  <r>
    <x v="0"/>
    <s v="2025-05-18 18:56:05"/>
    <n v="5"/>
    <x v="7"/>
    <x v="10"/>
    <x v="3"/>
    <n v="0.73358419600607105"/>
    <n v="2E+20"/>
    <n v="0"/>
    <n v="6.2443503324042"/>
    <n v="262"/>
    <s v="Friday (Solucion: datafono, gofre, cocina y caja compartida)Entrega pedido.QueueWaiting TimeQueue"/>
    <n v="19"/>
    <n v="1.0553731068142862"/>
    <n v="0.39155855051719024"/>
    <n v="0.95"/>
    <n v="0.18872518025347579"/>
    <n v="0.71661232804193897"/>
    <n v="2.4089144698203002"/>
    <n v="0"/>
    <n v="23.2129094911439"/>
    <n v="244.63157894736841"/>
    <n v="0.18872518025347579"/>
    <n v="19"/>
    <n v="1"/>
  </r>
  <r>
    <x v="0"/>
    <s v="2025-05-18 18:56:05"/>
    <n v="6"/>
    <x v="7"/>
    <x v="10"/>
    <x v="3"/>
    <n v="0.73077425352352998"/>
    <n v="2E+20"/>
    <n v="0"/>
    <n v="6.5976064291158396"/>
    <n v="230"/>
    <s v="Friday (Solucion: datafono, gofre, cocina y caja compartida)Entrega pedido.QueueWaiting TimeQueue"/>
    <n v="19"/>
    <n v="1.0553731068142862"/>
    <n v="0.39155855051719024"/>
    <n v="0.95"/>
    <n v="0.18872518025347579"/>
    <n v="0.71661232804193897"/>
    <n v="2.4089144698203002"/>
    <n v="0"/>
    <n v="23.2129094911439"/>
    <n v="244.63157894736841"/>
    <n v="0.18872518025347579"/>
    <n v="19"/>
    <n v="1"/>
  </r>
  <r>
    <x v="0"/>
    <s v="2025-05-18 18:56:05"/>
    <n v="7"/>
    <x v="7"/>
    <x v="10"/>
    <x v="3"/>
    <n v="0.79965687926924001"/>
    <n v="2E+20"/>
    <n v="0"/>
    <n v="6.2193780335653104"/>
    <n v="228"/>
    <s v="Friday (Solucion: datafono, gofre, cocina y caja compartida)Entrega pedido.QueueWaiting TimeQueue"/>
    <n v="19"/>
    <n v="1.0553731068142862"/>
    <n v="0.39155855051719024"/>
    <n v="0.95"/>
    <n v="0.18872518025347579"/>
    <n v="0.71661232804193897"/>
    <n v="2.4089144698203002"/>
    <n v="0"/>
    <n v="23.2129094911439"/>
    <n v="244.63157894736841"/>
    <n v="0.18872518025347579"/>
    <n v="19"/>
    <n v="1"/>
  </r>
  <r>
    <x v="0"/>
    <s v="2025-05-18 18:56:05"/>
    <n v="8"/>
    <x v="7"/>
    <x v="10"/>
    <x v="3"/>
    <n v="1.0589092224192"/>
    <n v="2E+20"/>
    <n v="0"/>
    <n v="8.1450320600404797"/>
    <n v="272"/>
    <s v="Friday (Solucion: datafono, gofre, cocina y caja compartida)Entrega pedido.QueueWaiting TimeQueue"/>
    <n v="19"/>
    <n v="1.0553731068142862"/>
    <n v="0.39155855051719024"/>
    <n v="0.95"/>
    <n v="0.18872518025347579"/>
    <n v="0.71661232804193897"/>
    <n v="2.4089144698203002"/>
    <n v="0"/>
    <n v="23.2129094911439"/>
    <n v="244.63157894736841"/>
    <n v="0.18872518025347579"/>
    <n v="19"/>
    <n v="1"/>
  </r>
  <r>
    <x v="0"/>
    <s v="2025-05-18 18:56:05"/>
    <n v="9"/>
    <x v="7"/>
    <x v="10"/>
    <x v="3"/>
    <n v="0.970088805178833"/>
    <n v="2E+20"/>
    <n v="0"/>
    <n v="9.1257198049252395"/>
    <n v="222"/>
    <s v="Friday (Solucion: datafono, gofre, cocina y caja compartida)Entrega pedido.QueueWaiting TimeQueue"/>
    <n v="19"/>
    <n v="1.0553731068142862"/>
    <n v="0.39155855051719024"/>
    <n v="0.95"/>
    <n v="0.18872518025347579"/>
    <n v="0.71661232804193897"/>
    <n v="2.4089144698203002"/>
    <n v="0"/>
    <n v="23.2129094911439"/>
    <n v="244.63157894736841"/>
    <n v="0.18872518025347579"/>
    <n v="19"/>
    <n v="1"/>
  </r>
  <r>
    <x v="0"/>
    <s v="2025-05-18 18:56:05"/>
    <n v="10"/>
    <x v="7"/>
    <x v="10"/>
    <x v="3"/>
    <n v="1.2309699533994301"/>
    <n v="2E+20"/>
    <n v="0"/>
    <n v="11.2525761581628"/>
    <n v="236"/>
    <s v="Friday (Solucion: datafono, gofre, cocina y caja compartida)Entrega pedido.QueueWaiting TimeQueue"/>
    <n v="19"/>
    <n v="1.0553731068142862"/>
    <n v="0.39155855051719024"/>
    <n v="0.95"/>
    <n v="0.18872518025347579"/>
    <n v="0.71661232804193897"/>
    <n v="2.4089144698203002"/>
    <n v="0"/>
    <n v="23.2129094911439"/>
    <n v="244.63157894736841"/>
    <n v="0.18872518025347579"/>
    <n v="19"/>
    <n v="1"/>
  </r>
  <r>
    <x v="0"/>
    <s v="2025-05-18 18:56:05"/>
    <n v="11"/>
    <x v="7"/>
    <x v="10"/>
    <x v="3"/>
    <n v="0.994434138356042"/>
    <n v="2E+20"/>
    <n v="0"/>
    <n v="14.123022005394301"/>
    <n v="232"/>
    <s v="Friday (Solucion: datafono, gofre, cocina y caja compartida)Entrega pedido.QueueWaiting TimeQueue"/>
    <n v="19"/>
    <n v="1.0553731068142862"/>
    <n v="0.39155855051719024"/>
    <n v="0.95"/>
    <n v="0.18872518025347579"/>
    <n v="0.71661232804193897"/>
    <n v="2.4089144698203002"/>
    <n v="0"/>
    <n v="23.2129094911439"/>
    <n v="244.63157894736841"/>
    <n v="0.18872518025347579"/>
    <n v="19"/>
    <n v="1"/>
  </r>
  <r>
    <x v="0"/>
    <s v="2025-05-18 18:56:05"/>
    <n v="12"/>
    <x v="7"/>
    <x v="10"/>
    <x v="3"/>
    <n v="1.1244215407757401"/>
    <n v="2E+20"/>
    <n v="0"/>
    <n v="12.6821812869631"/>
    <n v="238"/>
    <s v="Friday (Solucion: datafono, gofre, cocina y caja compartida)Entrega pedido.QueueWaiting TimeQueue"/>
    <n v="19"/>
    <n v="1.0553731068142862"/>
    <n v="0.39155855051719024"/>
    <n v="0.95"/>
    <n v="0.18872518025347579"/>
    <n v="0.71661232804193897"/>
    <n v="2.4089144698203002"/>
    <n v="0"/>
    <n v="23.2129094911439"/>
    <n v="244.63157894736841"/>
    <n v="0.18872518025347579"/>
    <n v="19"/>
    <n v="1"/>
  </r>
  <r>
    <x v="0"/>
    <s v="2025-05-18 18:56:05"/>
    <n v="13"/>
    <x v="7"/>
    <x v="10"/>
    <x v="3"/>
    <n v="0.97596321573669798"/>
    <n v="2E+20"/>
    <n v="0"/>
    <n v="9.0808567199161399"/>
    <n v="230"/>
    <s v="Friday (Solucion: datafono, gofre, cocina y caja compartida)Entrega pedido.QueueWaiting TimeQueue"/>
    <n v="19"/>
    <n v="1.0553731068142862"/>
    <n v="0.39155855051719024"/>
    <n v="0.95"/>
    <n v="0.18872518025347579"/>
    <n v="0.71661232804193897"/>
    <n v="2.4089144698203002"/>
    <n v="0"/>
    <n v="23.2129094911439"/>
    <n v="244.63157894736841"/>
    <n v="0.18872518025347579"/>
    <n v="19"/>
    <n v="1"/>
  </r>
  <r>
    <x v="0"/>
    <s v="2025-05-18 18:56:05"/>
    <n v="14"/>
    <x v="7"/>
    <x v="10"/>
    <x v="3"/>
    <n v="1.0697575399633801"/>
    <n v="2E+20"/>
    <n v="0"/>
    <n v="9.03232418554677"/>
    <n v="266"/>
    <s v="Friday (Solucion: datafono, gofre, cocina y caja compartida)Entrega pedido.QueueWaiting TimeQueue"/>
    <n v="19"/>
    <n v="1.0553731068142862"/>
    <n v="0.39155855051719024"/>
    <n v="0.95"/>
    <n v="0.18872518025347579"/>
    <n v="0.71661232804193897"/>
    <n v="2.4089144698203002"/>
    <n v="0"/>
    <n v="23.2129094911439"/>
    <n v="244.63157894736841"/>
    <n v="0.18872518025347579"/>
    <n v="19"/>
    <n v="1"/>
  </r>
  <r>
    <x v="0"/>
    <s v="2025-05-18 18:56:05"/>
    <n v="15"/>
    <x v="7"/>
    <x v="10"/>
    <x v="3"/>
    <n v="0.93362777695488197"/>
    <n v="2E+20"/>
    <n v="0"/>
    <n v="7.1732898936158502"/>
    <n v="254"/>
    <s v="Friday (Solucion: datafono, gofre, cocina y caja compartida)Entrega pedido.QueueWaiting TimeQueue"/>
    <n v="19"/>
    <n v="1.0553731068142862"/>
    <n v="0.39155855051719024"/>
    <n v="0.95"/>
    <n v="0.18872518025347579"/>
    <n v="0.71661232804193897"/>
    <n v="2.4089144698203002"/>
    <n v="0"/>
    <n v="23.2129094911439"/>
    <n v="244.63157894736841"/>
    <n v="0.18872518025347579"/>
    <n v="19"/>
    <n v="1"/>
  </r>
  <r>
    <x v="0"/>
    <s v="2025-05-18 18:56:05"/>
    <n v="16"/>
    <x v="7"/>
    <x v="10"/>
    <x v="3"/>
    <n v="0.71661232804193897"/>
    <n v="2E+20"/>
    <n v="0"/>
    <n v="7.7517602388961997"/>
    <n v="262"/>
    <s v="Friday (Solucion: datafono, gofre, cocina y caja compartida)Entrega pedido.QueueWaiting TimeQueue"/>
    <n v="19"/>
    <n v="1.0553731068142862"/>
    <n v="0.39155855051719024"/>
    <n v="0.95"/>
    <n v="0.18872518025347579"/>
    <n v="0.71661232804193897"/>
    <n v="2.4089144698203002"/>
    <n v="0"/>
    <n v="23.2129094911439"/>
    <n v="244.63157894736841"/>
    <n v="0.18872518025347579"/>
    <n v="19"/>
    <n v="1"/>
  </r>
  <r>
    <x v="0"/>
    <s v="2025-05-18 18:56:05"/>
    <n v="17"/>
    <x v="7"/>
    <x v="10"/>
    <x v="3"/>
    <n v="0.93616934288476195"/>
    <n v="2E+20"/>
    <n v="0"/>
    <n v="8.8989636301693906"/>
    <n v="248"/>
    <s v="Friday (Solucion: datafono, gofre, cocina y caja compartida)Entrega pedido.QueueWaiting TimeQueue"/>
    <n v="19"/>
    <n v="1.0553731068142862"/>
    <n v="0.39155855051719024"/>
    <n v="0.95"/>
    <n v="0.18872518025347579"/>
    <n v="0.71661232804193897"/>
    <n v="2.4089144698203002"/>
    <n v="0"/>
    <n v="23.2129094911439"/>
    <n v="244.63157894736841"/>
    <n v="0.18872518025347579"/>
    <n v="19"/>
    <n v="1"/>
  </r>
  <r>
    <x v="0"/>
    <s v="2025-05-18 18:56:05"/>
    <n v="18"/>
    <x v="7"/>
    <x v="10"/>
    <x v="3"/>
    <n v="1.2454084172419999"/>
    <n v="2E+20"/>
    <n v="0"/>
    <n v="14.477038373604699"/>
    <n v="242"/>
    <s v="Friday (Solucion: datafono, gofre, cocina y caja compartida)Entrega pedido.QueueWaiting TimeQueue"/>
    <n v="19"/>
    <n v="1.0553731068142862"/>
    <n v="0.39155855051719024"/>
    <n v="0.95"/>
    <n v="0.18872518025347579"/>
    <n v="0.71661232804193897"/>
    <n v="2.4089144698203002"/>
    <n v="0"/>
    <n v="23.2129094911439"/>
    <n v="244.63157894736841"/>
    <n v="0.18872518025347579"/>
    <n v="19"/>
    <n v="1"/>
  </r>
  <r>
    <x v="0"/>
    <s v="2025-05-18 18:56:05"/>
    <n v="19"/>
    <x v="7"/>
    <x v="10"/>
    <x v="3"/>
    <n v="0.76185875614695997"/>
    <n v="2E+20"/>
    <n v="0"/>
    <n v="8.4225645302066905"/>
    <n v="242"/>
    <s v="Friday (Solucion: datafono, gofre, cocina y caja compartida)Entrega pedido.QueueWaiting TimeQueue"/>
    <n v="19"/>
    <n v="1.0553731068142862"/>
    <n v="0.39155855051719024"/>
    <n v="0.95"/>
    <n v="0.18872518025347579"/>
    <n v="0.71661232804193897"/>
    <n v="2.4089144698203002"/>
    <n v="0"/>
    <n v="23.2129094911439"/>
    <n v="244.63157894736841"/>
    <n v="0.18872518025347579"/>
    <n v="19"/>
    <n v="1"/>
  </r>
  <r>
    <x v="0"/>
    <s v="2025-05-18 18:56:05"/>
    <n v="1"/>
    <x v="8"/>
    <x v="6"/>
    <x v="1"/>
    <n v="4.6814959629385502"/>
    <n v="2E+20"/>
    <n v="4.6814959629385502"/>
    <n v="4.6814959629385502"/>
    <n v="1"/>
    <s v="Friday (Solucion: datafono, gofre, cocina y caja compartida)EsperaPedidoH1ExpressionUser Specified"/>
    <n v="19"/>
    <n v="1.2223055609756739"/>
    <n v="0.97779302871771601"/>
    <n v="0.95"/>
    <n v="0.47128115412522836"/>
    <n v="0.65114275444322001"/>
    <n v="4.6814959629385502"/>
    <n v="0.65114275444322001"/>
    <n v="4.6814959629385502"/>
    <n v="1"/>
    <n v="0.47128115412522836"/>
    <n v="19"/>
    <n v="1"/>
  </r>
  <r>
    <x v="0"/>
    <s v="2025-05-18 18:56:05"/>
    <n v="2"/>
    <x v="8"/>
    <x v="6"/>
    <x v="1"/>
    <n v="0.76248135412678297"/>
    <n v="2E+20"/>
    <n v="0.76248135412678297"/>
    <n v="0.76248135412678297"/>
    <n v="1"/>
    <s v="Friday (Solucion: datafono, gofre, cocina y caja compartida)EsperaPedidoH1ExpressionUser Specified"/>
    <n v="19"/>
    <n v="1.2223055609756739"/>
    <n v="0.97779302871771601"/>
    <n v="0.95"/>
    <n v="0.47128115412522836"/>
    <n v="0.65114275444322001"/>
    <n v="4.6814959629385502"/>
    <n v="0.65114275444322001"/>
    <n v="4.6814959629385502"/>
    <n v="1"/>
    <n v="0.47128115412522836"/>
    <n v="19"/>
    <n v="1"/>
  </r>
  <r>
    <x v="0"/>
    <s v="2025-05-18 18:56:05"/>
    <n v="3"/>
    <x v="8"/>
    <x v="6"/>
    <x v="1"/>
    <n v="2.8352599908715601"/>
    <n v="2E+20"/>
    <n v="2.8352599908715601"/>
    <n v="2.8352599908715601"/>
    <n v="1"/>
    <s v="Friday (Solucion: datafono, gofre, cocina y caja compartida)EsperaPedidoH1ExpressionUser Specified"/>
    <n v="19"/>
    <n v="1.2223055609756739"/>
    <n v="0.97779302871771601"/>
    <n v="0.95"/>
    <n v="0.47128115412522836"/>
    <n v="0.65114275444322001"/>
    <n v="4.6814959629385502"/>
    <n v="0.65114275444322001"/>
    <n v="4.6814959629385502"/>
    <n v="1"/>
    <n v="0.47128115412522836"/>
    <n v="19"/>
    <n v="1"/>
  </r>
  <r>
    <x v="0"/>
    <s v="2025-05-18 18:56:05"/>
    <n v="4"/>
    <x v="8"/>
    <x v="6"/>
    <x v="1"/>
    <n v="0.94242200588763902"/>
    <n v="2E+20"/>
    <n v="0.94242200588763902"/>
    <n v="0.94242200588763902"/>
    <n v="1"/>
    <s v="Friday (Solucion: datafono, gofre, cocina y caja compartida)EsperaPedidoH1ExpressionUser Specified"/>
    <n v="19"/>
    <n v="1.2223055609756739"/>
    <n v="0.97779302871771601"/>
    <n v="0.95"/>
    <n v="0.47128115412522836"/>
    <n v="0.65114275444322001"/>
    <n v="4.6814959629385502"/>
    <n v="0.65114275444322001"/>
    <n v="4.6814959629385502"/>
    <n v="1"/>
    <n v="0.47128115412522836"/>
    <n v="19"/>
    <n v="1"/>
  </r>
  <r>
    <x v="0"/>
    <s v="2025-05-18 18:56:05"/>
    <n v="5"/>
    <x v="8"/>
    <x v="6"/>
    <x v="1"/>
    <n v="0.70019119936382601"/>
    <n v="2E+20"/>
    <n v="0.70019119936382601"/>
    <n v="0.70019119936382601"/>
    <n v="1"/>
    <s v="Friday (Solucion: datafono, gofre, cocina y caja compartida)EsperaPedidoH1ExpressionUser Specified"/>
    <n v="19"/>
    <n v="1.2223055609756739"/>
    <n v="0.97779302871771601"/>
    <n v="0.95"/>
    <n v="0.47128115412522836"/>
    <n v="0.65114275444322001"/>
    <n v="4.6814959629385502"/>
    <n v="0.65114275444322001"/>
    <n v="4.6814959629385502"/>
    <n v="1"/>
    <n v="0.47128115412522836"/>
    <n v="19"/>
    <n v="1"/>
  </r>
  <r>
    <x v="0"/>
    <s v="2025-05-18 18:56:05"/>
    <n v="6"/>
    <x v="8"/>
    <x v="6"/>
    <x v="1"/>
    <n v="0.96885627262412599"/>
    <n v="2E+20"/>
    <n v="0.96885627262412599"/>
    <n v="0.96885627262412599"/>
    <n v="1"/>
    <s v="Friday (Solucion: datafono, gofre, cocina y caja compartida)EsperaPedidoH1ExpressionUser Specified"/>
    <n v="19"/>
    <n v="1.2223055609756739"/>
    <n v="0.97779302871771601"/>
    <n v="0.95"/>
    <n v="0.47128115412522836"/>
    <n v="0.65114275444322001"/>
    <n v="4.6814959629385502"/>
    <n v="0.65114275444322001"/>
    <n v="4.6814959629385502"/>
    <n v="1"/>
    <n v="0.47128115412522836"/>
    <n v="19"/>
    <n v="1"/>
  </r>
  <r>
    <x v="0"/>
    <s v="2025-05-18 18:56:05"/>
    <n v="7"/>
    <x v="8"/>
    <x v="6"/>
    <x v="1"/>
    <n v="0.68696530389735699"/>
    <n v="2E+20"/>
    <n v="0.68696530389735699"/>
    <n v="0.68696530389735699"/>
    <n v="1"/>
    <s v="Friday (Solucion: datafono, gofre, cocina y caja compartida)EsperaPedidoH1ExpressionUser Specified"/>
    <n v="19"/>
    <n v="1.2223055609756739"/>
    <n v="0.97779302871771601"/>
    <n v="0.95"/>
    <n v="0.47128115412522836"/>
    <n v="0.65114275444322001"/>
    <n v="4.6814959629385502"/>
    <n v="0.65114275444322001"/>
    <n v="4.6814959629385502"/>
    <n v="1"/>
    <n v="0.47128115412522836"/>
    <n v="19"/>
    <n v="1"/>
  </r>
  <r>
    <x v="0"/>
    <s v="2025-05-18 18:56:05"/>
    <n v="8"/>
    <x v="8"/>
    <x v="6"/>
    <x v="1"/>
    <n v="1.0691093513688199"/>
    <n v="2E+20"/>
    <n v="1.0691093513688199"/>
    <n v="1.0691093513688199"/>
    <n v="1"/>
    <s v="Friday (Solucion: datafono, gofre, cocina y caja compartida)EsperaPedidoH1ExpressionUser Specified"/>
    <n v="19"/>
    <n v="1.2223055609756739"/>
    <n v="0.97779302871771601"/>
    <n v="0.95"/>
    <n v="0.47128115412522836"/>
    <n v="0.65114275444322001"/>
    <n v="4.6814959629385502"/>
    <n v="0.65114275444322001"/>
    <n v="4.6814959629385502"/>
    <n v="1"/>
    <n v="0.47128115412522836"/>
    <n v="19"/>
    <n v="1"/>
  </r>
  <r>
    <x v="0"/>
    <s v="2025-05-18 18:56:05"/>
    <n v="9"/>
    <x v="8"/>
    <x v="6"/>
    <x v="1"/>
    <n v="1.0465602576123101"/>
    <n v="2E+20"/>
    <n v="1.0465602576123101"/>
    <n v="1.0465602576123101"/>
    <n v="1"/>
    <s v="Friday (Solucion: datafono, gofre, cocina y caja compartida)EsperaPedidoH1ExpressionUser Specified"/>
    <n v="19"/>
    <n v="1.2223055609756739"/>
    <n v="0.97779302871771601"/>
    <n v="0.95"/>
    <n v="0.47128115412522836"/>
    <n v="0.65114275444322001"/>
    <n v="4.6814959629385502"/>
    <n v="0.65114275444322001"/>
    <n v="4.6814959629385502"/>
    <n v="1"/>
    <n v="0.47128115412522836"/>
    <n v="19"/>
    <n v="1"/>
  </r>
  <r>
    <x v="0"/>
    <s v="2025-05-18 18:56:05"/>
    <n v="10"/>
    <x v="8"/>
    <x v="6"/>
    <x v="1"/>
    <n v="0.90822526195320097"/>
    <n v="2E+20"/>
    <n v="0.90822526195320097"/>
    <n v="0.90822526195320097"/>
    <n v="1"/>
    <s v="Friday (Solucion: datafono, gofre, cocina y caja compartida)EsperaPedidoH1ExpressionUser Specified"/>
    <n v="19"/>
    <n v="1.2223055609756739"/>
    <n v="0.97779302871771601"/>
    <n v="0.95"/>
    <n v="0.47128115412522836"/>
    <n v="0.65114275444322001"/>
    <n v="4.6814959629385502"/>
    <n v="0.65114275444322001"/>
    <n v="4.6814959629385502"/>
    <n v="1"/>
    <n v="0.47128115412522836"/>
    <n v="19"/>
    <n v="1"/>
  </r>
  <r>
    <x v="0"/>
    <s v="2025-05-18 18:56:05"/>
    <n v="11"/>
    <x v="8"/>
    <x v="6"/>
    <x v="1"/>
    <n v="0.65114275444322001"/>
    <n v="2E+20"/>
    <n v="0.65114275444322001"/>
    <n v="0.65114275444322001"/>
    <n v="1"/>
    <s v="Friday (Solucion: datafono, gofre, cocina y caja compartida)EsperaPedidoH1ExpressionUser Specified"/>
    <n v="19"/>
    <n v="1.2223055609756739"/>
    <n v="0.97779302871771601"/>
    <n v="0.95"/>
    <n v="0.47128115412522836"/>
    <n v="0.65114275444322001"/>
    <n v="4.6814959629385502"/>
    <n v="0.65114275444322001"/>
    <n v="4.6814959629385502"/>
    <n v="1"/>
    <n v="0.47128115412522836"/>
    <n v="19"/>
    <n v="1"/>
  </r>
  <r>
    <x v="0"/>
    <s v="2025-05-18 18:56:05"/>
    <n v="12"/>
    <x v="8"/>
    <x v="6"/>
    <x v="1"/>
    <n v="1.6018376278089701"/>
    <n v="2E+20"/>
    <n v="1.6018376278089701"/>
    <n v="1.6018376278089701"/>
    <n v="1"/>
    <s v="Friday (Solucion: datafono, gofre, cocina y caja compartida)EsperaPedidoH1ExpressionUser Specified"/>
    <n v="19"/>
    <n v="1.2223055609756739"/>
    <n v="0.97779302871771601"/>
    <n v="0.95"/>
    <n v="0.47128115412522836"/>
    <n v="0.65114275444322001"/>
    <n v="4.6814959629385502"/>
    <n v="0.65114275444322001"/>
    <n v="4.6814959629385502"/>
    <n v="1"/>
    <n v="0.47128115412522836"/>
    <n v="19"/>
    <n v="1"/>
  </r>
  <r>
    <x v="0"/>
    <s v="2025-05-18 18:56:05"/>
    <n v="13"/>
    <x v="8"/>
    <x v="6"/>
    <x v="1"/>
    <n v="0.70878336543450404"/>
    <n v="2E+20"/>
    <n v="0.70878336543450404"/>
    <n v="0.70878336543450404"/>
    <n v="1"/>
    <s v="Friday (Solucion: datafono, gofre, cocina y caja compartida)EsperaPedidoH1ExpressionUser Specified"/>
    <n v="19"/>
    <n v="1.2223055609756739"/>
    <n v="0.97779302871771601"/>
    <n v="0.95"/>
    <n v="0.47128115412522836"/>
    <n v="0.65114275444322001"/>
    <n v="4.6814959629385502"/>
    <n v="0.65114275444322001"/>
    <n v="4.6814959629385502"/>
    <n v="1"/>
    <n v="0.47128115412522836"/>
    <n v="19"/>
    <n v="1"/>
  </r>
  <r>
    <x v="0"/>
    <s v="2025-05-18 18:56:05"/>
    <n v="14"/>
    <x v="8"/>
    <x v="6"/>
    <x v="1"/>
    <n v="0.77493637831742301"/>
    <n v="2E+20"/>
    <n v="0.77493637831742301"/>
    <n v="0.77493637831742301"/>
    <n v="1"/>
    <s v="Friday (Solucion: datafono, gofre, cocina y caja compartida)EsperaPedidoH1ExpressionUser Specified"/>
    <n v="19"/>
    <n v="1.2223055609756739"/>
    <n v="0.97779302871771601"/>
    <n v="0.95"/>
    <n v="0.47128115412522836"/>
    <n v="0.65114275444322001"/>
    <n v="4.6814959629385502"/>
    <n v="0.65114275444322001"/>
    <n v="4.6814959629385502"/>
    <n v="1"/>
    <n v="0.47128115412522836"/>
    <n v="19"/>
    <n v="1"/>
  </r>
  <r>
    <x v="0"/>
    <s v="2025-05-18 18:56:05"/>
    <n v="15"/>
    <x v="8"/>
    <x v="6"/>
    <x v="1"/>
    <n v="1.0586722321981501"/>
    <n v="2E+20"/>
    <n v="1.0586722321981501"/>
    <n v="1.0586722321981501"/>
    <n v="1"/>
    <s v="Friday (Solucion: datafono, gofre, cocina y caja compartida)EsperaPedidoH1ExpressionUser Specified"/>
    <n v="19"/>
    <n v="1.2223055609756739"/>
    <n v="0.97779302871771601"/>
    <n v="0.95"/>
    <n v="0.47128115412522836"/>
    <n v="0.65114275444322001"/>
    <n v="4.6814959629385502"/>
    <n v="0.65114275444322001"/>
    <n v="4.6814959629385502"/>
    <n v="1"/>
    <n v="0.47128115412522836"/>
    <n v="19"/>
    <n v="1"/>
  </r>
  <r>
    <x v="0"/>
    <s v="2025-05-18 18:56:05"/>
    <n v="16"/>
    <x v="8"/>
    <x v="6"/>
    <x v="1"/>
    <n v="0.78961473466621201"/>
    <n v="2E+20"/>
    <n v="0.78961473466621201"/>
    <n v="0.78961473466621201"/>
    <n v="1"/>
    <s v="Friday (Solucion: datafono, gofre, cocina y caja compartida)EsperaPedidoH1ExpressionUser Specified"/>
    <n v="19"/>
    <n v="1.2223055609756739"/>
    <n v="0.97779302871771601"/>
    <n v="0.95"/>
    <n v="0.47128115412522836"/>
    <n v="0.65114275444322001"/>
    <n v="4.6814959629385502"/>
    <n v="0.65114275444322001"/>
    <n v="4.6814959629385502"/>
    <n v="1"/>
    <n v="0.47128115412522836"/>
    <n v="19"/>
    <n v="1"/>
  </r>
  <r>
    <x v="0"/>
    <s v="2025-05-18 18:56:05"/>
    <n v="17"/>
    <x v="8"/>
    <x v="6"/>
    <x v="1"/>
    <n v="0.91356523061647299"/>
    <n v="2E+20"/>
    <n v="0.91356523061647299"/>
    <n v="0.91356523061647299"/>
    <n v="1"/>
    <s v="Friday (Solucion: datafono, gofre, cocina y caja compartida)EsperaPedidoH1ExpressionUser Specified"/>
    <n v="19"/>
    <n v="1.2223055609756739"/>
    <n v="0.97779302871771601"/>
    <n v="0.95"/>
    <n v="0.47128115412522836"/>
    <n v="0.65114275444322001"/>
    <n v="4.6814959629385502"/>
    <n v="0.65114275444322001"/>
    <n v="4.6814959629385502"/>
    <n v="1"/>
    <n v="0.47128115412522836"/>
    <n v="19"/>
    <n v="1"/>
  </r>
  <r>
    <x v="0"/>
    <s v="2025-05-18 18:56:05"/>
    <n v="18"/>
    <x v="8"/>
    <x v="6"/>
    <x v="1"/>
    <n v="1.43645725446873"/>
    <n v="2E+20"/>
    <n v="1.43645725446873"/>
    <n v="1.43645725446873"/>
    <n v="1"/>
    <s v="Friday (Solucion: datafono, gofre, cocina y caja compartida)EsperaPedidoH1ExpressionUser Specified"/>
    <n v="19"/>
    <n v="1.2223055609756739"/>
    <n v="0.97779302871771601"/>
    <n v="0.95"/>
    <n v="0.47128115412522836"/>
    <n v="0.65114275444322001"/>
    <n v="4.6814959629385502"/>
    <n v="0.65114275444322001"/>
    <n v="4.6814959629385502"/>
    <n v="1"/>
    <n v="0.47128115412522836"/>
    <n v="19"/>
    <n v="1"/>
  </r>
  <r>
    <x v="0"/>
    <s v="2025-05-18 18:56:05"/>
    <n v="19"/>
    <x v="8"/>
    <x v="6"/>
    <x v="1"/>
    <n v="0.68722911993995095"/>
    <n v="2E+20"/>
    <n v="0.68722911993995095"/>
    <n v="0.68722911993995095"/>
    <n v="1"/>
    <s v="Friday (Solucion: datafono, gofre, cocina y caja compartida)EsperaPedidoH1ExpressionUser Specified"/>
    <n v="19"/>
    <n v="1.2223055609756739"/>
    <n v="0.97779302871771601"/>
    <n v="0.95"/>
    <n v="0.47128115412522836"/>
    <n v="0.65114275444322001"/>
    <n v="4.6814959629385502"/>
    <n v="0.65114275444322001"/>
    <n v="4.6814959629385502"/>
    <n v="1"/>
    <n v="0.47128115412522836"/>
    <n v="19"/>
    <n v="1"/>
  </r>
  <r>
    <x v="0"/>
    <s v="2025-05-18 18:56:05"/>
    <n v="1"/>
    <x v="9"/>
    <x v="6"/>
    <x v="1"/>
    <n v="2.9908248106951598"/>
    <n v="2E+20"/>
    <n v="2.9908248106951598"/>
    <n v="2.9908248106951598"/>
    <n v="1"/>
    <s v="Friday (Solucion: datafono, gofre, cocina y caja compartida)EsperaPedidoH2ExpressionUser Specified"/>
    <n v="19"/>
    <n v="1.0655123115765994"/>
    <n v="0.54338905810041349"/>
    <n v="0.95"/>
    <n v="0.2619051424169187"/>
    <n v="0.68067339484149003"/>
    <n v="2.9908248106951598"/>
    <n v="0.68067339484149003"/>
    <n v="2.9908248106951598"/>
    <n v="1"/>
    <n v="0.2619051424169187"/>
    <n v="19"/>
    <n v="1"/>
  </r>
  <r>
    <x v="0"/>
    <s v="2025-05-18 18:56:05"/>
    <n v="2"/>
    <x v="9"/>
    <x v="6"/>
    <x v="1"/>
    <n v="0.77811635271899804"/>
    <n v="2E+20"/>
    <n v="0.77811635271899804"/>
    <n v="0.77811635271899804"/>
    <n v="1"/>
    <s v="Friday (Solucion: datafono, gofre, cocina y caja compartida)EsperaPedidoH2ExpressionUser Specified"/>
    <n v="19"/>
    <n v="1.0655123115765994"/>
    <n v="0.54338905810041349"/>
    <n v="0.95"/>
    <n v="0.2619051424169187"/>
    <n v="0.68067339484149003"/>
    <n v="2.9908248106951598"/>
    <n v="0.68067339484149003"/>
    <n v="2.9908248106951598"/>
    <n v="1"/>
    <n v="0.2619051424169187"/>
    <n v="19"/>
    <n v="1"/>
  </r>
  <r>
    <x v="0"/>
    <s v="2025-05-18 18:56:05"/>
    <n v="3"/>
    <x v="9"/>
    <x v="6"/>
    <x v="1"/>
    <n v="1.83235249260623"/>
    <n v="2E+20"/>
    <n v="1.83235249260623"/>
    <n v="1.83235249260623"/>
    <n v="1"/>
    <s v="Friday (Solucion: datafono, gofre, cocina y caja compartida)EsperaPedidoH2ExpressionUser Specified"/>
    <n v="19"/>
    <n v="1.0655123115765994"/>
    <n v="0.54338905810041349"/>
    <n v="0.95"/>
    <n v="0.2619051424169187"/>
    <n v="0.68067339484149003"/>
    <n v="2.9908248106951598"/>
    <n v="0.68067339484149003"/>
    <n v="2.9908248106951598"/>
    <n v="1"/>
    <n v="0.2619051424169187"/>
    <n v="19"/>
    <n v="1"/>
  </r>
  <r>
    <x v="0"/>
    <s v="2025-05-18 18:56:05"/>
    <n v="4"/>
    <x v="9"/>
    <x v="6"/>
    <x v="1"/>
    <n v="0.870954171258153"/>
    <n v="2E+20"/>
    <n v="0.870954171258153"/>
    <n v="0.870954171258153"/>
    <n v="1"/>
    <s v="Friday (Solucion: datafono, gofre, cocina y caja compartida)EsperaPedidoH2ExpressionUser Specified"/>
    <n v="19"/>
    <n v="1.0655123115765994"/>
    <n v="0.54338905810041349"/>
    <n v="0.95"/>
    <n v="0.2619051424169187"/>
    <n v="0.68067339484149003"/>
    <n v="2.9908248106951598"/>
    <n v="0.68067339484149003"/>
    <n v="2.9908248106951598"/>
    <n v="1"/>
    <n v="0.2619051424169187"/>
    <n v="19"/>
    <n v="1"/>
  </r>
  <r>
    <x v="0"/>
    <s v="2025-05-18 18:56:05"/>
    <n v="5"/>
    <x v="9"/>
    <x v="6"/>
    <x v="1"/>
    <n v="0.68067339484149003"/>
    <n v="2E+20"/>
    <n v="0.68067339484149003"/>
    <n v="0.68067339484149003"/>
    <n v="1"/>
    <s v="Friday (Solucion: datafono, gofre, cocina y caja compartida)EsperaPedidoH2ExpressionUser Specified"/>
    <n v="19"/>
    <n v="1.0655123115765994"/>
    <n v="0.54338905810041349"/>
    <n v="0.95"/>
    <n v="0.2619051424169187"/>
    <n v="0.68067339484149003"/>
    <n v="2.9908248106951598"/>
    <n v="0.68067339484149003"/>
    <n v="2.9908248106951598"/>
    <n v="1"/>
    <n v="0.2619051424169187"/>
    <n v="19"/>
    <n v="1"/>
  </r>
  <r>
    <x v="0"/>
    <s v="2025-05-18 18:56:05"/>
    <n v="6"/>
    <x v="9"/>
    <x v="6"/>
    <x v="1"/>
    <n v="0.77743078317300596"/>
    <n v="2E+20"/>
    <n v="0.77743078317300596"/>
    <n v="0.77743078317300596"/>
    <n v="1"/>
    <s v="Friday (Solucion: datafono, gofre, cocina y caja compartida)EsperaPedidoH2ExpressionUser Specified"/>
    <n v="19"/>
    <n v="1.0655123115765994"/>
    <n v="0.54338905810041349"/>
    <n v="0.95"/>
    <n v="0.2619051424169187"/>
    <n v="0.68067339484149003"/>
    <n v="2.9908248106951598"/>
    <n v="0.68067339484149003"/>
    <n v="2.9908248106951598"/>
    <n v="1"/>
    <n v="0.2619051424169187"/>
    <n v="19"/>
    <n v="1"/>
  </r>
  <r>
    <x v="0"/>
    <s v="2025-05-18 18:56:05"/>
    <n v="7"/>
    <x v="9"/>
    <x v="6"/>
    <x v="1"/>
    <n v="0.81335827408874595"/>
    <n v="2E+20"/>
    <n v="0.81335827408874595"/>
    <n v="0.81335827408874595"/>
    <n v="1"/>
    <s v="Friday (Solucion: datafono, gofre, cocina y caja compartida)EsperaPedidoH2ExpressionUser Specified"/>
    <n v="19"/>
    <n v="1.0655123115765994"/>
    <n v="0.54338905810041349"/>
    <n v="0.95"/>
    <n v="0.2619051424169187"/>
    <n v="0.68067339484149003"/>
    <n v="2.9908248106951598"/>
    <n v="0.68067339484149003"/>
    <n v="2.9908248106951598"/>
    <n v="1"/>
    <n v="0.2619051424169187"/>
    <n v="19"/>
    <n v="1"/>
  </r>
  <r>
    <x v="0"/>
    <s v="2025-05-18 18:56:05"/>
    <n v="8"/>
    <x v="9"/>
    <x v="6"/>
    <x v="1"/>
    <n v="1.1866882479216401"/>
    <n v="2E+20"/>
    <n v="1.1866882479216401"/>
    <n v="1.1866882479216401"/>
    <n v="1"/>
    <s v="Friday (Solucion: datafono, gofre, cocina y caja compartida)EsperaPedidoH2ExpressionUser Specified"/>
    <n v="19"/>
    <n v="1.0655123115765994"/>
    <n v="0.54338905810041349"/>
    <n v="0.95"/>
    <n v="0.2619051424169187"/>
    <n v="0.68067339484149003"/>
    <n v="2.9908248106951598"/>
    <n v="0.68067339484149003"/>
    <n v="2.9908248106951598"/>
    <n v="1"/>
    <n v="0.2619051424169187"/>
    <n v="19"/>
    <n v="1"/>
  </r>
  <r>
    <x v="0"/>
    <s v="2025-05-18 18:56:05"/>
    <n v="9"/>
    <x v="9"/>
    <x v="6"/>
    <x v="1"/>
    <n v="0.967940241912288"/>
    <n v="2E+20"/>
    <n v="0.967940241912288"/>
    <n v="0.967940241912288"/>
    <n v="1"/>
    <s v="Friday (Solucion: datafono, gofre, cocina y caja compartida)EsperaPedidoH2ExpressionUser Specified"/>
    <n v="19"/>
    <n v="1.0655123115765994"/>
    <n v="0.54338905810041349"/>
    <n v="0.95"/>
    <n v="0.2619051424169187"/>
    <n v="0.68067339484149003"/>
    <n v="2.9908248106951598"/>
    <n v="0.68067339484149003"/>
    <n v="2.9908248106951598"/>
    <n v="1"/>
    <n v="0.2619051424169187"/>
    <n v="19"/>
    <n v="1"/>
  </r>
  <r>
    <x v="0"/>
    <s v="2025-05-18 18:56:05"/>
    <n v="10"/>
    <x v="9"/>
    <x v="6"/>
    <x v="1"/>
    <n v="1.0608016231803501"/>
    <n v="2E+20"/>
    <n v="1.0608016231803501"/>
    <n v="1.0608016231803501"/>
    <n v="1"/>
    <s v="Friday (Solucion: datafono, gofre, cocina y caja compartida)EsperaPedidoH2ExpressionUser Specified"/>
    <n v="19"/>
    <n v="1.0655123115765994"/>
    <n v="0.54338905810041349"/>
    <n v="0.95"/>
    <n v="0.2619051424169187"/>
    <n v="0.68067339484149003"/>
    <n v="2.9908248106951598"/>
    <n v="0.68067339484149003"/>
    <n v="2.9908248106951598"/>
    <n v="1"/>
    <n v="0.2619051424169187"/>
    <n v="19"/>
    <n v="1"/>
  </r>
  <r>
    <x v="0"/>
    <s v="2025-05-18 18:56:05"/>
    <n v="11"/>
    <x v="9"/>
    <x v="6"/>
    <x v="1"/>
    <n v="0.71598201521652305"/>
    <n v="2E+20"/>
    <n v="0.71598201521652305"/>
    <n v="0.71598201521652305"/>
    <n v="1"/>
    <s v="Friday (Solucion: datafono, gofre, cocina y caja compartida)EsperaPedidoH2ExpressionUser Specified"/>
    <n v="19"/>
    <n v="1.0655123115765994"/>
    <n v="0.54338905810041349"/>
    <n v="0.95"/>
    <n v="0.2619051424169187"/>
    <n v="0.68067339484149003"/>
    <n v="2.9908248106951598"/>
    <n v="0.68067339484149003"/>
    <n v="2.9908248106951598"/>
    <n v="1"/>
    <n v="0.2619051424169187"/>
    <n v="19"/>
    <n v="1"/>
  </r>
  <r>
    <x v="0"/>
    <s v="2025-05-18 18:56:05"/>
    <n v="12"/>
    <x v="9"/>
    <x v="6"/>
    <x v="1"/>
    <n v="1.2977535954505901"/>
    <n v="2E+20"/>
    <n v="1.2977535954505901"/>
    <n v="1.2977535954505901"/>
    <n v="1"/>
    <s v="Friday (Solucion: datafono, gofre, cocina y caja compartida)EsperaPedidoH2ExpressionUser Specified"/>
    <n v="19"/>
    <n v="1.0655123115765994"/>
    <n v="0.54338905810041349"/>
    <n v="0.95"/>
    <n v="0.2619051424169187"/>
    <n v="0.68067339484149003"/>
    <n v="2.9908248106951598"/>
    <n v="0.68067339484149003"/>
    <n v="2.9908248106951598"/>
    <n v="1"/>
    <n v="0.2619051424169187"/>
    <n v="19"/>
    <n v="1"/>
  </r>
  <r>
    <x v="0"/>
    <s v="2025-05-18 18:56:05"/>
    <n v="13"/>
    <x v="9"/>
    <x v="6"/>
    <x v="1"/>
    <n v="0.79917478816041398"/>
    <n v="2E+20"/>
    <n v="0.79917478816041398"/>
    <n v="0.79917478816041398"/>
    <n v="1"/>
    <s v="Friday (Solucion: datafono, gofre, cocina y caja compartida)EsperaPedidoH2ExpressionUser Specified"/>
    <n v="19"/>
    <n v="1.0655123115765994"/>
    <n v="0.54338905810041349"/>
    <n v="0.95"/>
    <n v="0.2619051424169187"/>
    <n v="0.68067339484149003"/>
    <n v="2.9908248106951598"/>
    <n v="0.68067339484149003"/>
    <n v="2.9908248106951598"/>
    <n v="1"/>
    <n v="0.2619051424169187"/>
    <n v="19"/>
    <n v="1"/>
  </r>
  <r>
    <x v="0"/>
    <s v="2025-05-18 18:56:05"/>
    <n v="14"/>
    <x v="9"/>
    <x v="6"/>
    <x v="1"/>
    <n v="0.77593084904788501"/>
    <n v="2E+20"/>
    <n v="0.77593084904788501"/>
    <n v="0.77593084904788501"/>
    <n v="1"/>
    <s v="Friday (Solucion: datafono, gofre, cocina y caja compartida)EsperaPedidoH2ExpressionUser Specified"/>
    <n v="19"/>
    <n v="1.0655123115765994"/>
    <n v="0.54338905810041349"/>
    <n v="0.95"/>
    <n v="0.2619051424169187"/>
    <n v="0.68067339484149003"/>
    <n v="2.9908248106951598"/>
    <n v="0.68067339484149003"/>
    <n v="2.9908248106951598"/>
    <n v="1"/>
    <n v="0.2619051424169187"/>
    <n v="19"/>
    <n v="1"/>
  </r>
  <r>
    <x v="0"/>
    <s v="2025-05-18 18:56:05"/>
    <n v="15"/>
    <x v="9"/>
    <x v="6"/>
    <x v="1"/>
    <n v="0.89539836117288396"/>
    <n v="2E+20"/>
    <n v="0.89539836117288396"/>
    <n v="0.89539836117288396"/>
    <n v="1"/>
    <s v="Friday (Solucion: datafono, gofre, cocina y caja compartida)EsperaPedidoH2ExpressionUser Specified"/>
    <n v="19"/>
    <n v="1.0655123115765994"/>
    <n v="0.54338905810041349"/>
    <n v="0.95"/>
    <n v="0.2619051424169187"/>
    <n v="0.68067339484149003"/>
    <n v="2.9908248106951598"/>
    <n v="0.68067339484149003"/>
    <n v="2.9908248106951598"/>
    <n v="1"/>
    <n v="0.2619051424169187"/>
    <n v="19"/>
    <n v="1"/>
  </r>
  <r>
    <x v="0"/>
    <s v="2025-05-18 18:56:05"/>
    <n v="16"/>
    <x v="9"/>
    <x v="6"/>
    <x v="1"/>
    <n v="0.702893126165408"/>
    <n v="2E+20"/>
    <n v="0.702893126165408"/>
    <n v="0.702893126165408"/>
    <n v="1"/>
    <s v="Friday (Solucion: datafono, gofre, cocina y caja compartida)EsperaPedidoH2ExpressionUser Specified"/>
    <n v="19"/>
    <n v="1.0655123115765994"/>
    <n v="0.54338905810041349"/>
    <n v="0.95"/>
    <n v="0.2619051424169187"/>
    <n v="0.68067339484149003"/>
    <n v="2.9908248106951598"/>
    <n v="0.68067339484149003"/>
    <n v="2.9908248106951598"/>
    <n v="1"/>
    <n v="0.2619051424169187"/>
    <n v="19"/>
    <n v="1"/>
  </r>
  <r>
    <x v="0"/>
    <s v="2025-05-18 18:56:05"/>
    <n v="17"/>
    <x v="9"/>
    <x v="6"/>
    <x v="1"/>
    <n v="1.00526998666954"/>
    <n v="2E+20"/>
    <n v="1.00526998666954"/>
    <n v="1.00526998666954"/>
    <n v="1"/>
    <s v="Friday (Solucion: datafono, gofre, cocina y caja compartida)EsperaPedidoH2ExpressionUser Specified"/>
    <n v="19"/>
    <n v="1.0655123115765994"/>
    <n v="0.54338905810041349"/>
    <n v="0.95"/>
    <n v="0.2619051424169187"/>
    <n v="0.68067339484149003"/>
    <n v="2.9908248106951598"/>
    <n v="0.68067339484149003"/>
    <n v="2.9908248106951598"/>
    <n v="1"/>
    <n v="0.2619051424169187"/>
    <n v="19"/>
    <n v="1"/>
  </r>
  <r>
    <x v="0"/>
    <s v="2025-05-18 18:56:05"/>
    <n v="18"/>
    <x v="9"/>
    <x v="6"/>
    <x v="1"/>
    <n v="1.25274111606768"/>
    <n v="2E+20"/>
    <n v="1.25274111606768"/>
    <n v="1.25274111606768"/>
    <n v="1"/>
    <s v="Friday (Solucion: datafono, gofre, cocina y caja compartida)EsperaPedidoH2ExpressionUser Specified"/>
    <n v="19"/>
    <n v="1.0655123115765994"/>
    <n v="0.54338905810041349"/>
    <n v="0.95"/>
    <n v="0.2619051424169187"/>
    <n v="0.68067339484149003"/>
    <n v="2.9908248106951598"/>
    <n v="0.68067339484149003"/>
    <n v="2.9908248106951598"/>
    <n v="1"/>
    <n v="0.2619051424169187"/>
    <n v="19"/>
    <n v="1"/>
  </r>
  <r>
    <x v="0"/>
    <s v="2025-05-18 18:56:05"/>
    <n v="19"/>
    <x v="9"/>
    <x v="6"/>
    <x v="1"/>
    <n v="0.84044968960840905"/>
    <n v="2E+20"/>
    <n v="0.84044968960840905"/>
    <n v="0.84044968960840905"/>
    <n v="1"/>
    <s v="Friday (Solucion: datafono, gofre, cocina y caja compartida)EsperaPedidoH2ExpressionUser Specified"/>
    <n v="19"/>
    <n v="1.0655123115765994"/>
    <n v="0.54338905810041349"/>
    <n v="0.95"/>
    <n v="0.2619051424169187"/>
    <n v="0.68067339484149003"/>
    <n v="2.9908248106951598"/>
    <n v="0.68067339484149003"/>
    <n v="2.9908248106951598"/>
    <n v="1"/>
    <n v="0.2619051424169187"/>
    <n v="19"/>
    <n v="1"/>
  </r>
  <r>
    <x v="0"/>
    <s v="2025-05-18 18:56:05"/>
    <n v="1"/>
    <x v="10"/>
    <x v="6"/>
    <x v="1"/>
    <n v="2.4089144698203002"/>
    <n v="2E+20"/>
    <n v="2.4089144698203002"/>
    <n v="2.4089144698203002"/>
    <n v="1"/>
    <s v="Friday (Solucion: datafono, gofre, cocina y caja compartida)EsperaPedidoH3ExpressionUser Specified"/>
    <n v="19"/>
    <n v="1.0553731068142862"/>
    <n v="0.39155855051719024"/>
    <n v="0.95"/>
    <n v="0.18872518025347579"/>
    <n v="0.71661232804193897"/>
    <n v="2.4089144698203002"/>
    <n v="0.71661232804193897"/>
    <n v="2.4089144698203002"/>
    <n v="1"/>
    <n v="0.18872518025347579"/>
    <n v="19"/>
    <n v="1"/>
  </r>
  <r>
    <x v="0"/>
    <s v="2025-05-18 18:56:05"/>
    <n v="2"/>
    <x v="10"/>
    <x v="6"/>
    <x v="1"/>
    <n v="0.92510917530521797"/>
    <n v="2E+20"/>
    <n v="0.92510917530521797"/>
    <n v="0.92510917530521797"/>
    <n v="1"/>
    <s v="Friday (Solucion: datafono, gofre, cocina y caja compartida)EsperaPedidoH3ExpressionUser Specified"/>
    <n v="19"/>
    <n v="1.0553731068142862"/>
    <n v="0.39155855051719024"/>
    <n v="0.95"/>
    <n v="0.18872518025347579"/>
    <n v="0.71661232804193897"/>
    <n v="2.4089144698203002"/>
    <n v="0.71661232804193897"/>
    <n v="2.4089144698203002"/>
    <n v="1"/>
    <n v="0.18872518025347579"/>
    <n v="19"/>
    <n v="1"/>
  </r>
  <r>
    <x v="0"/>
    <s v="2025-05-18 18:56:05"/>
    <n v="3"/>
    <x v="10"/>
    <x v="6"/>
    <x v="1"/>
    <n v="1.5814880643873701"/>
    <n v="2E+20"/>
    <n v="1.5814880643873701"/>
    <n v="1.5814880643873701"/>
    <n v="1"/>
    <s v="Friday (Solucion: datafono, gofre, cocina y caja compartida)EsperaPedidoH3ExpressionUser Specified"/>
    <n v="19"/>
    <n v="1.0553731068142862"/>
    <n v="0.39155855051719024"/>
    <n v="0.95"/>
    <n v="0.18872518025347579"/>
    <n v="0.71661232804193897"/>
    <n v="2.4089144698203002"/>
    <n v="0.71661232804193897"/>
    <n v="2.4089144698203002"/>
    <n v="1"/>
    <n v="0.18872518025347579"/>
    <n v="19"/>
    <n v="1"/>
  </r>
  <r>
    <x v="0"/>
    <s v="2025-05-18 18:56:05"/>
    <n v="4"/>
    <x v="10"/>
    <x v="6"/>
    <x v="1"/>
    <n v="0.854340954059847"/>
    <n v="2E+20"/>
    <n v="0.854340954059847"/>
    <n v="0.854340954059847"/>
    <n v="1"/>
    <s v="Friday (Solucion: datafono, gofre, cocina y caja compartida)EsperaPedidoH3ExpressionUser Specified"/>
    <n v="19"/>
    <n v="1.0553731068142862"/>
    <n v="0.39155855051719024"/>
    <n v="0.95"/>
    <n v="0.18872518025347579"/>
    <n v="0.71661232804193897"/>
    <n v="2.4089144698203002"/>
    <n v="0.71661232804193897"/>
    <n v="2.4089144698203002"/>
    <n v="1"/>
    <n v="0.18872518025347579"/>
    <n v="19"/>
    <n v="1"/>
  </r>
  <r>
    <x v="0"/>
    <s v="2025-05-18 18:56:05"/>
    <n v="5"/>
    <x v="10"/>
    <x v="6"/>
    <x v="1"/>
    <n v="0.73358419600607105"/>
    <n v="2E+20"/>
    <n v="0.73358419600607105"/>
    <n v="0.73358419600607105"/>
    <n v="1"/>
    <s v="Friday (Solucion: datafono, gofre, cocina y caja compartida)EsperaPedidoH3ExpressionUser Specified"/>
    <n v="19"/>
    <n v="1.0553731068142862"/>
    <n v="0.39155855051719024"/>
    <n v="0.95"/>
    <n v="0.18872518025347579"/>
    <n v="0.71661232804193897"/>
    <n v="2.4089144698203002"/>
    <n v="0.71661232804193897"/>
    <n v="2.4089144698203002"/>
    <n v="1"/>
    <n v="0.18872518025347579"/>
    <n v="19"/>
    <n v="1"/>
  </r>
  <r>
    <x v="0"/>
    <s v="2025-05-18 18:56:05"/>
    <n v="6"/>
    <x v="10"/>
    <x v="6"/>
    <x v="1"/>
    <n v="0.73077425352352998"/>
    <n v="2E+20"/>
    <n v="0.73077425352352998"/>
    <n v="0.73077425352352998"/>
    <n v="1"/>
    <s v="Friday (Solucion: datafono, gofre, cocina y caja compartida)EsperaPedidoH3ExpressionUser Specified"/>
    <n v="19"/>
    <n v="1.0553731068142862"/>
    <n v="0.39155855051719024"/>
    <n v="0.95"/>
    <n v="0.18872518025347579"/>
    <n v="0.71661232804193897"/>
    <n v="2.4089144698203002"/>
    <n v="0.71661232804193897"/>
    <n v="2.4089144698203002"/>
    <n v="1"/>
    <n v="0.18872518025347579"/>
    <n v="19"/>
    <n v="1"/>
  </r>
  <r>
    <x v="0"/>
    <s v="2025-05-18 18:56:05"/>
    <n v="7"/>
    <x v="10"/>
    <x v="6"/>
    <x v="1"/>
    <n v="0.79965687926924001"/>
    <n v="2E+20"/>
    <n v="0.79965687926924001"/>
    <n v="0.79965687926924001"/>
    <n v="1"/>
    <s v="Friday (Solucion: datafono, gofre, cocina y caja compartida)EsperaPedidoH3ExpressionUser Specified"/>
    <n v="19"/>
    <n v="1.0553731068142862"/>
    <n v="0.39155855051719024"/>
    <n v="0.95"/>
    <n v="0.18872518025347579"/>
    <n v="0.71661232804193897"/>
    <n v="2.4089144698203002"/>
    <n v="0.71661232804193897"/>
    <n v="2.4089144698203002"/>
    <n v="1"/>
    <n v="0.18872518025347579"/>
    <n v="19"/>
    <n v="1"/>
  </r>
  <r>
    <x v="0"/>
    <s v="2025-05-18 18:56:05"/>
    <n v="8"/>
    <x v="10"/>
    <x v="6"/>
    <x v="1"/>
    <n v="1.0589092224192"/>
    <n v="2E+20"/>
    <n v="1.0589092224192"/>
    <n v="1.0589092224192"/>
    <n v="1"/>
    <s v="Friday (Solucion: datafono, gofre, cocina y caja compartida)EsperaPedidoH3ExpressionUser Specified"/>
    <n v="19"/>
    <n v="1.0553731068142862"/>
    <n v="0.39155855051719024"/>
    <n v="0.95"/>
    <n v="0.18872518025347579"/>
    <n v="0.71661232804193897"/>
    <n v="2.4089144698203002"/>
    <n v="0.71661232804193897"/>
    <n v="2.4089144698203002"/>
    <n v="1"/>
    <n v="0.18872518025347579"/>
    <n v="19"/>
    <n v="1"/>
  </r>
  <r>
    <x v="0"/>
    <s v="2025-05-18 18:56:05"/>
    <n v="9"/>
    <x v="10"/>
    <x v="6"/>
    <x v="1"/>
    <n v="0.970088805178833"/>
    <n v="2E+20"/>
    <n v="0.970088805178833"/>
    <n v="0.970088805178833"/>
    <n v="1"/>
    <s v="Friday (Solucion: datafono, gofre, cocina y caja compartida)EsperaPedidoH3ExpressionUser Specified"/>
    <n v="19"/>
    <n v="1.0553731068142862"/>
    <n v="0.39155855051719024"/>
    <n v="0.95"/>
    <n v="0.18872518025347579"/>
    <n v="0.71661232804193897"/>
    <n v="2.4089144698203002"/>
    <n v="0.71661232804193897"/>
    <n v="2.4089144698203002"/>
    <n v="1"/>
    <n v="0.18872518025347579"/>
    <n v="19"/>
    <n v="1"/>
  </r>
  <r>
    <x v="0"/>
    <s v="2025-05-18 18:56:05"/>
    <n v="10"/>
    <x v="10"/>
    <x v="6"/>
    <x v="1"/>
    <n v="1.2309699533994301"/>
    <n v="2E+20"/>
    <n v="1.2309699533994301"/>
    <n v="1.2309699533994301"/>
    <n v="1"/>
    <s v="Friday (Solucion: datafono, gofre, cocina y caja compartida)EsperaPedidoH3ExpressionUser Specified"/>
    <n v="19"/>
    <n v="1.0553731068142862"/>
    <n v="0.39155855051719024"/>
    <n v="0.95"/>
    <n v="0.18872518025347579"/>
    <n v="0.71661232804193897"/>
    <n v="2.4089144698203002"/>
    <n v="0.71661232804193897"/>
    <n v="2.4089144698203002"/>
    <n v="1"/>
    <n v="0.18872518025347579"/>
    <n v="19"/>
    <n v="1"/>
  </r>
  <r>
    <x v="0"/>
    <s v="2025-05-18 18:56:05"/>
    <n v="11"/>
    <x v="10"/>
    <x v="6"/>
    <x v="1"/>
    <n v="0.994434138356042"/>
    <n v="2E+20"/>
    <n v="0.994434138356042"/>
    <n v="0.994434138356042"/>
    <n v="1"/>
    <s v="Friday (Solucion: datafono, gofre, cocina y caja compartida)EsperaPedidoH3ExpressionUser Specified"/>
    <n v="19"/>
    <n v="1.0553731068142862"/>
    <n v="0.39155855051719024"/>
    <n v="0.95"/>
    <n v="0.18872518025347579"/>
    <n v="0.71661232804193897"/>
    <n v="2.4089144698203002"/>
    <n v="0.71661232804193897"/>
    <n v="2.4089144698203002"/>
    <n v="1"/>
    <n v="0.18872518025347579"/>
    <n v="19"/>
    <n v="1"/>
  </r>
  <r>
    <x v="0"/>
    <s v="2025-05-18 18:56:05"/>
    <n v="12"/>
    <x v="10"/>
    <x v="6"/>
    <x v="1"/>
    <n v="1.1244215407757401"/>
    <n v="2E+20"/>
    <n v="1.1244215407757401"/>
    <n v="1.1244215407757401"/>
    <n v="1"/>
    <s v="Friday (Solucion: datafono, gofre, cocina y caja compartida)EsperaPedidoH3ExpressionUser Specified"/>
    <n v="19"/>
    <n v="1.0553731068142862"/>
    <n v="0.39155855051719024"/>
    <n v="0.95"/>
    <n v="0.18872518025347579"/>
    <n v="0.71661232804193897"/>
    <n v="2.4089144698203002"/>
    <n v="0.71661232804193897"/>
    <n v="2.4089144698203002"/>
    <n v="1"/>
    <n v="0.18872518025347579"/>
    <n v="19"/>
    <n v="1"/>
  </r>
  <r>
    <x v="0"/>
    <s v="2025-05-18 18:56:05"/>
    <n v="13"/>
    <x v="10"/>
    <x v="6"/>
    <x v="1"/>
    <n v="0.97596321573669798"/>
    <n v="2E+20"/>
    <n v="0.97596321573669798"/>
    <n v="0.97596321573669798"/>
    <n v="1"/>
    <s v="Friday (Solucion: datafono, gofre, cocina y caja compartida)EsperaPedidoH3ExpressionUser Specified"/>
    <n v="19"/>
    <n v="1.0553731068142862"/>
    <n v="0.39155855051719024"/>
    <n v="0.95"/>
    <n v="0.18872518025347579"/>
    <n v="0.71661232804193897"/>
    <n v="2.4089144698203002"/>
    <n v="0.71661232804193897"/>
    <n v="2.4089144698203002"/>
    <n v="1"/>
    <n v="0.18872518025347579"/>
    <n v="19"/>
    <n v="1"/>
  </r>
  <r>
    <x v="0"/>
    <s v="2025-05-18 18:56:05"/>
    <n v="14"/>
    <x v="10"/>
    <x v="6"/>
    <x v="1"/>
    <n v="1.0697575399633801"/>
    <n v="2E+20"/>
    <n v="1.0697575399633801"/>
    <n v="1.0697575399633801"/>
    <n v="1"/>
    <s v="Friday (Solucion: datafono, gofre, cocina y caja compartida)EsperaPedidoH3ExpressionUser Specified"/>
    <n v="19"/>
    <n v="1.0553731068142862"/>
    <n v="0.39155855051719024"/>
    <n v="0.95"/>
    <n v="0.18872518025347579"/>
    <n v="0.71661232804193897"/>
    <n v="2.4089144698203002"/>
    <n v="0.71661232804193897"/>
    <n v="2.4089144698203002"/>
    <n v="1"/>
    <n v="0.18872518025347579"/>
    <n v="19"/>
    <n v="1"/>
  </r>
  <r>
    <x v="0"/>
    <s v="2025-05-18 18:56:05"/>
    <n v="15"/>
    <x v="10"/>
    <x v="6"/>
    <x v="1"/>
    <n v="0.93362777695488197"/>
    <n v="2E+20"/>
    <n v="0.93362777695488197"/>
    <n v="0.93362777695488197"/>
    <n v="1"/>
    <s v="Friday (Solucion: datafono, gofre, cocina y caja compartida)EsperaPedidoH3ExpressionUser Specified"/>
    <n v="19"/>
    <n v="1.0553731068142862"/>
    <n v="0.39155855051719024"/>
    <n v="0.95"/>
    <n v="0.18872518025347579"/>
    <n v="0.71661232804193897"/>
    <n v="2.4089144698203002"/>
    <n v="0.71661232804193897"/>
    <n v="2.4089144698203002"/>
    <n v="1"/>
    <n v="0.18872518025347579"/>
    <n v="19"/>
    <n v="1"/>
  </r>
  <r>
    <x v="0"/>
    <s v="2025-05-18 18:56:05"/>
    <n v="16"/>
    <x v="10"/>
    <x v="6"/>
    <x v="1"/>
    <n v="0.71661232804193897"/>
    <n v="2E+20"/>
    <n v="0.71661232804193897"/>
    <n v="0.71661232804193897"/>
    <n v="1"/>
    <s v="Friday (Solucion: datafono, gofre, cocina y caja compartida)EsperaPedidoH3ExpressionUser Specified"/>
    <n v="19"/>
    <n v="1.0553731068142862"/>
    <n v="0.39155855051719024"/>
    <n v="0.95"/>
    <n v="0.18872518025347579"/>
    <n v="0.71661232804193897"/>
    <n v="2.4089144698203002"/>
    <n v="0.71661232804193897"/>
    <n v="2.4089144698203002"/>
    <n v="1"/>
    <n v="0.18872518025347579"/>
    <n v="19"/>
    <n v="1"/>
  </r>
  <r>
    <x v="0"/>
    <s v="2025-05-18 18:56:05"/>
    <n v="17"/>
    <x v="10"/>
    <x v="6"/>
    <x v="1"/>
    <n v="0.93616934288476195"/>
    <n v="2E+20"/>
    <n v="0.93616934288476195"/>
    <n v="0.93616934288476195"/>
    <n v="1"/>
    <s v="Friday (Solucion: datafono, gofre, cocina y caja compartida)EsperaPedidoH3ExpressionUser Specified"/>
    <n v="19"/>
    <n v="1.0553731068142862"/>
    <n v="0.39155855051719024"/>
    <n v="0.95"/>
    <n v="0.18872518025347579"/>
    <n v="0.71661232804193897"/>
    <n v="2.4089144698203002"/>
    <n v="0.71661232804193897"/>
    <n v="2.4089144698203002"/>
    <n v="1"/>
    <n v="0.18872518025347579"/>
    <n v="19"/>
    <n v="1"/>
  </r>
  <r>
    <x v="0"/>
    <s v="2025-05-18 18:56:05"/>
    <n v="18"/>
    <x v="10"/>
    <x v="6"/>
    <x v="1"/>
    <n v="1.2454084172419999"/>
    <n v="2E+20"/>
    <n v="1.2454084172419999"/>
    <n v="1.2454084172419999"/>
    <n v="1"/>
    <s v="Friday (Solucion: datafono, gofre, cocina y caja compartida)EsperaPedidoH3ExpressionUser Specified"/>
    <n v="19"/>
    <n v="1.0553731068142862"/>
    <n v="0.39155855051719024"/>
    <n v="0.95"/>
    <n v="0.18872518025347579"/>
    <n v="0.71661232804193897"/>
    <n v="2.4089144698203002"/>
    <n v="0.71661232804193897"/>
    <n v="2.4089144698203002"/>
    <n v="1"/>
    <n v="0.18872518025347579"/>
    <n v="19"/>
    <n v="1"/>
  </r>
  <r>
    <x v="0"/>
    <s v="2025-05-18 18:56:05"/>
    <n v="19"/>
    <x v="10"/>
    <x v="6"/>
    <x v="1"/>
    <n v="0.76185875614695997"/>
    <n v="2E+20"/>
    <n v="0.76185875614695997"/>
    <n v="0.76185875614695997"/>
    <n v="1"/>
    <s v="Friday (Solucion: datafono, gofre, cocina y caja compartida)EsperaPedidoH3ExpressionUser Specified"/>
    <n v="19"/>
    <n v="1.0553731068142862"/>
    <n v="0.39155855051719024"/>
    <n v="0.95"/>
    <n v="0.18872518025347579"/>
    <n v="0.71661232804193897"/>
    <n v="2.4089144698203002"/>
    <n v="0.71661232804193897"/>
    <n v="2.4089144698203002"/>
    <n v="1"/>
    <n v="0.18872518025347579"/>
    <n v="19"/>
    <n v="1"/>
  </r>
  <r>
    <x v="0"/>
    <s v="2025-05-18 18:56:05"/>
    <n v="1"/>
    <x v="11"/>
    <x v="6"/>
    <x v="1"/>
    <n v="8.3884297812099806"/>
    <n v="2E+20"/>
    <n v="8.3884297812099806"/>
    <n v="8.3884297812099806"/>
    <n v="1"/>
    <s v="Friday (Solucion: datafono, gofre, cocina y caja compartida)FilaCajaH1ExpressionUser Specified"/>
    <n v="19"/>
    <n v="1.131864537901659"/>
    <n v="1.9583489808038694"/>
    <n v="0.95"/>
    <n v="0.94389399468674107"/>
    <n v="5.6414233170681803E-2"/>
    <n v="8.3884297812099806"/>
    <n v="5.6414233170681803E-2"/>
    <n v="8.3884297812099806"/>
    <n v="1"/>
    <n v="0.94389399468674107"/>
    <n v="19"/>
    <n v="1"/>
  </r>
  <r>
    <x v="0"/>
    <s v="2025-05-18 18:56:05"/>
    <n v="2"/>
    <x v="11"/>
    <x v="6"/>
    <x v="1"/>
    <n v="0.12732118226171699"/>
    <n v="2E+20"/>
    <n v="0.12732118226171699"/>
    <n v="0.12732118226171699"/>
    <n v="1"/>
    <s v="Friday (Solucion: datafono, gofre, cocina y caja compartida)FilaCajaH1ExpressionUser Specified"/>
    <n v="19"/>
    <n v="1.131864537901659"/>
    <n v="1.9583489808038694"/>
    <n v="0.95"/>
    <n v="0.94389399468674107"/>
    <n v="5.6414233170681803E-2"/>
    <n v="8.3884297812099806"/>
    <n v="5.6414233170681803E-2"/>
    <n v="8.3884297812099806"/>
    <n v="1"/>
    <n v="0.94389399468674107"/>
    <n v="19"/>
    <n v="1"/>
  </r>
  <r>
    <x v="0"/>
    <s v="2025-05-18 18:56:05"/>
    <n v="3"/>
    <x v="11"/>
    <x v="6"/>
    <x v="1"/>
    <n v="3.8896444228105"/>
    <n v="2E+20"/>
    <n v="3.8896444228105"/>
    <n v="3.8896444228105"/>
    <n v="1"/>
    <s v="Friday (Solucion: datafono, gofre, cocina y caja compartida)FilaCajaH1ExpressionUser Specified"/>
    <n v="19"/>
    <n v="1.131864537901659"/>
    <n v="1.9583489808038694"/>
    <n v="0.95"/>
    <n v="0.94389399468674107"/>
    <n v="5.6414233170681803E-2"/>
    <n v="8.3884297812099806"/>
    <n v="5.6414233170681803E-2"/>
    <n v="8.3884297812099806"/>
    <n v="1"/>
    <n v="0.94389399468674107"/>
    <n v="19"/>
    <n v="1"/>
  </r>
  <r>
    <x v="0"/>
    <s v="2025-05-18 18:56:05"/>
    <n v="4"/>
    <x v="11"/>
    <x v="6"/>
    <x v="1"/>
    <n v="0.50181383740963503"/>
    <n v="2E+20"/>
    <n v="0.50181383740963503"/>
    <n v="0.50181383740963503"/>
    <n v="1"/>
    <s v="Friday (Solucion: datafono, gofre, cocina y caja compartida)FilaCajaH1ExpressionUser Specified"/>
    <n v="19"/>
    <n v="1.131864537901659"/>
    <n v="1.9583489808038694"/>
    <n v="0.95"/>
    <n v="0.94389399468674107"/>
    <n v="5.6414233170681803E-2"/>
    <n v="8.3884297812099806"/>
    <n v="5.6414233170681803E-2"/>
    <n v="8.3884297812099806"/>
    <n v="1"/>
    <n v="0.94389399468674107"/>
    <n v="19"/>
    <n v="1"/>
  </r>
  <r>
    <x v="0"/>
    <s v="2025-05-18 18:56:05"/>
    <n v="5"/>
    <x v="11"/>
    <x v="6"/>
    <x v="1"/>
    <n v="0.24151271654037401"/>
    <n v="2E+20"/>
    <n v="0.24151271654037401"/>
    <n v="0.24151271654037401"/>
    <n v="1"/>
    <s v="Friday (Solucion: datafono, gofre, cocina y caja compartida)FilaCajaH1ExpressionUser Specified"/>
    <n v="19"/>
    <n v="1.131864537901659"/>
    <n v="1.9583489808038694"/>
    <n v="0.95"/>
    <n v="0.94389399468674107"/>
    <n v="5.6414233170681803E-2"/>
    <n v="8.3884297812099806"/>
    <n v="5.6414233170681803E-2"/>
    <n v="8.3884297812099806"/>
    <n v="1"/>
    <n v="0.94389399468674107"/>
    <n v="19"/>
    <n v="1"/>
  </r>
  <r>
    <x v="0"/>
    <s v="2025-05-18 18:56:05"/>
    <n v="6"/>
    <x v="11"/>
    <x v="6"/>
    <x v="1"/>
    <n v="0.35915058370414699"/>
    <n v="2E+20"/>
    <n v="0.35915058370414699"/>
    <n v="0.35915058370414699"/>
    <n v="1"/>
    <s v="Friday (Solucion: datafono, gofre, cocina y caja compartida)FilaCajaH1ExpressionUser Specified"/>
    <n v="19"/>
    <n v="1.131864537901659"/>
    <n v="1.9583489808038694"/>
    <n v="0.95"/>
    <n v="0.94389399468674107"/>
    <n v="5.6414233170681803E-2"/>
    <n v="8.3884297812099806"/>
    <n v="5.6414233170681803E-2"/>
    <n v="8.3884297812099806"/>
    <n v="1"/>
    <n v="0.94389399468674107"/>
    <n v="19"/>
    <n v="1"/>
  </r>
  <r>
    <x v="0"/>
    <s v="2025-05-18 18:56:05"/>
    <n v="7"/>
    <x v="11"/>
    <x v="6"/>
    <x v="1"/>
    <n v="0.29017142408227597"/>
    <n v="2E+20"/>
    <n v="0.29017142408227597"/>
    <n v="0.29017142408227597"/>
    <n v="1"/>
    <s v="Friday (Solucion: datafono, gofre, cocina y caja compartida)FilaCajaH1ExpressionUser Specified"/>
    <n v="19"/>
    <n v="1.131864537901659"/>
    <n v="1.9583489808038694"/>
    <n v="0.95"/>
    <n v="0.94389399468674107"/>
    <n v="5.6414233170681803E-2"/>
    <n v="8.3884297812099806"/>
    <n v="5.6414233170681803E-2"/>
    <n v="8.3884297812099806"/>
    <n v="1"/>
    <n v="0.94389399468674107"/>
    <n v="19"/>
    <n v="1"/>
  </r>
  <r>
    <x v="0"/>
    <s v="2025-05-18 18:56:05"/>
    <n v="8"/>
    <x v="11"/>
    <x v="6"/>
    <x v="1"/>
    <n v="0.89911710142620005"/>
    <n v="2E+20"/>
    <n v="0.89911710142620005"/>
    <n v="0.89911710142620005"/>
    <n v="1"/>
    <s v="Friday (Solucion: datafono, gofre, cocina y caja compartida)FilaCajaH1ExpressionUser Specified"/>
    <n v="19"/>
    <n v="1.131864537901659"/>
    <n v="1.9583489808038694"/>
    <n v="0.95"/>
    <n v="0.94389399468674107"/>
    <n v="5.6414233170681803E-2"/>
    <n v="8.3884297812099806"/>
    <n v="5.6414233170681803E-2"/>
    <n v="8.3884297812099806"/>
    <n v="1"/>
    <n v="0.94389399468674107"/>
    <n v="19"/>
    <n v="1"/>
  </r>
  <r>
    <x v="0"/>
    <s v="2025-05-18 18:56:05"/>
    <n v="9"/>
    <x v="11"/>
    <x v="6"/>
    <x v="1"/>
    <n v="0.563833100881036"/>
    <n v="2E+20"/>
    <n v="0.563833100881036"/>
    <n v="0.563833100881036"/>
    <n v="1"/>
    <s v="Friday (Solucion: datafono, gofre, cocina y caja compartida)FilaCajaH1ExpressionUser Specified"/>
    <n v="19"/>
    <n v="1.131864537901659"/>
    <n v="1.9583489808038694"/>
    <n v="0.95"/>
    <n v="0.94389399468674107"/>
    <n v="5.6414233170681803E-2"/>
    <n v="8.3884297812099806"/>
    <n v="5.6414233170681803E-2"/>
    <n v="8.3884297812099806"/>
    <n v="1"/>
    <n v="0.94389399468674107"/>
    <n v="19"/>
    <n v="1"/>
  </r>
  <r>
    <x v="0"/>
    <s v="2025-05-18 18:56:05"/>
    <n v="10"/>
    <x v="11"/>
    <x v="6"/>
    <x v="1"/>
    <n v="0.65990755623781305"/>
    <n v="2E+20"/>
    <n v="0.65990755623781305"/>
    <n v="0.65990755623781305"/>
    <n v="1"/>
    <s v="Friday (Solucion: datafono, gofre, cocina y caja compartida)FilaCajaH1ExpressionUser Specified"/>
    <n v="19"/>
    <n v="1.131864537901659"/>
    <n v="1.9583489808038694"/>
    <n v="0.95"/>
    <n v="0.94389399468674107"/>
    <n v="5.6414233170681803E-2"/>
    <n v="8.3884297812099806"/>
    <n v="5.6414233170681803E-2"/>
    <n v="8.3884297812099806"/>
    <n v="1"/>
    <n v="0.94389399468674107"/>
    <n v="19"/>
    <n v="1"/>
  </r>
  <r>
    <x v="0"/>
    <s v="2025-05-18 18:56:05"/>
    <n v="11"/>
    <x v="11"/>
    <x v="6"/>
    <x v="1"/>
    <n v="5.6414233170681803E-2"/>
    <n v="2E+20"/>
    <n v="5.6414233170681803E-2"/>
    <n v="5.6414233170681803E-2"/>
    <n v="1"/>
    <s v="Friday (Solucion: datafono, gofre, cocina y caja compartida)FilaCajaH1ExpressionUser Specified"/>
    <n v="19"/>
    <n v="1.131864537901659"/>
    <n v="1.9583489808038694"/>
    <n v="0.95"/>
    <n v="0.94389399468674107"/>
    <n v="5.6414233170681803E-2"/>
    <n v="8.3884297812099806"/>
    <n v="5.6414233170681803E-2"/>
    <n v="8.3884297812099806"/>
    <n v="1"/>
    <n v="0.94389399468674107"/>
    <n v="19"/>
    <n v="1"/>
  </r>
  <r>
    <x v="0"/>
    <s v="2025-05-18 18:56:05"/>
    <n v="12"/>
    <x v="11"/>
    <x v="6"/>
    <x v="1"/>
    <n v="1.5485189445491701"/>
    <n v="2E+20"/>
    <n v="1.5485189445491701"/>
    <n v="1.5485189445491701"/>
    <n v="1"/>
    <s v="Friday (Solucion: datafono, gofre, cocina y caja compartida)FilaCajaH1ExpressionUser Specified"/>
    <n v="19"/>
    <n v="1.131864537901659"/>
    <n v="1.9583489808038694"/>
    <n v="0.95"/>
    <n v="0.94389399468674107"/>
    <n v="5.6414233170681803E-2"/>
    <n v="8.3884297812099806"/>
    <n v="5.6414233170681803E-2"/>
    <n v="8.3884297812099806"/>
    <n v="1"/>
    <n v="0.94389399468674107"/>
    <n v="19"/>
    <n v="1"/>
  </r>
  <r>
    <x v="0"/>
    <s v="2025-05-18 18:56:05"/>
    <n v="13"/>
    <x v="11"/>
    <x v="6"/>
    <x v="1"/>
    <n v="0.27853215595487502"/>
    <n v="2E+20"/>
    <n v="0.27853215595487502"/>
    <n v="0.27853215595487502"/>
    <n v="1"/>
    <s v="Friday (Solucion: datafono, gofre, cocina y caja compartida)FilaCajaH1ExpressionUser Specified"/>
    <n v="19"/>
    <n v="1.131864537901659"/>
    <n v="1.9583489808038694"/>
    <n v="0.95"/>
    <n v="0.94389399468674107"/>
    <n v="5.6414233170681803E-2"/>
    <n v="8.3884297812099806"/>
    <n v="5.6414233170681803E-2"/>
    <n v="8.3884297812099806"/>
    <n v="1"/>
    <n v="0.94389399468674107"/>
    <n v="19"/>
    <n v="1"/>
  </r>
  <r>
    <x v="0"/>
    <s v="2025-05-18 18:56:05"/>
    <n v="14"/>
    <x v="11"/>
    <x v="6"/>
    <x v="1"/>
    <n v="0.44455931012278199"/>
    <n v="2E+20"/>
    <n v="0.44455931012278199"/>
    <n v="0.44455931012278199"/>
    <n v="1"/>
    <s v="Friday (Solucion: datafono, gofre, cocina y caja compartida)FilaCajaH1ExpressionUser Specified"/>
    <n v="19"/>
    <n v="1.131864537901659"/>
    <n v="1.9583489808038694"/>
    <n v="0.95"/>
    <n v="0.94389399468674107"/>
    <n v="5.6414233170681803E-2"/>
    <n v="8.3884297812099806"/>
    <n v="5.6414233170681803E-2"/>
    <n v="8.3884297812099806"/>
    <n v="1"/>
    <n v="0.94389399468674107"/>
    <n v="19"/>
    <n v="1"/>
  </r>
  <r>
    <x v="0"/>
    <s v="2025-05-18 18:56:05"/>
    <n v="15"/>
    <x v="11"/>
    <x v="6"/>
    <x v="1"/>
    <n v="0.59468198735382805"/>
    <n v="2E+20"/>
    <n v="0.59468198735382805"/>
    <n v="0.59468198735382805"/>
    <n v="1"/>
    <s v="Friday (Solucion: datafono, gofre, cocina y caja compartida)FilaCajaH1ExpressionUser Specified"/>
    <n v="19"/>
    <n v="1.131864537901659"/>
    <n v="1.9583489808038694"/>
    <n v="0.95"/>
    <n v="0.94389399468674107"/>
    <n v="5.6414233170681803E-2"/>
    <n v="8.3884297812099806"/>
    <n v="5.6414233170681803E-2"/>
    <n v="8.3884297812099806"/>
    <n v="1"/>
    <n v="0.94389399468674107"/>
    <n v="19"/>
    <n v="1"/>
  </r>
  <r>
    <x v="0"/>
    <s v="2025-05-18 18:56:05"/>
    <n v="16"/>
    <x v="11"/>
    <x v="6"/>
    <x v="1"/>
    <n v="0.40020176560491799"/>
    <n v="2E+20"/>
    <n v="0.40020176560491799"/>
    <n v="0.40020176560491799"/>
    <n v="1"/>
    <s v="Friday (Solucion: datafono, gofre, cocina y caja compartida)FilaCajaH1ExpressionUser Specified"/>
    <n v="19"/>
    <n v="1.131864537901659"/>
    <n v="1.9583489808038694"/>
    <n v="0.95"/>
    <n v="0.94389399468674107"/>
    <n v="5.6414233170681803E-2"/>
    <n v="8.3884297812099806"/>
    <n v="5.6414233170681803E-2"/>
    <n v="8.3884297812099806"/>
    <n v="1"/>
    <n v="0.94389399468674107"/>
    <n v="19"/>
    <n v="1"/>
  </r>
  <r>
    <x v="0"/>
    <s v="2025-05-18 18:56:05"/>
    <n v="17"/>
    <x v="11"/>
    <x v="6"/>
    <x v="1"/>
    <n v="0.62983071462803097"/>
    <n v="2E+20"/>
    <n v="0.62983071462803097"/>
    <n v="0.62983071462803097"/>
    <n v="1"/>
    <s v="Friday (Solucion: datafono, gofre, cocina y caja compartida)FilaCajaH1ExpressionUser Specified"/>
    <n v="19"/>
    <n v="1.131864537901659"/>
    <n v="1.9583489808038694"/>
    <n v="0.95"/>
    <n v="0.94389399468674107"/>
    <n v="5.6414233170681803E-2"/>
    <n v="8.3884297812099806"/>
    <n v="5.6414233170681803E-2"/>
    <n v="8.3884297812099806"/>
    <n v="1"/>
    <n v="0.94389399468674107"/>
    <n v="19"/>
    <n v="1"/>
  </r>
  <r>
    <x v="0"/>
    <s v="2025-05-18 18:56:05"/>
    <n v="18"/>
    <x v="11"/>
    <x v="6"/>
    <x v="1"/>
    <n v="1.4712510549553599"/>
    <n v="2E+20"/>
    <n v="1.4712510549553599"/>
    <n v="1.4712510549553599"/>
    <n v="1"/>
    <s v="Friday (Solucion: datafono, gofre, cocina y caja compartida)FilaCajaH1ExpressionUser Specified"/>
    <n v="19"/>
    <n v="1.131864537901659"/>
    <n v="1.9583489808038694"/>
    <n v="0.95"/>
    <n v="0.94389399468674107"/>
    <n v="5.6414233170681803E-2"/>
    <n v="8.3884297812099806"/>
    <n v="5.6414233170681803E-2"/>
    <n v="8.3884297812099806"/>
    <n v="1"/>
    <n v="0.94389399468674107"/>
    <n v="19"/>
    <n v="1"/>
  </r>
  <r>
    <x v="0"/>
    <s v="2025-05-18 18:56:05"/>
    <n v="19"/>
    <x v="11"/>
    <x v="6"/>
    <x v="1"/>
    <n v="0.16053434722820001"/>
    <n v="2E+20"/>
    <n v="0.16053434722820001"/>
    <n v="0.16053434722820001"/>
    <n v="1"/>
    <s v="Friday (Solucion: datafono, gofre, cocina y caja compartida)FilaCajaH1ExpressionUser Specified"/>
    <n v="19"/>
    <n v="1.131864537901659"/>
    <n v="1.9583489808038694"/>
    <n v="0.95"/>
    <n v="0.94389399468674107"/>
    <n v="5.6414233170681803E-2"/>
    <n v="8.3884297812099806"/>
    <n v="5.6414233170681803E-2"/>
    <n v="8.3884297812099806"/>
    <n v="1"/>
    <n v="0.94389399468674107"/>
    <n v="19"/>
    <n v="1"/>
  </r>
  <r>
    <x v="0"/>
    <s v="2025-05-18 18:56:05"/>
    <n v="1"/>
    <x v="12"/>
    <x v="6"/>
    <x v="1"/>
    <n v="4.9105552194345297"/>
    <n v="2E+20"/>
    <n v="4.9105552194345297"/>
    <n v="4.9105552194345297"/>
    <n v="1"/>
    <s v="Friday (Solucion: datafono, gofre, cocina y caja compartida)FilaCajaH2ExpressionUser Specified"/>
    <n v="19"/>
    <n v="0.83518042792693359"/>
    <n v="1.0920918514225872"/>
    <n v="0.95"/>
    <n v="0.52637142322864783"/>
    <n v="0.19671910787576599"/>
    <n v="4.9105552194345297"/>
    <n v="0.19671910787576599"/>
    <n v="4.9105552194345297"/>
    <n v="1"/>
    <n v="0.52637142322864783"/>
    <n v="19"/>
    <n v="1"/>
  </r>
  <r>
    <x v="0"/>
    <s v="2025-05-18 18:56:05"/>
    <n v="2"/>
    <x v="12"/>
    <x v="6"/>
    <x v="1"/>
    <n v="0.249368149841139"/>
    <n v="2E+20"/>
    <n v="0.249368149841139"/>
    <n v="0.249368149841139"/>
    <n v="1"/>
    <s v="Friday (Solucion: datafono, gofre, cocina y caja compartida)FilaCajaH2ExpressionUser Specified"/>
    <n v="19"/>
    <n v="0.83518042792693359"/>
    <n v="1.0920918514225872"/>
    <n v="0.95"/>
    <n v="0.52637142322864783"/>
    <n v="0.19671910787576599"/>
    <n v="4.9105552194345297"/>
    <n v="0.19671910787576599"/>
    <n v="4.9105552194345297"/>
    <n v="1"/>
    <n v="0.52637142322864783"/>
    <n v="19"/>
    <n v="1"/>
  </r>
  <r>
    <x v="0"/>
    <s v="2025-05-18 18:56:05"/>
    <n v="3"/>
    <x v="12"/>
    <x v="6"/>
    <x v="1"/>
    <n v="2.1774757323578302"/>
    <n v="2E+20"/>
    <n v="2.1774757323578302"/>
    <n v="2.1774757323578302"/>
    <n v="1"/>
    <s v="Friday (Solucion: datafono, gofre, cocina y caja compartida)FilaCajaH2ExpressionUser Specified"/>
    <n v="19"/>
    <n v="0.83518042792693359"/>
    <n v="1.0920918514225872"/>
    <n v="0.95"/>
    <n v="0.52637142322864783"/>
    <n v="0.19671910787576599"/>
    <n v="4.9105552194345297"/>
    <n v="0.19671910787576599"/>
    <n v="4.9105552194345297"/>
    <n v="1"/>
    <n v="0.52637142322864783"/>
    <n v="19"/>
    <n v="1"/>
  </r>
  <r>
    <x v="0"/>
    <s v="2025-05-18 18:56:05"/>
    <n v="4"/>
    <x v="12"/>
    <x v="6"/>
    <x v="1"/>
    <n v="0.33233625554801399"/>
    <n v="2E+20"/>
    <n v="0.33233625554801399"/>
    <n v="0.33233625554801399"/>
    <n v="1"/>
    <s v="Friday (Solucion: datafono, gofre, cocina y caja compartida)FilaCajaH2ExpressionUser Specified"/>
    <n v="19"/>
    <n v="0.83518042792693359"/>
    <n v="1.0920918514225872"/>
    <n v="0.95"/>
    <n v="0.52637142322864783"/>
    <n v="0.19671910787576599"/>
    <n v="4.9105552194345297"/>
    <n v="0.19671910787576599"/>
    <n v="4.9105552194345297"/>
    <n v="1"/>
    <n v="0.52637142322864783"/>
    <n v="19"/>
    <n v="1"/>
  </r>
  <r>
    <x v="0"/>
    <s v="2025-05-18 18:56:05"/>
    <n v="5"/>
    <x v="12"/>
    <x v="6"/>
    <x v="1"/>
    <n v="0.19671910787576599"/>
    <n v="2E+20"/>
    <n v="0.19671910787576599"/>
    <n v="0.19671910787576599"/>
    <n v="1"/>
    <s v="Friday (Solucion: datafono, gofre, cocina y caja compartida)FilaCajaH2ExpressionUser Specified"/>
    <n v="19"/>
    <n v="0.83518042792693359"/>
    <n v="1.0920918514225872"/>
    <n v="0.95"/>
    <n v="0.52637142322864783"/>
    <n v="0.19671910787576599"/>
    <n v="4.9105552194345297"/>
    <n v="0.19671910787576599"/>
    <n v="4.9105552194345297"/>
    <n v="1"/>
    <n v="0.52637142322864783"/>
    <n v="19"/>
    <n v="1"/>
  </r>
  <r>
    <x v="0"/>
    <s v="2025-05-18 18:56:05"/>
    <n v="6"/>
    <x v="12"/>
    <x v="6"/>
    <x v="1"/>
    <n v="0.27377851897953298"/>
    <n v="2E+20"/>
    <n v="0.27377851897953298"/>
    <n v="0.27377851897953298"/>
    <n v="1"/>
    <s v="Friday (Solucion: datafono, gofre, cocina y caja compartida)FilaCajaH2ExpressionUser Specified"/>
    <n v="19"/>
    <n v="0.83518042792693359"/>
    <n v="1.0920918514225872"/>
    <n v="0.95"/>
    <n v="0.52637142322864783"/>
    <n v="0.19671910787576599"/>
    <n v="4.9105552194345297"/>
    <n v="0.19671910787576599"/>
    <n v="4.9105552194345297"/>
    <n v="1"/>
    <n v="0.52637142322864783"/>
    <n v="19"/>
    <n v="1"/>
  </r>
  <r>
    <x v="0"/>
    <s v="2025-05-18 18:56:05"/>
    <n v="7"/>
    <x v="12"/>
    <x v="6"/>
    <x v="1"/>
    <n v="0.61526660732772398"/>
    <n v="2E+20"/>
    <n v="0.61526660732772398"/>
    <n v="0.61526660732772398"/>
    <n v="1"/>
    <s v="Friday (Solucion: datafono, gofre, cocina y caja compartida)FilaCajaH2ExpressionUser Specified"/>
    <n v="19"/>
    <n v="0.83518042792693359"/>
    <n v="1.0920918514225872"/>
    <n v="0.95"/>
    <n v="0.52637142322864783"/>
    <n v="0.19671910787576599"/>
    <n v="4.9105552194345297"/>
    <n v="0.19671910787576599"/>
    <n v="4.9105552194345297"/>
    <n v="1"/>
    <n v="0.52637142322864783"/>
    <n v="19"/>
    <n v="1"/>
  </r>
  <r>
    <x v="0"/>
    <s v="2025-05-18 18:56:05"/>
    <n v="8"/>
    <x v="12"/>
    <x v="6"/>
    <x v="1"/>
    <n v="0.97282426727282301"/>
    <n v="2E+20"/>
    <n v="0.97282426727282301"/>
    <n v="0.97282426727282301"/>
    <n v="1"/>
    <s v="Friday (Solucion: datafono, gofre, cocina y caja compartida)FilaCajaH2ExpressionUser Specified"/>
    <n v="19"/>
    <n v="0.83518042792693359"/>
    <n v="1.0920918514225872"/>
    <n v="0.95"/>
    <n v="0.52637142322864783"/>
    <n v="0.19671910787576599"/>
    <n v="4.9105552194345297"/>
    <n v="0.19671910787576599"/>
    <n v="4.9105552194345297"/>
    <n v="1"/>
    <n v="0.52637142322864783"/>
    <n v="19"/>
    <n v="1"/>
  </r>
  <r>
    <x v="0"/>
    <s v="2025-05-18 18:56:05"/>
    <n v="9"/>
    <x v="12"/>
    <x v="6"/>
    <x v="1"/>
    <n v="0.44535820946071802"/>
    <n v="2E+20"/>
    <n v="0.44535820946071802"/>
    <n v="0.44535820946071802"/>
    <n v="1"/>
    <s v="Friday (Solucion: datafono, gofre, cocina y caja compartida)FilaCajaH2ExpressionUser Specified"/>
    <n v="19"/>
    <n v="0.83518042792693359"/>
    <n v="1.0920918514225872"/>
    <n v="0.95"/>
    <n v="0.52637142322864783"/>
    <n v="0.19671910787576599"/>
    <n v="4.9105552194345297"/>
    <n v="0.19671910787576599"/>
    <n v="4.9105552194345297"/>
    <n v="1"/>
    <n v="0.52637142322864783"/>
    <n v="19"/>
    <n v="1"/>
  </r>
  <r>
    <x v="0"/>
    <s v="2025-05-18 18:56:05"/>
    <n v="10"/>
    <x v="12"/>
    <x v="6"/>
    <x v="1"/>
    <n v="0.90761621154290895"/>
    <n v="2E+20"/>
    <n v="0.90761621154290895"/>
    <n v="0.90761621154290895"/>
    <n v="1"/>
    <s v="Friday (Solucion: datafono, gofre, cocina y caja compartida)FilaCajaH2ExpressionUser Specified"/>
    <n v="19"/>
    <n v="0.83518042792693359"/>
    <n v="1.0920918514225872"/>
    <n v="0.95"/>
    <n v="0.52637142322864783"/>
    <n v="0.19671910787576599"/>
    <n v="4.9105552194345297"/>
    <n v="0.19671910787576599"/>
    <n v="4.9105552194345297"/>
    <n v="1"/>
    <n v="0.52637142322864783"/>
    <n v="19"/>
    <n v="1"/>
  </r>
  <r>
    <x v="0"/>
    <s v="2025-05-18 18:56:05"/>
    <n v="11"/>
    <x v="12"/>
    <x v="6"/>
    <x v="1"/>
    <n v="0.29416950447710899"/>
    <n v="2E+20"/>
    <n v="0.29416950447710899"/>
    <n v="0.29416950447710899"/>
    <n v="1"/>
    <s v="Friday (Solucion: datafono, gofre, cocina y caja compartida)FilaCajaH2ExpressionUser Specified"/>
    <n v="19"/>
    <n v="0.83518042792693359"/>
    <n v="1.0920918514225872"/>
    <n v="0.95"/>
    <n v="0.52637142322864783"/>
    <n v="0.19671910787576599"/>
    <n v="4.9105552194345297"/>
    <n v="0.19671910787576599"/>
    <n v="4.9105552194345297"/>
    <n v="1"/>
    <n v="0.52637142322864783"/>
    <n v="19"/>
    <n v="1"/>
  </r>
  <r>
    <x v="0"/>
    <s v="2025-05-18 18:56:05"/>
    <n v="12"/>
    <x v="12"/>
    <x v="6"/>
    <x v="1"/>
    <n v="0.98717731221285199"/>
    <n v="2E+20"/>
    <n v="0.98717731221285199"/>
    <n v="0.98717731221285199"/>
    <n v="1"/>
    <s v="Friday (Solucion: datafono, gofre, cocina y caja compartida)FilaCajaH2ExpressionUser Specified"/>
    <n v="19"/>
    <n v="0.83518042792693359"/>
    <n v="1.0920918514225872"/>
    <n v="0.95"/>
    <n v="0.52637142322864783"/>
    <n v="0.19671910787576599"/>
    <n v="4.9105552194345297"/>
    <n v="0.19671910787576599"/>
    <n v="4.9105552194345297"/>
    <n v="1"/>
    <n v="0.52637142322864783"/>
    <n v="19"/>
    <n v="1"/>
  </r>
  <r>
    <x v="0"/>
    <s v="2025-05-18 18:56:05"/>
    <n v="13"/>
    <x v="12"/>
    <x v="6"/>
    <x v="1"/>
    <n v="0.41810951429772097"/>
    <n v="2E+20"/>
    <n v="0.41810951429772097"/>
    <n v="0.41810951429772097"/>
    <n v="1"/>
    <s v="Friday (Solucion: datafono, gofre, cocina y caja compartida)FilaCajaH2ExpressionUser Specified"/>
    <n v="19"/>
    <n v="0.83518042792693359"/>
    <n v="1.0920918514225872"/>
    <n v="0.95"/>
    <n v="0.52637142322864783"/>
    <n v="0.19671910787576599"/>
    <n v="4.9105552194345297"/>
    <n v="0.19671910787576599"/>
    <n v="4.9105552194345297"/>
    <n v="1"/>
    <n v="0.52637142322864783"/>
    <n v="19"/>
    <n v="1"/>
  </r>
  <r>
    <x v="0"/>
    <s v="2025-05-18 18:56:05"/>
    <n v="14"/>
    <x v="12"/>
    <x v="6"/>
    <x v="1"/>
    <n v="0.31951142547355899"/>
    <n v="2E+20"/>
    <n v="0.31951142547355899"/>
    <n v="0.31951142547355899"/>
    <n v="1"/>
    <s v="Friday (Solucion: datafono, gofre, cocina y caja compartida)FilaCajaH2ExpressionUser Specified"/>
    <n v="19"/>
    <n v="0.83518042792693359"/>
    <n v="1.0920918514225872"/>
    <n v="0.95"/>
    <n v="0.52637142322864783"/>
    <n v="0.19671910787576599"/>
    <n v="4.9105552194345297"/>
    <n v="0.19671910787576599"/>
    <n v="4.9105552194345297"/>
    <n v="1"/>
    <n v="0.52637142322864783"/>
    <n v="19"/>
    <n v="1"/>
  </r>
  <r>
    <x v="0"/>
    <s v="2025-05-18 18:56:05"/>
    <n v="15"/>
    <x v="12"/>
    <x v="6"/>
    <x v="1"/>
    <n v="0.44049814195118703"/>
    <n v="2E+20"/>
    <n v="0.44049814195118703"/>
    <n v="0.44049814195118703"/>
    <n v="1"/>
    <s v="Friday (Solucion: datafono, gofre, cocina y caja compartida)FilaCajaH2ExpressionUser Specified"/>
    <n v="19"/>
    <n v="0.83518042792693359"/>
    <n v="1.0920918514225872"/>
    <n v="0.95"/>
    <n v="0.52637142322864783"/>
    <n v="0.19671910787576599"/>
    <n v="4.9105552194345297"/>
    <n v="0.19671910787576599"/>
    <n v="4.9105552194345297"/>
    <n v="1"/>
    <n v="0.52637142322864783"/>
    <n v="19"/>
    <n v="1"/>
  </r>
  <r>
    <x v="0"/>
    <s v="2025-05-18 18:56:05"/>
    <n v="16"/>
    <x v="12"/>
    <x v="6"/>
    <x v="1"/>
    <n v="0.27061186916962099"/>
    <n v="2E+20"/>
    <n v="0.27061186916962099"/>
    <n v="0.27061186916962099"/>
    <n v="1"/>
    <s v="Friday (Solucion: datafono, gofre, cocina y caja compartida)FilaCajaH2ExpressionUser Specified"/>
    <n v="19"/>
    <n v="0.83518042792693359"/>
    <n v="1.0920918514225872"/>
    <n v="0.95"/>
    <n v="0.52637142322864783"/>
    <n v="0.19671910787576599"/>
    <n v="4.9105552194345297"/>
    <n v="0.19671910787576599"/>
    <n v="4.9105552194345297"/>
    <n v="1"/>
    <n v="0.52637142322864783"/>
    <n v="19"/>
    <n v="1"/>
  </r>
  <r>
    <x v="0"/>
    <s v="2025-05-18 18:56:05"/>
    <n v="17"/>
    <x v="12"/>
    <x v="6"/>
    <x v="1"/>
    <n v="0.73264775825719997"/>
    <n v="2E+20"/>
    <n v="0.73264775825719997"/>
    <n v="0.73264775825719997"/>
    <n v="1"/>
    <s v="Friday (Solucion: datafono, gofre, cocina y caja compartida)FilaCajaH2ExpressionUser Specified"/>
    <n v="19"/>
    <n v="0.83518042792693359"/>
    <n v="1.0920918514225872"/>
    <n v="0.95"/>
    <n v="0.52637142322864783"/>
    <n v="0.19671910787576599"/>
    <n v="4.9105552194345297"/>
    <n v="0.19671910787576599"/>
    <n v="4.9105552194345297"/>
    <n v="1"/>
    <n v="0.52637142322864783"/>
    <n v="19"/>
    <n v="1"/>
  </r>
  <r>
    <x v="0"/>
    <s v="2025-05-18 18:56:05"/>
    <n v="18"/>
    <x v="12"/>
    <x v="6"/>
    <x v="1"/>
    <n v="0.98904383655712302"/>
    <n v="2E+20"/>
    <n v="0.98904383655712302"/>
    <n v="0.98904383655712302"/>
    <n v="1"/>
    <s v="Friday (Solucion: datafono, gofre, cocina y caja compartida)FilaCajaH2ExpressionUser Specified"/>
    <n v="19"/>
    <n v="0.83518042792693359"/>
    <n v="1.0920918514225872"/>
    <n v="0.95"/>
    <n v="0.52637142322864783"/>
    <n v="0.19671910787576599"/>
    <n v="4.9105552194345297"/>
    <n v="0.19671910787576599"/>
    <n v="4.9105552194345297"/>
    <n v="1"/>
    <n v="0.52637142322864783"/>
    <n v="19"/>
    <n v="1"/>
  </r>
  <r>
    <x v="0"/>
    <s v="2025-05-18 18:56:05"/>
    <n v="19"/>
    <x v="12"/>
    <x v="6"/>
    <x v="1"/>
    <n v="0.335360488574383"/>
    <n v="2E+20"/>
    <n v="0.335360488574383"/>
    <n v="0.335360488574383"/>
    <n v="1"/>
    <s v="Friday (Solucion: datafono, gofre, cocina y caja compartida)FilaCajaH2ExpressionUser Specified"/>
    <n v="19"/>
    <n v="0.83518042792693359"/>
    <n v="1.0920918514225872"/>
    <n v="0.95"/>
    <n v="0.52637142322864783"/>
    <n v="0.19671910787576599"/>
    <n v="4.9105552194345297"/>
    <n v="0.19671910787576599"/>
    <n v="4.9105552194345297"/>
    <n v="1"/>
    <n v="0.52637142322864783"/>
    <n v="19"/>
    <n v="1"/>
  </r>
  <r>
    <x v="0"/>
    <s v="2025-05-18 18:56:05"/>
    <n v="1"/>
    <x v="13"/>
    <x v="6"/>
    <x v="1"/>
    <n v="3.6335836290778101"/>
    <n v="2E+20"/>
    <n v="3.6335836290778101"/>
    <n v="3.6335836290778101"/>
    <n v="1"/>
    <s v="Friday (Solucion: datafono, gofre, cocina y caja compartida)FilaCajaH3ExpressionUser Specified"/>
    <n v="19"/>
    <n v="0.78149191546140195"/>
    <n v="0.76490392090955872"/>
    <n v="0.95"/>
    <n v="0.3686718886858002"/>
    <n v="0.24910662918173601"/>
    <n v="3.6335836290778101"/>
    <n v="0.24910662918173601"/>
    <n v="3.6335836290778101"/>
    <n v="1"/>
    <n v="0.3686718886858002"/>
    <n v="19"/>
    <n v="1"/>
  </r>
  <r>
    <x v="0"/>
    <s v="2025-05-18 18:56:05"/>
    <n v="2"/>
    <x v="13"/>
    <x v="6"/>
    <x v="1"/>
    <n v="0.50978160160577102"/>
    <n v="2E+20"/>
    <n v="0.50978160160577102"/>
    <n v="0.50978160160577102"/>
    <n v="1"/>
    <s v="Friday (Solucion: datafono, gofre, cocina y caja compartida)FilaCajaH3ExpressionUser Specified"/>
    <n v="19"/>
    <n v="0.78149191546140195"/>
    <n v="0.76490392090955872"/>
    <n v="0.95"/>
    <n v="0.3686718886858002"/>
    <n v="0.24910662918173601"/>
    <n v="3.6335836290778101"/>
    <n v="0.24910662918173601"/>
    <n v="3.6335836290778101"/>
    <n v="1"/>
    <n v="0.3686718886858002"/>
    <n v="19"/>
    <n v="1"/>
  </r>
  <r>
    <x v="0"/>
    <s v="2025-05-18 18:56:05"/>
    <n v="3"/>
    <x v="13"/>
    <x v="6"/>
    <x v="1"/>
    <n v="1.5548313957131701"/>
    <n v="2E+20"/>
    <n v="1.5548313957131701"/>
    <n v="1.5548313957131701"/>
    <n v="1"/>
    <s v="Friday (Solucion: datafono, gofre, cocina y caja compartida)FilaCajaH3ExpressionUser Specified"/>
    <n v="19"/>
    <n v="0.78149191546140195"/>
    <n v="0.76490392090955872"/>
    <n v="0.95"/>
    <n v="0.3686718886858002"/>
    <n v="0.24910662918173601"/>
    <n v="3.6335836290778101"/>
    <n v="0.24910662918173601"/>
    <n v="3.6335836290778101"/>
    <n v="1"/>
    <n v="0.3686718886858002"/>
    <n v="19"/>
    <n v="1"/>
  </r>
  <r>
    <x v="0"/>
    <s v="2025-05-18 18:56:05"/>
    <n v="4"/>
    <x v="13"/>
    <x v="6"/>
    <x v="1"/>
    <n v="0.32733395472244697"/>
    <n v="2E+20"/>
    <n v="0.32733395472244697"/>
    <n v="0.32733395472244697"/>
    <n v="1"/>
    <s v="Friday (Solucion: datafono, gofre, cocina y caja compartida)FilaCajaH3ExpressionUser Specified"/>
    <n v="19"/>
    <n v="0.78149191546140195"/>
    <n v="0.76490392090955872"/>
    <n v="0.95"/>
    <n v="0.3686718886858002"/>
    <n v="0.24910662918173601"/>
    <n v="3.6335836290778101"/>
    <n v="0.24910662918173601"/>
    <n v="3.6335836290778101"/>
    <n v="1"/>
    <n v="0.3686718886858002"/>
    <n v="19"/>
    <n v="1"/>
  </r>
  <r>
    <x v="0"/>
    <s v="2025-05-18 18:56:05"/>
    <n v="5"/>
    <x v="13"/>
    <x v="6"/>
    <x v="1"/>
    <n v="0.26672229382496299"/>
    <n v="2E+20"/>
    <n v="0.26672229382496299"/>
    <n v="0.26672229382496299"/>
    <n v="1"/>
    <s v="Friday (Solucion: datafono, gofre, cocina y caja compartida)FilaCajaH3ExpressionUser Specified"/>
    <n v="19"/>
    <n v="0.78149191546140195"/>
    <n v="0.76490392090955872"/>
    <n v="0.95"/>
    <n v="0.3686718886858002"/>
    <n v="0.24910662918173601"/>
    <n v="3.6335836290778101"/>
    <n v="0.24910662918173601"/>
    <n v="3.6335836290778101"/>
    <n v="1"/>
    <n v="0.3686718886858002"/>
    <n v="19"/>
    <n v="1"/>
  </r>
  <r>
    <x v="0"/>
    <s v="2025-05-18 18:56:05"/>
    <n v="6"/>
    <x v="13"/>
    <x v="6"/>
    <x v="1"/>
    <n v="0.264570359205751"/>
    <n v="2E+20"/>
    <n v="0.264570359205751"/>
    <n v="0.264570359205751"/>
    <n v="1"/>
    <s v="Friday (Solucion: datafono, gofre, cocina y caja compartida)FilaCajaH3ExpressionUser Specified"/>
    <n v="19"/>
    <n v="0.78149191546140195"/>
    <n v="0.76490392090955872"/>
    <n v="0.95"/>
    <n v="0.3686718886858002"/>
    <n v="0.24910662918173601"/>
    <n v="3.6335836290778101"/>
    <n v="0.24910662918173601"/>
    <n v="3.6335836290778101"/>
    <n v="1"/>
    <n v="0.3686718886858002"/>
    <n v="19"/>
    <n v="1"/>
  </r>
  <r>
    <x v="0"/>
    <s v="2025-05-18 18:56:05"/>
    <n v="7"/>
    <x v="13"/>
    <x v="6"/>
    <x v="1"/>
    <n v="0.47655011559389299"/>
    <n v="2E+20"/>
    <n v="0.47655011559389299"/>
    <n v="0.47655011559389299"/>
    <n v="1"/>
    <s v="Friday (Solucion: datafono, gofre, cocina y caja compartida)FilaCajaH3ExpressionUser Specified"/>
    <n v="19"/>
    <n v="0.78149191546140195"/>
    <n v="0.76490392090955872"/>
    <n v="0.95"/>
    <n v="0.3686718886858002"/>
    <n v="0.24910662918173601"/>
    <n v="3.6335836290778101"/>
    <n v="0.24910662918173601"/>
    <n v="3.6335836290778101"/>
    <n v="1"/>
    <n v="0.3686718886858002"/>
    <n v="19"/>
    <n v="1"/>
  </r>
  <r>
    <x v="0"/>
    <s v="2025-05-18 18:56:05"/>
    <n v="8"/>
    <x v="13"/>
    <x v="6"/>
    <x v="1"/>
    <n v="0.75130528662017104"/>
    <n v="2E+20"/>
    <n v="0.75130528662017104"/>
    <n v="0.75130528662017104"/>
    <n v="1"/>
    <s v="Friday (Solucion: datafono, gofre, cocina y caja compartida)FilaCajaH3ExpressionUser Specified"/>
    <n v="19"/>
    <n v="0.78149191546140195"/>
    <n v="0.76490392090955872"/>
    <n v="0.95"/>
    <n v="0.3686718886858002"/>
    <n v="0.24910662918173601"/>
    <n v="3.6335836290778101"/>
    <n v="0.24910662918173601"/>
    <n v="3.6335836290778101"/>
    <n v="1"/>
    <n v="0.3686718886858002"/>
    <n v="19"/>
    <n v="1"/>
  </r>
  <r>
    <x v="0"/>
    <s v="2025-05-18 18:56:05"/>
    <n v="9"/>
    <x v="13"/>
    <x v="6"/>
    <x v="1"/>
    <n v="0.380575983419984"/>
    <n v="2E+20"/>
    <n v="0.380575983419984"/>
    <n v="0.380575983419984"/>
    <n v="1"/>
    <s v="Friday (Solucion: datafono, gofre, cocina y caja compartida)FilaCajaH3ExpressionUser Specified"/>
    <n v="19"/>
    <n v="0.78149191546140195"/>
    <n v="0.76490392090955872"/>
    <n v="0.95"/>
    <n v="0.3686718886858002"/>
    <n v="0.24910662918173601"/>
    <n v="3.6335836290778101"/>
    <n v="0.24910662918173601"/>
    <n v="3.6335836290778101"/>
    <n v="1"/>
    <n v="0.3686718886858002"/>
    <n v="19"/>
    <n v="1"/>
  </r>
  <r>
    <x v="0"/>
    <s v="2025-05-18 18:56:05"/>
    <n v="10"/>
    <x v="13"/>
    <x v="6"/>
    <x v="1"/>
    <n v="1.0278119850307299"/>
    <n v="2E+20"/>
    <n v="1.0278119850307299"/>
    <n v="1.0278119850307299"/>
    <n v="1"/>
    <s v="Friday (Solucion: datafono, gofre, cocina y caja compartida)FilaCajaH3ExpressionUser Specified"/>
    <n v="19"/>
    <n v="0.78149191546140195"/>
    <n v="0.76490392090955872"/>
    <n v="0.95"/>
    <n v="0.3686718886858002"/>
    <n v="0.24910662918173601"/>
    <n v="3.6335836290778101"/>
    <n v="0.24910662918173601"/>
    <n v="3.6335836290778101"/>
    <n v="1"/>
    <n v="0.3686718886858002"/>
    <n v="19"/>
    <n v="1"/>
  </r>
  <r>
    <x v="0"/>
    <s v="2025-05-18 18:56:05"/>
    <n v="11"/>
    <x v="13"/>
    <x v="6"/>
    <x v="1"/>
    <n v="0.64951868937698198"/>
    <n v="2E+20"/>
    <n v="0.64951868937698198"/>
    <n v="0.64951868937698198"/>
    <n v="1"/>
    <s v="Friday (Solucion: datafono, gofre, cocina y caja compartida)FilaCajaH3ExpressionUser Specified"/>
    <n v="19"/>
    <n v="0.78149191546140195"/>
    <n v="0.76490392090955872"/>
    <n v="0.95"/>
    <n v="0.3686718886858002"/>
    <n v="0.24910662918173601"/>
    <n v="3.6335836290778101"/>
    <n v="0.24910662918173601"/>
    <n v="3.6335836290778101"/>
    <n v="1"/>
    <n v="0.3686718886858002"/>
    <n v="19"/>
    <n v="1"/>
  </r>
  <r>
    <x v="0"/>
    <s v="2025-05-18 18:56:05"/>
    <n v="12"/>
    <x v="13"/>
    <x v="6"/>
    <x v="1"/>
    <n v="0.74985048590401804"/>
    <n v="2E+20"/>
    <n v="0.74985048590401804"/>
    <n v="0.74985048590401804"/>
    <n v="1"/>
    <s v="Friday (Solucion: datafono, gofre, cocina y caja compartida)FilaCajaH3ExpressionUser Specified"/>
    <n v="19"/>
    <n v="0.78149191546140195"/>
    <n v="0.76490392090955872"/>
    <n v="0.95"/>
    <n v="0.3686718886858002"/>
    <n v="0.24910662918173601"/>
    <n v="3.6335836290778101"/>
    <n v="0.24910662918173601"/>
    <n v="3.6335836290778101"/>
    <n v="1"/>
    <n v="0.3686718886858002"/>
    <n v="19"/>
    <n v="1"/>
  </r>
  <r>
    <x v="0"/>
    <s v="2025-05-18 18:56:05"/>
    <n v="13"/>
    <x v="13"/>
    <x v="6"/>
    <x v="1"/>
    <n v="0.67629330855955005"/>
    <n v="2E+20"/>
    <n v="0.67629330855955005"/>
    <n v="0.67629330855955005"/>
    <n v="1"/>
    <s v="Friday (Solucion: datafono, gofre, cocina y caja compartida)FilaCajaH3ExpressionUser Specified"/>
    <n v="19"/>
    <n v="0.78149191546140195"/>
    <n v="0.76490392090955872"/>
    <n v="0.95"/>
    <n v="0.3686718886858002"/>
    <n v="0.24910662918173601"/>
    <n v="3.6335836290778101"/>
    <n v="0.24910662918173601"/>
    <n v="3.6335836290778101"/>
    <n v="1"/>
    <n v="0.3686718886858002"/>
    <n v="19"/>
    <n v="1"/>
  </r>
  <r>
    <x v="0"/>
    <s v="2025-05-18 18:56:05"/>
    <n v="14"/>
    <x v="13"/>
    <x v="6"/>
    <x v="1"/>
    <n v="0.85437104529887598"/>
    <n v="2E+20"/>
    <n v="0.85437104529887598"/>
    <n v="0.85437104529887598"/>
    <n v="1"/>
    <s v="Friday (Solucion: datafono, gofre, cocina y caja compartida)FilaCajaH3ExpressionUser Specified"/>
    <n v="19"/>
    <n v="0.78149191546140195"/>
    <n v="0.76490392090955872"/>
    <n v="0.95"/>
    <n v="0.3686718886858002"/>
    <n v="0.24910662918173601"/>
    <n v="3.6335836290778101"/>
    <n v="0.24910662918173601"/>
    <n v="3.6335836290778101"/>
    <n v="1"/>
    <n v="0.3686718886858002"/>
    <n v="19"/>
    <n v="1"/>
  </r>
  <r>
    <x v="0"/>
    <s v="2025-05-18 18:56:05"/>
    <n v="15"/>
    <x v="13"/>
    <x v="6"/>
    <x v="1"/>
    <n v="0.54828089095907695"/>
    <n v="2E+20"/>
    <n v="0.54828089095907695"/>
    <n v="0.54828089095907695"/>
    <n v="1"/>
    <s v="Friday (Solucion: datafono, gofre, cocina y caja compartida)FilaCajaH3ExpressionUser Specified"/>
    <n v="19"/>
    <n v="0.78149191546140195"/>
    <n v="0.76490392090955872"/>
    <n v="0.95"/>
    <n v="0.3686718886858002"/>
    <n v="0.24910662918173601"/>
    <n v="3.6335836290778101"/>
    <n v="0.24910662918173601"/>
    <n v="3.6335836290778101"/>
    <n v="1"/>
    <n v="0.3686718886858002"/>
    <n v="19"/>
    <n v="1"/>
  </r>
  <r>
    <x v="0"/>
    <s v="2025-05-18 18:56:05"/>
    <n v="16"/>
    <x v="13"/>
    <x v="6"/>
    <x v="1"/>
    <n v="0.24910662918173601"/>
    <n v="2E+20"/>
    <n v="0.24910662918173601"/>
    <n v="0.24910662918173601"/>
    <n v="1"/>
    <s v="Friday (Solucion: datafono, gofre, cocina y caja compartida)FilaCajaH3ExpressionUser Specified"/>
    <n v="19"/>
    <n v="0.78149191546140195"/>
    <n v="0.76490392090955872"/>
    <n v="0.95"/>
    <n v="0.3686718886858002"/>
    <n v="0.24910662918173601"/>
    <n v="3.6335836290778101"/>
    <n v="0.24910662918173601"/>
    <n v="3.6335836290778101"/>
    <n v="1"/>
    <n v="0.3686718886858002"/>
    <n v="19"/>
    <n v="1"/>
  </r>
  <r>
    <x v="0"/>
    <s v="2025-05-18 18:56:05"/>
    <n v="17"/>
    <x v="13"/>
    <x v="6"/>
    <x v="1"/>
    <n v="0.55866480344465297"/>
    <n v="2E+20"/>
    <n v="0.55866480344465297"/>
    <n v="0.55866480344465297"/>
    <n v="1"/>
    <s v="Friday (Solucion: datafono, gofre, cocina y caja compartida)FilaCajaH3ExpressionUser Specified"/>
    <n v="19"/>
    <n v="0.78149191546140195"/>
    <n v="0.76490392090955872"/>
    <n v="0.95"/>
    <n v="0.3686718886858002"/>
    <n v="0.24910662918173601"/>
    <n v="3.6335836290778101"/>
    <n v="0.24910662918173601"/>
    <n v="3.6335836290778101"/>
    <n v="1"/>
    <n v="0.3686718886858002"/>
    <n v="19"/>
    <n v="1"/>
  </r>
  <r>
    <x v="0"/>
    <s v="2025-05-18 18:56:05"/>
    <n v="18"/>
    <x v="13"/>
    <x v="6"/>
    <x v="1"/>
    <n v="1.02392473462719"/>
    <n v="2E+20"/>
    <n v="1.02392473462719"/>
    <n v="1.02392473462719"/>
    <n v="1"/>
    <s v="Friday (Solucion: datafono, gofre, cocina y caja compartida)FilaCajaH3ExpressionUser Specified"/>
    <n v="19"/>
    <n v="0.78149191546140195"/>
    <n v="0.76490392090955872"/>
    <n v="0.95"/>
    <n v="0.3686718886858002"/>
    <n v="0.24910662918173601"/>
    <n v="3.6335836290778101"/>
    <n v="0.24910662918173601"/>
    <n v="3.6335836290778101"/>
    <n v="1"/>
    <n v="0.3686718886858002"/>
    <n v="19"/>
    <n v="1"/>
  </r>
  <r>
    <x v="0"/>
    <s v="2025-05-18 18:56:05"/>
    <n v="19"/>
    <x v="13"/>
    <x v="6"/>
    <x v="1"/>
    <n v="0.34526920159986202"/>
    <n v="2E+20"/>
    <n v="0.34526920159986202"/>
    <n v="0.34526920159986202"/>
    <n v="1"/>
    <s v="Friday (Solucion: datafono, gofre, cocina y caja compartida)FilaCajaH3ExpressionUser Specified"/>
    <n v="19"/>
    <n v="0.78149191546140195"/>
    <n v="0.76490392090955872"/>
    <n v="0.95"/>
    <n v="0.3686718886858002"/>
    <n v="0.24910662918173601"/>
    <n v="3.6335836290778101"/>
    <n v="0.24910662918173601"/>
    <n v="3.6335836290778101"/>
    <n v="1"/>
    <n v="0.3686718886858002"/>
    <n v="19"/>
    <n v="1"/>
  </r>
  <r>
    <x v="0"/>
    <s v="2025-05-18 18:56:05"/>
    <n v="1"/>
    <x v="14"/>
    <x v="10"/>
    <x v="3"/>
    <n v="3.6335836290778101"/>
    <n v="2E+20"/>
    <n v="0"/>
    <n v="14.899429331080601"/>
    <n v="144"/>
    <s v="Friday (Solucion: datafono, gofre, cocina y caja compartida)Pasar a Caja.QueueWaiting TimeQueue"/>
    <n v="19"/>
    <n v="0.78149191546140195"/>
    <n v="0.76490392090955872"/>
    <n v="0.95"/>
    <n v="0.3686718886858002"/>
    <n v="0.24910662918173601"/>
    <n v="3.6335836290778101"/>
    <n v="0"/>
    <n v="14.899429331080601"/>
    <n v="122.10526315789474"/>
    <n v="0.3686718886858002"/>
    <n v="19"/>
    <n v="1"/>
  </r>
  <r>
    <x v="0"/>
    <s v="2025-05-18 18:56:05"/>
    <n v="2"/>
    <x v="14"/>
    <x v="10"/>
    <x v="3"/>
    <n v="0.50978160160577102"/>
    <n v="2E+20"/>
    <n v="0"/>
    <n v="4.6797934502161"/>
    <n v="111"/>
    <s v="Friday (Solucion: datafono, gofre, cocina y caja compartida)Pasar a Caja.QueueWaiting TimeQueue"/>
    <n v="19"/>
    <n v="0.78149191546140195"/>
    <n v="0.76490392090955872"/>
    <n v="0.95"/>
    <n v="0.3686718886858002"/>
    <n v="0.24910662918173601"/>
    <n v="3.6335836290778101"/>
    <n v="0"/>
    <n v="14.899429331080601"/>
    <n v="122.10526315789474"/>
    <n v="0.3686718886858002"/>
    <n v="19"/>
    <n v="1"/>
  </r>
  <r>
    <x v="0"/>
    <s v="2025-05-18 18:56:05"/>
    <n v="3"/>
    <x v="14"/>
    <x v="10"/>
    <x v="3"/>
    <n v="1.5548313957131701"/>
    <n v="2E+20"/>
    <n v="0"/>
    <n v="7.5873402927291398"/>
    <n v="109"/>
    <s v="Friday (Solucion: datafono, gofre, cocina y caja compartida)Pasar a Caja.QueueWaiting TimeQueue"/>
    <n v="19"/>
    <n v="0.78149191546140195"/>
    <n v="0.76490392090955872"/>
    <n v="0.95"/>
    <n v="0.3686718886858002"/>
    <n v="0.24910662918173601"/>
    <n v="3.6335836290778101"/>
    <n v="0"/>
    <n v="14.899429331080601"/>
    <n v="122.10526315789474"/>
    <n v="0.3686718886858002"/>
    <n v="19"/>
    <n v="1"/>
  </r>
  <r>
    <x v="0"/>
    <s v="2025-05-18 18:56:05"/>
    <n v="4"/>
    <x v="14"/>
    <x v="10"/>
    <x v="3"/>
    <n v="0.32733395472244697"/>
    <n v="2E+20"/>
    <n v="0"/>
    <n v="3.6312589016492498"/>
    <n v="117"/>
    <s v="Friday (Solucion: datafono, gofre, cocina y caja compartida)Pasar a Caja.QueueWaiting TimeQueue"/>
    <n v="19"/>
    <n v="0.78149191546140195"/>
    <n v="0.76490392090955872"/>
    <n v="0.95"/>
    <n v="0.3686718886858002"/>
    <n v="0.24910662918173601"/>
    <n v="3.6335836290778101"/>
    <n v="0"/>
    <n v="14.899429331080601"/>
    <n v="122.10526315789474"/>
    <n v="0.3686718886858002"/>
    <n v="19"/>
    <n v="1"/>
  </r>
  <r>
    <x v="0"/>
    <s v="2025-05-18 18:56:05"/>
    <n v="5"/>
    <x v="14"/>
    <x v="10"/>
    <x v="3"/>
    <n v="0.26672229382496299"/>
    <n v="2E+20"/>
    <n v="0"/>
    <n v="2.7691825031151298"/>
    <n v="131"/>
    <s v="Friday (Solucion: datafono, gofre, cocina y caja compartida)Pasar a Caja.QueueWaiting TimeQueue"/>
    <n v="19"/>
    <n v="0.78149191546140195"/>
    <n v="0.76490392090955872"/>
    <n v="0.95"/>
    <n v="0.3686718886858002"/>
    <n v="0.24910662918173601"/>
    <n v="3.6335836290778101"/>
    <n v="0"/>
    <n v="14.899429331080601"/>
    <n v="122.10526315789474"/>
    <n v="0.3686718886858002"/>
    <n v="19"/>
    <n v="1"/>
  </r>
  <r>
    <x v="0"/>
    <s v="2025-05-18 18:56:05"/>
    <n v="6"/>
    <x v="14"/>
    <x v="10"/>
    <x v="3"/>
    <n v="0.264570359205751"/>
    <n v="2E+20"/>
    <n v="0"/>
    <n v="2.4666253241309199"/>
    <n v="117"/>
    <s v="Friday (Solucion: datafono, gofre, cocina y caja compartida)Pasar a Caja.QueueWaiting TimeQueue"/>
    <n v="19"/>
    <n v="0.78149191546140195"/>
    <n v="0.76490392090955872"/>
    <n v="0.95"/>
    <n v="0.3686718886858002"/>
    <n v="0.24910662918173601"/>
    <n v="3.6335836290778101"/>
    <n v="0"/>
    <n v="14.899429331080601"/>
    <n v="122.10526315789474"/>
    <n v="0.3686718886858002"/>
    <n v="19"/>
    <n v="1"/>
  </r>
  <r>
    <x v="0"/>
    <s v="2025-05-18 18:56:05"/>
    <n v="7"/>
    <x v="14"/>
    <x v="10"/>
    <x v="3"/>
    <n v="0.47655011559389299"/>
    <n v="2E+20"/>
    <n v="0"/>
    <n v="4.50418576716479"/>
    <n v="111"/>
    <s v="Friday (Solucion: datafono, gofre, cocina y caja compartida)Pasar a Caja.QueueWaiting TimeQueue"/>
    <n v="19"/>
    <n v="0.78149191546140195"/>
    <n v="0.76490392090955872"/>
    <n v="0.95"/>
    <n v="0.3686718886858002"/>
    <n v="0.24910662918173601"/>
    <n v="3.6335836290778101"/>
    <n v="0"/>
    <n v="14.899429331080601"/>
    <n v="122.10526315789474"/>
    <n v="0.3686718886858002"/>
    <n v="19"/>
    <n v="1"/>
  </r>
  <r>
    <x v="0"/>
    <s v="2025-05-18 18:56:05"/>
    <n v="8"/>
    <x v="14"/>
    <x v="10"/>
    <x v="3"/>
    <n v="0.75130528662017104"/>
    <n v="2E+20"/>
    <n v="0"/>
    <n v="3.4467560938354"/>
    <n v="137"/>
    <s v="Friday (Solucion: datafono, gofre, cocina y caja compartida)Pasar a Caja.QueueWaiting TimeQueue"/>
    <n v="19"/>
    <n v="0.78149191546140195"/>
    <n v="0.76490392090955872"/>
    <n v="0.95"/>
    <n v="0.3686718886858002"/>
    <n v="0.24910662918173601"/>
    <n v="3.6335836290778101"/>
    <n v="0"/>
    <n v="14.899429331080601"/>
    <n v="122.10526315789474"/>
    <n v="0.3686718886858002"/>
    <n v="19"/>
    <n v="1"/>
  </r>
  <r>
    <x v="0"/>
    <s v="2025-05-18 18:56:05"/>
    <n v="9"/>
    <x v="14"/>
    <x v="10"/>
    <x v="3"/>
    <n v="0.380575983419984"/>
    <n v="2E+20"/>
    <n v="0"/>
    <n v="2.9906109067628699"/>
    <n v="113"/>
    <s v="Friday (Solucion: datafono, gofre, cocina y caja compartida)Pasar a Caja.QueueWaiting TimeQueue"/>
    <n v="19"/>
    <n v="0.78149191546140195"/>
    <n v="0.76490392090955872"/>
    <n v="0.95"/>
    <n v="0.3686718886858002"/>
    <n v="0.24910662918173601"/>
    <n v="3.6335836290778101"/>
    <n v="0"/>
    <n v="14.899429331080601"/>
    <n v="122.10526315789474"/>
    <n v="0.3686718886858002"/>
    <n v="19"/>
    <n v="1"/>
  </r>
  <r>
    <x v="0"/>
    <s v="2025-05-18 18:56:05"/>
    <n v="10"/>
    <x v="14"/>
    <x v="10"/>
    <x v="3"/>
    <n v="1.0278119850307299"/>
    <n v="2E+20"/>
    <n v="0"/>
    <n v="5.58446918963429"/>
    <n v="117"/>
    <s v="Friday (Solucion: datafono, gofre, cocina y caja compartida)Pasar a Caja.QueueWaiting TimeQueue"/>
    <n v="19"/>
    <n v="0.78149191546140195"/>
    <n v="0.76490392090955872"/>
    <n v="0.95"/>
    <n v="0.3686718886858002"/>
    <n v="0.24910662918173601"/>
    <n v="3.6335836290778101"/>
    <n v="0"/>
    <n v="14.899429331080601"/>
    <n v="122.10526315789474"/>
    <n v="0.3686718886858002"/>
    <n v="19"/>
    <n v="1"/>
  </r>
  <r>
    <x v="0"/>
    <s v="2025-05-18 18:56:05"/>
    <n v="11"/>
    <x v="14"/>
    <x v="10"/>
    <x v="3"/>
    <n v="0.64951868937698198"/>
    <n v="2E+20"/>
    <n v="0"/>
    <n v="7.3991516676863096"/>
    <n v="116"/>
    <s v="Friday (Solucion: datafono, gofre, cocina y caja compartida)Pasar a Caja.QueueWaiting TimeQueue"/>
    <n v="19"/>
    <n v="0.78149191546140195"/>
    <n v="0.76490392090955872"/>
    <n v="0.95"/>
    <n v="0.3686718886858002"/>
    <n v="0.24910662918173601"/>
    <n v="3.6335836290778101"/>
    <n v="0"/>
    <n v="14.899429331080601"/>
    <n v="122.10526315789474"/>
    <n v="0.3686718886858002"/>
    <n v="19"/>
    <n v="1"/>
  </r>
  <r>
    <x v="0"/>
    <s v="2025-05-18 18:56:05"/>
    <n v="12"/>
    <x v="14"/>
    <x v="10"/>
    <x v="3"/>
    <n v="0.74985048590401804"/>
    <n v="2E+20"/>
    <n v="0"/>
    <n v="7.9683720644248304"/>
    <n v="115"/>
    <s v="Friday (Solucion: datafono, gofre, cocina y caja compartida)Pasar a Caja.QueueWaiting TimeQueue"/>
    <n v="19"/>
    <n v="0.78149191546140195"/>
    <n v="0.76490392090955872"/>
    <n v="0.95"/>
    <n v="0.3686718886858002"/>
    <n v="0.24910662918173601"/>
    <n v="3.6335836290778101"/>
    <n v="0"/>
    <n v="14.899429331080601"/>
    <n v="122.10526315789474"/>
    <n v="0.3686718886858002"/>
    <n v="19"/>
    <n v="1"/>
  </r>
  <r>
    <x v="0"/>
    <s v="2025-05-18 18:56:05"/>
    <n v="13"/>
    <x v="14"/>
    <x v="10"/>
    <x v="3"/>
    <n v="0.67629330855955005"/>
    <n v="2E+20"/>
    <n v="0"/>
    <n v="4.3474340135612399"/>
    <n v="119"/>
    <s v="Friday (Solucion: datafono, gofre, cocina y caja compartida)Pasar a Caja.QueueWaiting TimeQueue"/>
    <n v="19"/>
    <n v="0.78149191546140195"/>
    <n v="0.76490392090955872"/>
    <n v="0.95"/>
    <n v="0.3686718886858002"/>
    <n v="0.24910662918173601"/>
    <n v="3.6335836290778101"/>
    <n v="0"/>
    <n v="14.899429331080601"/>
    <n v="122.10526315789474"/>
    <n v="0.3686718886858002"/>
    <n v="19"/>
    <n v="1"/>
  </r>
  <r>
    <x v="0"/>
    <s v="2025-05-18 18:56:05"/>
    <n v="14"/>
    <x v="14"/>
    <x v="10"/>
    <x v="3"/>
    <n v="0.85437104529887598"/>
    <n v="2E+20"/>
    <n v="0"/>
    <n v="5.0628433401598398"/>
    <n v="139"/>
    <s v="Friday (Solucion: datafono, gofre, cocina y caja compartida)Pasar a Caja.QueueWaiting TimeQueue"/>
    <n v="19"/>
    <n v="0.78149191546140195"/>
    <n v="0.76490392090955872"/>
    <n v="0.95"/>
    <n v="0.3686718886858002"/>
    <n v="0.24910662918173601"/>
    <n v="3.6335836290778101"/>
    <n v="0"/>
    <n v="14.899429331080601"/>
    <n v="122.10526315789474"/>
    <n v="0.3686718886858002"/>
    <n v="19"/>
    <n v="1"/>
  </r>
  <r>
    <x v="0"/>
    <s v="2025-05-18 18:56:05"/>
    <n v="15"/>
    <x v="14"/>
    <x v="10"/>
    <x v="3"/>
    <n v="0.54828089095907695"/>
    <n v="2E+20"/>
    <n v="0"/>
    <n v="4.7863296997394702"/>
    <n v="125"/>
    <s v="Friday (Solucion: datafono, gofre, cocina y caja compartida)Pasar a Caja.QueueWaiting TimeQueue"/>
    <n v="19"/>
    <n v="0.78149191546140195"/>
    <n v="0.76490392090955872"/>
    <n v="0.95"/>
    <n v="0.3686718886858002"/>
    <n v="0.24910662918173601"/>
    <n v="3.6335836290778101"/>
    <n v="0"/>
    <n v="14.899429331080601"/>
    <n v="122.10526315789474"/>
    <n v="0.3686718886858002"/>
    <n v="19"/>
    <n v="1"/>
  </r>
  <r>
    <x v="0"/>
    <s v="2025-05-18 18:56:05"/>
    <n v="16"/>
    <x v="14"/>
    <x v="10"/>
    <x v="3"/>
    <n v="0.24910662918173601"/>
    <n v="2E+20"/>
    <n v="0"/>
    <n v="2.1536626607980098"/>
    <n v="131"/>
    <s v="Friday (Solucion: datafono, gofre, cocina y caja compartida)Pasar a Caja.QueueWaiting TimeQueue"/>
    <n v="19"/>
    <n v="0.78149191546140195"/>
    <n v="0.76490392090955872"/>
    <n v="0.95"/>
    <n v="0.3686718886858002"/>
    <n v="0.24910662918173601"/>
    <n v="3.6335836290778101"/>
    <n v="0"/>
    <n v="14.899429331080601"/>
    <n v="122.10526315789474"/>
    <n v="0.3686718886858002"/>
    <n v="19"/>
    <n v="1"/>
  </r>
  <r>
    <x v="0"/>
    <s v="2025-05-18 18:56:05"/>
    <n v="17"/>
    <x v="14"/>
    <x v="10"/>
    <x v="3"/>
    <n v="0.55866480344465297"/>
    <n v="2E+20"/>
    <n v="0"/>
    <n v="3.30704151289825"/>
    <n v="121"/>
    <s v="Friday (Solucion: datafono, gofre, cocina y caja compartida)Pasar a Caja.QueueWaiting TimeQueue"/>
    <n v="19"/>
    <n v="0.78149191546140195"/>
    <n v="0.76490392090955872"/>
    <n v="0.95"/>
    <n v="0.3686718886858002"/>
    <n v="0.24910662918173601"/>
    <n v="3.6335836290778101"/>
    <n v="0"/>
    <n v="14.899429331080601"/>
    <n v="122.10526315789474"/>
    <n v="0.3686718886858002"/>
    <n v="19"/>
    <n v="1"/>
  </r>
  <r>
    <x v="0"/>
    <s v="2025-05-18 18:56:05"/>
    <n v="18"/>
    <x v="14"/>
    <x v="10"/>
    <x v="3"/>
    <n v="1.02392473462719"/>
    <n v="2E+20"/>
    <n v="0"/>
    <n v="10.039623816863401"/>
    <n v="124"/>
    <s v="Friday (Solucion: datafono, gofre, cocina y caja compartida)Pasar a Caja.QueueWaiting TimeQueue"/>
    <n v="19"/>
    <n v="0.78149191546140195"/>
    <n v="0.76490392090955872"/>
    <n v="0.95"/>
    <n v="0.3686718886858002"/>
    <n v="0.24910662918173601"/>
    <n v="3.6335836290778101"/>
    <n v="0"/>
    <n v="14.899429331080601"/>
    <n v="122.10526315789474"/>
    <n v="0.3686718886858002"/>
    <n v="19"/>
    <n v="1"/>
  </r>
  <r>
    <x v="0"/>
    <s v="2025-05-18 18:56:05"/>
    <n v="19"/>
    <x v="14"/>
    <x v="10"/>
    <x v="3"/>
    <n v="0.34526920159986202"/>
    <n v="2E+20"/>
    <n v="0"/>
    <n v="3.3430544674653202"/>
    <n v="123"/>
    <s v="Friday (Solucion: datafono, gofre, cocina y caja compartida)Pasar a Caja.QueueWaiting TimeQueue"/>
    <n v="19"/>
    <n v="0.78149191546140195"/>
    <n v="0.76490392090955872"/>
    <n v="0.95"/>
    <n v="0.3686718886858002"/>
    <n v="0.24910662918173601"/>
    <n v="3.6335836290778101"/>
    <n v="0"/>
    <n v="14.899429331080601"/>
    <n v="122.10526315789474"/>
    <n v="0.3686718886858002"/>
    <n v="19"/>
    <n v="1"/>
  </r>
  <r>
    <x v="0"/>
    <s v="2025-05-18 18:56:05"/>
    <n v="1"/>
    <x v="15"/>
    <x v="7"/>
    <x v="2"/>
    <n v="4.8344956063072599"/>
    <n v="2E+20"/>
    <n v="7.9938055919171802E-2"/>
    <n v="23.229576157810602"/>
    <n v="150"/>
    <s v="Friday (Solucion: datafono, gofre, cocina y caja compartida)PreparacionTotal Time Per EntityProcess"/>
    <n v="19"/>
    <n v="2.1273994880359743"/>
    <n v="0.78312872053361837"/>
    <n v="0.95"/>
    <n v="0.37745596092631467"/>
    <n v="1.4498913227505501"/>
    <n v="4.8344956063072599"/>
    <n v="0"/>
    <n v="23.229576157810602"/>
    <n v="122.31578947368421"/>
    <n v="0.37745596092631467"/>
    <n v="19"/>
    <n v="1"/>
  </r>
  <r>
    <x v="0"/>
    <s v="2025-05-18 18:56:05"/>
    <n v="1"/>
    <x v="15"/>
    <x v="8"/>
    <x v="2"/>
    <n v="1.4012481662594001"/>
    <n v="2E+20"/>
    <n v="2.1902795385045699E-2"/>
    <n v="5.5732156457255799"/>
    <n v="150"/>
    <s v="Friday (Solucion: datafono, gofre, cocina y caja compartida)PreparacionVA Time Per EntityProcess"/>
    <n v="19"/>
    <n v="1.427042764340821"/>
    <n v="0.15210233149440669"/>
    <n v="0.95"/>
    <n v="7.3310977094843424E-2"/>
    <n v="1.1889341151258599"/>
    <n v="1.71891901774247"/>
    <n v="0"/>
    <n v="13.3285940274107"/>
    <n v="122.31578947368421"/>
    <n v="7.3310977094843424E-2"/>
    <n v="19"/>
    <n v="1"/>
  </r>
  <r>
    <x v="0"/>
    <s v="2025-05-18 18:56:05"/>
    <n v="1"/>
    <x v="15"/>
    <x v="9"/>
    <x v="2"/>
    <n v="3.4332474400478601"/>
    <n v="2E+20"/>
    <n v="0"/>
    <n v="17.656360512085001"/>
    <n v="150"/>
    <s v="Friday (Solucion: datafono, gofre, cocina y caja compartida)PreparacionWait Time Per EntityProcess"/>
    <n v="19"/>
    <n v="0.70035672369515334"/>
    <n v="0.73328049543419305"/>
    <n v="0.95"/>
    <n v="0.35342988550342119"/>
    <n v="0.19405440212973199"/>
    <n v="3.4332474400478601"/>
    <n v="0"/>
    <n v="17.656360512085001"/>
    <n v="122.31578947368421"/>
    <n v="0.35342988550342119"/>
    <n v="19"/>
    <n v="1"/>
  </r>
  <r>
    <x v="0"/>
    <s v="2025-05-18 18:56:05"/>
    <n v="2"/>
    <x v="15"/>
    <x v="7"/>
    <x v="2"/>
    <n v="1.8668850172771101"/>
    <n v="2E+20"/>
    <n v="5.9166912246908503E-2"/>
    <n v="6.5039861789624398"/>
    <n v="111"/>
    <s v="Friday (Solucion: datafono, gofre, cocina y caja compartida)PreparacionTotal Time Per EntityProcess"/>
    <n v="19"/>
    <n v="2.1273994880359743"/>
    <n v="0.78312872053361837"/>
    <n v="0.95"/>
    <n v="0.37745596092631467"/>
    <n v="1.4498913227505501"/>
    <n v="4.8344956063072599"/>
    <n v="0"/>
    <n v="23.229576157810602"/>
    <n v="122.31578947368421"/>
    <n v="0.37745596092631467"/>
    <n v="19"/>
    <n v="1"/>
  </r>
  <r>
    <x v="0"/>
    <s v="2025-05-18 18:56:05"/>
    <n v="2"/>
    <x v="15"/>
    <x v="8"/>
    <x v="2"/>
    <n v="1.3999349588383501"/>
    <n v="2E+20"/>
    <n v="5.9166912246908503E-2"/>
    <n v="6.2803754705049597"/>
    <n v="111"/>
    <s v="Friday (Solucion: datafono, gofre, cocina y caja compartida)PreparacionVA Time Per EntityProcess"/>
    <n v="19"/>
    <n v="1.427042764340821"/>
    <n v="0.15210233149440669"/>
    <n v="0.95"/>
    <n v="7.3310977094843424E-2"/>
    <n v="1.1889341151258599"/>
    <n v="1.71891901774247"/>
    <n v="0"/>
    <n v="13.3285940274107"/>
    <n v="122.31578947368421"/>
    <n v="7.3310977094843424E-2"/>
    <n v="19"/>
    <n v="1"/>
  </r>
  <r>
    <x v="0"/>
    <s v="2025-05-18 18:56:05"/>
    <n v="2"/>
    <x v="15"/>
    <x v="9"/>
    <x v="2"/>
    <n v="0.46695005843875997"/>
    <n v="2E+20"/>
    <n v="0"/>
    <n v="4.5084745559450097"/>
    <n v="111"/>
    <s v="Friday (Solucion: datafono, gofre, cocina y caja compartida)PreparacionWait Time Per EntityProcess"/>
    <n v="19"/>
    <n v="0.70035672369515334"/>
    <n v="0.73328049543419305"/>
    <n v="0.95"/>
    <n v="0.35342988550342119"/>
    <n v="0.19405440212973199"/>
    <n v="3.4332474400478601"/>
    <n v="0"/>
    <n v="17.656360512085001"/>
    <n v="122.31578947368421"/>
    <n v="0.35342988550342119"/>
    <n v="19"/>
    <n v="1"/>
  </r>
  <r>
    <x v="0"/>
    <s v="2025-05-18 18:56:05"/>
    <n v="3"/>
    <x v="15"/>
    <x v="7"/>
    <x v="2"/>
    <n v="3.1796427954414201"/>
    <n v="2E+20"/>
    <n v="0.127458279755018"/>
    <n v="11.2375167997972"/>
    <n v="114"/>
    <s v="Friday (Solucion: datafono, gofre, cocina y caja compartida)PreparacionTotal Time Per EntityProcess"/>
    <n v="19"/>
    <n v="2.1273994880359743"/>
    <n v="0.78312872053361837"/>
    <n v="0.95"/>
    <n v="0.37745596092631467"/>
    <n v="1.4498913227505501"/>
    <n v="4.8344956063072599"/>
    <n v="0"/>
    <n v="23.229576157810602"/>
    <n v="122.31578947368421"/>
    <n v="0.37745596092631467"/>
    <n v="19"/>
    <n v="1"/>
  </r>
  <r>
    <x v="0"/>
    <s v="2025-05-18 18:56:05"/>
    <n v="3"/>
    <x v="15"/>
    <x v="8"/>
    <x v="2"/>
    <n v="1.6955771318027499"/>
    <n v="2E+20"/>
    <n v="7.2997086184301493E-2"/>
    <n v="8.5067359411387091"/>
    <n v="114"/>
    <s v="Friday (Solucion: datafono, gofre, cocina y caja compartida)PreparacionVA Time Per EntityProcess"/>
    <n v="19"/>
    <n v="1.427042764340821"/>
    <n v="0.15210233149440669"/>
    <n v="0.95"/>
    <n v="7.3310977094843424E-2"/>
    <n v="1.1889341151258599"/>
    <n v="1.71891901774247"/>
    <n v="0"/>
    <n v="13.3285940274107"/>
    <n v="122.31578947368421"/>
    <n v="7.3310977094843424E-2"/>
    <n v="19"/>
    <n v="1"/>
  </r>
  <r>
    <x v="0"/>
    <s v="2025-05-18 18:56:05"/>
    <n v="3"/>
    <x v="15"/>
    <x v="9"/>
    <x v="2"/>
    <n v="1.48406566363867"/>
    <n v="2E+20"/>
    <n v="0"/>
    <n v="7.6520649287739797"/>
    <n v="114"/>
    <s v="Friday (Solucion: datafono, gofre, cocina y caja compartida)PreparacionWait Time Per EntityProcess"/>
    <n v="19"/>
    <n v="0.70035672369515334"/>
    <n v="0.73328049543419305"/>
    <n v="0.95"/>
    <n v="0.35342988550342119"/>
    <n v="0.19405440212973199"/>
    <n v="3.4332474400478601"/>
    <n v="0"/>
    <n v="17.656360512085001"/>
    <n v="122.31578947368421"/>
    <n v="0.35342988550342119"/>
    <n v="19"/>
    <n v="1"/>
  </r>
  <r>
    <x v="0"/>
    <s v="2025-05-18 18:56:05"/>
    <n v="4"/>
    <x v="15"/>
    <x v="7"/>
    <x v="2"/>
    <n v="1.7253485747863699"/>
    <n v="2E+20"/>
    <n v="5.80931384492374E-2"/>
    <n v="6.8507512540622599"/>
    <n v="117"/>
    <s v="Friday (Solucion: datafono, gofre, cocina y caja compartida)PreparacionTotal Time Per EntityProcess"/>
    <n v="19"/>
    <n v="2.1273994880359743"/>
    <n v="0.78312872053361837"/>
    <n v="0.95"/>
    <n v="0.37745596092631467"/>
    <n v="1.4498913227505501"/>
    <n v="4.8344956063072599"/>
    <n v="0"/>
    <n v="23.229576157810602"/>
    <n v="122.31578947368421"/>
    <n v="0.37745596092631467"/>
    <n v="19"/>
    <n v="1"/>
  </r>
  <r>
    <x v="0"/>
    <s v="2025-05-18 18:56:05"/>
    <n v="4"/>
    <x v="15"/>
    <x v="8"/>
    <x v="2"/>
    <n v="1.5194422637195"/>
    <n v="2E+20"/>
    <n v="5.80931384492374E-2"/>
    <n v="6.8507512540622599"/>
    <n v="117"/>
    <s v="Friday (Solucion: datafono, gofre, cocina y caja compartida)PreparacionVA Time Per EntityProcess"/>
    <n v="19"/>
    <n v="1.427042764340821"/>
    <n v="0.15210233149440669"/>
    <n v="0.95"/>
    <n v="7.3310977094843424E-2"/>
    <n v="1.1889341151258599"/>
    <n v="1.71891901774247"/>
    <n v="0"/>
    <n v="13.3285940274107"/>
    <n v="122.31578947368421"/>
    <n v="7.3310977094843424E-2"/>
    <n v="19"/>
    <n v="1"/>
  </r>
  <r>
    <x v="0"/>
    <s v="2025-05-18 18:56:05"/>
    <n v="4"/>
    <x v="15"/>
    <x v="9"/>
    <x v="2"/>
    <n v="0.20590631106687199"/>
    <n v="2E+20"/>
    <n v="0"/>
    <n v="3.0568609460551799"/>
    <n v="117"/>
    <s v="Friday (Solucion: datafono, gofre, cocina y caja compartida)PreparacionWait Time Per EntityProcess"/>
    <n v="19"/>
    <n v="0.70035672369515334"/>
    <n v="0.73328049543419305"/>
    <n v="0.95"/>
    <n v="0.35342988550342119"/>
    <n v="0.19405440212973199"/>
    <n v="3.4332474400478601"/>
    <n v="0"/>
    <n v="17.656360512085001"/>
    <n v="122.31578947368421"/>
    <n v="0.35342988550342119"/>
    <n v="19"/>
    <n v="1"/>
  </r>
  <r>
    <x v="0"/>
    <s v="2025-05-18 18:56:05"/>
    <n v="5"/>
    <x v="15"/>
    <x v="7"/>
    <x v="2"/>
    <n v="1.48358060575261"/>
    <n v="2E+20"/>
    <n v="0"/>
    <n v="6.2610169990708799"/>
    <n v="131"/>
    <s v="Friday (Solucion: datafono, gofre, cocina y caja compartida)PreparacionTotal Time Per EntityProcess"/>
    <n v="19"/>
    <n v="2.1273994880359743"/>
    <n v="0.78312872053361837"/>
    <n v="0.95"/>
    <n v="0.37745596092631467"/>
    <n v="1.4498913227505501"/>
    <n v="4.8344956063072599"/>
    <n v="0"/>
    <n v="23.229576157810602"/>
    <n v="122.31578947368421"/>
    <n v="0.37745596092631467"/>
    <n v="19"/>
    <n v="1"/>
  </r>
  <r>
    <x v="0"/>
    <s v="2025-05-18 18:56:05"/>
    <n v="5"/>
    <x v="15"/>
    <x v="8"/>
    <x v="2"/>
    <n v="1.1889341151258599"/>
    <n v="2E+20"/>
    <n v="0"/>
    <n v="5.9841987260652401"/>
    <n v="131"/>
    <s v="Friday (Solucion: datafono, gofre, cocina y caja compartida)PreparacionVA Time Per EntityProcess"/>
    <n v="19"/>
    <n v="1.427042764340821"/>
    <n v="0.15210233149440669"/>
    <n v="0.95"/>
    <n v="7.3310977094843424E-2"/>
    <n v="1.1889341151258599"/>
    <n v="1.71891901774247"/>
    <n v="0"/>
    <n v="13.3285940274107"/>
    <n v="122.31578947368421"/>
    <n v="7.3310977094843424E-2"/>
    <n v="19"/>
    <n v="1"/>
  </r>
  <r>
    <x v="0"/>
    <s v="2025-05-18 18:56:05"/>
    <n v="5"/>
    <x v="15"/>
    <x v="9"/>
    <x v="2"/>
    <n v="0.29464649062675102"/>
    <n v="2E+20"/>
    <n v="0"/>
    <n v="3.7286278144762801"/>
    <n v="131"/>
    <s v="Friday (Solucion: datafono, gofre, cocina y caja compartida)PreparacionWait Time Per EntityProcess"/>
    <n v="19"/>
    <n v="0.70035672369515334"/>
    <n v="0.73328049543419305"/>
    <n v="0.95"/>
    <n v="0.35342988550342119"/>
    <n v="0.19405440212973199"/>
    <n v="3.4332474400478601"/>
    <n v="0"/>
    <n v="17.656360512085001"/>
    <n v="122.31578947368421"/>
    <n v="0.35342988550342119"/>
    <n v="19"/>
    <n v="1"/>
  </r>
  <r>
    <x v="0"/>
    <s v="2025-05-18 18:56:05"/>
    <n v="6"/>
    <x v="15"/>
    <x v="7"/>
    <x v="2"/>
    <n v="1.4782151737137399"/>
    <n v="2E+20"/>
    <n v="0.105802840230524"/>
    <n v="6.6142730957825204"/>
    <n v="115"/>
    <s v="Friday (Solucion: datafono, gofre, cocina y caja compartida)PreparacionTotal Time Per EntityProcess"/>
    <n v="19"/>
    <n v="2.1273994880359743"/>
    <n v="0.78312872053361837"/>
    <n v="0.95"/>
    <n v="0.37745596092631467"/>
    <n v="1.4498913227505501"/>
    <n v="4.8344956063072599"/>
    <n v="0"/>
    <n v="23.229576157810602"/>
    <n v="122.31578947368421"/>
    <n v="0.37745596092631467"/>
    <n v="19"/>
    <n v="1"/>
  </r>
  <r>
    <x v="0"/>
    <s v="2025-05-18 18:56:05"/>
    <n v="6"/>
    <x v="15"/>
    <x v="8"/>
    <x v="2"/>
    <n v="1.284160771584"/>
    <n v="2E+20"/>
    <n v="7.7095089335372805E-2"/>
    <n v="6.6142730957825204"/>
    <n v="115"/>
    <s v="Friday (Solucion: datafono, gofre, cocina y caja compartida)PreparacionVA Time Per EntityProcess"/>
    <n v="19"/>
    <n v="1.427042764340821"/>
    <n v="0.15210233149440669"/>
    <n v="0.95"/>
    <n v="7.3310977094843424E-2"/>
    <n v="1.1889341151258599"/>
    <n v="1.71891901774247"/>
    <n v="0"/>
    <n v="13.3285940274107"/>
    <n v="122.31578947368421"/>
    <n v="7.3310977094843424E-2"/>
    <n v="19"/>
    <n v="1"/>
  </r>
  <r>
    <x v="0"/>
    <s v="2025-05-18 18:56:05"/>
    <n v="6"/>
    <x v="15"/>
    <x v="9"/>
    <x v="2"/>
    <n v="0.19405440212973199"/>
    <n v="2E+20"/>
    <n v="0"/>
    <n v="2.0400085159373198"/>
    <n v="115"/>
    <s v="Friday (Solucion: datafono, gofre, cocina y caja compartida)PreparacionWait Time Per EntityProcess"/>
    <n v="19"/>
    <n v="0.70035672369515334"/>
    <n v="0.73328049543419305"/>
    <n v="0.95"/>
    <n v="0.35342988550342119"/>
    <n v="0.19405440212973199"/>
    <n v="3.4332474400478601"/>
    <n v="0"/>
    <n v="17.656360512085001"/>
    <n v="122.31578947368421"/>
    <n v="0.35342988550342119"/>
    <n v="19"/>
    <n v="1"/>
  </r>
  <r>
    <x v="0"/>
    <s v="2025-05-18 18:56:05"/>
    <n v="7"/>
    <x v="15"/>
    <x v="7"/>
    <x v="2"/>
    <n v="1.6159804252051599"/>
    <n v="2E+20"/>
    <n v="7.0064682067112499E-2"/>
    <n v="6.2360447002319903"/>
    <n v="114"/>
    <s v="Friday (Solucion: datafono, gofre, cocina y caja compartida)PreparacionTotal Time Per EntityProcess"/>
    <n v="19"/>
    <n v="2.1273994880359743"/>
    <n v="0.78312872053361837"/>
    <n v="0.95"/>
    <n v="0.37745596092631467"/>
    <n v="1.4498913227505501"/>
    <n v="4.8344956063072599"/>
    <n v="0"/>
    <n v="23.229576157810602"/>
    <n v="122.31578947368421"/>
    <n v="0.37745596092631467"/>
    <n v="19"/>
    <n v="1"/>
  </r>
  <r>
    <x v="0"/>
    <s v="2025-05-18 18:56:05"/>
    <n v="7"/>
    <x v="15"/>
    <x v="8"/>
    <x v="2"/>
    <n v="1.2212694257618599"/>
    <n v="2E+20"/>
    <n v="7.0064682067112499E-2"/>
    <n v="5.6636555349242297"/>
    <n v="114"/>
    <s v="Friday (Solucion: datafono, gofre, cocina y caja compartida)PreparacionVA Time Per EntityProcess"/>
    <n v="19"/>
    <n v="1.427042764340821"/>
    <n v="0.15210233149440669"/>
    <n v="0.95"/>
    <n v="7.3310977094843424E-2"/>
    <n v="1.1889341151258599"/>
    <n v="1.71891901774247"/>
    <n v="0"/>
    <n v="13.3285940274107"/>
    <n v="122.31578947368421"/>
    <n v="7.3310977094843424E-2"/>
    <n v="19"/>
    <n v="1"/>
  </r>
  <r>
    <x v="0"/>
    <s v="2025-05-18 18:56:05"/>
    <n v="7"/>
    <x v="15"/>
    <x v="9"/>
    <x v="2"/>
    <n v="0.39471099944329802"/>
    <n v="2E+20"/>
    <n v="0"/>
    <n v="2.5116513290956601"/>
    <n v="114"/>
    <s v="Friday (Solucion: datafono, gofre, cocina y caja compartida)PreparacionWait Time Per EntityProcess"/>
    <n v="19"/>
    <n v="0.70035672369515334"/>
    <n v="0.73328049543419305"/>
    <n v="0.95"/>
    <n v="0.35342988550342119"/>
    <n v="0.19405440212973199"/>
    <n v="3.4332474400478601"/>
    <n v="0"/>
    <n v="17.656360512085001"/>
    <n v="122.31578947368421"/>
    <n v="0.35342988550342119"/>
    <n v="19"/>
    <n v="1"/>
  </r>
  <r>
    <x v="0"/>
    <s v="2025-05-18 18:56:05"/>
    <n v="8"/>
    <x v="15"/>
    <x v="7"/>
    <x v="2"/>
    <n v="2.13448511150508"/>
    <n v="2E+20"/>
    <n v="0.125718801369786"/>
    <n v="8.1616987267071597"/>
    <n v="136"/>
    <s v="Friday (Solucion: datafono, gofre, cocina y caja compartida)PreparacionTotal Time Per EntityProcess"/>
    <n v="19"/>
    <n v="2.1273994880359743"/>
    <n v="0.78312872053361837"/>
    <n v="0.95"/>
    <n v="0.37745596092631467"/>
    <n v="1.4498913227505501"/>
    <n v="4.8344956063072599"/>
    <n v="0"/>
    <n v="23.229576157810602"/>
    <n v="122.31578947368421"/>
    <n v="0.37745596092631467"/>
    <n v="19"/>
    <n v="1"/>
  </r>
  <r>
    <x v="0"/>
    <s v="2025-05-18 18:56:05"/>
    <n v="8"/>
    <x v="15"/>
    <x v="8"/>
    <x v="2"/>
    <n v="1.4573839043030801"/>
    <n v="2E+20"/>
    <n v="0.125718801369786"/>
    <n v="7.2013072129116198"/>
    <n v="136"/>
    <s v="Friday (Solucion: datafono, gofre, cocina y caja compartida)PreparacionVA Time Per EntityProcess"/>
    <n v="19"/>
    <n v="1.427042764340821"/>
    <n v="0.15210233149440669"/>
    <n v="0.95"/>
    <n v="7.3310977094843424E-2"/>
    <n v="1.1889341151258599"/>
    <n v="1.71891901774247"/>
    <n v="0"/>
    <n v="13.3285940274107"/>
    <n v="122.31578947368421"/>
    <n v="7.3310977094843424E-2"/>
    <n v="19"/>
    <n v="1"/>
  </r>
  <r>
    <x v="0"/>
    <s v="2025-05-18 18:56:05"/>
    <n v="8"/>
    <x v="15"/>
    <x v="9"/>
    <x v="2"/>
    <n v="0.67710120720200795"/>
    <n v="2E+20"/>
    <n v="0"/>
    <n v="3.1900833324625402"/>
    <n v="136"/>
    <s v="Friday (Solucion: datafono, gofre, cocina y caja compartida)PreparacionWait Time Per EntityProcess"/>
    <n v="19"/>
    <n v="0.70035672369515334"/>
    <n v="0.73328049543419305"/>
    <n v="0.95"/>
    <n v="0.35342988550342119"/>
    <n v="0.19405440212973199"/>
    <n v="3.4332474400478601"/>
    <n v="0"/>
    <n v="17.656360512085001"/>
    <n v="122.31578947368421"/>
    <n v="0.35342988550342119"/>
    <n v="19"/>
    <n v="1"/>
  </r>
  <r>
    <x v="0"/>
    <s v="2025-05-18 18:56:05"/>
    <n v="9"/>
    <x v="15"/>
    <x v="7"/>
    <x v="2"/>
    <n v="1.9568442770243399"/>
    <n v="2E+20"/>
    <n v="7.0999501424836395E-2"/>
    <n v="9.1423864715919194"/>
    <n v="111"/>
    <s v="Friday (Solucion: datafono, gofre, cocina y caja compartida)PreparacionTotal Time Per EntityProcess"/>
    <n v="19"/>
    <n v="2.1273994880359743"/>
    <n v="0.78312872053361837"/>
    <n v="0.95"/>
    <n v="0.37745596092631467"/>
    <n v="1.4498913227505501"/>
    <n v="4.8344956063072599"/>
    <n v="0"/>
    <n v="23.229576157810602"/>
    <n v="122.31578947368421"/>
    <n v="0.37745596092631467"/>
    <n v="19"/>
    <n v="1"/>
  </r>
  <r>
    <x v="0"/>
    <s v="2025-05-18 18:56:05"/>
    <n v="9"/>
    <x v="15"/>
    <x v="8"/>
    <x v="2"/>
    <n v="1.5907611520745999"/>
    <n v="2E+20"/>
    <n v="7.0999501424836395E-2"/>
    <n v="8.57990479594622"/>
    <n v="111"/>
    <s v="Friday (Solucion: datafono, gofre, cocina y caja compartida)PreparacionVA Time Per EntityProcess"/>
    <n v="19"/>
    <n v="1.427042764340821"/>
    <n v="0.15210233149440669"/>
    <n v="0.95"/>
    <n v="7.3310977094843424E-2"/>
    <n v="1.1889341151258599"/>
    <n v="1.71891901774247"/>
    <n v="0"/>
    <n v="13.3285940274107"/>
    <n v="122.31578947368421"/>
    <n v="7.3310977094843424E-2"/>
    <n v="19"/>
    <n v="1"/>
  </r>
  <r>
    <x v="0"/>
    <s v="2025-05-18 18:56:05"/>
    <n v="9"/>
    <x v="15"/>
    <x v="9"/>
    <x v="2"/>
    <n v="0.36608312494974399"/>
    <n v="2E+20"/>
    <n v="0"/>
    <n v="3.7641684320137299"/>
    <n v="111"/>
    <s v="Friday (Solucion: datafono, gofre, cocina y caja compartida)PreparacionWait Time Per EntityProcess"/>
    <n v="19"/>
    <n v="0.70035672369515334"/>
    <n v="0.73328049543419305"/>
    <n v="0.95"/>
    <n v="0.35342988550342119"/>
    <n v="0.19405440212973199"/>
    <n v="3.4332474400478601"/>
    <n v="0"/>
    <n v="17.656360512085001"/>
    <n v="122.31578947368421"/>
    <n v="0.35342988550342119"/>
    <n v="19"/>
    <n v="1"/>
  </r>
  <r>
    <x v="0"/>
    <s v="2025-05-18 18:56:05"/>
    <n v="10"/>
    <x v="15"/>
    <x v="7"/>
    <x v="2"/>
    <n v="2.47860657346554"/>
    <n v="2E+20"/>
    <n v="0.14115056122463401"/>
    <n v="11.269242824829499"/>
    <n v="118"/>
    <s v="Friday (Solucion: datafono, gofre, cocina y caja compartida)PreparacionTotal Time Per EntityProcess"/>
    <n v="19"/>
    <n v="2.1273994880359743"/>
    <n v="0.78312872053361837"/>
    <n v="0.95"/>
    <n v="0.37745596092631467"/>
    <n v="1.4498913227505501"/>
    <n v="4.8344956063072599"/>
    <n v="0"/>
    <n v="23.229576157810602"/>
    <n v="122.31578947368421"/>
    <n v="0.37745596092631467"/>
    <n v="19"/>
    <n v="1"/>
  </r>
  <r>
    <x v="0"/>
    <s v="2025-05-18 18:56:05"/>
    <n v="10"/>
    <x v="15"/>
    <x v="8"/>
    <x v="2"/>
    <n v="1.56151686783609"/>
    <n v="2E+20"/>
    <n v="0.14115056122463401"/>
    <n v="10.6883403150057"/>
    <n v="118"/>
    <s v="Friday (Solucion: datafono, gofre, cocina y caja compartida)PreparacionVA Time Per EntityProcess"/>
    <n v="19"/>
    <n v="1.427042764340821"/>
    <n v="0.15210233149440669"/>
    <n v="0.95"/>
    <n v="7.3310977094843424E-2"/>
    <n v="1.1889341151258599"/>
    <n v="1.71891901774247"/>
    <n v="0"/>
    <n v="13.3285940274107"/>
    <n v="122.31578947368421"/>
    <n v="7.3310977094843424E-2"/>
    <n v="19"/>
    <n v="1"/>
  </r>
  <r>
    <x v="0"/>
    <s v="2025-05-18 18:56:05"/>
    <n v="10"/>
    <x v="15"/>
    <x v="9"/>
    <x v="2"/>
    <n v="0.91708970562945302"/>
    <n v="2E+20"/>
    <n v="0"/>
    <n v="5.9915292249323198"/>
    <n v="118"/>
    <s v="Friday (Solucion: datafono, gofre, cocina y caja compartida)PreparacionWait Time Per EntityProcess"/>
    <n v="19"/>
    <n v="0.70035672369515334"/>
    <n v="0.73328049543419305"/>
    <n v="0.95"/>
    <n v="0.35342988550342119"/>
    <n v="0.19405440212973199"/>
    <n v="3.4332474400478601"/>
    <n v="0"/>
    <n v="17.656360512085001"/>
    <n v="122.31578947368421"/>
    <n v="0.35342988550342119"/>
    <n v="19"/>
    <n v="1"/>
  </r>
  <r>
    <x v="0"/>
    <s v="2025-05-18 18:56:05"/>
    <n v="11"/>
    <x v="15"/>
    <x v="7"/>
    <x v="2"/>
    <n v="2.0055349433787599"/>
    <n v="2E+20"/>
    <n v="6.3257868254424907E-2"/>
    <n v="14.139688672061"/>
    <n v="116"/>
    <s v="Friday (Solucion: datafono, gofre, cocina y caja compartida)PreparacionTotal Time Per EntityProcess"/>
    <n v="19"/>
    <n v="2.1273994880359743"/>
    <n v="0.78312872053361837"/>
    <n v="0.95"/>
    <n v="0.37745596092631467"/>
    <n v="1.4498913227505501"/>
    <n v="4.8344956063072599"/>
    <n v="0"/>
    <n v="23.229576157810602"/>
    <n v="122.31578947368421"/>
    <n v="0.37745596092631467"/>
    <n v="19"/>
    <n v="1"/>
  </r>
  <r>
    <x v="0"/>
    <s v="2025-05-18 18:56:05"/>
    <n v="11"/>
    <x v="15"/>
    <x v="8"/>
    <x v="2"/>
    <n v="1.40321309110507"/>
    <n v="2E+20"/>
    <n v="6.3257868254424907E-2"/>
    <n v="13.3285940274107"/>
    <n v="116"/>
    <s v="Friday (Solucion: datafono, gofre, cocina y caja compartida)PreparacionVA Time Per EntityProcess"/>
    <n v="19"/>
    <n v="1.427042764340821"/>
    <n v="0.15210233149440669"/>
    <n v="0.95"/>
    <n v="7.3310977094843424E-2"/>
    <n v="1.1889341151258599"/>
    <n v="1.71891901774247"/>
    <n v="0"/>
    <n v="13.3285940274107"/>
    <n v="122.31578947368421"/>
    <n v="7.3310977094843424E-2"/>
    <n v="19"/>
    <n v="1"/>
  </r>
  <r>
    <x v="0"/>
    <s v="2025-05-18 18:56:05"/>
    <n v="11"/>
    <x v="15"/>
    <x v="9"/>
    <x v="2"/>
    <n v="0.60232185227368795"/>
    <n v="2E+20"/>
    <n v="0"/>
    <n v="6.8137213811786799"/>
    <n v="116"/>
    <s v="Friday (Solucion: datafono, gofre, cocina y caja compartida)PreparacionWait Time Per EntityProcess"/>
    <n v="19"/>
    <n v="0.70035672369515334"/>
    <n v="0.73328049543419305"/>
    <n v="0.95"/>
    <n v="0.35342988550342119"/>
    <n v="0.19405440212973199"/>
    <n v="3.4332474400478601"/>
    <n v="0"/>
    <n v="17.656360512085001"/>
    <n v="122.31578947368421"/>
    <n v="0.35342988550342119"/>
    <n v="19"/>
    <n v="1"/>
  </r>
  <r>
    <x v="0"/>
    <s v="2025-05-18 18:56:05"/>
    <n v="12"/>
    <x v="15"/>
    <x v="7"/>
    <x v="2"/>
    <n v="2.2655097482181499"/>
    <n v="2E+20"/>
    <n v="0.12166669375599801"/>
    <n v="12.6988479536298"/>
    <n v="119"/>
    <s v="Friday (Solucion: datafono, gofre, cocina y caja compartida)PreparacionTotal Time Per EntityProcess"/>
    <n v="19"/>
    <n v="2.1273994880359743"/>
    <n v="0.78312872053361837"/>
    <n v="0.95"/>
    <n v="0.37745596092631467"/>
    <n v="1.4498913227505501"/>
    <n v="4.8344956063072599"/>
    <n v="0"/>
    <n v="23.229576157810602"/>
    <n v="122.31578947368421"/>
    <n v="0.37745596092631467"/>
    <n v="19"/>
    <n v="1"/>
  </r>
  <r>
    <x v="0"/>
    <s v="2025-05-18 18:56:05"/>
    <n v="12"/>
    <x v="15"/>
    <x v="8"/>
    <x v="2"/>
    <n v="1.48653798609683"/>
    <n v="2E+20"/>
    <n v="0.104467793621836"/>
    <n v="9.46533050877356"/>
    <n v="119"/>
    <s v="Friday (Solucion: datafono, gofre, cocina y caja compartida)PreparacionVA Time Per EntityProcess"/>
    <n v="19"/>
    <n v="1.427042764340821"/>
    <n v="0.15210233149440669"/>
    <n v="0.95"/>
    <n v="7.3310977094843424E-2"/>
    <n v="1.1889341151258599"/>
    <n v="1.71891901774247"/>
    <n v="0"/>
    <n v="13.3285940274107"/>
    <n v="122.31578947368421"/>
    <n v="7.3310977094843424E-2"/>
    <n v="19"/>
    <n v="1"/>
  </r>
  <r>
    <x v="0"/>
    <s v="2025-05-18 18:56:05"/>
    <n v="12"/>
    <x v="15"/>
    <x v="9"/>
    <x v="2"/>
    <n v="0.77897176212132302"/>
    <n v="2E+20"/>
    <n v="0"/>
    <n v="9.1613483299710001"/>
    <n v="119"/>
    <s v="Friday (Solucion: datafono, gofre, cocina y caja compartida)PreparacionWait Time Per EntityProcess"/>
    <n v="19"/>
    <n v="0.70035672369515334"/>
    <n v="0.73328049543419305"/>
    <n v="0.95"/>
    <n v="0.35342988550342119"/>
    <n v="0.19405440212973199"/>
    <n v="3.4332474400478601"/>
    <n v="0"/>
    <n v="17.656360512085001"/>
    <n v="122.31578947368421"/>
    <n v="0.35342988550342119"/>
    <n v="19"/>
    <n v="1"/>
  </r>
  <r>
    <x v="0"/>
    <s v="2025-05-18 18:56:05"/>
    <n v="13"/>
    <x v="15"/>
    <x v="7"/>
    <x v="2"/>
    <n v="1.9685930981400701"/>
    <n v="2E+20"/>
    <n v="0.14573988196207199"/>
    <n v="9.0975233865828198"/>
    <n v="115"/>
    <s v="Friday (Solucion: datafono, gofre, cocina y caja compartida)PreparacionTotal Time Per EntityProcess"/>
    <n v="19"/>
    <n v="2.1273994880359743"/>
    <n v="0.78312872053361837"/>
    <n v="0.95"/>
    <n v="0.37745596092631467"/>
    <n v="1.4498913227505501"/>
    <n v="4.8344956063072599"/>
    <n v="0"/>
    <n v="23.229576157810602"/>
    <n v="122.31578947368421"/>
    <n v="0.37745596092631467"/>
    <n v="19"/>
    <n v="1"/>
  </r>
  <r>
    <x v="0"/>
    <s v="2025-05-18 18:56:05"/>
    <n v="13"/>
    <x v="15"/>
    <x v="8"/>
    <x v="2"/>
    <n v="1.5133152030685899"/>
    <n v="2E+20"/>
    <n v="0.10024265530432799"/>
    <n v="9.0975233865828198"/>
    <n v="115"/>
    <s v="Friday (Solucion: datafono, gofre, cocina y caja compartida)PreparacionVA Time Per EntityProcess"/>
    <n v="19"/>
    <n v="1.427042764340821"/>
    <n v="0.15210233149440669"/>
    <n v="0.95"/>
    <n v="7.3310977094843424E-2"/>
    <n v="1.1889341151258599"/>
    <n v="1.71891901774247"/>
    <n v="0"/>
    <n v="13.3285940274107"/>
    <n v="122.31578947368421"/>
    <n v="7.3310977094843424E-2"/>
    <n v="19"/>
    <n v="1"/>
  </r>
  <r>
    <x v="0"/>
    <s v="2025-05-18 18:56:05"/>
    <n v="13"/>
    <x v="15"/>
    <x v="9"/>
    <x v="2"/>
    <n v="0.45527789507148497"/>
    <n v="2E+20"/>
    <n v="0"/>
    <n v="2.9647038153457301"/>
    <n v="115"/>
    <s v="Friday (Solucion: datafono, gofre, cocina y caja compartida)PreparacionWait Time Per EntityProcess"/>
    <n v="19"/>
    <n v="0.70035672369515334"/>
    <n v="0.73328049543419305"/>
    <n v="0.95"/>
    <n v="0.35342988550342119"/>
    <n v="0.19405440212973199"/>
    <n v="3.4332474400478601"/>
    <n v="0"/>
    <n v="17.656360512085001"/>
    <n v="122.31578947368421"/>
    <n v="0.35342988550342119"/>
    <n v="19"/>
    <n v="1"/>
  </r>
  <r>
    <x v="0"/>
    <s v="2025-05-18 18:56:05"/>
    <n v="14"/>
    <x v="15"/>
    <x v="7"/>
    <x v="2"/>
    <n v="2.1561817465934299"/>
    <n v="2E+20"/>
    <n v="0.11042830725234901"/>
    <n v="9.0489908522134499"/>
    <n v="133"/>
    <s v="Friday (Solucion: datafono, gofre, cocina y caja compartida)PreparacionTotal Time Per EntityProcess"/>
    <n v="19"/>
    <n v="2.1273994880359743"/>
    <n v="0.78312872053361837"/>
    <n v="0.95"/>
    <n v="0.37745596092631467"/>
    <n v="1.4498913227505501"/>
    <n v="4.8344956063072599"/>
    <n v="0"/>
    <n v="23.229576157810602"/>
    <n v="122.31578947368421"/>
    <n v="0.37745596092631467"/>
    <n v="19"/>
    <n v="1"/>
  </r>
  <r>
    <x v="0"/>
    <s v="2025-05-18 18:56:05"/>
    <n v="14"/>
    <x v="15"/>
    <x v="8"/>
    <x v="2"/>
    <n v="1.3386725304453"/>
    <n v="2E+20"/>
    <n v="7.4615462491237905E-2"/>
    <n v="6.9319163281625702"/>
    <n v="133"/>
    <s v="Friday (Solucion: datafono, gofre, cocina y caja compartida)PreparacionVA Time Per EntityProcess"/>
    <n v="19"/>
    <n v="1.427042764340821"/>
    <n v="0.15210233149440669"/>
    <n v="0.95"/>
    <n v="7.3310977094843424E-2"/>
    <n v="1.1889341151258599"/>
    <n v="1.71891901774247"/>
    <n v="0"/>
    <n v="13.3285940274107"/>
    <n v="122.31578947368421"/>
    <n v="7.3310977094843424E-2"/>
    <n v="19"/>
    <n v="1"/>
  </r>
  <r>
    <x v="0"/>
    <s v="2025-05-18 18:56:05"/>
    <n v="14"/>
    <x v="15"/>
    <x v="9"/>
    <x v="2"/>
    <n v="0.81750921614813199"/>
    <n v="2E+20"/>
    <n v="0"/>
    <n v="4.7162811155878597"/>
    <n v="133"/>
    <s v="Friday (Solucion: datafono, gofre, cocina y caja compartida)PreparacionWait Time Per EntityProcess"/>
    <n v="19"/>
    <n v="0.70035672369515334"/>
    <n v="0.73328049543419305"/>
    <n v="0.95"/>
    <n v="0.35342988550342119"/>
    <n v="0.19405440212973199"/>
    <n v="3.4332474400478601"/>
    <n v="0"/>
    <n v="17.656360512085001"/>
    <n v="122.31578947368421"/>
    <n v="0.35342988550342119"/>
    <n v="19"/>
    <n v="1"/>
  </r>
  <r>
    <x v="0"/>
    <s v="2025-05-18 18:56:05"/>
    <n v="15"/>
    <x v="15"/>
    <x v="7"/>
    <x v="2"/>
    <n v="1.8839222205764401"/>
    <n v="2E+20"/>
    <n v="7.6522781955731006E-2"/>
    <n v="7.1899565602825097"/>
    <n v="127"/>
    <s v="Friday (Solucion: datafono, gofre, cocina y caja compartida)PreparacionTotal Time Per EntityProcess"/>
    <n v="19"/>
    <n v="2.1273994880359743"/>
    <n v="0.78312872053361837"/>
    <n v="0.95"/>
    <n v="0.37745596092631467"/>
    <n v="1.4498913227505501"/>
    <n v="4.8344956063072599"/>
    <n v="0"/>
    <n v="23.229576157810602"/>
    <n v="122.31578947368421"/>
    <n v="0.37745596092631467"/>
    <n v="19"/>
    <n v="1"/>
  </r>
  <r>
    <x v="0"/>
    <s v="2025-05-18 18:56:05"/>
    <n v="15"/>
    <x v="15"/>
    <x v="8"/>
    <x v="2"/>
    <n v="1.3925614396197199"/>
    <n v="2E+20"/>
    <n v="7.6522781955731006E-2"/>
    <n v="7.1899565602825097"/>
    <n v="127"/>
    <s v="Friday (Solucion: datafono, gofre, cocina y caja compartida)PreparacionVA Time Per EntityProcess"/>
    <n v="19"/>
    <n v="1.427042764340821"/>
    <n v="0.15210233149440669"/>
    <n v="0.95"/>
    <n v="7.3310977094843424E-2"/>
    <n v="1.1889341151258599"/>
    <n v="1.71891901774247"/>
    <n v="0"/>
    <n v="13.3285940274107"/>
    <n v="122.31578947368421"/>
    <n v="7.3310977094843424E-2"/>
    <n v="19"/>
    <n v="1"/>
  </r>
  <r>
    <x v="0"/>
    <s v="2025-05-18 18:56:05"/>
    <n v="15"/>
    <x v="15"/>
    <x v="9"/>
    <x v="2"/>
    <n v="0.49136078095671498"/>
    <n v="2E+20"/>
    <n v="0"/>
    <n v="4.5561174591506699"/>
    <n v="127"/>
    <s v="Friday (Solucion: datafono, gofre, cocina y caja compartida)PreparacionWait Time Per EntityProcess"/>
    <n v="19"/>
    <n v="0.70035672369515334"/>
    <n v="0.73328049543419305"/>
    <n v="0.95"/>
    <n v="0.35342988550342119"/>
    <n v="0.19405440212973199"/>
    <n v="3.4332474400478601"/>
    <n v="0"/>
    <n v="17.656360512085001"/>
    <n v="122.31578947368421"/>
    <n v="0.35342988550342119"/>
    <n v="19"/>
    <n v="1"/>
  </r>
  <r>
    <x v="0"/>
    <s v="2025-05-18 18:56:05"/>
    <n v="16"/>
    <x v="15"/>
    <x v="7"/>
    <x v="2"/>
    <n v="1.4498913227505501"/>
    <n v="2E+20"/>
    <n v="6.2892149244035495E-2"/>
    <n v="7.7684269055628601"/>
    <n v="131"/>
    <s v="Friday (Solucion: datafono, gofre, cocina y caja compartida)PreparacionTotal Time Per EntityProcess"/>
    <n v="19"/>
    <n v="2.1273994880359743"/>
    <n v="0.78312872053361837"/>
    <n v="0.95"/>
    <n v="0.37745596092631467"/>
    <n v="1.4498913227505501"/>
    <n v="4.8344956063072599"/>
    <n v="0"/>
    <n v="23.229576157810602"/>
    <n v="122.31578947368421"/>
    <n v="0.37745596092631467"/>
    <n v="19"/>
    <n v="1"/>
  </r>
  <r>
    <x v="0"/>
    <s v="2025-05-18 18:56:05"/>
    <n v="16"/>
    <x v="15"/>
    <x v="8"/>
    <x v="2"/>
    <n v="1.2531378347248601"/>
    <n v="2E+20"/>
    <n v="6.2892149244035495E-2"/>
    <n v="6.6994021734569502"/>
    <n v="131"/>
    <s v="Friday (Solucion: datafono, gofre, cocina y caja compartida)PreparacionVA Time Per EntityProcess"/>
    <n v="19"/>
    <n v="1.427042764340821"/>
    <n v="0.15210233149440669"/>
    <n v="0.95"/>
    <n v="7.3310977094843424E-2"/>
    <n v="1.1889341151258599"/>
    <n v="1.71891901774247"/>
    <n v="0"/>
    <n v="13.3285940274107"/>
    <n v="122.31578947368421"/>
    <n v="7.3310977094843424E-2"/>
    <n v="19"/>
    <n v="1"/>
  </r>
  <r>
    <x v="0"/>
    <s v="2025-05-18 18:56:05"/>
    <n v="16"/>
    <x v="15"/>
    <x v="9"/>
    <x v="2"/>
    <n v="0.19675348802568801"/>
    <n v="2E+20"/>
    <n v="0"/>
    <n v="2.0095796098252499"/>
    <n v="131"/>
    <s v="Friday (Solucion: datafono, gofre, cocina y caja compartida)PreparacionWait Time Per EntityProcess"/>
    <n v="19"/>
    <n v="0.70035672369515334"/>
    <n v="0.73328049543419305"/>
    <n v="0.95"/>
    <n v="0.35342988550342119"/>
    <n v="0.19405440212973199"/>
    <n v="3.4332474400478601"/>
    <n v="0"/>
    <n v="17.656360512085001"/>
    <n v="122.31578947368421"/>
    <n v="0.35342988550342119"/>
    <n v="19"/>
    <n v="1"/>
  </r>
  <r>
    <x v="0"/>
    <s v="2025-05-18 18:56:05"/>
    <n v="17"/>
    <x v="15"/>
    <x v="7"/>
    <x v="2"/>
    <n v="1.8890053524362"/>
    <n v="2E+20"/>
    <n v="7.0754975650373794E-2"/>
    <n v="8.9156302968360706"/>
    <n v="124"/>
    <s v="Friday (Solucion: datafono, gofre, cocina y caja compartida)PreparacionTotal Time Per EntityProcess"/>
    <n v="19"/>
    <n v="2.1273994880359743"/>
    <n v="0.78312872053361837"/>
    <n v="0.95"/>
    <n v="0.37745596092631467"/>
    <n v="1.4498913227505501"/>
    <n v="4.8344956063072599"/>
    <n v="0"/>
    <n v="23.229576157810602"/>
    <n v="122.31578947368421"/>
    <n v="0.37745596092631467"/>
    <n v="19"/>
    <n v="1"/>
  </r>
  <r>
    <x v="0"/>
    <s v="2025-05-18 18:56:05"/>
    <n v="17"/>
    <x v="15"/>
    <x v="8"/>
    <x v="2"/>
    <n v="1.44163883248143"/>
    <n v="2E+20"/>
    <n v="7.0754975650373794E-2"/>
    <n v="8.9156302968360706"/>
    <n v="124"/>
    <s v="Friday (Solucion: datafono, gofre, cocina y caja compartida)PreparacionVA Time Per EntityProcess"/>
    <n v="19"/>
    <n v="1.427042764340821"/>
    <n v="0.15210233149440669"/>
    <n v="0.95"/>
    <n v="7.3310977094843424E-2"/>
    <n v="1.1889341151258599"/>
    <n v="1.71891901774247"/>
    <n v="0"/>
    <n v="13.3285940274107"/>
    <n v="122.31578947368421"/>
    <n v="7.3310977094843424E-2"/>
    <n v="19"/>
    <n v="1"/>
  </r>
  <r>
    <x v="0"/>
    <s v="2025-05-18 18:56:05"/>
    <n v="17"/>
    <x v="15"/>
    <x v="9"/>
    <x v="2"/>
    <n v="0.447366519954769"/>
    <n v="2E+20"/>
    <n v="0"/>
    <n v="3.6859567937453002"/>
    <n v="124"/>
    <s v="Friday (Solucion: datafono, gofre, cocina y caja compartida)PreparacionWait Time Per EntityProcess"/>
    <n v="19"/>
    <n v="0.70035672369515334"/>
    <n v="0.73328049543419305"/>
    <n v="0.95"/>
    <n v="0.35342988550342119"/>
    <n v="0.19405440212973199"/>
    <n v="3.4332474400478601"/>
    <n v="0"/>
    <n v="17.656360512085001"/>
    <n v="122.31578947368421"/>
    <n v="0.35342988550342119"/>
    <n v="19"/>
    <n v="1"/>
  </r>
  <r>
    <x v="0"/>
    <s v="2025-05-18 18:56:05"/>
    <n v="18"/>
    <x v="15"/>
    <x v="7"/>
    <x v="2"/>
    <n v="2.5074835011506802"/>
    <n v="2E+20"/>
    <n v="0.136362017680426"/>
    <n v="14.493705040271401"/>
    <n v="121"/>
    <s v="Friday (Solucion: datafono, gofre, cocina y caja compartida)PreparacionTotal Time Per EntityProcess"/>
    <n v="19"/>
    <n v="2.1273994880359743"/>
    <n v="0.78312872053361837"/>
    <n v="0.95"/>
    <n v="0.37745596092631467"/>
    <n v="1.4498913227505501"/>
    <n v="4.8344956063072599"/>
    <n v="0"/>
    <n v="23.229576157810602"/>
    <n v="122.31578947368421"/>
    <n v="0.37745596092631467"/>
    <n v="19"/>
    <n v="1"/>
  </r>
  <r>
    <x v="0"/>
    <s v="2025-05-18 18:56:05"/>
    <n v="18"/>
    <x v="15"/>
    <x v="8"/>
    <x v="2"/>
    <n v="1.71891901774247"/>
    <n v="2E+20"/>
    <n v="0"/>
    <n v="12.0362708068504"/>
    <n v="121"/>
    <s v="Friday (Solucion: datafono, gofre, cocina y caja compartida)PreparacionVA Time Per EntityProcess"/>
    <n v="19"/>
    <n v="1.427042764340821"/>
    <n v="0.15210233149440669"/>
    <n v="0.95"/>
    <n v="7.3310977094843424E-2"/>
    <n v="1.1889341151258599"/>
    <n v="1.71891901774247"/>
    <n v="0"/>
    <n v="13.3285940274107"/>
    <n v="122.31578947368421"/>
    <n v="7.3310977094843424E-2"/>
    <n v="19"/>
    <n v="1"/>
  </r>
  <r>
    <x v="0"/>
    <s v="2025-05-18 18:56:05"/>
    <n v="18"/>
    <x v="15"/>
    <x v="9"/>
    <x v="2"/>
    <n v="0.78856448340821095"/>
    <n v="2E+20"/>
    <n v="0"/>
    <n v="9.6271429415646601"/>
    <n v="121"/>
    <s v="Friday (Solucion: datafono, gofre, cocina y caja compartida)PreparacionWait Time Per EntityProcess"/>
    <n v="19"/>
    <n v="0.70035672369515334"/>
    <n v="0.73328049543419305"/>
    <n v="0.95"/>
    <n v="0.35342988550342119"/>
    <n v="0.19405440212973199"/>
    <n v="3.4332474400478601"/>
    <n v="0"/>
    <n v="17.656360512085001"/>
    <n v="122.31578947368421"/>
    <n v="0.35342988550342119"/>
    <n v="19"/>
    <n v="1"/>
  </r>
  <r>
    <x v="0"/>
    <s v="2025-05-18 18:56:05"/>
    <n v="19"/>
    <x v="15"/>
    <x v="7"/>
    <x v="2"/>
    <n v="1.5403841789606001"/>
    <n v="2E+20"/>
    <n v="0.109088228551613"/>
    <n v="8.4392311968733509"/>
    <n v="121"/>
    <s v="Friday (Solucion: datafono, gofre, cocina y caja compartida)PreparacionTotal Time Per EntityProcess"/>
    <n v="19"/>
    <n v="2.1273994880359743"/>
    <n v="0.78312872053361837"/>
    <n v="0.95"/>
    <n v="0.37745596092631467"/>
    <n v="1.4498913227505501"/>
    <n v="4.8344956063072599"/>
    <n v="0"/>
    <n v="23.229576157810602"/>
    <n v="122.31578947368421"/>
    <n v="0.37745596092631467"/>
    <n v="19"/>
    <n v="1"/>
  </r>
  <r>
    <x v="0"/>
    <s v="2025-05-18 18:56:05"/>
    <n v="19"/>
    <x v="15"/>
    <x v="8"/>
    <x v="2"/>
    <n v="1.24558782988584"/>
    <n v="2E+20"/>
    <n v="7.7292610103711495E-2"/>
    <n v="7.2932303851256099"/>
    <n v="121"/>
    <s v="Friday (Solucion: datafono, gofre, cocina y caja compartida)PreparacionVA Time Per EntityProcess"/>
    <n v="19"/>
    <n v="1.427042764340821"/>
    <n v="0.15210233149440669"/>
    <n v="0.95"/>
    <n v="7.3310977094843424E-2"/>
    <n v="1.1889341151258599"/>
    <n v="1.71891901774247"/>
    <n v="0"/>
    <n v="13.3285940274107"/>
    <n v="122.31578947368421"/>
    <n v="7.3310977094843424E-2"/>
    <n v="19"/>
    <n v="1"/>
  </r>
  <r>
    <x v="0"/>
    <s v="2025-05-18 18:56:05"/>
    <n v="19"/>
    <x v="15"/>
    <x v="9"/>
    <x v="2"/>
    <n v="0.29479634907475699"/>
    <n v="2E+20"/>
    <n v="0"/>
    <n v="3.5961114330544"/>
    <n v="121"/>
    <s v="Friday (Solucion: datafono, gofre, cocina y caja compartida)PreparacionWait Time Per EntityProcess"/>
    <n v="19"/>
    <n v="0.70035672369515334"/>
    <n v="0.73328049543419305"/>
    <n v="0.95"/>
    <n v="0.35342988550342119"/>
    <n v="0.19405440212973199"/>
    <n v="3.4332474400478601"/>
    <n v="0"/>
    <n v="17.656360512085001"/>
    <n v="122.31578947368421"/>
    <n v="0.35342988550342119"/>
    <n v="19"/>
    <n v="1"/>
  </r>
  <r>
    <x v="0"/>
    <s v="2025-05-18 18:56:05"/>
    <n v="1"/>
    <x v="16"/>
    <x v="10"/>
    <x v="3"/>
    <n v="3.2614571838962898"/>
    <n v="2E+20"/>
    <n v="0"/>
    <n v="15.231041134973101"/>
    <n v="148"/>
    <s v="Friday (Solucion: datafono, gofre, cocina y caja compartida)Preparacion.QueueWaiting TimeQueue"/>
    <n v="19"/>
    <n v="0.69352531674172502"/>
    <n v="0.6930057279295283"/>
    <n v="0.95"/>
    <n v="0.33401806893870795"/>
    <n v="0.19675348802568801"/>
    <n v="3.2614571838962898"/>
    <n v="0"/>
    <n v="15.231041134973101"/>
    <n v="122.26315789473684"/>
    <n v="0.33401806893870795"/>
    <n v="19"/>
    <n v="1"/>
  </r>
  <r>
    <x v="0"/>
    <s v="2025-05-18 18:56:05"/>
    <n v="2"/>
    <x v="16"/>
    <x v="10"/>
    <x v="3"/>
    <n v="0.52201282707834895"/>
    <n v="2E+20"/>
    <n v="0"/>
    <n v="4.5084745559450097"/>
    <n v="111"/>
    <s v="Friday (Solucion: datafono, gofre, cocina y caja compartida)Preparacion.QueueWaiting TimeQueue"/>
    <n v="19"/>
    <n v="0.69352531674172502"/>
    <n v="0.6930057279295283"/>
    <n v="0.95"/>
    <n v="0.33401806893870795"/>
    <n v="0.19675348802568801"/>
    <n v="3.2614571838962898"/>
    <n v="0"/>
    <n v="15.231041134973101"/>
    <n v="122.26315789473684"/>
    <n v="0.33401806893870795"/>
    <n v="19"/>
    <n v="1"/>
  </r>
  <r>
    <x v="0"/>
    <s v="2025-05-18 18:56:05"/>
    <n v="3"/>
    <x v="16"/>
    <x v="10"/>
    <x v="3"/>
    <n v="1.4305181876598601"/>
    <n v="2E+20"/>
    <n v="0"/>
    <n v="7.6520649287739797"/>
    <n v="114"/>
    <s v="Friday (Solucion: datafono, gofre, cocina y caja compartida)Preparacion.QueueWaiting TimeQueue"/>
    <n v="19"/>
    <n v="0.69352531674172502"/>
    <n v="0.6930057279295283"/>
    <n v="0.95"/>
    <n v="0.33401806893870795"/>
    <n v="0.19675348802568801"/>
    <n v="3.2614571838962898"/>
    <n v="0"/>
    <n v="15.231041134973101"/>
    <n v="122.26315789473684"/>
    <n v="0.33401806893870795"/>
    <n v="19"/>
    <n v="1"/>
  </r>
  <r>
    <x v="0"/>
    <s v="2025-05-18 18:56:05"/>
    <n v="4"/>
    <x v="16"/>
    <x v="10"/>
    <x v="3"/>
    <n v="0.20590631106687199"/>
    <n v="2E+20"/>
    <n v="0"/>
    <n v="3.0568609460551799"/>
    <n v="117"/>
    <s v="Friday (Solucion: datafono, gofre, cocina y caja compartida)Preparacion.QueueWaiting TimeQueue"/>
    <n v="19"/>
    <n v="0.69352531674172502"/>
    <n v="0.6930057279295283"/>
    <n v="0.95"/>
    <n v="0.33401806893870795"/>
    <n v="0.19675348802568801"/>
    <n v="3.2614571838962898"/>
    <n v="0"/>
    <n v="15.231041134973101"/>
    <n v="122.26315789473684"/>
    <n v="0.33401806893870795"/>
    <n v="19"/>
    <n v="1"/>
  </r>
  <r>
    <x v="0"/>
    <s v="2025-05-18 18:56:05"/>
    <n v="5"/>
    <x v="16"/>
    <x v="10"/>
    <x v="3"/>
    <n v="0.29464649062675102"/>
    <n v="2E+20"/>
    <n v="0"/>
    <n v="3.7286278144762801"/>
    <n v="131"/>
    <s v="Friday (Solucion: datafono, gofre, cocina y caja compartida)Preparacion.QueueWaiting TimeQueue"/>
    <n v="19"/>
    <n v="0.69352531674172502"/>
    <n v="0.6930057279295283"/>
    <n v="0.95"/>
    <n v="0.33401806893870795"/>
    <n v="0.19675348802568801"/>
    <n v="3.2614571838962898"/>
    <n v="0"/>
    <n v="15.231041134973101"/>
    <n v="122.26315789473684"/>
    <n v="0.33401806893870795"/>
    <n v="19"/>
    <n v="1"/>
  </r>
  <r>
    <x v="0"/>
    <s v="2025-05-18 18:56:05"/>
    <n v="6"/>
    <x v="16"/>
    <x v="10"/>
    <x v="3"/>
    <n v="0.202792560515587"/>
    <n v="2E+20"/>
    <n v="0"/>
    <n v="2.0400085159373198"/>
    <n v="116"/>
    <s v="Friday (Solucion: datafono, gofre, cocina y caja compartida)Preparacion.QueueWaiting TimeQueue"/>
    <n v="19"/>
    <n v="0.69352531674172502"/>
    <n v="0.6930057279295283"/>
    <n v="0.95"/>
    <n v="0.33401806893870795"/>
    <n v="0.19675348802568801"/>
    <n v="3.2614571838962898"/>
    <n v="0"/>
    <n v="15.231041134973101"/>
    <n v="122.26315789473684"/>
    <n v="0.33401806893870795"/>
    <n v="19"/>
    <n v="1"/>
  </r>
  <r>
    <x v="0"/>
    <s v="2025-05-18 18:56:05"/>
    <n v="7"/>
    <x v="16"/>
    <x v="10"/>
    <x v="3"/>
    <n v="0.38897841412815898"/>
    <n v="2E+20"/>
    <n v="0"/>
    <n v="2.5116513290956601"/>
    <n v="112"/>
    <s v="Friday (Solucion: datafono, gofre, cocina y caja compartida)Preparacion.QueueWaiting TimeQueue"/>
    <n v="19"/>
    <n v="0.69352531674172502"/>
    <n v="0.6930057279295283"/>
    <n v="0.95"/>
    <n v="0.33401806893870795"/>
    <n v="0.19675348802568801"/>
    <n v="3.2614571838962898"/>
    <n v="0"/>
    <n v="15.231041134973101"/>
    <n v="122.26315789473684"/>
    <n v="0.33401806893870795"/>
    <n v="19"/>
    <n v="1"/>
  </r>
  <r>
    <x v="0"/>
    <s v="2025-05-18 18:56:05"/>
    <n v="8"/>
    <x v="16"/>
    <x v="10"/>
    <x v="3"/>
    <n v="0.67710120720200795"/>
    <n v="2E+20"/>
    <n v="0"/>
    <n v="3.1900833324625402"/>
    <n v="136"/>
    <s v="Friday (Solucion: datafono, gofre, cocina y caja compartida)Preparacion.QueueWaiting TimeQueue"/>
    <n v="19"/>
    <n v="0.69352531674172502"/>
    <n v="0.6930057279295283"/>
    <n v="0.95"/>
    <n v="0.33401806893870795"/>
    <n v="0.19675348802568801"/>
    <n v="3.2614571838962898"/>
    <n v="0"/>
    <n v="15.231041134973101"/>
    <n v="122.26315789473684"/>
    <n v="0.33401806893870795"/>
    <n v="19"/>
    <n v="1"/>
  </r>
  <r>
    <x v="0"/>
    <s v="2025-05-18 18:56:05"/>
    <n v="9"/>
    <x v="16"/>
    <x v="10"/>
    <x v="3"/>
    <n v="0.37959191796525998"/>
    <n v="2E+20"/>
    <n v="0"/>
    <n v="3.7641684320137299"/>
    <n v="113"/>
    <s v="Friday (Solucion: datafono, gofre, cocina y caja compartida)Preparacion.QueueWaiting TimeQueue"/>
    <n v="19"/>
    <n v="0.69352531674172502"/>
    <n v="0.6930057279295283"/>
    <n v="0.95"/>
    <n v="0.33401806893870795"/>
    <n v="0.19675348802568801"/>
    <n v="3.2614571838962898"/>
    <n v="0"/>
    <n v="15.231041134973101"/>
    <n v="122.26315789473684"/>
    <n v="0.33401806893870795"/>
    <n v="19"/>
    <n v="1"/>
  </r>
  <r>
    <x v="0"/>
    <s v="2025-05-18 18:56:05"/>
    <n v="10"/>
    <x v="16"/>
    <x v="10"/>
    <x v="3"/>
    <n v="0.91708970562945302"/>
    <n v="2E+20"/>
    <n v="0"/>
    <n v="5.9915292249323198"/>
    <n v="118"/>
    <s v="Friday (Solucion: datafono, gofre, cocina y caja compartida)Preparacion.QueueWaiting TimeQueue"/>
    <n v="19"/>
    <n v="0.69352531674172502"/>
    <n v="0.6930057279295283"/>
    <n v="0.95"/>
    <n v="0.33401806893870795"/>
    <n v="0.19675348802568801"/>
    <n v="3.2614571838962898"/>
    <n v="0"/>
    <n v="15.231041134973101"/>
    <n v="122.26315789473684"/>
    <n v="0.33401806893870795"/>
    <n v="19"/>
    <n v="1"/>
  </r>
  <r>
    <x v="0"/>
    <s v="2025-05-18 18:56:05"/>
    <n v="11"/>
    <x v="16"/>
    <x v="10"/>
    <x v="3"/>
    <n v="0.61288890231357696"/>
    <n v="2E+20"/>
    <n v="0"/>
    <n v="6.8137213811786799"/>
    <n v="114"/>
    <s v="Friday (Solucion: datafono, gofre, cocina y caja compartida)Preparacion.QueueWaiting TimeQueue"/>
    <n v="19"/>
    <n v="0.69352531674172502"/>
    <n v="0.6930057279295283"/>
    <n v="0.95"/>
    <n v="0.33401806893870795"/>
    <n v="0.19675348802568801"/>
    <n v="3.2614571838962898"/>
    <n v="0"/>
    <n v="15.231041134973101"/>
    <n v="122.26315789473684"/>
    <n v="0.33401806893870795"/>
    <n v="19"/>
    <n v="1"/>
  </r>
  <r>
    <x v="0"/>
    <s v="2025-05-18 18:56:05"/>
    <n v="12"/>
    <x v="16"/>
    <x v="10"/>
    <x v="3"/>
    <n v="0.73450167633732599"/>
    <n v="2E+20"/>
    <n v="0"/>
    <n v="9.1613483299710001"/>
    <n v="118"/>
    <s v="Friday (Solucion: datafono, gofre, cocina y caja compartida)Preparacion.QueueWaiting TimeQueue"/>
    <n v="19"/>
    <n v="0.69352531674172502"/>
    <n v="0.6930057279295283"/>
    <n v="0.95"/>
    <n v="0.33401806893870795"/>
    <n v="0.19675348802568801"/>
    <n v="3.2614571838962898"/>
    <n v="0"/>
    <n v="15.231041134973101"/>
    <n v="122.26315789473684"/>
    <n v="0.33401806893870795"/>
    <n v="19"/>
    <n v="1"/>
  </r>
  <r>
    <x v="0"/>
    <s v="2025-05-18 18:56:05"/>
    <n v="13"/>
    <x v="16"/>
    <x v="10"/>
    <x v="3"/>
    <n v="0.45527789507148497"/>
    <n v="2E+20"/>
    <n v="0"/>
    <n v="2.9647038153457301"/>
    <n v="115"/>
    <s v="Friday (Solucion: datafono, gofre, cocina y caja compartida)Preparacion.QueueWaiting TimeQueue"/>
    <n v="19"/>
    <n v="0.69352531674172502"/>
    <n v="0.6930057279295283"/>
    <n v="0.95"/>
    <n v="0.33401806893870795"/>
    <n v="0.19675348802568801"/>
    <n v="3.2614571838962898"/>
    <n v="0"/>
    <n v="15.231041134973101"/>
    <n v="122.26315789473684"/>
    <n v="0.33401806893870795"/>
    <n v="19"/>
    <n v="1"/>
  </r>
  <r>
    <x v="0"/>
    <s v="2025-05-18 18:56:05"/>
    <n v="14"/>
    <x v="16"/>
    <x v="10"/>
    <x v="3"/>
    <n v="0.84077560664595896"/>
    <n v="2E+20"/>
    <n v="0"/>
    <n v="4.7162811155878597"/>
    <n v="135"/>
    <s v="Friday (Solucion: datafono, gofre, cocina y caja compartida)Preparacion.QueueWaiting TimeQueue"/>
    <n v="19"/>
    <n v="0.69352531674172502"/>
    <n v="0.6930057279295283"/>
    <n v="0.95"/>
    <n v="0.33401806893870795"/>
    <n v="0.19675348802568801"/>
    <n v="3.2614571838962898"/>
    <n v="0"/>
    <n v="15.231041134973101"/>
    <n v="122.26315789473684"/>
    <n v="0.33401806893870795"/>
    <n v="19"/>
    <n v="1"/>
  </r>
  <r>
    <x v="0"/>
    <s v="2025-05-18 18:56:05"/>
    <n v="15"/>
    <x v="16"/>
    <x v="10"/>
    <x v="3"/>
    <n v="0.491436011403796"/>
    <n v="2E+20"/>
    <n v="0"/>
    <n v="4.5561174591506699"/>
    <n v="125"/>
    <s v="Friday (Solucion: datafono, gofre, cocina y caja compartida)Preparacion.QueueWaiting TimeQueue"/>
    <n v="19"/>
    <n v="0.69352531674172502"/>
    <n v="0.6930057279295283"/>
    <n v="0.95"/>
    <n v="0.33401806893870795"/>
    <n v="0.19675348802568801"/>
    <n v="3.2614571838962898"/>
    <n v="0"/>
    <n v="15.231041134973101"/>
    <n v="122.26315789473684"/>
    <n v="0.33401806893870795"/>
    <n v="19"/>
    <n v="1"/>
  </r>
  <r>
    <x v="0"/>
    <s v="2025-05-18 18:56:05"/>
    <n v="16"/>
    <x v="16"/>
    <x v="10"/>
    <x v="3"/>
    <n v="0.19675348802568801"/>
    <n v="2E+20"/>
    <n v="0"/>
    <n v="2.0095796098252499"/>
    <n v="131"/>
    <s v="Friday (Solucion: datafono, gofre, cocina y caja compartida)Preparacion.QueueWaiting TimeQueue"/>
    <n v="19"/>
    <n v="0.69352531674172502"/>
    <n v="0.6930057279295283"/>
    <n v="0.95"/>
    <n v="0.33401806893870795"/>
    <n v="0.19675348802568801"/>
    <n v="3.2614571838962898"/>
    <n v="0"/>
    <n v="15.231041134973101"/>
    <n v="122.26315789473684"/>
    <n v="0.33401806893870795"/>
    <n v="19"/>
    <n v="1"/>
  </r>
  <r>
    <x v="0"/>
    <s v="2025-05-18 18:56:05"/>
    <n v="17"/>
    <x v="16"/>
    <x v="10"/>
    <x v="3"/>
    <n v="0.447366519954769"/>
    <n v="2E+20"/>
    <n v="0"/>
    <n v="3.6859567937453002"/>
    <n v="124"/>
    <s v="Friday (Solucion: datafono, gofre, cocina y caja compartida)Preparacion.QueueWaiting TimeQueue"/>
    <n v="19"/>
    <n v="0.69352531674172502"/>
    <n v="0.6930057279295283"/>
    <n v="0.95"/>
    <n v="0.33401806893870795"/>
    <n v="0.19675348802568801"/>
    <n v="3.2614571838962898"/>
    <n v="0"/>
    <n v="15.231041134973101"/>
    <n v="122.26315789473684"/>
    <n v="0.33401806893870795"/>
    <n v="19"/>
    <n v="1"/>
  </r>
  <r>
    <x v="0"/>
    <s v="2025-05-18 18:56:05"/>
    <n v="18"/>
    <x v="16"/>
    <x v="10"/>
    <x v="3"/>
    <n v="0.81139080607901903"/>
    <n v="2E+20"/>
    <n v="0"/>
    <n v="9.6271429415646601"/>
    <n v="122"/>
    <s v="Friday (Solucion: datafono, gofre, cocina y caja compartida)Preparacion.QueueWaiting TimeQueue"/>
    <n v="19"/>
    <n v="0.69352531674172502"/>
    <n v="0.6930057279295283"/>
    <n v="0.95"/>
    <n v="0.33401806893870795"/>
    <n v="0.19675348802568801"/>
    <n v="3.2614571838962898"/>
    <n v="0"/>
    <n v="15.231041134973101"/>
    <n v="122.26315789473684"/>
    <n v="0.33401806893870795"/>
    <n v="19"/>
    <n v="1"/>
  </r>
  <r>
    <x v="0"/>
    <s v="2025-05-18 18:56:05"/>
    <n v="19"/>
    <x v="16"/>
    <x v="10"/>
    <x v="3"/>
    <n v="0.30649530649256601"/>
    <n v="2E+20"/>
    <n v="0"/>
    <n v="3.5961114330544"/>
    <n v="123"/>
    <s v="Friday (Solucion: datafono, gofre, cocina y caja compartida)Preparacion.QueueWaiting TimeQueue"/>
    <n v="19"/>
    <n v="0.69352531674172502"/>
    <n v="0.6930057279295283"/>
    <n v="0.95"/>
    <n v="0.33401806893870795"/>
    <n v="0.19675348802568801"/>
    <n v="3.2614571838962898"/>
    <n v="0"/>
    <n v="15.231041134973101"/>
    <n v="122.26315789473684"/>
    <n v="0.33401806893870795"/>
    <n v="19"/>
    <n v="1"/>
  </r>
  <r>
    <x v="0"/>
    <s v="2025-05-18 18:56:05"/>
    <n v="1"/>
    <x v="17"/>
    <x v="6"/>
    <x v="1"/>
    <n v="7.4627874217685699"/>
    <n v="2E+20"/>
    <n v="7.4627874217685699"/>
    <n v="7.4627874217685699"/>
    <n v="1"/>
    <s v="Friday (Solucion: datafono, gofre, cocina y caja compartida)PrepPedidoH1ExpressionUser Specified"/>
    <n v="19"/>
    <n v="1.0173477957593224"/>
    <n v="1.7460194515021608"/>
    <n v="0.95"/>
    <n v="0.84155443745405745"/>
    <n v="8.3023219101837395E-2"/>
    <n v="7.4627874217685699"/>
    <n v="8.3023219101837395E-2"/>
    <n v="7.4627874217685699"/>
    <n v="1"/>
    <n v="0.84155443745405745"/>
    <n v="19"/>
    <n v="1"/>
  </r>
  <r>
    <x v="0"/>
    <s v="2025-05-18 18:56:05"/>
    <n v="2"/>
    <x v="17"/>
    <x v="6"/>
    <x v="1"/>
    <n v="0.19186920014616701"/>
    <n v="2E+20"/>
    <n v="0.19186920014616701"/>
    <n v="0.19186920014616701"/>
    <n v="1"/>
    <s v="Friday (Solucion: datafono, gofre, cocina y caja compartida)PrepPedidoH1ExpressionUser Specified"/>
    <n v="19"/>
    <n v="1.0173477957593224"/>
    <n v="1.7460194515021608"/>
    <n v="0.95"/>
    <n v="0.84155443745405745"/>
    <n v="8.3023219101837395E-2"/>
    <n v="7.4627874217685699"/>
    <n v="8.3023219101837395E-2"/>
    <n v="7.4627874217685699"/>
    <n v="1"/>
    <n v="0.84155443745405745"/>
    <n v="19"/>
    <n v="1"/>
  </r>
  <r>
    <x v="0"/>
    <s v="2025-05-18 18:56:05"/>
    <n v="3"/>
    <x v="17"/>
    <x v="6"/>
    <x v="1"/>
    <n v="3.4581341000230799"/>
    <n v="2E+20"/>
    <n v="3.4581341000230799"/>
    <n v="3.4581341000230799"/>
    <n v="1"/>
    <s v="Friday (Solucion: datafono, gofre, cocina y caja compartida)PrepPedidoH1ExpressionUser Specified"/>
    <n v="19"/>
    <n v="1.0173477957593224"/>
    <n v="1.7460194515021608"/>
    <n v="0.95"/>
    <n v="0.84155443745405745"/>
    <n v="8.3023219101837395E-2"/>
    <n v="7.4627874217685699"/>
    <n v="8.3023219101837395E-2"/>
    <n v="7.4627874217685699"/>
    <n v="1"/>
    <n v="0.84155443745405745"/>
    <n v="19"/>
    <n v="1"/>
  </r>
  <r>
    <x v="0"/>
    <s v="2025-05-18 18:56:05"/>
    <n v="4"/>
    <x v="17"/>
    <x v="6"/>
    <x v="1"/>
    <n v="0.26337849433863603"/>
    <n v="2E+20"/>
    <n v="0.26337849433863603"/>
    <n v="0.26337849433863603"/>
    <n v="1"/>
    <s v="Friday (Solucion: datafono, gofre, cocina y caja compartida)PrepPedidoH1ExpressionUser Specified"/>
    <n v="19"/>
    <n v="1.0173477957593224"/>
    <n v="1.7460194515021608"/>
    <n v="0.95"/>
    <n v="0.84155443745405745"/>
    <n v="8.3023219101837395E-2"/>
    <n v="7.4627874217685699"/>
    <n v="8.3023219101837395E-2"/>
    <n v="7.4627874217685699"/>
    <n v="1"/>
    <n v="0.84155443745405745"/>
    <n v="19"/>
    <n v="1"/>
  </r>
  <r>
    <x v="0"/>
    <s v="2025-05-18 18:56:05"/>
    <n v="5"/>
    <x v="17"/>
    <x v="6"/>
    <x v="1"/>
    <n v="0.348099332573652"/>
    <n v="2E+20"/>
    <n v="0.348099332573652"/>
    <n v="0.348099332573652"/>
    <n v="1"/>
    <s v="Friday (Solucion: datafono, gofre, cocina y caja compartida)PrepPedidoH1ExpressionUser Specified"/>
    <n v="19"/>
    <n v="1.0173477957593224"/>
    <n v="1.7460194515021608"/>
    <n v="0.95"/>
    <n v="0.84155443745405745"/>
    <n v="8.3023219101837395E-2"/>
    <n v="7.4627874217685699"/>
    <n v="8.3023219101837395E-2"/>
    <n v="7.4627874217685699"/>
    <n v="1"/>
    <n v="0.84155443745405745"/>
    <n v="19"/>
    <n v="1"/>
  </r>
  <r>
    <x v="0"/>
    <s v="2025-05-18 18:56:05"/>
    <n v="6"/>
    <x v="17"/>
    <x v="6"/>
    <x v="1"/>
    <n v="0.32525424892717397"/>
    <n v="2E+20"/>
    <n v="0.32525424892717397"/>
    <n v="0.32525424892717397"/>
    <n v="1"/>
    <s v="Friday (Solucion: datafono, gofre, cocina y caja compartida)PrepPedidoH1ExpressionUser Specified"/>
    <n v="19"/>
    <n v="1.0173477957593224"/>
    <n v="1.7460194515021608"/>
    <n v="0.95"/>
    <n v="0.84155443745405745"/>
    <n v="8.3023219101837395E-2"/>
    <n v="7.4627874217685699"/>
    <n v="8.3023219101837395E-2"/>
    <n v="7.4627874217685699"/>
    <n v="1"/>
    <n v="0.84155443745405745"/>
    <n v="19"/>
    <n v="1"/>
  </r>
  <r>
    <x v="0"/>
    <s v="2025-05-18 18:56:05"/>
    <n v="7"/>
    <x v="17"/>
    <x v="6"/>
    <x v="1"/>
    <n v="0.24032472202613001"/>
    <n v="2E+20"/>
    <n v="0.24032472202613001"/>
    <n v="0.24032472202613001"/>
    <n v="1"/>
    <s v="Friday (Solucion: datafono, gofre, cocina y caja compartida)PrepPedidoH1ExpressionUser Specified"/>
    <n v="19"/>
    <n v="1.0173477957593224"/>
    <n v="1.7460194515021608"/>
    <n v="0.95"/>
    <n v="0.84155443745405745"/>
    <n v="8.3023219101837395E-2"/>
    <n v="7.4627874217685699"/>
    <n v="8.3023219101837395E-2"/>
    <n v="7.4627874217685699"/>
    <n v="1"/>
    <n v="0.84155443745405745"/>
    <n v="19"/>
    <n v="1"/>
  </r>
  <r>
    <x v="0"/>
    <s v="2025-05-18 18:56:05"/>
    <n v="8"/>
    <x v="17"/>
    <x v="6"/>
    <x v="1"/>
    <n v="0.84223477345631304"/>
    <n v="2E+20"/>
    <n v="0.84223477345631304"/>
    <n v="0.84223477345631304"/>
    <n v="1"/>
    <s v="Friday (Solucion: datafono, gofre, cocina y caja compartida)PrepPedidoH1ExpressionUser Specified"/>
    <n v="19"/>
    <n v="1.0173477957593224"/>
    <n v="1.7460194515021608"/>
    <n v="0.95"/>
    <n v="0.84155443745405745"/>
    <n v="8.3023219101837395E-2"/>
    <n v="7.4627874217685699"/>
    <n v="8.3023219101837395E-2"/>
    <n v="7.4627874217685699"/>
    <n v="1"/>
    <n v="0.84155443745405745"/>
    <n v="19"/>
    <n v="1"/>
  </r>
  <r>
    <x v="0"/>
    <s v="2025-05-18 18:56:05"/>
    <n v="9"/>
    <x v="17"/>
    <x v="6"/>
    <x v="1"/>
    <n v="0.44391476180018302"/>
    <n v="2E+20"/>
    <n v="0.44391476180018302"/>
    <n v="0.44391476180018302"/>
    <n v="1"/>
    <s v="Friday (Solucion: datafono, gofre, cocina y caja compartida)PrepPedidoH1ExpressionUser Specified"/>
    <n v="19"/>
    <n v="1.0173477957593224"/>
    <n v="1.7460194515021608"/>
    <n v="0.95"/>
    <n v="0.84155443745405745"/>
    <n v="8.3023219101837395E-2"/>
    <n v="7.4627874217685699"/>
    <n v="8.3023219101837395E-2"/>
    <n v="7.4627874217685699"/>
    <n v="1"/>
    <n v="0.84155443745405745"/>
    <n v="19"/>
    <n v="1"/>
  </r>
  <r>
    <x v="0"/>
    <s v="2025-05-18 18:56:05"/>
    <n v="10"/>
    <x v="17"/>
    <x v="6"/>
    <x v="1"/>
    <n v="0.55783265465563303"/>
    <n v="2E+20"/>
    <n v="0.55783265465563303"/>
    <n v="0.55783265465563303"/>
    <n v="1"/>
    <s v="Friday (Solucion: datafono, gofre, cocina y caja compartida)PrepPedidoH1ExpressionUser Specified"/>
    <n v="19"/>
    <n v="1.0173477957593224"/>
    <n v="1.7460194515021608"/>
    <n v="0.95"/>
    <n v="0.84155443745405745"/>
    <n v="8.3023219101837395E-2"/>
    <n v="7.4627874217685699"/>
    <n v="8.3023219101837395E-2"/>
    <n v="7.4627874217685699"/>
    <n v="1"/>
    <n v="0.84155443745405745"/>
    <n v="19"/>
    <n v="1"/>
  </r>
  <r>
    <x v="0"/>
    <s v="2025-05-18 18:56:05"/>
    <n v="11"/>
    <x v="17"/>
    <x v="6"/>
    <x v="1"/>
    <n v="8.3023219101837395E-2"/>
    <n v="2E+20"/>
    <n v="8.3023219101837395E-2"/>
    <n v="8.3023219101837395E-2"/>
    <n v="1"/>
    <s v="Friday (Solucion: datafono, gofre, cocina y caja compartida)PrepPedidoH1ExpressionUser Specified"/>
    <n v="19"/>
    <n v="1.0173477957593224"/>
    <n v="1.7460194515021608"/>
    <n v="0.95"/>
    <n v="0.84155443745405745"/>
    <n v="8.3023219101837395E-2"/>
    <n v="7.4627874217685699"/>
    <n v="8.3023219101837395E-2"/>
    <n v="7.4627874217685699"/>
    <n v="1"/>
    <n v="0.84155443745405745"/>
    <n v="19"/>
    <n v="1"/>
  </r>
  <r>
    <x v="0"/>
    <s v="2025-05-18 18:56:05"/>
    <n v="12"/>
    <x v="17"/>
    <x v="6"/>
    <x v="1"/>
    <n v="1.6967922562205699"/>
    <n v="2E+20"/>
    <n v="1.6967922562205699"/>
    <n v="1.6967922562205699"/>
    <n v="1"/>
    <s v="Friday (Solucion: datafono, gofre, cocina y caja compartida)PrepPedidoH1ExpressionUser Specified"/>
    <n v="19"/>
    <n v="1.0173477957593224"/>
    <n v="1.7460194515021608"/>
    <n v="0.95"/>
    <n v="0.84155443745405745"/>
    <n v="8.3023219101837395E-2"/>
    <n v="7.4627874217685699"/>
    <n v="8.3023219101837395E-2"/>
    <n v="7.4627874217685699"/>
    <n v="1"/>
    <n v="0.84155443745405745"/>
    <n v="19"/>
    <n v="1"/>
  </r>
  <r>
    <x v="0"/>
    <s v="2025-05-18 18:56:05"/>
    <n v="13"/>
    <x v="17"/>
    <x v="6"/>
    <x v="1"/>
    <n v="0.19584024954170701"/>
    <n v="2E+20"/>
    <n v="0.19584024954170701"/>
    <n v="0.19584024954170701"/>
    <n v="1"/>
    <s v="Friday (Solucion: datafono, gofre, cocina y caja compartida)PrepPedidoH1ExpressionUser Specified"/>
    <n v="19"/>
    <n v="1.0173477957593224"/>
    <n v="1.7460194515021608"/>
    <n v="0.95"/>
    <n v="0.84155443745405745"/>
    <n v="8.3023219101837395E-2"/>
    <n v="7.4627874217685699"/>
    <n v="8.3023219101837395E-2"/>
    <n v="7.4627874217685699"/>
    <n v="1"/>
    <n v="0.84155443745405745"/>
    <n v="19"/>
    <n v="1"/>
  </r>
  <r>
    <x v="0"/>
    <s v="2025-05-18 18:56:05"/>
    <n v="14"/>
    <x v="17"/>
    <x v="6"/>
    <x v="1"/>
    <n v="0.41526594817569801"/>
    <n v="2E+20"/>
    <n v="0.41526594817569801"/>
    <n v="0.41526594817569801"/>
    <n v="1"/>
    <s v="Friday (Solucion: datafono, gofre, cocina y caja compartida)PrepPedidoH1ExpressionUser Specified"/>
    <n v="19"/>
    <n v="1.0173477957593224"/>
    <n v="1.7460194515021608"/>
    <n v="0.95"/>
    <n v="0.84155443745405745"/>
    <n v="8.3023219101837395E-2"/>
    <n v="7.4627874217685699"/>
    <n v="8.3023219101837395E-2"/>
    <n v="7.4627874217685699"/>
    <n v="1"/>
    <n v="0.84155443745405745"/>
    <n v="19"/>
    <n v="1"/>
  </r>
  <r>
    <x v="0"/>
    <s v="2025-05-18 18:56:05"/>
    <n v="15"/>
    <x v="17"/>
    <x v="6"/>
    <x v="1"/>
    <n v="0.562320558940405"/>
    <n v="2E+20"/>
    <n v="0.562320558940405"/>
    <n v="0.562320558940405"/>
    <n v="1"/>
    <s v="Friday (Solucion: datafono, gofre, cocina y caja compartida)PrepPedidoH1ExpressionUser Specified"/>
    <n v="19"/>
    <n v="1.0173477957593224"/>
    <n v="1.7460194515021608"/>
    <n v="0.95"/>
    <n v="0.84155443745405745"/>
    <n v="8.3023219101837395E-2"/>
    <n v="7.4627874217685699"/>
    <n v="8.3023219101837395E-2"/>
    <n v="7.4627874217685699"/>
    <n v="1"/>
    <n v="0.84155443745405745"/>
    <n v="19"/>
    <n v="1"/>
  </r>
  <r>
    <x v="0"/>
    <s v="2025-05-18 18:56:05"/>
    <n v="16"/>
    <x v="17"/>
    <x v="6"/>
    <x v="1"/>
    <n v="0.39198083966032898"/>
    <n v="2E+20"/>
    <n v="0.39198083966032898"/>
    <n v="0.39198083966032898"/>
    <n v="1"/>
    <s v="Friday (Solucion: datafono, gofre, cocina y caja compartida)PrepPedidoH1ExpressionUser Specified"/>
    <n v="19"/>
    <n v="1.0173477957593224"/>
    <n v="1.7460194515021608"/>
    <n v="0.95"/>
    <n v="0.84155443745405745"/>
    <n v="8.3023219101837395E-2"/>
    <n v="7.4627874217685699"/>
    <n v="8.3023219101837395E-2"/>
    <n v="7.4627874217685699"/>
    <n v="1"/>
    <n v="0.84155443745405745"/>
    <n v="19"/>
    <n v="1"/>
  </r>
  <r>
    <x v="0"/>
    <s v="2025-05-18 18:56:05"/>
    <n v="17"/>
    <x v="17"/>
    <x v="6"/>
    <x v="1"/>
    <n v="0.43156924336546698"/>
    <n v="2E+20"/>
    <n v="0.43156924336546698"/>
    <n v="0.43156924336546698"/>
    <n v="1"/>
    <s v="Friday (Solucion: datafono, gofre, cocina y caja compartida)PrepPedidoH1ExpressionUser Specified"/>
    <n v="19"/>
    <n v="1.0173477957593224"/>
    <n v="1.7460194515021608"/>
    <n v="0.95"/>
    <n v="0.84155443745405745"/>
    <n v="8.3023219101837395E-2"/>
    <n v="7.4627874217685699"/>
    <n v="8.3023219101837395E-2"/>
    <n v="7.4627874217685699"/>
    <n v="1"/>
    <n v="0.84155443745405745"/>
    <n v="19"/>
    <n v="1"/>
  </r>
  <r>
    <x v="0"/>
    <s v="2025-05-18 18:56:05"/>
    <n v="18"/>
    <x v="17"/>
    <x v="6"/>
    <x v="1"/>
    <n v="1.21909909404829"/>
    <n v="2E+20"/>
    <n v="1.21909909404829"/>
    <n v="1.21909909404829"/>
    <n v="1"/>
    <s v="Friday (Solucion: datafono, gofre, cocina y caja compartida)PrepPedidoH1ExpressionUser Specified"/>
    <n v="19"/>
    <n v="1.0173477957593224"/>
    <n v="1.7460194515021608"/>
    <n v="0.95"/>
    <n v="0.84155443745405745"/>
    <n v="8.3023219101837395E-2"/>
    <n v="7.4627874217685699"/>
    <n v="8.3023219101837395E-2"/>
    <n v="7.4627874217685699"/>
    <n v="1"/>
    <n v="0.84155443745405745"/>
    <n v="19"/>
    <n v="1"/>
  </r>
  <r>
    <x v="0"/>
    <s v="2025-05-18 18:56:05"/>
    <n v="19"/>
    <x v="17"/>
    <x v="6"/>
    <x v="1"/>
    <n v="0.19988700065728299"/>
    <n v="2E+20"/>
    <n v="0.19988700065728299"/>
    <n v="0.19988700065728299"/>
    <n v="1"/>
    <s v="Friday (Solucion: datafono, gofre, cocina y caja compartida)PrepPedidoH1ExpressionUser Specified"/>
    <n v="19"/>
    <n v="1.0173477957593224"/>
    <n v="1.7460194515021608"/>
    <n v="0.95"/>
    <n v="0.84155443745405745"/>
    <n v="8.3023219101837395E-2"/>
    <n v="7.4627874217685699"/>
    <n v="8.3023219101837395E-2"/>
    <n v="7.4627874217685699"/>
    <n v="1"/>
    <n v="0.84155443745405745"/>
    <n v="19"/>
    <n v="1"/>
  </r>
  <r>
    <x v="0"/>
    <s v="2025-05-18 18:56:05"/>
    <n v="1"/>
    <x v="18"/>
    <x v="6"/>
    <x v="1"/>
    <n v="4.3693363262549898"/>
    <n v="2E+20"/>
    <n v="4.3693363262549898"/>
    <n v="4.3693363262549898"/>
    <n v="1"/>
    <s v="Friday (Solucion: datafono, gofre, cocina y caja compartida)PrepPedidoH2ExpressionUser Specified"/>
    <n v="19"/>
    <n v="0.73378328081682775"/>
    <n v="0.97952613845285885"/>
    <n v="0.95"/>
    <n v="0.47211648627857267"/>
    <n v="0.13640938023180099"/>
    <n v="4.3693363262549898"/>
    <n v="0.13640938023180099"/>
    <n v="4.3693363262549898"/>
    <n v="1"/>
    <n v="0.47211648627857267"/>
    <n v="19"/>
    <n v="1"/>
  </r>
  <r>
    <x v="0"/>
    <s v="2025-05-18 18:56:05"/>
    <n v="2"/>
    <x v="18"/>
    <x v="6"/>
    <x v="1"/>
    <n v="0.25583459009436299"/>
    <n v="2E+20"/>
    <n v="0.25583459009436299"/>
    <n v="0.25583459009436299"/>
    <n v="1"/>
    <s v="Friday (Solucion: datafono, gofre, cocina y caja compartida)PrepPedidoH2ExpressionUser Specified"/>
    <n v="19"/>
    <n v="0.73378328081682775"/>
    <n v="0.97952613845285885"/>
    <n v="0.95"/>
    <n v="0.47211648627857267"/>
    <n v="0.13640938023180099"/>
    <n v="4.3693363262549898"/>
    <n v="0.13640938023180099"/>
    <n v="4.3693363262549898"/>
    <n v="1"/>
    <n v="0.47211648627857267"/>
    <n v="19"/>
    <n v="1"/>
  </r>
  <r>
    <x v="0"/>
    <s v="2025-05-18 18:56:05"/>
    <n v="3"/>
    <x v="18"/>
    <x v="6"/>
    <x v="1"/>
    <n v="1.9518670654121899"/>
    <n v="2E+20"/>
    <n v="1.9518670654121899"/>
    <n v="1.9518670654121899"/>
    <n v="1"/>
    <s v="Friday (Solucion: datafono, gofre, cocina y caja compartida)PrepPedidoH2ExpressionUser Specified"/>
    <n v="19"/>
    <n v="0.73378328081682775"/>
    <n v="0.97952613845285885"/>
    <n v="0.95"/>
    <n v="0.47211648627857267"/>
    <n v="0.13640938023180099"/>
    <n v="4.3693363262549898"/>
    <n v="0.13640938023180099"/>
    <n v="4.3693363262549898"/>
    <n v="1"/>
    <n v="0.47211648627857267"/>
    <n v="19"/>
    <n v="1"/>
  </r>
  <r>
    <x v="0"/>
    <s v="2025-05-18 18:56:05"/>
    <n v="4"/>
    <x v="18"/>
    <x v="6"/>
    <x v="1"/>
    <n v="0.217502129149024"/>
    <n v="2E+20"/>
    <n v="0.217502129149024"/>
    <n v="0.217502129149024"/>
    <n v="1"/>
    <s v="Friday (Solucion: datafono, gofre, cocina y caja compartida)PrepPedidoH2ExpressionUser Specified"/>
    <n v="19"/>
    <n v="0.73378328081682775"/>
    <n v="0.97952613845285885"/>
    <n v="0.95"/>
    <n v="0.47211648627857267"/>
    <n v="0.13640938023180099"/>
    <n v="4.3693363262549898"/>
    <n v="0.13640938023180099"/>
    <n v="4.3693363262549898"/>
    <n v="1"/>
    <n v="0.47211648627857267"/>
    <n v="19"/>
    <n v="1"/>
  </r>
  <r>
    <x v="0"/>
    <s v="2025-05-18 18:56:05"/>
    <n v="5"/>
    <x v="18"/>
    <x v="6"/>
    <x v="1"/>
    <n v="0.23546869980106599"/>
    <n v="2E+20"/>
    <n v="0.23546869980106599"/>
    <n v="0.23546869980106599"/>
    <n v="1"/>
    <s v="Friday (Solucion: datafono, gofre, cocina y caja compartida)PrepPedidoH2ExpressionUser Specified"/>
    <n v="19"/>
    <n v="0.73378328081682775"/>
    <n v="0.97952613845285885"/>
    <n v="0.95"/>
    <n v="0.47211648627857267"/>
    <n v="0.13640938023180099"/>
    <n v="4.3693363262549898"/>
    <n v="0.13640938023180099"/>
    <n v="4.3693363262549898"/>
    <n v="1"/>
    <n v="0.47211648627857267"/>
    <n v="19"/>
    <n v="1"/>
  </r>
  <r>
    <x v="0"/>
    <s v="2025-05-18 18:56:05"/>
    <n v="6"/>
    <x v="18"/>
    <x v="6"/>
    <x v="1"/>
    <n v="0.210706700556029"/>
    <n v="2E+20"/>
    <n v="0.210706700556029"/>
    <n v="0.210706700556029"/>
    <n v="1"/>
    <s v="Friday (Solucion: datafono, gofre, cocina y caja compartida)PrepPedidoH2ExpressionUser Specified"/>
    <n v="19"/>
    <n v="0.73378328081682775"/>
    <n v="0.97952613845285885"/>
    <n v="0.95"/>
    <n v="0.47211648627857267"/>
    <n v="0.13640938023180099"/>
    <n v="4.3693363262549898"/>
    <n v="0.13640938023180099"/>
    <n v="4.3693363262549898"/>
    <n v="1"/>
    <n v="0.47211648627857267"/>
    <n v="19"/>
    <n v="1"/>
  </r>
  <r>
    <x v="0"/>
    <s v="2025-05-18 18:56:05"/>
    <n v="7"/>
    <x v="18"/>
    <x v="6"/>
    <x v="1"/>
    <n v="0.41515595674053002"/>
    <n v="2E+20"/>
    <n v="0.41515595674053002"/>
    <n v="0.41515595674053002"/>
    <n v="1"/>
    <s v="Friday (Solucion: datafono, gofre, cocina y caja compartida)PrepPedidoH2ExpressionUser Specified"/>
    <n v="19"/>
    <n v="0.73378328081682775"/>
    <n v="0.97952613845285885"/>
    <n v="0.95"/>
    <n v="0.47211648627857267"/>
    <n v="0.13640938023180099"/>
    <n v="4.3693363262549898"/>
    <n v="0.13640938023180099"/>
    <n v="4.3693363262549898"/>
    <n v="1"/>
    <n v="0.47211648627857267"/>
    <n v="19"/>
    <n v="1"/>
  </r>
  <r>
    <x v="0"/>
    <s v="2025-05-18 18:56:05"/>
    <n v="8"/>
    <x v="18"/>
    <x v="6"/>
    <x v="1"/>
    <n v="0.77775429728434997"/>
    <n v="2E+20"/>
    <n v="0.77775429728434997"/>
    <n v="0.77775429728434997"/>
    <n v="1"/>
    <s v="Friday (Solucion: datafono, gofre, cocina y caja compartida)PrepPedidoH2ExpressionUser Specified"/>
    <n v="19"/>
    <n v="0.73378328081682775"/>
    <n v="0.97952613845285885"/>
    <n v="0.95"/>
    <n v="0.47211648627857267"/>
    <n v="0.13640938023180099"/>
    <n v="4.3693363262549898"/>
    <n v="0.13640938023180099"/>
    <n v="4.3693363262549898"/>
    <n v="1"/>
    <n v="0.47211648627857267"/>
    <n v="19"/>
    <n v="1"/>
  </r>
  <r>
    <x v="0"/>
    <s v="2025-05-18 18:56:05"/>
    <n v="9"/>
    <x v="18"/>
    <x v="6"/>
    <x v="1"/>
    <n v="0.43782929315001401"/>
    <n v="2E+20"/>
    <n v="0.43782929315001401"/>
    <n v="0.43782929315001401"/>
    <n v="1"/>
    <s v="Friday (Solucion: datafono, gofre, cocina y caja compartida)PrepPedidoH2ExpressionUser Specified"/>
    <n v="19"/>
    <n v="0.73378328081682775"/>
    <n v="0.97952613845285885"/>
    <n v="0.95"/>
    <n v="0.47211648627857267"/>
    <n v="0.13640938023180099"/>
    <n v="4.3693363262549898"/>
    <n v="0.13640938023180099"/>
    <n v="4.3693363262549898"/>
    <n v="1"/>
    <n v="0.47211648627857267"/>
    <n v="19"/>
    <n v="1"/>
  </r>
  <r>
    <x v="0"/>
    <s v="2025-05-18 18:56:05"/>
    <n v="10"/>
    <x v="18"/>
    <x v="6"/>
    <x v="1"/>
    <n v="0.81510507103848295"/>
    <n v="2E+20"/>
    <n v="0.81510507103848295"/>
    <n v="0.81510507103848295"/>
    <n v="1"/>
    <s v="Friday (Solucion: datafono, gofre, cocina y caja compartida)PrepPedidoH2ExpressionUser Specified"/>
    <n v="19"/>
    <n v="0.73378328081682775"/>
    <n v="0.97952613845285885"/>
    <n v="0.95"/>
    <n v="0.47211648627857267"/>
    <n v="0.13640938023180099"/>
    <n v="4.3693363262549898"/>
    <n v="0.13640938023180099"/>
    <n v="4.3693363262549898"/>
    <n v="1"/>
    <n v="0.47211648627857267"/>
    <n v="19"/>
    <n v="1"/>
  </r>
  <r>
    <x v="0"/>
    <s v="2025-05-18 18:56:05"/>
    <n v="11"/>
    <x v="18"/>
    <x v="6"/>
    <x v="1"/>
    <n v="0.13640938023180099"/>
    <n v="2E+20"/>
    <n v="0.13640938023180099"/>
    <n v="0.13640938023180099"/>
    <n v="1"/>
    <s v="Friday (Solucion: datafono, gofre, cocina y caja compartida)PrepPedidoH2ExpressionUser Specified"/>
    <n v="19"/>
    <n v="0.73378328081682775"/>
    <n v="0.97952613845285885"/>
    <n v="0.95"/>
    <n v="0.47211648627857267"/>
    <n v="0.13640938023180099"/>
    <n v="4.3693363262549898"/>
    <n v="0.13640938023180099"/>
    <n v="4.3693363262549898"/>
    <n v="1"/>
    <n v="0.47211648627857267"/>
    <n v="19"/>
    <n v="1"/>
  </r>
  <r>
    <x v="0"/>
    <s v="2025-05-18 18:56:05"/>
    <n v="12"/>
    <x v="18"/>
    <x v="6"/>
    <x v="1"/>
    <n v="1.02101471245303"/>
    <n v="2E+20"/>
    <n v="1.02101471245303"/>
    <n v="1.02101471245303"/>
    <n v="1"/>
    <s v="Friday (Solucion: datafono, gofre, cocina y caja compartida)PrepPedidoH2ExpressionUser Specified"/>
    <n v="19"/>
    <n v="0.73378328081682775"/>
    <n v="0.97952613845285885"/>
    <n v="0.95"/>
    <n v="0.47211648627857267"/>
    <n v="0.13640938023180099"/>
    <n v="4.3693363262549898"/>
    <n v="0.13640938023180099"/>
    <n v="4.3693363262549898"/>
    <n v="1"/>
    <n v="0.47211648627857267"/>
    <n v="19"/>
    <n v="1"/>
  </r>
  <r>
    <x v="0"/>
    <s v="2025-05-18 18:56:05"/>
    <n v="13"/>
    <x v="18"/>
    <x v="6"/>
    <x v="1"/>
    <n v="0.29949687252485502"/>
    <n v="2E+20"/>
    <n v="0.29949687252485502"/>
    <n v="0.29949687252485502"/>
    <n v="1"/>
    <s v="Friday (Solucion: datafono, gofre, cocina y caja compartida)PrepPedidoH2ExpressionUser Specified"/>
    <n v="19"/>
    <n v="0.73378328081682775"/>
    <n v="0.97952613845285885"/>
    <n v="0.95"/>
    <n v="0.47211648627857267"/>
    <n v="0.13640938023180099"/>
    <n v="4.3693363262549898"/>
    <n v="0.13640938023180099"/>
    <n v="4.3693363262549898"/>
    <n v="1"/>
    <n v="0.47211648627857267"/>
    <n v="19"/>
    <n v="1"/>
  </r>
  <r>
    <x v="0"/>
    <s v="2025-05-18 18:56:05"/>
    <n v="14"/>
    <x v="18"/>
    <x v="6"/>
    <x v="1"/>
    <n v="0.34534654331679698"/>
    <n v="2E+20"/>
    <n v="0.34534654331679698"/>
    <n v="0.34534654331679698"/>
    <n v="1"/>
    <s v="Friday (Solucion: datafono, gofre, cocina y caja compartida)PrepPedidoH2ExpressionUser Specified"/>
    <n v="19"/>
    <n v="0.73378328081682775"/>
    <n v="0.97952613845285885"/>
    <n v="0.95"/>
    <n v="0.47211648627857267"/>
    <n v="0.13640938023180099"/>
    <n v="4.3693363262549898"/>
    <n v="0.13640938023180099"/>
    <n v="4.3693363262549898"/>
    <n v="1"/>
    <n v="0.47211648627857267"/>
    <n v="19"/>
    <n v="1"/>
  </r>
  <r>
    <x v="0"/>
    <s v="2025-05-18 18:56:05"/>
    <n v="15"/>
    <x v="18"/>
    <x v="6"/>
    <x v="1"/>
    <n v="0.39177047063370202"/>
    <n v="2E+20"/>
    <n v="0.39177047063370202"/>
    <n v="0.39177047063370202"/>
    <n v="1"/>
    <s v="Friday (Solucion: datafono, gofre, cocina y caja compartida)PrepPedidoH2ExpressionUser Specified"/>
    <n v="19"/>
    <n v="0.73378328081682775"/>
    <n v="0.97952613845285885"/>
    <n v="0.95"/>
    <n v="0.47211648627857267"/>
    <n v="0.13640938023180099"/>
    <n v="4.3693363262549898"/>
    <n v="0.13640938023180099"/>
    <n v="4.3693363262549898"/>
    <n v="1"/>
    <n v="0.47211648627857267"/>
    <n v="19"/>
    <n v="1"/>
  </r>
  <r>
    <x v="0"/>
    <s v="2025-05-18 18:56:05"/>
    <n v="16"/>
    <x v="18"/>
    <x v="6"/>
    <x v="1"/>
    <n v="0.236877733815685"/>
    <n v="2E+20"/>
    <n v="0.236877733815685"/>
    <n v="0.236877733815685"/>
    <n v="1"/>
    <s v="Friday (Solucion: datafono, gofre, cocina y caja compartida)PrepPedidoH2ExpressionUser Specified"/>
    <n v="19"/>
    <n v="0.73378328081682775"/>
    <n v="0.97952613845285885"/>
    <n v="0.95"/>
    <n v="0.47211648627857267"/>
    <n v="0.13640938023180099"/>
    <n v="4.3693363262549898"/>
    <n v="0.13640938023180099"/>
    <n v="4.3693363262549898"/>
    <n v="1"/>
    <n v="0.47211648627857267"/>
    <n v="19"/>
    <n v="1"/>
  </r>
  <r>
    <x v="0"/>
    <s v="2025-05-18 18:56:05"/>
    <n v="17"/>
    <x v="18"/>
    <x v="6"/>
    <x v="1"/>
    <n v="0.56844748326809802"/>
    <n v="2E+20"/>
    <n v="0.56844748326809802"/>
    <n v="0.56844748326809802"/>
    <n v="1"/>
    <s v="Friday (Solucion: datafono, gofre, cocina y caja compartida)PrepPedidoH2ExpressionUser Specified"/>
    <n v="19"/>
    <n v="0.73378328081682775"/>
    <n v="0.97952613845285885"/>
    <n v="0.95"/>
    <n v="0.47211648627857267"/>
    <n v="0.13640938023180099"/>
    <n v="4.3693363262549898"/>
    <n v="0.13640938023180099"/>
    <n v="4.3693363262549898"/>
    <n v="1"/>
    <n v="0.47211648627857267"/>
    <n v="19"/>
    <n v="1"/>
  </r>
  <r>
    <x v="0"/>
    <s v="2025-05-18 18:56:05"/>
    <n v="18"/>
    <x v="18"/>
    <x v="6"/>
    <x v="1"/>
    <n v="0.91301255719964203"/>
    <n v="2E+20"/>
    <n v="0.91301255719964203"/>
    <n v="0.91301255719964203"/>
    <n v="1"/>
    <s v="Friday (Solucion: datafono, gofre, cocina y caja compartida)PrepPedidoH2ExpressionUser Specified"/>
    <n v="19"/>
    <n v="0.73378328081682775"/>
    <n v="0.97952613845285885"/>
    <n v="0.95"/>
    <n v="0.47211648627857267"/>
    <n v="0.13640938023180099"/>
    <n v="4.3693363262549898"/>
    <n v="0.13640938023180099"/>
    <n v="4.3693363262549898"/>
    <n v="1"/>
    <n v="0.47211648627857267"/>
    <n v="19"/>
    <n v="1"/>
  </r>
  <r>
    <x v="0"/>
    <s v="2025-05-18 18:56:05"/>
    <n v="19"/>
    <x v="18"/>
    <x v="6"/>
    <x v="1"/>
    <n v="0.34294645259508"/>
    <n v="2E+20"/>
    <n v="0.34294645259508"/>
    <n v="0.34294645259508"/>
    <n v="1"/>
    <s v="Friday (Solucion: datafono, gofre, cocina y caja compartida)PrepPedidoH2ExpressionUser Specified"/>
    <n v="19"/>
    <n v="0.73378328081682775"/>
    <n v="0.97952613845285885"/>
    <n v="0.95"/>
    <n v="0.47211648627857267"/>
    <n v="0.13640938023180099"/>
    <n v="4.3693363262549898"/>
    <n v="0.13640938023180099"/>
    <n v="4.3693363262549898"/>
    <n v="1"/>
    <n v="0.47211648627857267"/>
    <n v="19"/>
    <n v="1"/>
  </r>
  <r>
    <x v="0"/>
    <s v="2025-05-18 18:56:05"/>
    <n v="1"/>
    <x v="19"/>
    <x v="6"/>
    <x v="1"/>
    <n v="3.2614571838962898"/>
    <n v="2E+20"/>
    <n v="3.2614571838962898"/>
    <n v="3.2614571838962898"/>
    <n v="1"/>
    <s v="Friday (Solucion: datafono, gofre, cocina y caja compartida)PrepPedidoH3ExpressionUser Specified"/>
    <n v="19"/>
    <n v="0.69352531674172502"/>
    <n v="0.6930057279295283"/>
    <n v="0.95"/>
    <n v="0.33401806893870795"/>
    <n v="0.19675348802568801"/>
    <n v="3.2614571838962898"/>
    <n v="0.19675348802568801"/>
    <n v="3.2614571838962898"/>
    <n v="1"/>
    <n v="0.33401806893870795"/>
    <n v="19"/>
    <n v="1"/>
  </r>
  <r>
    <x v="0"/>
    <s v="2025-05-18 18:56:05"/>
    <n v="2"/>
    <x v="19"/>
    <x v="6"/>
    <x v="1"/>
    <n v="0.52201282707834895"/>
    <n v="2E+20"/>
    <n v="0.52201282707834895"/>
    <n v="0.52201282707834895"/>
    <n v="1"/>
    <s v="Friday (Solucion: datafono, gofre, cocina y caja compartida)PrepPedidoH3ExpressionUser Specified"/>
    <n v="19"/>
    <n v="0.69352531674172502"/>
    <n v="0.6930057279295283"/>
    <n v="0.95"/>
    <n v="0.33401806893870795"/>
    <n v="0.19675348802568801"/>
    <n v="3.2614571838962898"/>
    <n v="0.19675348802568801"/>
    <n v="3.2614571838962898"/>
    <n v="1"/>
    <n v="0.33401806893870795"/>
    <n v="19"/>
    <n v="1"/>
  </r>
  <r>
    <x v="0"/>
    <s v="2025-05-18 18:56:05"/>
    <n v="3"/>
    <x v="19"/>
    <x v="6"/>
    <x v="1"/>
    <n v="1.4305181876598601"/>
    <n v="2E+20"/>
    <n v="1.4305181876598601"/>
    <n v="1.4305181876598601"/>
    <n v="1"/>
    <s v="Friday (Solucion: datafono, gofre, cocina y caja compartida)PrepPedidoH3ExpressionUser Specified"/>
    <n v="19"/>
    <n v="0.69352531674172502"/>
    <n v="0.6930057279295283"/>
    <n v="0.95"/>
    <n v="0.33401806893870795"/>
    <n v="0.19675348802568801"/>
    <n v="3.2614571838962898"/>
    <n v="0.19675348802568801"/>
    <n v="3.2614571838962898"/>
    <n v="1"/>
    <n v="0.33401806893870795"/>
    <n v="19"/>
    <n v="1"/>
  </r>
  <r>
    <x v="0"/>
    <s v="2025-05-18 18:56:05"/>
    <n v="4"/>
    <x v="19"/>
    <x v="6"/>
    <x v="1"/>
    <n v="0.20590631106687199"/>
    <n v="2E+20"/>
    <n v="0.20590631106687199"/>
    <n v="0.20590631106687199"/>
    <n v="1"/>
    <s v="Friday (Solucion: datafono, gofre, cocina y caja compartida)PrepPedidoH3ExpressionUser Specified"/>
    <n v="19"/>
    <n v="0.69352531674172502"/>
    <n v="0.6930057279295283"/>
    <n v="0.95"/>
    <n v="0.33401806893870795"/>
    <n v="0.19675348802568801"/>
    <n v="3.2614571838962898"/>
    <n v="0.19675348802568801"/>
    <n v="3.2614571838962898"/>
    <n v="1"/>
    <n v="0.33401806893870795"/>
    <n v="19"/>
    <n v="1"/>
  </r>
  <r>
    <x v="0"/>
    <s v="2025-05-18 18:56:05"/>
    <n v="5"/>
    <x v="19"/>
    <x v="6"/>
    <x v="1"/>
    <n v="0.29464649062675102"/>
    <n v="2E+20"/>
    <n v="0.29464649062675102"/>
    <n v="0.29464649062675102"/>
    <n v="1"/>
    <s v="Friday (Solucion: datafono, gofre, cocina y caja compartida)PrepPedidoH3ExpressionUser Specified"/>
    <n v="19"/>
    <n v="0.69352531674172502"/>
    <n v="0.6930057279295283"/>
    <n v="0.95"/>
    <n v="0.33401806893870795"/>
    <n v="0.19675348802568801"/>
    <n v="3.2614571838962898"/>
    <n v="0.19675348802568801"/>
    <n v="3.2614571838962898"/>
    <n v="1"/>
    <n v="0.33401806893870795"/>
    <n v="19"/>
    <n v="1"/>
  </r>
  <r>
    <x v="0"/>
    <s v="2025-05-18 18:56:05"/>
    <n v="6"/>
    <x v="19"/>
    <x v="6"/>
    <x v="1"/>
    <n v="0.202792560515587"/>
    <n v="2E+20"/>
    <n v="0.202792560515587"/>
    <n v="0.202792560515587"/>
    <n v="1"/>
    <s v="Friday (Solucion: datafono, gofre, cocina y caja compartida)PrepPedidoH3ExpressionUser Specified"/>
    <n v="19"/>
    <n v="0.69352531674172502"/>
    <n v="0.6930057279295283"/>
    <n v="0.95"/>
    <n v="0.33401806893870795"/>
    <n v="0.19675348802568801"/>
    <n v="3.2614571838962898"/>
    <n v="0.19675348802568801"/>
    <n v="3.2614571838962898"/>
    <n v="1"/>
    <n v="0.33401806893870795"/>
    <n v="19"/>
    <n v="1"/>
  </r>
  <r>
    <x v="0"/>
    <s v="2025-05-18 18:56:05"/>
    <n v="7"/>
    <x v="19"/>
    <x v="6"/>
    <x v="1"/>
    <n v="0.38897841412815898"/>
    <n v="2E+20"/>
    <n v="0.38897841412815898"/>
    <n v="0.38897841412815898"/>
    <n v="1"/>
    <s v="Friday (Solucion: datafono, gofre, cocina y caja compartida)PrepPedidoH3ExpressionUser Specified"/>
    <n v="19"/>
    <n v="0.69352531674172502"/>
    <n v="0.6930057279295283"/>
    <n v="0.95"/>
    <n v="0.33401806893870795"/>
    <n v="0.19675348802568801"/>
    <n v="3.2614571838962898"/>
    <n v="0.19675348802568801"/>
    <n v="3.2614571838962898"/>
    <n v="1"/>
    <n v="0.33401806893870795"/>
    <n v="19"/>
    <n v="1"/>
  </r>
  <r>
    <x v="0"/>
    <s v="2025-05-18 18:56:05"/>
    <n v="8"/>
    <x v="19"/>
    <x v="6"/>
    <x v="1"/>
    <n v="0.67710120720200795"/>
    <n v="2E+20"/>
    <n v="0.67710120720200795"/>
    <n v="0.67710120720200795"/>
    <n v="1"/>
    <s v="Friday (Solucion: datafono, gofre, cocina y caja compartida)PrepPedidoH3ExpressionUser Specified"/>
    <n v="19"/>
    <n v="0.69352531674172502"/>
    <n v="0.6930057279295283"/>
    <n v="0.95"/>
    <n v="0.33401806893870795"/>
    <n v="0.19675348802568801"/>
    <n v="3.2614571838962898"/>
    <n v="0.19675348802568801"/>
    <n v="3.2614571838962898"/>
    <n v="1"/>
    <n v="0.33401806893870795"/>
    <n v="19"/>
    <n v="1"/>
  </r>
  <r>
    <x v="0"/>
    <s v="2025-05-18 18:56:05"/>
    <n v="9"/>
    <x v="19"/>
    <x v="6"/>
    <x v="1"/>
    <n v="0.37959191796525998"/>
    <n v="2E+20"/>
    <n v="0.37959191796525998"/>
    <n v="0.37959191796525998"/>
    <n v="1"/>
    <s v="Friday (Solucion: datafono, gofre, cocina y caja compartida)PrepPedidoH3ExpressionUser Specified"/>
    <n v="19"/>
    <n v="0.69352531674172502"/>
    <n v="0.6930057279295283"/>
    <n v="0.95"/>
    <n v="0.33401806893870795"/>
    <n v="0.19675348802568801"/>
    <n v="3.2614571838962898"/>
    <n v="0.19675348802568801"/>
    <n v="3.2614571838962898"/>
    <n v="1"/>
    <n v="0.33401806893870795"/>
    <n v="19"/>
    <n v="1"/>
  </r>
  <r>
    <x v="0"/>
    <s v="2025-05-18 18:56:05"/>
    <n v="10"/>
    <x v="19"/>
    <x v="6"/>
    <x v="1"/>
    <n v="0.91708970562945302"/>
    <n v="2E+20"/>
    <n v="0.91708970562945302"/>
    <n v="0.91708970562945302"/>
    <n v="1"/>
    <s v="Friday (Solucion: datafono, gofre, cocina y caja compartida)PrepPedidoH3ExpressionUser Specified"/>
    <n v="19"/>
    <n v="0.69352531674172502"/>
    <n v="0.6930057279295283"/>
    <n v="0.95"/>
    <n v="0.33401806893870795"/>
    <n v="0.19675348802568801"/>
    <n v="3.2614571838962898"/>
    <n v="0.19675348802568801"/>
    <n v="3.2614571838962898"/>
    <n v="1"/>
    <n v="0.33401806893870795"/>
    <n v="19"/>
    <n v="1"/>
  </r>
  <r>
    <x v="0"/>
    <s v="2025-05-18 18:56:05"/>
    <n v="11"/>
    <x v="19"/>
    <x v="6"/>
    <x v="1"/>
    <n v="0.61288890231357696"/>
    <n v="2E+20"/>
    <n v="0.61288890231357696"/>
    <n v="0.61288890231357696"/>
    <n v="1"/>
    <s v="Friday (Solucion: datafono, gofre, cocina y caja compartida)PrepPedidoH3ExpressionUser Specified"/>
    <n v="19"/>
    <n v="0.69352531674172502"/>
    <n v="0.6930057279295283"/>
    <n v="0.95"/>
    <n v="0.33401806893870795"/>
    <n v="0.19675348802568801"/>
    <n v="3.2614571838962898"/>
    <n v="0.19675348802568801"/>
    <n v="3.2614571838962898"/>
    <n v="1"/>
    <n v="0.33401806893870795"/>
    <n v="19"/>
    <n v="1"/>
  </r>
  <r>
    <x v="0"/>
    <s v="2025-05-18 18:56:05"/>
    <n v="12"/>
    <x v="19"/>
    <x v="6"/>
    <x v="1"/>
    <n v="0.73450167633732599"/>
    <n v="2E+20"/>
    <n v="0.73450167633732599"/>
    <n v="0.73450167633732599"/>
    <n v="1"/>
    <s v="Friday (Solucion: datafono, gofre, cocina y caja compartida)PrepPedidoH3ExpressionUser Specified"/>
    <n v="19"/>
    <n v="0.69352531674172502"/>
    <n v="0.6930057279295283"/>
    <n v="0.95"/>
    <n v="0.33401806893870795"/>
    <n v="0.19675348802568801"/>
    <n v="3.2614571838962898"/>
    <n v="0.19675348802568801"/>
    <n v="3.2614571838962898"/>
    <n v="1"/>
    <n v="0.33401806893870795"/>
    <n v="19"/>
    <n v="1"/>
  </r>
  <r>
    <x v="0"/>
    <s v="2025-05-18 18:56:05"/>
    <n v="13"/>
    <x v="19"/>
    <x v="6"/>
    <x v="1"/>
    <n v="0.45527789507148497"/>
    <n v="2E+20"/>
    <n v="0.45527789507148497"/>
    <n v="0.45527789507148497"/>
    <n v="1"/>
    <s v="Friday (Solucion: datafono, gofre, cocina y caja compartida)PrepPedidoH3ExpressionUser Specified"/>
    <n v="19"/>
    <n v="0.69352531674172502"/>
    <n v="0.6930057279295283"/>
    <n v="0.95"/>
    <n v="0.33401806893870795"/>
    <n v="0.19675348802568801"/>
    <n v="3.2614571838962898"/>
    <n v="0.19675348802568801"/>
    <n v="3.2614571838962898"/>
    <n v="1"/>
    <n v="0.33401806893870795"/>
    <n v="19"/>
    <n v="1"/>
  </r>
  <r>
    <x v="0"/>
    <s v="2025-05-18 18:56:05"/>
    <n v="14"/>
    <x v="19"/>
    <x v="6"/>
    <x v="1"/>
    <n v="0.84077560664595896"/>
    <n v="2E+20"/>
    <n v="0.84077560664595896"/>
    <n v="0.84077560664595896"/>
    <n v="1"/>
    <s v="Friday (Solucion: datafono, gofre, cocina y caja compartida)PrepPedidoH3ExpressionUser Specified"/>
    <n v="19"/>
    <n v="0.69352531674172502"/>
    <n v="0.6930057279295283"/>
    <n v="0.95"/>
    <n v="0.33401806893870795"/>
    <n v="0.19675348802568801"/>
    <n v="3.2614571838962898"/>
    <n v="0.19675348802568801"/>
    <n v="3.2614571838962898"/>
    <n v="1"/>
    <n v="0.33401806893870795"/>
    <n v="19"/>
    <n v="1"/>
  </r>
  <r>
    <x v="0"/>
    <s v="2025-05-18 18:56:05"/>
    <n v="15"/>
    <x v="19"/>
    <x v="6"/>
    <x v="1"/>
    <n v="0.491436011403796"/>
    <n v="2E+20"/>
    <n v="0.491436011403796"/>
    <n v="0.491436011403796"/>
    <n v="1"/>
    <s v="Friday (Solucion: datafono, gofre, cocina y caja compartida)PrepPedidoH3ExpressionUser Specified"/>
    <n v="19"/>
    <n v="0.69352531674172502"/>
    <n v="0.6930057279295283"/>
    <n v="0.95"/>
    <n v="0.33401806893870795"/>
    <n v="0.19675348802568801"/>
    <n v="3.2614571838962898"/>
    <n v="0.19675348802568801"/>
    <n v="3.2614571838962898"/>
    <n v="1"/>
    <n v="0.33401806893870795"/>
    <n v="19"/>
    <n v="1"/>
  </r>
  <r>
    <x v="0"/>
    <s v="2025-05-18 18:56:05"/>
    <n v="16"/>
    <x v="19"/>
    <x v="6"/>
    <x v="1"/>
    <n v="0.19675348802568801"/>
    <n v="2E+20"/>
    <n v="0.19675348802568801"/>
    <n v="0.19675348802568801"/>
    <n v="1"/>
    <s v="Friday (Solucion: datafono, gofre, cocina y caja compartida)PrepPedidoH3ExpressionUser Specified"/>
    <n v="19"/>
    <n v="0.69352531674172502"/>
    <n v="0.6930057279295283"/>
    <n v="0.95"/>
    <n v="0.33401806893870795"/>
    <n v="0.19675348802568801"/>
    <n v="3.2614571838962898"/>
    <n v="0.19675348802568801"/>
    <n v="3.2614571838962898"/>
    <n v="1"/>
    <n v="0.33401806893870795"/>
    <n v="19"/>
    <n v="1"/>
  </r>
  <r>
    <x v="0"/>
    <s v="2025-05-18 18:56:05"/>
    <n v="17"/>
    <x v="19"/>
    <x v="6"/>
    <x v="1"/>
    <n v="0.447366519954769"/>
    <n v="2E+20"/>
    <n v="0.447366519954769"/>
    <n v="0.447366519954769"/>
    <n v="1"/>
    <s v="Friday (Solucion: datafono, gofre, cocina y caja compartida)PrepPedidoH3ExpressionUser Specified"/>
    <n v="19"/>
    <n v="0.69352531674172502"/>
    <n v="0.6930057279295283"/>
    <n v="0.95"/>
    <n v="0.33401806893870795"/>
    <n v="0.19675348802568801"/>
    <n v="3.2614571838962898"/>
    <n v="0.19675348802568801"/>
    <n v="3.2614571838962898"/>
    <n v="1"/>
    <n v="0.33401806893870795"/>
    <n v="19"/>
    <n v="1"/>
  </r>
  <r>
    <x v="0"/>
    <s v="2025-05-18 18:56:05"/>
    <n v="18"/>
    <x v="19"/>
    <x v="6"/>
    <x v="1"/>
    <n v="0.81139080607901903"/>
    <n v="2E+20"/>
    <n v="0.81139080607901903"/>
    <n v="0.81139080607901903"/>
    <n v="1"/>
    <s v="Friday (Solucion: datafono, gofre, cocina y caja compartida)PrepPedidoH3ExpressionUser Specified"/>
    <n v="19"/>
    <n v="0.69352531674172502"/>
    <n v="0.6930057279295283"/>
    <n v="0.95"/>
    <n v="0.33401806893870795"/>
    <n v="0.19675348802568801"/>
    <n v="3.2614571838962898"/>
    <n v="0.19675348802568801"/>
    <n v="3.2614571838962898"/>
    <n v="1"/>
    <n v="0.33401806893870795"/>
    <n v="19"/>
    <n v="1"/>
  </r>
  <r>
    <x v="0"/>
    <s v="2025-05-18 18:56:05"/>
    <n v="19"/>
    <x v="19"/>
    <x v="6"/>
    <x v="1"/>
    <n v="0.30649530649256601"/>
    <n v="2E+20"/>
    <n v="0.30649530649256601"/>
    <n v="0.30649530649256601"/>
    <n v="1"/>
    <s v="Friday (Solucion: datafono, gofre, cocina y caja compartida)PrepPedidoH3ExpressionUser Specified"/>
    <n v="19"/>
    <n v="0.69352531674172502"/>
    <n v="0.6930057279295283"/>
    <n v="0.95"/>
    <n v="0.33401806893870795"/>
    <n v="0.19675348802568801"/>
    <n v="3.2614571838962898"/>
    <n v="0.19675348802568801"/>
    <n v="3.2614571838962898"/>
    <n v="1"/>
    <n v="0.33401806893870795"/>
    <n v="19"/>
    <n v="1"/>
  </r>
  <r>
    <x v="0"/>
    <s v="2025-05-18 18:56:05"/>
    <n v="1"/>
    <x v="20"/>
    <x v="0"/>
    <x v="0"/>
    <n v="0"/>
    <n v="2E+20"/>
    <n v="0"/>
    <n v="0"/>
    <n v="3"/>
    <s v="Friday (Solucion: datafono, gofre, cocina y caja compartida)relojN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"/>
    <x v="20"/>
    <x v="1"/>
    <x v="0"/>
    <n v="0"/>
    <n v="2E+20"/>
    <n v="0"/>
    <n v="0"/>
    <n v="3"/>
    <s v="Friday (Solucion: datafono, gofre, cocina y caja compartida)relojOth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"/>
    <x v="20"/>
    <x v="2"/>
    <x v="0"/>
    <n v="0"/>
    <n v="2E+20"/>
    <n v="0"/>
    <n v="0"/>
    <n v="3"/>
    <s v="Friday (Solucion: datafono, gofre, cocina y caja compartida)relojTotal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"/>
    <x v="20"/>
    <x v="3"/>
    <x v="0"/>
    <n v="0"/>
    <n v="2E+20"/>
    <n v="0"/>
    <n v="0"/>
    <n v="3"/>
    <s v="Friday (Solucion: datafono, gofre, cocina y caja compartida)relojTransf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"/>
    <x v="20"/>
    <x v="4"/>
    <x v="0"/>
    <n v="0"/>
    <n v="2E+20"/>
    <n v="0"/>
    <n v="0"/>
    <n v="3"/>
    <s v="Friday (Solucion: datafono, gofre, cocina y caja compartida)reloj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"/>
    <x v="20"/>
    <x v="5"/>
    <x v="0"/>
    <n v="0"/>
    <n v="2E+20"/>
    <n v="0"/>
    <n v="0"/>
    <n v="3"/>
    <s v="Friday (Solucion: datafono, gofre, cocina y caja compartida)relojWait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2"/>
    <x v="20"/>
    <x v="0"/>
    <x v="0"/>
    <n v="0"/>
    <n v="2E+20"/>
    <n v="0"/>
    <n v="0"/>
    <n v="3"/>
    <s v="Friday (Solucion: datafono, gofre, cocina y caja compartida)relojN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2"/>
    <x v="20"/>
    <x v="1"/>
    <x v="0"/>
    <n v="0"/>
    <n v="2E+20"/>
    <n v="0"/>
    <n v="0"/>
    <n v="3"/>
    <s v="Friday (Solucion: datafono, gofre, cocina y caja compartida)relojOth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2"/>
    <x v="20"/>
    <x v="2"/>
    <x v="0"/>
    <n v="0"/>
    <n v="2E+20"/>
    <n v="0"/>
    <n v="0"/>
    <n v="3"/>
    <s v="Friday (Solucion: datafono, gofre, cocina y caja compartida)relojTotal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2"/>
    <x v="20"/>
    <x v="3"/>
    <x v="0"/>
    <n v="0"/>
    <n v="2E+20"/>
    <n v="0"/>
    <n v="0"/>
    <n v="3"/>
    <s v="Friday (Solucion: datafono, gofre, cocina y caja compartida)relojTransf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2"/>
    <x v="20"/>
    <x v="4"/>
    <x v="0"/>
    <n v="0"/>
    <n v="2E+20"/>
    <n v="0"/>
    <n v="0"/>
    <n v="3"/>
    <s v="Friday (Solucion: datafono, gofre, cocina y caja compartida)reloj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2"/>
    <x v="20"/>
    <x v="5"/>
    <x v="0"/>
    <n v="0"/>
    <n v="2E+20"/>
    <n v="0"/>
    <n v="0"/>
    <n v="3"/>
    <s v="Friday (Solucion: datafono, gofre, cocina y caja compartida)relojWait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3"/>
    <x v="20"/>
    <x v="0"/>
    <x v="0"/>
    <n v="0"/>
    <n v="2E+20"/>
    <n v="0"/>
    <n v="0"/>
    <n v="3"/>
    <s v="Friday (Solucion: datafono, gofre, cocina y caja compartida)relojN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3"/>
    <x v="20"/>
    <x v="1"/>
    <x v="0"/>
    <n v="0"/>
    <n v="2E+20"/>
    <n v="0"/>
    <n v="0"/>
    <n v="3"/>
    <s v="Friday (Solucion: datafono, gofre, cocina y caja compartida)relojOth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3"/>
    <x v="20"/>
    <x v="2"/>
    <x v="0"/>
    <n v="0"/>
    <n v="2E+20"/>
    <n v="0"/>
    <n v="0"/>
    <n v="3"/>
    <s v="Friday (Solucion: datafono, gofre, cocina y caja compartida)relojTotal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3"/>
    <x v="20"/>
    <x v="3"/>
    <x v="0"/>
    <n v="0"/>
    <n v="2E+20"/>
    <n v="0"/>
    <n v="0"/>
    <n v="3"/>
    <s v="Friday (Solucion: datafono, gofre, cocina y caja compartida)relojTransf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3"/>
    <x v="20"/>
    <x v="4"/>
    <x v="0"/>
    <n v="0"/>
    <n v="2E+20"/>
    <n v="0"/>
    <n v="0"/>
    <n v="3"/>
    <s v="Friday (Solucion: datafono, gofre, cocina y caja compartida)reloj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3"/>
    <x v="20"/>
    <x v="5"/>
    <x v="0"/>
    <n v="0"/>
    <n v="2E+20"/>
    <n v="0"/>
    <n v="0"/>
    <n v="3"/>
    <s v="Friday (Solucion: datafono, gofre, cocina y caja compartida)relojWait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4"/>
    <x v="20"/>
    <x v="0"/>
    <x v="0"/>
    <n v="0"/>
    <n v="2E+20"/>
    <n v="0"/>
    <n v="0"/>
    <n v="3"/>
    <s v="Friday (Solucion: datafono, gofre, cocina y caja compartida)relojN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4"/>
    <x v="20"/>
    <x v="1"/>
    <x v="0"/>
    <n v="0"/>
    <n v="2E+20"/>
    <n v="0"/>
    <n v="0"/>
    <n v="3"/>
    <s v="Friday (Solucion: datafono, gofre, cocina y caja compartida)relojOth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4"/>
    <x v="20"/>
    <x v="2"/>
    <x v="0"/>
    <n v="0"/>
    <n v="2E+20"/>
    <n v="0"/>
    <n v="0"/>
    <n v="3"/>
    <s v="Friday (Solucion: datafono, gofre, cocina y caja compartida)relojTotal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4"/>
    <x v="20"/>
    <x v="3"/>
    <x v="0"/>
    <n v="0"/>
    <n v="2E+20"/>
    <n v="0"/>
    <n v="0"/>
    <n v="3"/>
    <s v="Friday (Solucion: datafono, gofre, cocina y caja compartida)relojTransf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4"/>
    <x v="20"/>
    <x v="4"/>
    <x v="0"/>
    <n v="0"/>
    <n v="2E+20"/>
    <n v="0"/>
    <n v="0"/>
    <n v="3"/>
    <s v="Friday (Solucion: datafono, gofre, cocina y caja compartida)reloj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4"/>
    <x v="20"/>
    <x v="5"/>
    <x v="0"/>
    <n v="0"/>
    <n v="2E+20"/>
    <n v="0"/>
    <n v="0"/>
    <n v="3"/>
    <s v="Friday (Solucion: datafono, gofre, cocina y caja compartida)relojWait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5"/>
    <x v="20"/>
    <x v="0"/>
    <x v="0"/>
    <n v="0"/>
    <n v="2E+20"/>
    <n v="0"/>
    <n v="0"/>
    <n v="3"/>
    <s v="Friday (Solucion: datafono, gofre, cocina y caja compartida)relojN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5"/>
    <x v="20"/>
    <x v="1"/>
    <x v="0"/>
    <n v="0"/>
    <n v="2E+20"/>
    <n v="0"/>
    <n v="0"/>
    <n v="3"/>
    <s v="Friday (Solucion: datafono, gofre, cocina y caja compartida)relojOth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5"/>
    <x v="20"/>
    <x v="2"/>
    <x v="0"/>
    <n v="0"/>
    <n v="2E+20"/>
    <n v="0"/>
    <n v="0"/>
    <n v="3"/>
    <s v="Friday (Solucion: datafono, gofre, cocina y caja compartida)relojTotal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5"/>
    <x v="20"/>
    <x v="3"/>
    <x v="0"/>
    <n v="0"/>
    <n v="2E+20"/>
    <n v="0"/>
    <n v="0"/>
    <n v="3"/>
    <s v="Friday (Solucion: datafono, gofre, cocina y caja compartida)relojTransf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5"/>
    <x v="20"/>
    <x v="4"/>
    <x v="0"/>
    <n v="0"/>
    <n v="2E+20"/>
    <n v="0"/>
    <n v="0"/>
    <n v="3"/>
    <s v="Friday (Solucion: datafono, gofre, cocina y caja compartida)reloj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5"/>
    <x v="20"/>
    <x v="5"/>
    <x v="0"/>
    <n v="0"/>
    <n v="2E+20"/>
    <n v="0"/>
    <n v="0"/>
    <n v="3"/>
    <s v="Friday (Solucion: datafono, gofre, cocina y caja compartida)relojWait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6"/>
    <x v="20"/>
    <x v="0"/>
    <x v="0"/>
    <n v="0"/>
    <n v="2E+20"/>
    <n v="0"/>
    <n v="0"/>
    <n v="3"/>
    <s v="Friday (Solucion: datafono, gofre, cocina y caja compartida)relojN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6"/>
    <x v="20"/>
    <x v="1"/>
    <x v="0"/>
    <n v="0"/>
    <n v="2E+20"/>
    <n v="0"/>
    <n v="0"/>
    <n v="3"/>
    <s v="Friday (Solucion: datafono, gofre, cocina y caja compartida)relojOth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6"/>
    <x v="20"/>
    <x v="2"/>
    <x v="0"/>
    <n v="0"/>
    <n v="2E+20"/>
    <n v="0"/>
    <n v="0"/>
    <n v="3"/>
    <s v="Friday (Solucion: datafono, gofre, cocina y caja compartida)relojTotal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6"/>
    <x v="20"/>
    <x v="3"/>
    <x v="0"/>
    <n v="0"/>
    <n v="2E+20"/>
    <n v="0"/>
    <n v="0"/>
    <n v="3"/>
    <s v="Friday (Solucion: datafono, gofre, cocina y caja compartida)relojTransf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6"/>
    <x v="20"/>
    <x v="4"/>
    <x v="0"/>
    <n v="0"/>
    <n v="2E+20"/>
    <n v="0"/>
    <n v="0"/>
    <n v="3"/>
    <s v="Friday (Solucion: datafono, gofre, cocina y caja compartida)reloj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6"/>
    <x v="20"/>
    <x v="5"/>
    <x v="0"/>
    <n v="0"/>
    <n v="2E+20"/>
    <n v="0"/>
    <n v="0"/>
    <n v="3"/>
    <s v="Friday (Solucion: datafono, gofre, cocina y caja compartida)relojWait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7"/>
    <x v="20"/>
    <x v="0"/>
    <x v="0"/>
    <n v="0"/>
    <n v="2E+20"/>
    <n v="0"/>
    <n v="0"/>
    <n v="3"/>
    <s v="Friday (Solucion: datafono, gofre, cocina y caja compartida)relojN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7"/>
    <x v="20"/>
    <x v="1"/>
    <x v="0"/>
    <n v="0"/>
    <n v="2E+20"/>
    <n v="0"/>
    <n v="0"/>
    <n v="3"/>
    <s v="Friday (Solucion: datafono, gofre, cocina y caja compartida)relojOth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7"/>
    <x v="20"/>
    <x v="2"/>
    <x v="0"/>
    <n v="0"/>
    <n v="2E+20"/>
    <n v="0"/>
    <n v="0"/>
    <n v="3"/>
    <s v="Friday (Solucion: datafono, gofre, cocina y caja compartida)relojTotal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7"/>
    <x v="20"/>
    <x v="3"/>
    <x v="0"/>
    <n v="0"/>
    <n v="2E+20"/>
    <n v="0"/>
    <n v="0"/>
    <n v="3"/>
    <s v="Friday (Solucion: datafono, gofre, cocina y caja compartida)relojTransf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7"/>
    <x v="20"/>
    <x v="4"/>
    <x v="0"/>
    <n v="0"/>
    <n v="2E+20"/>
    <n v="0"/>
    <n v="0"/>
    <n v="3"/>
    <s v="Friday (Solucion: datafono, gofre, cocina y caja compartida)reloj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7"/>
    <x v="20"/>
    <x v="5"/>
    <x v="0"/>
    <n v="0"/>
    <n v="2E+20"/>
    <n v="0"/>
    <n v="0"/>
    <n v="3"/>
    <s v="Friday (Solucion: datafono, gofre, cocina y caja compartida)relojWait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8"/>
    <x v="20"/>
    <x v="0"/>
    <x v="0"/>
    <n v="0"/>
    <n v="2E+20"/>
    <n v="0"/>
    <n v="0"/>
    <n v="3"/>
    <s v="Friday (Solucion: datafono, gofre, cocina y caja compartida)relojN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8"/>
    <x v="20"/>
    <x v="1"/>
    <x v="0"/>
    <n v="0"/>
    <n v="2E+20"/>
    <n v="0"/>
    <n v="0"/>
    <n v="3"/>
    <s v="Friday (Solucion: datafono, gofre, cocina y caja compartida)relojOth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8"/>
    <x v="20"/>
    <x v="2"/>
    <x v="0"/>
    <n v="0"/>
    <n v="2E+20"/>
    <n v="0"/>
    <n v="0"/>
    <n v="3"/>
    <s v="Friday (Solucion: datafono, gofre, cocina y caja compartida)relojTotal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8"/>
    <x v="20"/>
    <x v="3"/>
    <x v="0"/>
    <n v="0"/>
    <n v="2E+20"/>
    <n v="0"/>
    <n v="0"/>
    <n v="3"/>
    <s v="Friday (Solucion: datafono, gofre, cocina y caja compartida)relojTransf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8"/>
    <x v="20"/>
    <x v="4"/>
    <x v="0"/>
    <n v="0"/>
    <n v="2E+20"/>
    <n v="0"/>
    <n v="0"/>
    <n v="3"/>
    <s v="Friday (Solucion: datafono, gofre, cocina y caja compartida)reloj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8"/>
    <x v="20"/>
    <x v="5"/>
    <x v="0"/>
    <n v="0"/>
    <n v="2E+20"/>
    <n v="0"/>
    <n v="0"/>
    <n v="3"/>
    <s v="Friday (Solucion: datafono, gofre, cocina y caja compartida)relojWait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9"/>
    <x v="20"/>
    <x v="0"/>
    <x v="0"/>
    <n v="0"/>
    <n v="2E+20"/>
    <n v="0"/>
    <n v="0"/>
    <n v="3"/>
    <s v="Friday (Solucion: datafono, gofre, cocina y caja compartida)relojN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9"/>
    <x v="20"/>
    <x v="1"/>
    <x v="0"/>
    <n v="0"/>
    <n v="2E+20"/>
    <n v="0"/>
    <n v="0"/>
    <n v="3"/>
    <s v="Friday (Solucion: datafono, gofre, cocina y caja compartida)relojOth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9"/>
    <x v="20"/>
    <x v="2"/>
    <x v="0"/>
    <n v="0"/>
    <n v="2E+20"/>
    <n v="0"/>
    <n v="0"/>
    <n v="3"/>
    <s v="Friday (Solucion: datafono, gofre, cocina y caja compartida)relojTotal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9"/>
    <x v="20"/>
    <x v="3"/>
    <x v="0"/>
    <n v="0"/>
    <n v="2E+20"/>
    <n v="0"/>
    <n v="0"/>
    <n v="3"/>
    <s v="Friday (Solucion: datafono, gofre, cocina y caja compartida)relojTransf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9"/>
    <x v="20"/>
    <x v="4"/>
    <x v="0"/>
    <n v="0"/>
    <n v="2E+20"/>
    <n v="0"/>
    <n v="0"/>
    <n v="3"/>
    <s v="Friday (Solucion: datafono, gofre, cocina y caja compartida)reloj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9"/>
    <x v="20"/>
    <x v="5"/>
    <x v="0"/>
    <n v="0"/>
    <n v="2E+20"/>
    <n v="0"/>
    <n v="0"/>
    <n v="3"/>
    <s v="Friday (Solucion: datafono, gofre, cocina y caja compartida)relojWait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0"/>
    <x v="20"/>
    <x v="0"/>
    <x v="0"/>
    <n v="0"/>
    <n v="2E+20"/>
    <n v="0"/>
    <n v="0"/>
    <n v="3"/>
    <s v="Friday (Solucion: datafono, gofre, cocina y caja compartida)relojN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0"/>
    <x v="20"/>
    <x v="1"/>
    <x v="0"/>
    <n v="0"/>
    <n v="2E+20"/>
    <n v="0"/>
    <n v="0"/>
    <n v="3"/>
    <s v="Friday (Solucion: datafono, gofre, cocina y caja compartida)relojOth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0"/>
    <x v="20"/>
    <x v="2"/>
    <x v="0"/>
    <n v="0"/>
    <n v="2E+20"/>
    <n v="0"/>
    <n v="0"/>
    <n v="3"/>
    <s v="Friday (Solucion: datafono, gofre, cocina y caja compartida)relojTotal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0"/>
    <x v="20"/>
    <x v="3"/>
    <x v="0"/>
    <n v="0"/>
    <n v="2E+20"/>
    <n v="0"/>
    <n v="0"/>
    <n v="3"/>
    <s v="Friday (Solucion: datafono, gofre, cocina y caja compartida)relojTransf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0"/>
    <x v="20"/>
    <x v="4"/>
    <x v="0"/>
    <n v="0"/>
    <n v="2E+20"/>
    <n v="0"/>
    <n v="0"/>
    <n v="3"/>
    <s v="Friday (Solucion: datafono, gofre, cocina y caja compartida)reloj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0"/>
    <x v="20"/>
    <x v="5"/>
    <x v="0"/>
    <n v="0"/>
    <n v="2E+20"/>
    <n v="0"/>
    <n v="0"/>
    <n v="3"/>
    <s v="Friday (Solucion: datafono, gofre, cocina y caja compartida)relojWait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1"/>
    <x v="20"/>
    <x v="0"/>
    <x v="0"/>
    <n v="0"/>
    <n v="2E+20"/>
    <n v="0"/>
    <n v="0"/>
    <n v="3"/>
    <s v="Friday (Solucion: datafono, gofre, cocina y caja compartida)relojN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1"/>
    <x v="20"/>
    <x v="1"/>
    <x v="0"/>
    <n v="0"/>
    <n v="2E+20"/>
    <n v="0"/>
    <n v="0"/>
    <n v="3"/>
    <s v="Friday (Solucion: datafono, gofre, cocina y caja compartida)relojOth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1"/>
    <x v="20"/>
    <x v="2"/>
    <x v="0"/>
    <n v="0"/>
    <n v="2E+20"/>
    <n v="0"/>
    <n v="0"/>
    <n v="3"/>
    <s v="Friday (Solucion: datafono, gofre, cocina y caja compartida)relojTotal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1"/>
    <x v="20"/>
    <x v="3"/>
    <x v="0"/>
    <n v="0"/>
    <n v="2E+20"/>
    <n v="0"/>
    <n v="0"/>
    <n v="3"/>
    <s v="Friday (Solucion: datafono, gofre, cocina y caja compartida)relojTransf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1"/>
    <x v="20"/>
    <x v="4"/>
    <x v="0"/>
    <n v="0"/>
    <n v="2E+20"/>
    <n v="0"/>
    <n v="0"/>
    <n v="3"/>
    <s v="Friday (Solucion: datafono, gofre, cocina y caja compartida)reloj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1"/>
    <x v="20"/>
    <x v="5"/>
    <x v="0"/>
    <n v="0"/>
    <n v="2E+20"/>
    <n v="0"/>
    <n v="0"/>
    <n v="3"/>
    <s v="Friday (Solucion: datafono, gofre, cocina y caja compartida)relojWait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2"/>
    <x v="20"/>
    <x v="0"/>
    <x v="0"/>
    <n v="0"/>
    <n v="2E+20"/>
    <n v="0"/>
    <n v="0"/>
    <n v="3"/>
    <s v="Friday (Solucion: datafono, gofre, cocina y caja compartida)relojN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2"/>
    <x v="20"/>
    <x v="1"/>
    <x v="0"/>
    <n v="0"/>
    <n v="2E+20"/>
    <n v="0"/>
    <n v="0"/>
    <n v="3"/>
    <s v="Friday (Solucion: datafono, gofre, cocina y caja compartida)relojOth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2"/>
    <x v="20"/>
    <x v="2"/>
    <x v="0"/>
    <n v="0"/>
    <n v="2E+20"/>
    <n v="0"/>
    <n v="0"/>
    <n v="3"/>
    <s v="Friday (Solucion: datafono, gofre, cocina y caja compartida)relojTotal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2"/>
    <x v="20"/>
    <x v="3"/>
    <x v="0"/>
    <n v="0"/>
    <n v="2E+20"/>
    <n v="0"/>
    <n v="0"/>
    <n v="3"/>
    <s v="Friday (Solucion: datafono, gofre, cocina y caja compartida)relojTransf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2"/>
    <x v="20"/>
    <x v="4"/>
    <x v="0"/>
    <n v="0"/>
    <n v="2E+20"/>
    <n v="0"/>
    <n v="0"/>
    <n v="3"/>
    <s v="Friday (Solucion: datafono, gofre, cocina y caja compartida)reloj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2"/>
    <x v="20"/>
    <x v="5"/>
    <x v="0"/>
    <n v="0"/>
    <n v="2E+20"/>
    <n v="0"/>
    <n v="0"/>
    <n v="3"/>
    <s v="Friday (Solucion: datafono, gofre, cocina y caja compartida)relojWait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3"/>
    <x v="20"/>
    <x v="0"/>
    <x v="0"/>
    <n v="0"/>
    <n v="2E+20"/>
    <n v="0"/>
    <n v="0"/>
    <n v="3"/>
    <s v="Friday (Solucion: datafono, gofre, cocina y caja compartida)relojN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3"/>
    <x v="20"/>
    <x v="1"/>
    <x v="0"/>
    <n v="0"/>
    <n v="2E+20"/>
    <n v="0"/>
    <n v="0"/>
    <n v="3"/>
    <s v="Friday (Solucion: datafono, gofre, cocina y caja compartida)relojOth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3"/>
    <x v="20"/>
    <x v="2"/>
    <x v="0"/>
    <n v="0"/>
    <n v="2E+20"/>
    <n v="0"/>
    <n v="0"/>
    <n v="3"/>
    <s v="Friday (Solucion: datafono, gofre, cocina y caja compartida)relojTotal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3"/>
    <x v="20"/>
    <x v="3"/>
    <x v="0"/>
    <n v="0"/>
    <n v="2E+20"/>
    <n v="0"/>
    <n v="0"/>
    <n v="3"/>
    <s v="Friday (Solucion: datafono, gofre, cocina y caja compartida)relojTransf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3"/>
    <x v="20"/>
    <x v="4"/>
    <x v="0"/>
    <n v="0"/>
    <n v="2E+20"/>
    <n v="0"/>
    <n v="0"/>
    <n v="3"/>
    <s v="Friday (Solucion: datafono, gofre, cocina y caja compartida)reloj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3"/>
    <x v="20"/>
    <x v="5"/>
    <x v="0"/>
    <n v="0"/>
    <n v="2E+20"/>
    <n v="0"/>
    <n v="0"/>
    <n v="3"/>
    <s v="Friday (Solucion: datafono, gofre, cocina y caja compartida)relojWait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4"/>
    <x v="20"/>
    <x v="0"/>
    <x v="0"/>
    <n v="0"/>
    <n v="2E+20"/>
    <n v="0"/>
    <n v="0"/>
    <n v="3"/>
    <s v="Friday (Solucion: datafono, gofre, cocina y caja compartida)relojN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4"/>
    <x v="20"/>
    <x v="1"/>
    <x v="0"/>
    <n v="0"/>
    <n v="2E+20"/>
    <n v="0"/>
    <n v="0"/>
    <n v="3"/>
    <s v="Friday (Solucion: datafono, gofre, cocina y caja compartida)relojOth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4"/>
    <x v="20"/>
    <x v="2"/>
    <x v="0"/>
    <n v="0"/>
    <n v="2E+20"/>
    <n v="0"/>
    <n v="0"/>
    <n v="3"/>
    <s v="Friday (Solucion: datafono, gofre, cocina y caja compartida)relojTotal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4"/>
    <x v="20"/>
    <x v="3"/>
    <x v="0"/>
    <n v="0"/>
    <n v="2E+20"/>
    <n v="0"/>
    <n v="0"/>
    <n v="3"/>
    <s v="Friday (Solucion: datafono, gofre, cocina y caja compartida)relojTransf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4"/>
    <x v="20"/>
    <x v="4"/>
    <x v="0"/>
    <n v="0"/>
    <n v="2E+20"/>
    <n v="0"/>
    <n v="0"/>
    <n v="3"/>
    <s v="Friday (Solucion: datafono, gofre, cocina y caja compartida)reloj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4"/>
    <x v="20"/>
    <x v="5"/>
    <x v="0"/>
    <n v="0"/>
    <n v="2E+20"/>
    <n v="0"/>
    <n v="0"/>
    <n v="3"/>
    <s v="Friday (Solucion: datafono, gofre, cocina y caja compartida)relojWait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5"/>
    <x v="20"/>
    <x v="0"/>
    <x v="0"/>
    <n v="0"/>
    <n v="2E+20"/>
    <n v="0"/>
    <n v="0"/>
    <n v="3"/>
    <s v="Friday (Solucion: datafono, gofre, cocina y caja compartida)relojN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5"/>
    <x v="20"/>
    <x v="1"/>
    <x v="0"/>
    <n v="0"/>
    <n v="2E+20"/>
    <n v="0"/>
    <n v="0"/>
    <n v="3"/>
    <s v="Friday (Solucion: datafono, gofre, cocina y caja compartida)relojOth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5"/>
    <x v="20"/>
    <x v="2"/>
    <x v="0"/>
    <n v="0"/>
    <n v="2E+20"/>
    <n v="0"/>
    <n v="0"/>
    <n v="3"/>
    <s v="Friday (Solucion: datafono, gofre, cocina y caja compartida)relojTotal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5"/>
    <x v="20"/>
    <x v="3"/>
    <x v="0"/>
    <n v="0"/>
    <n v="2E+20"/>
    <n v="0"/>
    <n v="0"/>
    <n v="3"/>
    <s v="Friday (Solucion: datafono, gofre, cocina y caja compartida)relojTransf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5"/>
    <x v="20"/>
    <x v="4"/>
    <x v="0"/>
    <n v="0"/>
    <n v="2E+20"/>
    <n v="0"/>
    <n v="0"/>
    <n v="3"/>
    <s v="Friday (Solucion: datafono, gofre, cocina y caja compartida)reloj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5"/>
    <x v="20"/>
    <x v="5"/>
    <x v="0"/>
    <n v="0"/>
    <n v="2E+20"/>
    <n v="0"/>
    <n v="0"/>
    <n v="3"/>
    <s v="Friday (Solucion: datafono, gofre, cocina y caja compartida)relojWait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6"/>
    <x v="20"/>
    <x v="0"/>
    <x v="0"/>
    <n v="0"/>
    <n v="2E+20"/>
    <n v="0"/>
    <n v="0"/>
    <n v="3"/>
    <s v="Friday (Solucion: datafono, gofre, cocina y caja compartida)relojN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6"/>
    <x v="20"/>
    <x v="1"/>
    <x v="0"/>
    <n v="0"/>
    <n v="2E+20"/>
    <n v="0"/>
    <n v="0"/>
    <n v="3"/>
    <s v="Friday (Solucion: datafono, gofre, cocina y caja compartida)relojOth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6"/>
    <x v="20"/>
    <x v="2"/>
    <x v="0"/>
    <n v="0"/>
    <n v="2E+20"/>
    <n v="0"/>
    <n v="0"/>
    <n v="3"/>
    <s v="Friday (Solucion: datafono, gofre, cocina y caja compartida)relojTotal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6"/>
    <x v="20"/>
    <x v="3"/>
    <x v="0"/>
    <n v="0"/>
    <n v="2E+20"/>
    <n v="0"/>
    <n v="0"/>
    <n v="3"/>
    <s v="Friday (Solucion: datafono, gofre, cocina y caja compartida)relojTransf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6"/>
    <x v="20"/>
    <x v="4"/>
    <x v="0"/>
    <n v="0"/>
    <n v="2E+20"/>
    <n v="0"/>
    <n v="0"/>
    <n v="3"/>
    <s v="Friday (Solucion: datafono, gofre, cocina y caja compartida)reloj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6"/>
    <x v="20"/>
    <x v="5"/>
    <x v="0"/>
    <n v="0"/>
    <n v="2E+20"/>
    <n v="0"/>
    <n v="0"/>
    <n v="3"/>
    <s v="Friday (Solucion: datafono, gofre, cocina y caja compartida)relojWait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7"/>
    <x v="20"/>
    <x v="0"/>
    <x v="0"/>
    <n v="0"/>
    <n v="2E+20"/>
    <n v="0"/>
    <n v="0"/>
    <n v="3"/>
    <s v="Friday (Solucion: datafono, gofre, cocina y caja compartida)relojN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7"/>
    <x v="20"/>
    <x v="1"/>
    <x v="0"/>
    <n v="0"/>
    <n v="2E+20"/>
    <n v="0"/>
    <n v="0"/>
    <n v="3"/>
    <s v="Friday (Solucion: datafono, gofre, cocina y caja compartida)relojOth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7"/>
    <x v="20"/>
    <x v="2"/>
    <x v="0"/>
    <n v="0"/>
    <n v="2E+20"/>
    <n v="0"/>
    <n v="0"/>
    <n v="3"/>
    <s v="Friday (Solucion: datafono, gofre, cocina y caja compartida)relojTotal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7"/>
    <x v="20"/>
    <x v="3"/>
    <x v="0"/>
    <n v="0"/>
    <n v="2E+20"/>
    <n v="0"/>
    <n v="0"/>
    <n v="3"/>
    <s v="Friday (Solucion: datafono, gofre, cocina y caja compartida)relojTransf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7"/>
    <x v="20"/>
    <x v="4"/>
    <x v="0"/>
    <n v="0"/>
    <n v="2E+20"/>
    <n v="0"/>
    <n v="0"/>
    <n v="3"/>
    <s v="Friday (Solucion: datafono, gofre, cocina y caja compartida)reloj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7"/>
    <x v="20"/>
    <x v="5"/>
    <x v="0"/>
    <n v="0"/>
    <n v="2E+20"/>
    <n v="0"/>
    <n v="0"/>
    <n v="3"/>
    <s v="Friday (Solucion: datafono, gofre, cocina y caja compartida)relojWait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8"/>
    <x v="20"/>
    <x v="0"/>
    <x v="0"/>
    <n v="0"/>
    <n v="2E+20"/>
    <n v="0"/>
    <n v="0"/>
    <n v="3"/>
    <s v="Friday (Solucion: datafono, gofre, cocina y caja compartida)relojN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8"/>
    <x v="20"/>
    <x v="1"/>
    <x v="0"/>
    <n v="0"/>
    <n v="2E+20"/>
    <n v="0"/>
    <n v="0"/>
    <n v="3"/>
    <s v="Friday (Solucion: datafono, gofre, cocina y caja compartida)relojOth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8"/>
    <x v="20"/>
    <x v="2"/>
    <x v="0"/>
    <n v="0"/>
    <n v="2E+20"/>
    <n v="0"/>
    <n v="0"/>
    <n v="3"/>
    <s v="Friday (Solucion: datafono, gofre, cocina y caja compartida)relojTotal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8"/>
    <x v="20"/>
    <x v="3"/>
    <x v="0"/>
    <n v="0"/>
    <n v="2E+20"/>
    <n v="0"/>
    <n v="0"/>
    <n v="3"/>
    <s v="Friday (Solucion: datafono, gofre, cocina y caja compartida)relojTransf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8"/>
    <x v="20"/>
    <x v="4"/>
    <x v="0"/>
    <n v="0"/>
    <n v="2E+20"/>
    <n v="0"/>
    <n v="0"/>
    <n v="3"/>
    <s v="Friday (Solucion: datafono, gofre, cocina y caja compartida)reloj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8"/>
    <x v="20"/>
    <x v="5"/>
    <x v="0"/>
    <n v="0"/>
    <n v="2E+20"/>
    <n v="0"/>
    <n v="0"/>
    <n v="3"/>
    <s v="Friday (Solucion: datafono, gofre, cocina y caja compartida)relojWait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9"/>
    <x v="20"/>
    <x v="0"/>
    <x v="0"/>
    <n v="0"/>
    <n v="2E+20"/>
    <n v="0"/>
    <n v="0"/>
    <n v="3"/>
    <s v="Friday (Solucion: datafono, gofre, cocina y caja compartida)relojN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9"/>
    <x v="20"/>
    <x v="1"/>
    <x v="0"/>
    <n v="0"/>
    <n v="2E+20"/>
    <n v="0"/>
    <n v="0"/>
    <n v="3"/>
    <s v="Friday (Solucion: datafono, gofre, cocina y caja compartida)relojOth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9"/>
    <x v="20"/>
    <x v="2"/>
    <x v="0"/>
    <n v="0"/>
    <n v="2E+20"/>
    <n v="0"/>
    <n v="0"/>
    <n v="3"/>
    <s v="Friday (Solucion: datafono, gofre, cocina y caja compartida)relojTotal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9"/>
    <x v="20"/>
    <x v="3"/>
    <x v="0"/>
    <n v="0"/>
    <n v="2E+20"/>
    <n v="0"/>
    <n v="0"/>
    <n v="3"/>
    <s v="Friday (Solucion: datafono, gofre, cocina y caja compartida)relojTransfer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9"/>
    <x v="20"/>
    <x v="4"/>
    <x v="0"/>
    <n v="0"/>
    <n v="2E+20"/>
    <n v="0"/>
    <n v="0"/>
    <n v="3"/>
    <s v="Friday (Solucion: datafono, gofre, cocina y caja compartida)relojVA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9"/>
    <x v="20"/>
    <x v="5"/>
    <x v="0"/>
    <n v="0"/>
    <n v="2E+20"/>
    <n v="0"/>
    <n v="0"/>
    <n v="3"/>
    <s v="Friday (Solucion: datafono, gofre, cocina y caja compartida)relojWait TimeEntity"/>
    <n v="19"/>
    <n v="0"/>
    <n v="0"/>
    <n v="0.95"/>
    <n v="0"/>
    <n v="0"/>
    <n v="0"/>
    <n v="0"/>
    <n v="0"/>
    <n v="3"/>
    <n v="0"/>
    <n v="19"/>
    <n v="1"/>
  </r>
  <r>
    <x v="0"/>
    <s v="2025-05-18 18:56:05"/>
    <n v="1"/>
    <x v="21"/>
    <x v="6"/>
    <x v="1"/>
    <n v="21.2089552841257"/>
    <n v="2E+20"/>
    <n v="0"/>
    <n v="34.6364637997522"/>
    <n v="19"/>
    <s v="Friday (Solucion: datafono, gofre, cocina y caja compartida)TiempoEnMesaExpressionUser Specified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2"/>
    <x v="21"/>
    <x v="6"/>
    <x v="1"/>
    <n v="19.6313420657176"/>
    <n v="2E+20"/>
    <n v="9.9444268178419204"/>
    <n v="27.9315255641779"/>
    <n v="8"/>
    <s v="Friday (Solucion: datafono, gofre, cocina y caja compartida)TiempoEnMesaExpressionUser Specified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3"/>
    <x v="21"/>
    <x v="6"/>
    <x v="1"/>
    <n v="20.508291855783199"/>
    <n v="2E+20"/>
    <n v="6.0706382337500003E-2"/>
    <n v="47.092378696302802"/>
    <n v="16"/>
    <s v="Friday (Solucion: datafono, gofre, cocina y caja compartida)TiempoEnMesaExpressionUser Specified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4"/>
    <x v="21"/>
    <x v="6"/>
    <x v="1"/>
    <n v="14.414452128519001"/>
    <n v="2E+20"/>
    <n v="5.3427333269881103"/>
    <n v="30.217503219100902"/>
    <n v="15"/>
    <s v="Friday (Solucion: datafono, gofre, cocina y caja compartida)TiempoEnMesaExpressionUser Specified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5"/>
    <x v="21"/>
    <x v="6"/>
    <x v="1"/>
    <n v="19.1282213603067"/>
    <n v="2E+20"/>
    <n v="0"/>
    <n v="28.701319724811999"/>
    <n v="15"/>
    <s v="Friday (Solucion: datafono, gofre, cocina y caja compartida)TiempoEnMesaExpressionUser Specified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6"/>
    <x v="21"/>
    <x v="6"/>
    <x v="1"/>
    <n v="15.9568624069253"/>
    <n v="2E+20"/>
    <n v="0"/>
    <n v="30.271633287238298"/>
    <n v="17"/>
    <s v="Friday (Solucion: datafono, gofre, cocina y caja compartida)TiempoEnMesaExpressionUser Specified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7"/>
    <x v="21"/>
    <x v="6"/>
    <x v="1"/>
    <n v="13.952545113918999"/>
    <n v="2E+20"/>
    <n v="0"/>
    <n v="28.226229639215401"/>
    <n v="19"/>
    <s v="Friday (Solucion: datafono, gofre, cocina y caja compartida)TiempoEnMesaExpressionUser Specified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8"/>
    <x v="21"/>
    <x v="6"/>
    <x v="1"/>
    <n v="17.724345469077701"/>
    <n v="2E+20"/>
    <n v="0"/>
    <n v="28.942651805576201"/>
    <n v="16"/>
    <s v="Friday (Solucion: datafono, gofre, cocina y caja compartida)TiempoEnMesaExpressionUser Specified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9"/>
    <x v="21"/>
    <x v="6"/>
    <x v="1"/>
    <n v="15.214096339510499"/>
    <n v="2E+20"/>
    <n v="1.5059276457572499"/>
    <n v="32.099395179810003"/>
    <n v="19"/>
    <s v="Friday (Solucion: datafono, gofre, cocina y caja compartida)TiempoEnMesaExpressionUser Specified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0"/>
    <x v="21"/>
    <x v="6"/>
    <x v="1"/>
    <n v="17.5379961470727"/>
    <n v="2E+20"/>
    <n v="0"/>
    <n v="31.3931069447151"/>
    <n v="22"/>
    <s v="Friday (Solucion: datafono, gofre, cocina y caja compartida)TiempoEnMesaExpressionUser Specified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1"/>
    <x v="21"/>
    <x v="6"/>
    <x v="1"/>
    <n v="14.2546755862785"/>
    <n v="2E+20"/>
    <n v="0"/>
    <n v="29.348960683239302"/>
    <n v="19"/>
    <s v="Friday (Solucion: datafono, gofre, cocina y caja compartida)TiempoEnMesaExpressionUser Specified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2"/>
    <x v="21"/>
    <x v="6"/>
    <x v="1"/>
    <n v="19.049187216616001"/>
    <n v="2E+20"/>
    <n v="1.5356469413879701"/>
    <n v="33.476019315059702"/>
    <n v="14"/>
    <s v="Friday (Solucion: datafono, gofre, cocina y caja compartida)TiempoEnMesaExpressionUser Specified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3"/>
    <x v="21"/>
    <x v="6"/>
    <x v="1"/>
    <n v="22.975696741341299"/>
    <n v="2E+20"/>
    <n v="1.8155272354759999"/>
    <n v="37.998935754854699"/>
    <n v="12"/>
    <s v="Friday (Solucion: datafono, gofre, cocina y caja compartida)TiempoEnMesaExpressionUser Specified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4"/>
    <x v="21"/>
    <x v="6"/>
    <x v="1"/>
    <n v="17.5786024293397"/>
    <n v="2E+20"/>
    <n v="3.1692109824593002"/>
    <n v="32.020590379549702"/>
    <n v="18"/>
    <s v="Friday (Solucion: datafono, gofre, cocina y caja compartida)TiempoEnMesaExpressionUser Specified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5"/>
    <x v="21"/>
    <x v="6"/>
    <x v="1"/>
    <n v="21.4760693596075"/>
    <n v="2E+20"/>
    <n v="10.4937674299"/>
    <n v="37.486560303480303"/>
    <n v="12"/>
    <s v="Friday (Solucion: datafono, gofre, cocina y caja compartida)TiempoEnMesaExpressionUser Specified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6"/>
    <x v="21"/>
    <x v="6"/>
    <x v="1"/>
    <n v="15.041847416662399"/>
    <n v="2E+20"/>
    <n v="2.2940863603439499"/>
    <n v="29.401923921538302"/>
    <n v="21"/>
    <s v="Friday (Solucion: datafono, gofre, cocina y caja compartida)TiempoEnMesaExpressionUser Specified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7"/>
    <x v="21"/>
    <x v="6"/>
    <x v="1"/>
    <n v="20.538119910750599"/>
    <n v="2E+20"/>
    <n v="8.7343176684467796"/>
    <n v="38.200866292722203"/>
    <n v="15"/>
    <s v="Friday (Solucion: datafono, gofre, cocina y caja compartida)TiempoEnMesaExpressionUser Specified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8"/>
    <x v="21"/>
    <x v="6"/>
    <x v="1"/>
    <n v="17.28002023837"/>
    <n v="2E+20"/>
    <n v="4.8549629102608396"/>
    <n v="40.684021884533799"/>
    <n v="15"/>
    <s v="Friday (Solucion: datafono, gofre, cocina y caja compartida)TiempoEnMesaExpressionUser Specified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9"/>
    <x v="21"/>
    <x v="6"/>
    <x v="1"/>
    <n v="13.101063207922801"/>
    <n v="2E+20"/>
    <n v="1.07901038776188"/>
    <n v="26.2201450806797"/>
    <n v="17"/>
    <s v="Friday (Solucion: datafono, gofre, cocina y caja compartida)TiempoEnMesaExpressionUser Specified"/>
    <n v="19"/>
    <n v="17.714336330412955"/>
    <n v="2.9087308458074794"/>
    <n v="0.95"/>
    <n v="1.4019633908103393"/>
    <n v="13.101063207922801"/>
    <n v="22.975696741341299"/>
    <n v="0"/>
    <n v="47.092378696302802"/>
    <n v="16.263157894736842"/>
    <n v="1.4019633908103393"/>
    <n v="19"/>
    <n v="1"/>
  </r>
  <r>
    <x v="0"/>
    <s v="2025-05-18 18:56:05"/>
    <n v="1"/>
    <x v="22"/>
    <x v="11"/>
    <x v="1"/>
    <n v="36.863589442352897"/>
    <n v="2E+20"/>
    <n v="7.3183275684244196"/>
    <n v="53.902204331522697"/>
    <n v="19"/>
    <s v="Friday (Solucion: datafono, gofre, cocina y caja compartida)TiempoEnSistemaMesaIntervalUser Specified"/>
    <n v="19"/>
    <n v="22.08644356402899"/>
    <n v="4.8161914443752796"/>
    <n v="0.95"/>
    <n v="2.3213299703822154"/>
    <n v="15.7816894791909"/>
    <n v="36.863589442352897"/>
    <n v="0.60651001428010398"/>
    <n v="61.080910283562602"/>
    <n v="16.263157894736842"/>
    <n v="2.3213299703822154"/>
    <n v="19"/>
    <n v="1"/>
  </r>
  <r>
    <x v="0"/>
    <s v="2025-05-18 18:56:05"/>
    <n v="2"/>
    <x v="22"/>
    <x v="11"/>
    <x v="1"/>
    <n v="22.190896232918799"/>
    <n v="2E+20"/>
    <n v="10.7720051618345"/>
    <n v="31.817972856529799"/>
    <n v="8"/>
    <s v="Friday (Solucion: datafono, gofre, cocina y caja compartida)TiempoEnSistemaMesaIntervalUser Specified"/>
    <n v="19"/>
    <n v="22.08644356402899"/>
    <n v="4.8161914443752796"/>
    <n v="0.95"/>
    <n v="2.3213299703822154"/>
    <n v="15.7816894791909"/>
    <n v="36.863589442352897"/>
    <n v="0.60651001428010398"/>
    <n v="61.080910283562602"/>
    <n v="16.263157894736842"/>
    <n v="2.3213299703822154"/>
    <n v="19"/>
    <n v="1"/>
  </r>
  <r>
    <x v="0"/>
    <s v="2025-05-18 18:56:05"/>
    <n v="3"/>
    <x v="22"/>
    <x v="11"/>
    <x v="1"/>
    <n v="27.807007951551199"/>
    <n v="2E+20"/>
    <n v="7.4990598445816703"/>
    <n v="61.080910283562602"/>
    <n v="16"/>
    <s v="Friday (Solucion: datafono, gofre, cocina y caja compartida)TiempoEnSistemaMesaIntervalUser Specified"/>
    <n v="19"/>
    <n v="22.08644356402899"/>
    <n v="4.8161914443752796"/>
    <n v="0.95"/>
    <n v="2.3213299703822154"/>
    <n v="15.7816894791909"/>
    <n v="36.863589442352897"/>
    <n v="0.60651001428010398"/>
    <n v="61.080910283562602"/>
    <n v="16.263157894736842"/>
    <n v="2.3213299703822154"/>
    <n v="19"/>
    <n v="1"/>
  </r>
  <r>
    <x v="0"/>
    <s v="2025-05-18 18:56:05"/>
    <n v="4"/>
    <x v="22"/>
    <x v="11"/>
    <x v="1"/>
    <n v="17.300949835484499"/>
    <n v="2E+20"/>
    <n v="7.5175361905959601"/>
    <n v="34.384924855603899"/>
    <n v="15"/>
    <s v="Friday (Solucion: datafono, gofre, cocina y caja compartida)TiempoEnSistemaMesaIntervalUser Specified"/>
    <n v="19"/>
    <n v="22.08644356402899"/>
    <n v="4.8161914443752796"/>
    <n v="0.95"/>
    <n v="2.3213299703822154"/>
    <n v="15.7816894791909"/>
    <n v="36.863589442352897"/>
    <n v="0.60651001428010398"/>
    <n v="61.080910283562602"/>
    <n v="16.263157894736842"/>
    <n v="2.3213299703822154"/>
    <n v="19"/>
    <n v="1"/>
  </r>
  <r>
    <x v="0"/>
    <s v="2025-05-18 18:56:05"/>
    <n v="5"/>
    <x v="22"/>
    <x v="11"/>
    <x v="1"/>
    <n v="21.703730186417399"/>
    <n v="2E+20"/>
    <n v="1.5908678755402801"/>
    <n v="32.970550306151701"/>
    <n v="15"/>
    <s v="Friday (Solucion: datafono, gofre, cocina y caja compartida)TiempoEnSistemaMesaIntervalUser Specified"/>
    <n v="19"/>
    <n v="22.08644356402899"/>
    <n v="4.8161914443752796"/>
    <n v="0.95"/>
    <n v="2.3213299703822154"/>
    <n v="15.7816894791909"/>
    <n v="36.863589442352897"/>
    <n v="0.60651001428010398"/>
    <n v="61.080910283562602"/>
    <n v="16.263157894736842"/>
    <n v="2.3213299703822154"/>
    <n v="19"/>
    <n v="1"/>
  </r>
  <r>
    <x v="0"/>
    <s v="2025-05-18 18:56:05"/>
    <n v="6"/>
    <x v="22"/>
    <x v="11"/>
    <x v="1"/>
    <n v="18.184808948107801"/>
    <n v="2E+20"/>
    <n v="0.60651001428010398"/>
    <n v="31.2500282441497"/>
    <n v="17"/>
    <s v="Friday (Solucion: datafono, gofre, cocina y caja compartida)TiempoEnSistemaMesaIntervalUser Specified"/>
    <n v="19"/>
    <n v="22.08644356402899"/>
    <n v="4.8161914443752796"/>
    <n v="0.95"/>
    <n v="2.3213299703822154"/>
    <n v="15.7816894791909"/>
    <n v="36.863589442352897"/>
    <n v="0.60651001428010398"/>
    <n v="61.080910283562602"/>
    <n v="16.263157894736842"/>
    <n v="2.3213299703822154"/>
    <n v="19"/>
    <n v="1"/>
  </r>
  <r>
    <x v="0"/>
    <s v="2025-05-18 18:56:05"/>
    <n v="7"/>
    <x v="22"/>
    <x v="11"/>
    <x v="1"/>
    <n v="17.314903608895399"/>
    <n v="2E+20"/>
    <n v="3.27703018006244"/>
    <n v="31.134274500106201"/>
    <n v="19"/>
    <s v="Friday (Solucion: datafono, gofre, cocina y caja compartida)TiempoEnSistemaMesaIntervalUser Specified"/>
    <n v="19"/>
    <n v="22.08644356402899"/>
    <n v="4.8161914443752796"/>
    <n v="0.95"/>
    <n v="2.3213299703822154"/>
    <n v="15.7816894791909"/>
    <n v="36.863589442352897"/>
    <n v="0.60651001428010398"/>
    <n v="61.080910283562602"/>
    <n v="16.263157894736842"/>
    <n v="2.3213299703822154"/>
    <n v="19"/>
    <n v="1"/>
  </r>
  <r>
    <x v="0"/>
    <s v="2025-05-18 18:56:05"/>
    <n v="8"/>
    <x v="22"/>
    <x v="11"/>
    <x v="1"/>
    <n v="22.779523928214399"/>
    <n v="2E+20"/>
    <n v="3.7236032999224702"/>
    <n v="32.548713325288503"/>
    <n v="16"/>
    <s v="Friday (Solucion: datafono, gofre, cocina y caja compartida)TiempoEnSistemaMesaIntervalUser Specified"/>
    <n v="19"/>
    <n v="22.08644356402899"/>
    <n v="4.8161914443752796"/>
    <n v="0.95"/>
    <n v="2.3213299703822154"/>
    <n v="15.7816894791909"/>
    <n v="36.863589442352897"/>
    <n v="0.60651001428010398"/>
    <n v="61.080910283562602"/>
    <n v="16.263157894736842"/>
    <n v="2.3213299703822154"/>
    <n v="19"/>
    <n v="1"/>
  </r>
  <r>
    <x v="0"/>
    <s v="2025-05-18 18:56:05"/>
    <n v="9"/>
    <x v="22"/>
    <x v="11"/>
    <x v="1"/>
    <n v="17.988373023227801"/>
    <n v="2E+20"/>
    <n v="2.3244856018195499"/>
    <n v="33.367421891913303"/>
    <n v="19"/>
    <s v="Friday (Solucion: datafono, gofre, cocina y caja compartida)TiempoEnSistemaMesaIntervalUser Specified"/>
    <n v="19"/>
    <n v="22.08644356402899"/>
    <n v="4.8161914443752796"/>
    <n v="0.95"/>
    <n v="2.3213299703822154"/>
    <n v="15.7816894791909"/>
    <n v="36.863589442352897"/>
    <n v="0.60651001428010398"/>
    <n v="61.080910283562602"/>
    <n v="16.263157894736842"/>
    <n v="2.3213299703822154"/>
    <n v="19"/>
    <n v="1"/>
  </r>
  <r>
    <x v="0"/>
    <s v="2025-05-18 18:56:05"/>
    <n v="10"/>
    <x v="22"/>
    <x v="11"/>
    <x v="1"/>
    <n v="21.2211417156607"/>
    <n v="2E+20"/>
    <n v="2.4175125971966098"/>
    <n v="35.439151879421601"/>
    <n v="22"/>
    <s v="Friday (Solucion: datafono, gofre, cocina y caja compartida)TiempoEnSistemaMesaIntervalUser Specified"/>
    <n v="19"/>
    <n v="22.08644356402899"/>
    <n v="4.8161914443752796"/>
    <n v="0.95"/>
    <n v="2.3213299703822154"/>
    <n v="15.7816894791909"/>
    <n v="36.863589442352897"/>
    <n v="0.60651001428010398"/>
    <n v="61.080910283562602"/>
    <n v="16.263157894736842"/>
    <n v="2.3213299703822154"/>
    <n v="19"/>
    <n v="1"/>
  </r>
  <r>
    <x v="0"/>
    <s v="2025-05-18 18:56:05"/>
    <n v="11"/>
    <x v="22"/>
    <x v="11"/>
    <x v="1"/>
    <n v="19.279968897215401"/>
    <n v="2E+20"/>
    <n v="3.01836369964207"/>
    <n v="41.934267235705299"/>
    <n v="19"/>
    <s v="Friday (Solucion: datafono, gofre, cocina y caja compartida)TiempoEnSistemaMesaIntervalUser Specified"/>
    <n v="19"/>
    <n v="22.08644356402899"/>
    <n v="4.8161914443752796"/>
    <n v="0.95"/>
    <n v="2.3213299703822154"/>
    <n v="15.7816894791909"/>
    <n v="36.863589442352897"/>
    <n v="0.60651001428010398"/>
    <n v="61.080910283562602"/>
    <n v="16.263157894736842"/>
    <n v="2.3213299703822154"/>
    <n v="19"/>
    <n v="1"/>
  </r>
  <r>
    <x v="0"/>
    <s v="2025-05-18 18:56:05"/>
    <n v="12"/>
    <x v="22"/>
    <x v="11"/>
    <x v="1"/>
    <n v="24.342689363698"/>
    <n v="2E+20"/>
    <n v="2.9272264791317499"/>
    <n v="43.960460052227297"/>
    <n v="14"/>
    <s v="Friday (Solucion: datafono, gofre, cocina y caja compartida)TiempoEnSistemaMesaIntervalUser Specified"/>
    <n v="19"/>
    <n v="22.08644356402899"/>
    <n v="4.8161914443752796"/>
    <n v="0.95"/>
    <n v="2.3213299703822154"/>
    <n v="15.7816894791909"/>
    <n v="36.863589442352897"/>
    <n v="0.60651001428010398"/>
    <n v="61.080910283562602"/>
    <n v="16.263157894736842"/>
    <n v="2.3213299703822154"/>
    <n v="19"/>
    <n v="1"/>
  </r>
  <r>
    <x v="0"/>
    <s v="2025-05-18 18:56:05"/>
    <n v="13"/>
    <x v="22"/>
    <x v="11"/>
    <x v="1"/>
    <n v="25.917266212971199"/>
    <n v="2E+20"/>
    <n v="3.0289084185996602"/>
    <n v="42.680714272558703"/>
    <n v="12"/>
    <s v="Friday (Solucion: datafono, gofre, cocina y caja compartida)TiempoEnSistemaMesaIntervalUser Specified"/>
    <n v="19"/>
    <n v="22.08644356402899"/>
    <n v="4.8161914443752796"/>
    <n v="0.95"/>
    <n v="2.3213299703822154"/>
    <n v="15.7816894791909"/>
    <n v="36.863589442352897"/>
    <n v="0.60651001428010398"/>
    <n v="61.080910283562602"/>
    <n v="16.263157894736842"/>
    <n v="2.3213299703822154"/>
    <n v="19"/>
    <n v="1"/>
  </r>
  <r>
    <x v="0"/>
    <s v="2025-05-18 18:56:05"/>
    <n v="14"/>
    <x v="22"/>
    <x v="11"/>
    <x v="1"/>
    <n v="21.740525406515399"/>
    <n v="2E+20"/>
    <n v="9.2204733037588902"/>
    <n v="34.388705941106203"/>
    <n v="18"/>
    <s v="Friday (Solucion: datafono, gofre, cocina y caja compartida)TiempoEnSistemaMesaIntervalUser Specified"/>
    <n v="19"/>
    <n v="22.08644356402899"/>
    <n v="4.8161914443752796"/>
    <n v="0.95"/>
    <n v="2.3213299703822154"/>
    <n v="15.7816894791909"/>
    <n v="36.863589442352897"/>
    <n v="0.60651001428010398"/>
    <n v="61.080910283562602"/>
    <n v="16.263157894736842"/>
    <n v="2.3213299703822154"/>
    <n v="19"/>
    <n v="1"/>
  </r>
  <r>
    <x v="0"/>
    <s v="2025-05-18 18:56:05"/>
    <n v="15"/>
    <x v="22"/>
    <x v="11"/>
    <x v="1"/>
    <n v="24.9878647028312"/>
    <n v="2E+20"/>
    <n v="13.2703809532367"/>
    <n v="38.881303846395802"/>
    <n v="12"/>
    <s v="Friday (Solucion: datafono, gofre, cocina y caja compartida)TiempoEnSistemaMesaIntervalUser Specified"/>
    <n v="19"/>
    <n v="22.08644356402899"/>
    <n v="4.8161914443752796"/>
    <n v="0.95"/>
    <n v="2.3213299703822154"/>
    <n v="15.7816894791909"/>
    <n v="36.863589442352897"/>
    <n v="0.60651001428010398"/>
    <n v="61.080910283562602"/>
    <n v="16.263157894736842"/>
    <n v="2.3213299703822154"/>
    <n v="19"/>
    <n v="1"/>
  </r>
  <r>
    <x v="0"/>
    <s v="2025-05-18 18:56:05"/>
    <n v="16"/>
    <x v="22"/>
    <x v="11"/>
    <x v="1"/>
    <n v="19.069349769353"/>
    <n v="2E+20"/>
    <n v="3.4012726362029202"/>
    <n v="40.293691519198902"/>
    <n v="21"/>
    <s v="Friday (Solucion: datafono, gofre, cocina y caja compartida)TiempoEnSistemaMesaIntervalUser Specified"/>
    <n v="19"/>
    <n v="22.08644356402899"/>
    <n v="4.8161914443752796"/>
    <n v="0.95"/>
    <n v="2.3213299703822154"/>
    <n v="15.7816894791909"/>
    <n v="36.863589442352897"/>
    <n v="0.60651001428010398"/>
    <n v="61.080910283562602"/>
    <n v="16.263157894736842"/>
    <n v="2.3213299703822154"/>
    <n v="19"/>
    <n v="1"/>
  </r>
  <r>
    <x v="0"/>
    <s v="2025-05-18 18:56:05"/>
    <n v="17"/>
    <x v="22"/>
    <x v="11"/>
    <x v="1"/>
    <n v="23.5415800290302"/>
    <n v="2E+20"/>
    <n v="14.0124771375135"/>
    <n v="42.836064768573799"/>
    <n v="15"/>
    <s v="Friday (Solucion: datafono, gofre, cocina y caja compartida)TiempoEnSistemaMesaIntervalUser Specified"/>
    <n v="19"/>
    <n v="22.08644356402899"/>
    <n v="4.8161914443752796"/>
    <n v="0.95"/>
    <n v="2.3213299703822154"/>
    <n v="15.7816894791909"/>
    <n v="36.863589442352897"/>
    <n v="0.60651001428010398"/>
    <n v="61.080910283562602"/>
    <n v="16.263157894736842"/>
    <n v="2.3213299703822154"/>
    <n v="19"/>
    <n v="1"/>
  </r>
  <r>
    <x v="0"/>
    <s v="2025-05-18 18:56:05"/>
    <n v="18"/>
    <x v="22"/>
    <x v="11"/>
    <x v="1"/>
    <n v="21.626568982914598"/>
    <n v="2E+20"/>
    <n v="8.4959603102071792"/>
    <n v="53.997904755746603"/>
    <n v="15"/>
    <s v="Friday (Solucion: datafono, gofre, cocina y caja compartida)TiempoEnSistemaMesaIntervalUser Specified"/>
    <n v="19"/>
    <n v="22.08644356402899"/>
    <n v="4.8161914443752796"/>
    <n v="0.95"/>
    <n v="2.3213299703822154"/>
    <n v="15.7816894791909"/>
    <n v="36.863589442352897"/>
    <n v="0.60651001428010398"/>
    <n v="61.080910283562602"/>
    <n v="16.263157894736842"/>
    <n v="2.3213299703822154"/>
    <n v="19"/>
    <n v="1"/>
  </r>
  <r>
    <x v="0"/>
    <s v="2025-05-18 18:56:05"/>
    <n v="19"/>
    <x v="22"/>
    <x v="11"/>
    <x v="1"/>
    <n v="15.7816894791909"/>
    <n v="2E+20"/>
    <n v="2.04273732918745"/>
    <n v="28.679356034847"/>
    <n v="17"/>
    <s v="Friday (Solucion: datafono, gofre, cocina y caja compartida)TiempoEnSistemaMesaIntervalUser Specified"/>
    <n v="19"/>
    <n v="22.08644356402899"/>
    <n v="4.8161914443752796"/>
    <n v="0.95"/>
    <n v="2.3213299703822154"/>
    <n v="15.7816894791909"/>
    <n v="36.863589442352897"/>
    <n v="0.60651001428010398"/>
    <n v="61.080910283562602"/>
    <n v="16.263157894736842"/>
    <n v="2.3213299703822154"/>
    <n v="19"/>
    <n v="1"/>
  </r>
  <r>
    <x v="0"/>
    <s v="2025-05-18 18:56:05"/>
    <n v="1"/>
    <x v="23"/>
    <x v="11"/>
    <x v="1"/>
    <n v="9.0905139857419304"/>
    <n v="2E+20"/>
    <n v="0.61866724878666401"/>
    <n v="32.281581249584399"/>
    <n v="131"/>
    <s v="Friday (Solucion: datafono, gofre, cocina y caja compartida)TiempoEnSistemaNoMesaIntervalUser Specified"/>
    <n v="19"/>
    <n v="3.6038674660545209"/>
    <n v="1.5445299502532628"/>
    <n v="0.95"/>
    <n v="0.74443960649926322"/>
    <n v="2.2660163882409599"/>
    <n v="9.0905139857419304"/>
    <n v="0.343771589355995"/>
    <n v="32.281581249584399"/>
    <n v="106.10526315789474"/>
    <n v="0.74443960649926322"/>
    <n v="19"/>
    <n v="1"/>
  </r>
  <r>
    <x v="0"/>
    <s v="2025-05-18 18:56:05"/>
    <n v="2"/>
    <x v="23"/>
    <x v="11"/>
    <x v="1"/>
    <n v="2.9350504396999999"/>
    <n v="2E+20"/>
    <n v="0.71602481578268895"/>
    <n v="11.326578842878"/>
    <n v="101"/>
    <s v="Friday (Solucion: datafono, gofre, cocina y caja compartida)TiempoEnSistemaNoMesaIntervalUser Specified"/>
    <n v="19"/>
    <n v="3.6038674660545209"/>
    <n v="1.5445299502532628"/>
    <n v="0.95"/>
    <n v="0.74443960649926322"/>
    <n v="2.2660163882409599"/>
    <n v="9.0905139857419304"/>
    <n v="0.343771589355995"/>
    <n v="32.281581249584399"/>
    <n v="106.10526315789474"/>
    <n v="0.74443960649926322"/>
    <n v="19"/>
    <n v="1"/>
  </r>
  <r>
    <x v="0"/>
    <s v="2025-05-18 18:56:05"/>
    <n v="3"/>
    <x v="23"/>
    <x v="11"/>
    <x v="1"/>
    <n v="5.5375751823292498"/>
    <n v="2E+20"/>
    <n v="0.68509512236101999"/>
    <n v="19.107244973239101"/>
    <n v="100"/>
    <s v="Friday (Solucion: datafono, gofre, cocina y caja compartida)TiempoEnSistemaNoMesaIntervalUser Specified"/>
    <n v="19"/>
    <n v="3.6038674660545209"/>
    <n v="1.5445299502532628"/>
    <n v="0.95"/>
    <n v="0.74443960649926322"/>
    <n v="2.2660163882409599"/>
    <n v="9.0905139857419304"/>
    <n v="0.343771589355995"/>
    <n v="32.281581249584399"/>
    <n v="106.10526315789474"/>
    <n v="0.74443960649926322"/>
    <n v="19"/>
    <n v="1"/>
  </r>
  <r>
    <x v="0"/>
    <s v="2025-05-18 18:56:05"/>
    <n v="4"/>
    <x v="23"/>
    <x v="11"/>
    <x v="1"/>
    <n v="2.8139750765808502"/>
    <n v="2E+20"/>
    <n v="0.58151376089895701"/>
    <n v="7.9996986341013496"/>
    <n v="100"/>
    <s v="Friday (Solucion: datafono, gofre, cocina y caja compartida)TiempoEnSistemaNoMesaIntervalUser Specified"/>
    <n v="19"/>
    <n v="3.6038674660545209"/>
    <n v="1.5445299502532628"/>
    <n v="0.95"/>
    <n v="0.74443960649926322"/>
    <n v="2.2660163882409599"/>
    <n v="9.0905139857419304"/>
    <n v="0.343771589355995"/>
    <n v="32.281581249584399"/>
    <n v="106.10526315789474"/>
    <n v="0.74443960649926322"/>
    <n v="19"/>
    <n v="1"/>
  </r>
  <r>
    <x v="0"/>
    <s v="2025-05-18 18:56:05"/>
    <n v="5"/>
    <x v="23"/>
    <x v="11"/>
    <x v="1"/>
    <n v="2.2660163882409599"/>
    <n v="2E+20"/>
    <n v="0.45953413129460302"/>
    <n v="7.7368864667621704"/>
    <n v="114"/>
    <s v="Friday (Solucion: datafono, gofre, cocina y caja compartida)TiempoEnSistemaNoMesaIntervalUser Specified"/>
    <n v="19"/>
    <n v="3.6038674660545209"/>
    <n v="1.5445299502532628"/>
    <n v="0.95"/>
    <n v="0.74443960649926322"/>
    <n v="2.2660163882409599"/>
    <n v="9.0905139857419304"/>
    <n v="0.343771589355995"/>
    <n v="32.281581249584399"/>
    <n v="106.10526315789474"/>
    <n v="0.74443960649926322"/>
    <n v="19"/>
    <n v="1"/>
  </r>
  <r>
    <x v="0"/>
    <s v="2025-05-18 18:56:05"/>
    <n v="6"/>
    <x v="23"/>
    <x v="11"/>
    <x v="1"/>
    <n v="2.4937139399009798"/>
    <n v="2E+20"/>
    <n v="0.44944471453567297"/>
    <n v="7.2890540910401302"/>
    <n v="100"/>
    <s v="Friday (Solucion: datafono, gofre, cocina y caja compartida)TiempoEnSistemaNoMesaIntervalUser Specified"/>
    <n v="19"/>
    <n v="3.6038674660545209"/>
    <n v="1.5445299502532628"/>
    <n v="0.95"/>
    <n v="0.74443960649926322"/>
    <n v="2.2660163882409599"/>
    <n v="9.0905139857419304"/>
    <n v="0.343771589355995"/>
    <n v="32.281581249584399"/>
    <n v="106.10526315789474"/>
    <n v="0.74443960649926322"/>
    <n v="19"/>
    <n v="1"/>
  </r>
  <r>
    <x v="0"/>
    <s v="2025-05-18 18:56:05"/>
    <n v="7"/>
    <x v="23"/>
    <x v="11"/>
    <x v="1"/>
    <n v="2.8917848697034598"/>
    <n v="2E+20"/>
    <n v="0.44928766791144897"/>
    <n v="7.5515855037370203"/>
    <n v="93"/>
    <s v="Friday (Solucion: datafono, gofre, cocina y caja compartida)TiempoEnSistemaNoMesaIntervalUser Specified"/>
    <n v="19"/>
    <n v="3.6038674660545209"/>
    <n v="1.5445299502532628"/>
    <n v="0.95"/>
    <n v="0.74443960649926322"/>
    <n v="2.2660163882409599"/>
    <n v="9.0905139857419304"/>
    <n v="0.343771589355995"/>
    <n v="32.281581249584399"/>
    <n v="106.10526315789474"/>
    <n v="0.74443960649926322"/>
    <n v="19"/>
    <n v="1"/>
  </r>
  <r>
    <x v="0"/>
    <s v="2025-05-18 18:56:05"/>
    <n v="8"/>
    <x v="23"/>
    <x v="11"/>
    <x v="1"/>
    <n v="3.5320294776719598"/>
    <n v="2E+20"/>
    <n v="0.60196005243042805"/>
    <n v="10.4788765301382"/>
    <n v="119"/>
    <s v="Friday (Solucion: datafono, gofre, cocina y caja compartida)TiempoEnSistemaNoMesaIntervalUser Specified"/>
    <n v="19"/>
    <n v="3.6038674660545209"/>
    <n v="1.5445299502532628"/>
    <n v="0.95"/>
    <n v="0.74443960649926322"/>
    <n v="2.2660163882409599"/>
    <n v="9.0905139857419304"/>
    <n v="0.343771589355995"/>
    <n v="32.281581249584399"/>
    <n v="106.10526315789474"/>
    <n v="0.74443960649926322"/>
    <n v="19"/>
    <n v="1"/>
  </r>
  <r>
    <x v="0"/>
    <s v="2025-05-18 18:56:05"/>
    <n v="9"/>
    <x v="23"/>
    <x v="11"/>
    <x v="1"/>
    <n v="3.0588031296593101"/>
    <n v="2E+20"/>
    <n v="0.66531193553086598"/>
    <n v="9.7826778195312407"/>
    <n v="95"/>
    <s v="Friday (Solucion: datafono, gofre, cocina y caja compartida)TiempoEnSistemaNoMesaIntervalUser Specified"/>
    <n v="19"/>
    <n v="3.6038674660545209"/>
    <n v="1.5445299502532628"/>
    <n v="0.95"/>
    <n v="0.74443960649926322"/>
    <n v="2.2660163882409599"/>
    <n v="9.0905139857419304"/>
    <n v="0.343771589355995"/>
    <n v="32.281581249584399"/>
    <n v="106.10526315789474"/>
    <n v="0.74443960649926322"/>
    <n v="19"/>
    <n v="1"/>
  </r>
  <r>
    <x v="0"/>
    <s v="2025-05-18 18:56:05"/>
    <n v="10"/>
    <x v="23"/>
    <x v="11"/>
    <x v="1"/>
    <n v="4.4589921402933701"/>
    <n v="2E+20"/>
    <n v="0.51258930973818895"/>
    <n v="12.2973900741707"/>
    <n v="94"/>
    <s v="Friday (Solucion: datafono, gofre, cocina y caja compartida)TiempoEnSistemaNoMesaIntervalUser Specified"/>
    <n v="19"/>
    <n v="3.6038674660545209"/>
    <n v="1.5445299502532628"/>
    <n v="0.95"/>
    <n v="0.74443960649926322"/>
    <n v="2.2660163882409599"/>
    <n v="9.0905139857419304"/>
    <n v="0.343771589355995"/>
    <n v="32.281581249584399"/>
    <n v="106.10526315789474"/>
    <n v="0.74443960649926322"/>
    <n v="19"/>
    <n v="1"/>
  </r>
  <r>
    <x v="0"/>
    <s v="2025-05-18 18:56:05"/>
    <n v="11"/>
    <x v="23"/>
    <x v="11"/>
    <x v="1"/>
    <n v="3.15212741948883"/>
    <n v="2E+20"/>
    <n v="0.71601904025376895"/>
    <n v="13.1620486081399"/>
    <n v="96"/>
    <s v="Friday (Solucion: datafono, gofre, cocina y caja compartida)TiempoEnSistemaNoMesaIntervalUser Specified"/>
    <n v="19"/>
    <n v="3.6038674660545209"/>
    <n v="1.5445299502532628"/>
    <n v="0.95"/>
    <n v="0.74443960649926322"/>
    <n v="2.2660163882409599"/>
    <n v="9.0905139857419304"/>
    <n v="0.343771589355995"/>
    <n v="32.281581249584399"/>
    <n v="106.10526315789474"/>
    <n v="0.74443960649926322"/>
    <n v="19"/>
    <n v="1"/>
  </r>
  <r>
    <x v="0"/>
    <s v="2025-05-18 18:56:05"/>
    <n v="12"/>
    <x v="23"/>
    <x v="11"/>
    <x v="1"/>
    <n v="3.9073199272090702"/>
    <n v="2E+20"/>
    <n v="0.58058425662665103"/>
    <n v="17.431341451623702"/>
    <n v="106"/>
    <s v="Friday (Solucion: datafono, gofre, cocina y caja compartida)TiempoEnSistemaNoMesaIntervalUser Specified"/>
    <n v="19"/>
    <n v="3.6038674660545209"/>
    <n v="1.5445299502532628"/>
    <n v="0.95"/>
    <n v="0.74443960649926322"/>
    <n v="2.2660163882409599"/>
    <n v="9.0905139857419304"/>
    <n v="0.343771589355995"/>
    <n v="32.281581249584399"/>
    <n v="106.10526315789474"/>
    <n v="0.74443960649926322"/>
    <n v="19"/>
    <n v="1"/>
  </r>
  <r>
    <x v="0"/>
    <s v="2025-05-18 18:56:05"/>
    <n v="13"/>
    <x v="23"/>
    <x v="11"/>
    <x v="1"/>
    <n v="3.3036862274937202"/>
    <n v="2E+20"/>
    <n v="0.58399138362214797"/>
    <n v="9.7551273377462699"/>
    <n v="104"/>
    <s v="Friday (Solucion: datafono, gofre, cocina y caja compartida)TiempoEnSistemaNoMesaIntervalUser Specified"/>
    <n v="19"/>
    <n v="3.6038674660545209"/>
    <n v="1.5445299502532628"/>
    <n v="0.95"/>
    <n v="0.74443960649926322"/>
    <n v="2.2660163882409599"/>
    <n v="9.0905139857419304"/>
    <n v="0.343771589355995"/>
    <n v="32.281581249584399"/>
    <n v="106.10526315789474"/>
    <n v="0.74443960649926322"/>
    <n v="19"/>
    <n v="1"/>
  </r>
  <r>
    <x v="0"/>
    <s v="2025-05-18 18:56:05"/>
    <n v="14"/>
    <x v="23"/>
    <x v="11"/>
    <x v="1"/>
    <n v="3.5616172694985102"/>
    <n v="2E+20"/>
    <n v="0.46231343756090798"/>
    <n v="9.9311745364599293"/>
    <n v="117"/>
    <s v="Friday (Solucion: datafono, gofre, cocina y caja compartida)TiempoEnSistemaNoMesaIntervalUser Specified"/>
    <n v="19"/>
    <n v="3.6038674660545209"/>
    <n v="1.5445299502532628"/>
    <n v="0.95"/>
    <n v="0.74443960649926322"/>
    <n v="2.2660163882409599"/>
    <n v="9.0905139857419304"/>
    <n v="0.343771589355995"/>
    <n v="32.281581249584399"/>
    <n v="106.10526315789474"/>
    <n v="0.74443960649926322"/>
    <n v="19"/>
    <n v="1"/>
  </r>
  <r>
    <x v="0"/>
    <s v="2025-05-18 18:56:05"/>
    <n v="15"/>
    <x v="23"/>
    <x v="11"/>
    <x v="1"/>
    <n v="3.16239043167894"/>
    <n v="2E+20"/>
    <n v="0.343771589355995"/>
    <n v="9.35924763372293"/>
    <n v="116"/>
    <s v="Friday (Solucion: datafono, gofre, cocina y caja compartida)TiempoEnSistemaNoMesaIntervalUser Specified"/>
    <n v="19"/>
    <n v="3.6038674660545209"/>
    <n v="1.5445299502532628"/>
    <n v="0.95"/>
    <n v="0.74443960649926322"/>
    <n v="2.2660163882409599"/>
    <n v="9.0905139857419304"/>
    <n v="0.343771589355995"/>
    <n v="32.281581249584399"/>
    <n v="106.10526315789474"/>
    <n v="0.74443960649926322"/>
    <n v="19"/>
    <n v="1"/>
  </r>
  <r>
    <x v="0"/>
    <s v="2025-05-18 18:56:05"/>
    <n v="16"/>
    <x v="23"/>
    <x v="11"/>
    <x v="1"/>
    <n v="2.3421703866276302"/>
    <n v="2E+20"/>
    <n v="0.42567273086399399"/>
    <n v="7.2838300771006601"/>
    <n v="110"/>
    <s v="Friday (Solucion: datafono, gofre, cocina y caja compartida)TiempoEnSistemaNoMesaIntervalUser Specified"/>
    <n v="19"/>
    <n v="3.6038674660545209"/>
    <n v="1.5445299502532628"/>
    <n v="0.95"/>
    <n v="0.74443960649926322"/>
    <n v="2.2660163882409599"/>
    <n v="9.0905139857419304"/>
    <n v="0.343771589355995"/>
    <n v="32.281581249584399"/>
    <n v="106.10526315789474"/>
    <n v="0.74443960649926322"/>
    <n v="19"/>
    <n v="1"/>
  </r>
  <r>
    <x v="0"/>
    <s v="2025-05-18 18:56:05"/>
    <n v="17"/>
    <x v="23"/>
    <x v="11"/>
    <x v="1"/>
    <n v="3.19751652076148"/>
    <n v="2E+20"/>
    <n v="0.48868870900758998"/>
    <n v="9.6543034413149709"/>
    <n v="109"/>
    <s v="Friday (Solucion: datafono, gofre, cocina y caja compartida)TiempoEnSistemaNoMesaIntervalUser Specified"/>
    <n v="19"/>
    <n v="3.6038674660545209"/>
    <n v="1.5445299502532628"/>
    <n v="0.95"/>
    <n v="0.74443960649926322"/>
    <n v="2.2660163882409599"/>
    <n v="9.0905139857419304"/>
    <n v="0.343771589355995"/>
    <n v="32.281581249584399"/>
    <n v="106.10526315789474"/>
    <n v="0.74443960649926322"/>
    <n v="19"/>
    <n v="1"/>
  </r>
  <r>
    <x v="0"/>
    <s v="2025-05-18 18:56:05"/>
    <n v="18"/>
    <x v="23"/>
    <x v="11"/>
    <x v="1"/>
    <n v="4.1007449089794301"/>
    <n v="2E+20"/>
    <n v="0.37049348617418298"/>
    <n v="15.880653964393501"/>
    <n v="107"/>
    <s v="Friday (Solucion: datafono, gofre, cocina y caja compartida)TiempoEnSistemaNoMesaIntervalUser Specified"/>
    <n v="19"/>
    <n v="3.6038674660545209"/>
    <n v="1.5445299502532628"/>
    <n v="0.95"/>
    <n v="0.74443960649926322"/>
    <n v="2.2660163882409599"/>
    <n v="9.0905139857419304"/>
    <n v="0.343771589355995"/>
    <n v="32.281581249584399"/>
    <n v="106.10526315789474"/>
    <n v="0.74443960649926322"/>
    <n v="19"/>
    <n v="1"/>
  </r>
  <r>
    <x v="0"/>
    <s v="2025-05-18 18:56:05"/>
    <n v="19"/>
    <x v="23"/>
    <x v="11"/>
    <x v="1"/>
    <n v="2.6674541334762099"/>
    <n v="2E+20"/>
    <n v="0.55412039253906198"/>
    <n v="10.3378185004101"/>
    <n v="104"/>
    <s v="Friday (Solucion: datafono, gofre, cocina y caja compartida)TiempoEnSistemaNoMesaIntervalUser Specified"/>
    <n v="19"/>
    <n v="3.6038674660545209"/>
    <n v="1.5445299502532628"/>
    <n v="0.95"/>
    <n v="0.74443960649926322"/>
    <n v="2.2660163882409599"/>
    <n v="9.0905139857419304"/>
    <n v="0.343771589355995"/>
    <n v="32.281581249584399"/>
    <n v="106.10526315789474"/>
    <n v="0.74443960649926322"/>
    <n v="19"/>
    <n v="1"/>
  </r>
  <r>
    <x v="0"/>
    <s v="2025-05-18 18:56:05"/>
    <n v="1"/>
    <x v="24"/>
    <x v="11"/>
    <x v="1"/>
    <n v="9.0779071428284901"/>
    <n v="2E+20"/>
    <n v="0.61866724878666401"/>
    <n v="23.621620498770401"/>
    <n v="77"/>
    <s v="Friday (Solucion: datafono, gofre, cocina y caja compartida)TiempoEnSistemaNoMesaCantProd1IntervalUser Specified"/>
    <n v="19"/>
    <n v="3.1564420087893303"/>
    <n v="1.6240421246303407"/>
    <n v="0.95"/>
    <n v="0.78276324780868989"/>
    <n v="1.88473174296347"/>
    <n v="9.0779071428284901"/>
    <n v="0.343771589355995"/>
    <n v="23.621620498770401"/>
    <n v="67.94736842105263"/>
    <n v="0.78276324780868989"/>
    <n v="19"/>
    <n v="1"/>
  </r>
  <r>
    <x v="0"/>
    <s v="2025-05-18 18:56:05"/>
    <n v="2"/>
    <x v="24"/>
    <x v="11"/>
    <x v="1"/>
    <n v="2.1597406375169701"/>
    <n v="2E+20"/>
    <n v="0.71602481578268895"/>
    <n v="9.3792523774968402"/>
    <n v="57"/>
    <s v="Friday (Solucion: datafono, gofre, cocina y caja compartida)TiempoEnSistemaNoMesaCantProd1IntervalUser Specified"/>
    <n v="19"/>
    <n v="3.1564420087893303"/>
    <n v="1.6240421246303407"/>
    <n v="0.95"/>
    <n v="0.78276324780868989"/>
    <n v="1.88473174296347"/>
    <n v="9.0779071428284901"/>
    <n v="0.343771589355995"/>
    <n v="23.621620498770401"/>
    <n v="67.94736842105263"/>
    <n v="0.78276324780868989"/>
    <n v="19"/>
    <n v="1"/>
  </r>
  <r>
    <x v="0"/>
    <s v="2025-05-18 18:56:05"/>
    <n v="3"/>
    <x v="24"/>
    <x v="11"/>
    <x v="1"/>
    <n v="4.9507207251700303"/>
    <n v="2E+20"/>
    <n v="0.68509512236101999"/>
    <n v="16.149964428059601"/>
    <n v="63"/>
    <s v="Friday (Solucion: datafono, gofre, cocina y caja compartida)TiempoEnSistemaNoMesaCantProd1IntervalUser Specified"/>
    <n v="19"/>
    <n v="3.1564420087893303"/>
    <n v="1.6240421246303407"/>
    <n v="0.95"/>
    <n v="0.78276324780868989"/>
    <n v="1.88473174296347"/>
    <n v="9.0779071428284901"/>
    <n v="0.343771589355995"/>
    <n v="23.621620498770401"/>
    <n v="67.94736842105263"/>
    <n v="0.78276324780868989"/>
    <n v="19"/>
    <n v="1"/>
  </r>
  <r>
    <x v="0"/>
    <s v="2025-05-18 18:56:05"/>
    <n v="4"/>
    <x v="24"/>
    <x v="11"/>
    <x v="1"/>
    <n v="2.21286760554537"/>
    <n v="2E+20"/>
    <n v="0.58151376089895701"/>
    <n v="6.2702468423570403"/>
    <n v="59"/>
    <s v="Friday (Solucion: datafono, gofre, cocina y caja compartida)TiempoEnSistemaNoMesaCantProd1IntervalUser Specified"/>
    <n v="19"/>
    <n v="3.1564420087893303"/>
    <n v="1.6240421246303407"/>
    <n v="0.95"/>
    <n v="0.78276324780868989"/>
    <n v="1.88473174296347"/>
    <n v="9.0779071428284901"/>
    <n v="0.343771589355995"/>
    <n v="23.621620498770401"/>
    <n v="67.94736842105263"/>
    <n v="0.78276324780868989"/>
    <n v="19"/>
    <n v="1"/>
  </r>
  <r>
    <x v="0"/>
    <s v="2025-05-18 18:56:05"/>
    <n v="5"/>
    <x v="24"/>
    <x v="11"/>
    <x v="1"/>
    <n v="1.88473174296347"/>
    <n v="2E+20"/>
    <n v="0.45953413129460302"/>
    <n v="7.7368864667621704"/>
    <n v="80"/>
    <s v="Friday (Solucion: datafono, gofre, cocina y caja compartida)TiempoEnSistemaNoMesaCantProd1IntervalUser Specified"/>
    <n v="19"/>
    <n v="3.1564420087893303"/>
    <n v="1.6240421246303407"/>
    <n v="0.95"/>
    <n v="0.78276324780868989"/>
    <n v="1.88473174296347"/>
    <n v="9.0779071428284901"/>
    <n v="0.343771589355995"/>
    <n v="23.621620498770401"/>
    <n v="67.94736842105263"/>
    <n v="0.78276324780868989"/>
    <n v="19"/>
    <n v="1"/>
  </r>
  <r>
    <x v="0"/>
    <s v="2025-05-18 18:56:05"/>
    <n v="6"/>
    <x v="24"/>
    <x v="11"/>
    <x v="1"/>
    <n v="2.15497184207746"/>
    <n v="2E+20"/>
    <n v="0.44944471453567297"/>
    <n v="6.5605574585891304"/>
    <n v="72"/>
    <s v="Friday (Solucion: datafono, gofre, cocina y caja compartida)TiempoEnSistemaNoMesaCantProd1IntervalUser Specified"/>
    <n v="19"/>
    <n v="3.1564420087893303"/>
    <n v="1.6240421246303407"/>
    <n v="0.95"/>
    <n v="0.78276324780868989"/>
    <n v="1.88473174296347"/>
    <n v="9.0779071428284901"/>
    <n v="0.343771589355995"/>
    <n v="23.621620498770401"/>
    <n v="67.94736842105263"/>
    <n v="0.78276324780868989"/>
    <n v="19"/>
    <n v="1"/>
  </r>
  <r>
    <x v="0"/>
    <s v="2025-05-18 18:56:05"/>
    <n v="7"/>
    <x v="24"/>
    <x v="11"/>
    <x v="1"/>
    <n v="2.6608480410863602"/>
    <n v="2E+20"/>
    <n v="0.44928766791144897"/>
    <n v="7.5515855037370203"/>
    <n v="57"/>
    <s v="Friday (Solucion: datafono, gofre, cocina y caja compartida)TiempoEnSistemaNoMesaCantProd1IntervalUser Specified"/>
    <n v="19"/>
    <n v="3.1564420087893303"/>
    <n v="1.6240421246303407"/>
    <n v="0.95"/>
    <n v="0.78276324780868989"/>
    <n v="1.88473174296347"/>
    <n v="9.0779071428284901"/>
    <n v="0.343771589355995"/>
    <n v="23.621620498770401"/>
    <n v="67.94736842105263"/>
    <n v="0.78276324780868989"/>
    <n v="19"/>
    <n v="1"/>
  </r>
  <r>
    <x v="0"/>
    <s v="2025-05-18 18:56:05"/>
    <n v="8"/>
    <x v="24"/>
    <x v="11"/>
    <x v="1"/>
    <n v="2.94936660912968"/>
    <n v="2E+20"/>
    <n v="0.60196005243042805"/>
    <n v="6.9037141799577899"/>
    <n v="73"/>
    <s v="Friday (Solucion: datafono, gofre, cocina y caja compartida)TiempoEnSistemaNoMesaCantProd1IntervalUser Specified"/>
    <n v="19"/>
    <n v="3.1564420087893303"/>
    <n v="1.6240421246303407"/>
    <n v="0.95"/>
    <n v="0.78276324780868989"/>
    <n v="1.88473174296347"/>
    <n v="9.0779071428284901"/>
    <n v="0.343771589355995"/>
    <n v="23.621620498770401"/>
    <n v="67.94736842105263"/>
    <n v="0.78276324780868989"/>
    <n v="19"/>
    <n v="1"/>
  </r>
  <r>
    <x v="0"/>
    <s v="2025-05-18 18:56:05"/>
    <n v="9"/>
    <x v="24"/>
    <x v="11"/>
    <x v="1"/>
    <n v="2.37643491720041"/>
    <n v="2E+20"/>
    <n v="0.66531193553086598"/>
    <n v="6.6913482231682204"/>
    <n v="56"/>
    <s v="Friday (Solucion: datafono, gofre, cocina y caja compartida)TiempoEnSistemaNoMesaCantProd1IntervalUser Specified"/>
    <n v="19"/>
    <n v="3.1564420087893303"/>
    <n v="1.6240421246303407"/>
    <n v="0.95"/>
    <n v="0.78276324780868989"/>
    <n v="1.88473174296347"/>
    <n v="9.0779071428284901"/>
    <n v="0.343771589355995"/>
    <n v="23.621620498770401"/>
    <n v="67.94736842105263"/>
    <n v="0.78276324780868989"/>
    <n v="19"/>
    <n v="1"/>
  </r>
  <r>
    <x v="0"/>
    <s v="2025-05-18 18:56:05"/>
    <n v="10"/>
    <x v="24"/>
    <x v="11"/>
    <x v="1"/>
    <n v="3.8927804654377298"/>
    <n v="2E+20"/>
    <n v="0.51258930973818895"/>
    <n v="10.126295997336801"/>
    <n v="56"/>
    <s v="Friday (Solucion: datafono, gofre, cocina y caja compartida)TiempoEnSistemaNoMesaCantProd1IntervalUser Specified"/>
    <n v="19"/>
    <n v="3.1564420087893303"/>
    <n v="1.6240421246303407"/>
    <n v="0.95"/>
    <n v="0.78276324780868989"/>
    <n v="1.88473174296347"/>
    <n v="9.0779071428284901"/>
    <n v="0.343771589355995"/>
    <n v="23.621620498770401"/>
    <n v="67.94736842105263"/>
    <n v="0.78276324780868989"/>
    <n v="19"/>
    <n v="1"/>
  </r>
  <r>
    <x v="0"/>
    <s v="2025-05-18 18:56:05"/>
    <n v="11"/>
    <x v="24"/>
    <x v="11"/>
    <x v="1"/>
    <n v="2.6448580150707701"/>
    <n v="2E+20"/>
    <n v="0.71601904025376895"/>
    <n v="12.720909194041599"/>
    <n v="68"/>
    <s v="Friday (Solucion: datafono, gofre, cocina y caja compartida)TiempoEnSistemaNoMesaCantProd1IntervalUser Specified"/>
    <n v="19"/>
    <n v="3.1564420087893303"/>
    <n v="1.6240421246303407"/>
    <n v="0.95"/>
    <n v="0.78276324780868989"/>
    <n v="1.88473174296347"/>
    <n v="9.0779071428284901"/>
    <n v="0.343771589355995"/>
    <n v="23.621620498770401"/>
    <n v="67.94736842105263"/>
    <n v="0.78276324780868989"/>
    <n v="19"/>
    <n v="1"/>
  </r>
  <r>
    <x v="0"/>
    <s v="2025-05-18 18:56:05"/>
    <n v="12"/>
    <x v="24"/>
    <x v="11"/>
    <x v="1"/>
    <n v="3.7632747458388298"/>
    <n v="2E+20"/>
    <n v="0.58058425662665103"/>
    <n v="17.431341451623702"/>
    <n v="69"/>
    <s v="Friday (Solucion: datafono, gofre, cocina y caja compartida)TiempoEnSistemaNoMesaCantProd1IntervalUser Specified"/>
    <n v="19"/>
    <n v="3.1564420087893303"/>
    <n v="1.6240421246303407"/>
    <n v="0.95"/>
    <n v="0.78276324780868989"/>
    <n v="1.88473174296347"/>
    <n v="9.0779071428284901"/>
    <n v="0.343771589355995"/>
    <n v="23.621620498770401"/>
    <n v="67.94736842105263"/>
    <n v="0.78276324780868989"/>
    <n v="19"/>
    <n v="1"/>
  </r>
  <r>
    <x v="0"/>
    <s v="2025-05-18 18:56:05"/>
    <n v="13"/>
    <x v="24"/>
    <x v="11"/>
    <x v="1"/>
    <n v="2.8217154096506198"/>
    <n v="2E+20"/>
    <n v="0.58399138362214797"/>
    <n v="8.2793948200808796"/>
    <n v="72"/>
    <s v="Friday (Solucion: datafono, gofre, cocina y caja compartida)TiempoEnSistemaNoMesaCantProd1IntervalUser Specified"/>
    <n v="19"/>
    <n v="3.1564420087893303"/>
    <n v="1.6240421246303407"/>
    <n v="0.95"/>
    <n v="0.78276324780868989"/>
    <n v="1.88473174296347"/>
    <n v="9.0779071428284901"/>
    <n v="0.343771589355995"/>
    <n v="23.621620498770401"/>
    <n v="67.94736842105263"/>
    <n v="0.78276324780868989"/>
    <n v="19"/>
    <n v="1"/>
  </r>
  <r>
    <x v="0"/>
    <s v="2025-05-18 18:56:05"/>
    <n v="14"/>
    <x v="24"/>
    <x v="11"/>
    <x v="1"/>
    <n v="2.90194661879285"/>
    <n v="2E+20"/>
    <n v="0.46231343756090798"/>
    <n v="9.3016865991511999"/>
    <n v="77"/>
    <s v="Friday (Solucion: datafono, gofre, cocina y caja compartida)TiempoEnSistemaNoMesaCantProd1IntervalUser Specified"/>
    <n v="19"/>
    <n v="3.1564420087893303"/>
    <n v="1.6240421246303407"/>
    <n v="0.95"/>
    <n v="0.78276324780868989"/>
    <n v="1.88473174296347"/>
    <n v="9.0779071428284901"/>
    <n v="0.343771589355995"/>
    <n v="23.621620498770401"/>
    <n v="67.94736842105263"/>
    <n v="0.78276324780868989"/>
    <n v="19"/>
    <n v="1"/>
  </r>
  <r>
    <x v="0"/>
    <s v="2025-05-18 18:56:05"/>
    <n v="15"/>
    <x v="24"/>
    <x v="11"/>
    <x v="1"/>
    <n v="2.5113108726798998"/>
    <n v="2E+20"/>
    <n v="0.343771589355995"/>
    <n v="6.8403072295512004"/>
    <n v="74"/>
    <s v="Friday (Solucion: datafono, gofre, cocina y caja compartida)TiempoEnSistemaNoMesaCantProd1IntervalUser Specified"/>
    <n v="19"/>
    <n v="3.1564420087893303"/>
    <n v="1.6240421246303407"/>
    <n v="0.95"/>
    <n v="0.78276324780868989"/>
    <n v="1.88473174296347"/>
    <n v="9.0779071428284901"/>
    <n v="0.343771589355995"/>
    <n v="23.621620498770401"/>
    <n v="67.94736842105263"/>
    <n v="0.78276324780868989"/>
    <n v="19"/>
    <n v="1"/>
  </r>
  <r>
    <x v="0"/>
    <s v="2025-05-18 18:56:05"/>
    <n v="16"/>
    <x v="24"/>
    <x v="11"/>
    <x v="1"/>
    <n v="2.0332676663029798"/>
    <n v="2E+20"/>
    <n v="0.42567273086399399"/>
    <n v="5.4963626311315297"/>
    <n v="78"/>
    <s v="Friday (Solucion: datafono, gofre, cocina y caja compartida)TiempoEnSistemaNoMesaCantProd1IntervalUser Specified"/>
    <n v="19"/>
    <n v="3.1564420087893303"/>
    <n v="1.6240421246303407"/>
    <n v="0.95"/>
    <n v="0.78276324780868989"/>
    <n v="1.88473174296347"/>
    <n v="9.0779071428284901"/>
    <n v="0.343771589355995"/>
    <n v="23.621620498770401"/>
    <n v="67.94736842105263"/>
    <n v="0.78276324780868989"/>
    <n v="19"/>
    <n v="1"/>
  </r>
  <r>
    <x v="0"/>
    <s v="2025-05-18 18:56:05"/>
    <n v="17"/>
    <x v="24"/>
    <x v="11"/>
    <x v="1"/>
    <n v="2.8657878915163"/>
    <n v="2E+20"/>
    <n v="0.48868870900758998"/>
    <n v="8.9311062395517808"/>
    <n v="73"/>
    <s v="Friday (Solucion: datafono, gofre, cocina y caja compartida)TiempoEnSistemaNoMesaCantProd1IntervalUser Specified"/>
    <n v="19"/>
    <n v="3.1564420087893303"/>
    <n v="1.6240421246303407"/>
    <n v="0.95"/>
    <n v="0.78276324780868989"/>
    <n v="1.88473174296347"/>
    <n v="9.0779071428284901"/>
    <n v="0.343771589355995"/>
    <n v="23.621620498770401"/>
    <n v="67.94736842105263"/>
    <n v="0.78276324780868989"/>
    <n v="19"/>
    <n v="1"/>
  </r>
  <r>
    <x v="0"/>
    <s v="2025-05-18 18:56:05"/>
    <n v="18"/>
    <x v="24"/>
    <x v="11"/>
    <x v="1"/>
    <n v="3.62914355947574"/>
    <n v="2E+20"/>
    <n v="0.37049348617418298"/>
    <n v="13.740882909636699"/>
    <n v="61"/>
    <s v="Friday (Solucion: datafono, gofre, cocina y caja compartida)TiempoEnSistemaNoMesaCantProd1IntervalUser Specified"/>
    <n v="19"/>
    <n v="3.1564420087893303"/>
    <n v="1.6240421246303407"/>
    <n v="0.95"/>
    <n v="0.78276324780868989"/>
    <n v="1.88473174296347"/>
    <n v="9.0779071428284901"/>
    <n v="0.343771589355995"/>
    <n v="23.621620498770401"/>
    <n v="67.94736842105263"/>
    <n v="0.78276324780868989"/>
    <n v="19"/>
    <n v="1"/>
  </r>
  <r>
    <x v="0"/>
    <s v="2025-05-18 18:56:05"/>
    <n v="19"/>
    <x v="24"/>
    <x v="11"/>
    <x v="1"/>
    <n v="2.4807236587133099"/>
    <n v="2E+20"/>
    <n v="0.55412039253906198"/>
    <n v="10.3378185004101"/>
    <n v="69"/>
    <s v="Friday (Solucion: datafono, gofre, cocina y caja compartida)TiempoEnSistemaNoMesaCantProd1IntervalUser Specified"/>
    <n v="19"/>
    <n v="3.1564420087893303"/>
    <n v="1.6240421246303407"/>
    <n v="0.95"/>
    <n v="0.78276324780868989"/>
    <n v="1.88473174296347"/>
    <n v="9.0779071428284901"/>
    <n v="0.343771589355995"/>
    <n v="23.621620498770401"/>
    <n v="67.94736842105263"/>
    <n v="0.78276324780868989"/>
    <n v="19"/>
    <n v="1"/>
  </r>
  <r>
    <x v="0"/>
    <s v="2025-05-18 18:56:05"/>
    <n v="1"/>
    <x v="25"/>
    <x v="11"/>
    <x v="1"/>
    <n v="8.2425388076728598"/>
    <n v="2E+20"/>
    <n v="1.5633740117352799"/>
    <n v="28.676361280594399"/>
    <n v="39"/>
    <s v="Friday (Solucion: datafono, gofre, cocina y caja compartida)TiempoEnSistemaNoMesaCantProd2IntervalUser Specified"/>
    <n v="19"/>
    <n v="3.9983565371792786"/>
    <n v="1.3719461737846819"/>
    <n v="0.95"/>
    <n v="0.66125688892142653"/>
    <n v="2.57025351162503"/>
    <n v="8.2425388076728598"/>
    <n v="0.79107086020877704"/>
    <n v="28.676361280594399"/>
    <n v="26.421052631578949"/>
    <n v="0.66125688892142653"/>
    <n v="19"/>
    <n v="1"/>
  </r>
  <r>
    <x v="0"/>
    <s v="2025-05-18 18:56:05"/>
    <n v="2"/>
    <x v="25"/>
    <x v="11"/>
    <x v="1"/>
    <n v="3.1446593504687899"/>
    <n v="2E+20"/>
    <n v="0.98049387885649297"/>
    <n v="7.4611774564191098"/>
    <n v="27"/>
    <s v="Friday (Solucion: datafono, gofre, cocina y caja compartida)TiempoEnSistemaNoMesaCantProd2IntervalUser Specified"/>
    <n v="19"/>
    <n v="3.9983565371792786"/>
    <n v="1.3719461737846819"/>
    <n v="0.95"/>
    <n v="0.66125688892142653"/>
    <n v="2.57025351162503"/>
    <n v="8.2425388076728598"/>
    <n v="0.79107086020877704"/>
    <n v="28.676361280594399"/>
    <n v="26.421052631578949"/>
    <n v="0.66125688892142653"/>
    <n v="19"/>
    <n v="1"/>
  </r>
  <r>
    <x v="0"/>
    <s v="2025-05-18 18:56:05"/>
    <n v="3"/>
    <x v="25"/>
    <x v="11"/>
    <x v="1"/>
    <n v="6.2636518364630298"/>
    <n v="2E+20"/>
    <n v="0.99224873909628297"/>
    <n v="19.107244973239101"/>
    <n v="29"/>
    <s v="Friday (Solucion: datafono, gofre, cocina y caja compartida)TiempoEnSistemaNoMesaCantProd2IntervalUser Specified"/>
    <n v="19"/>
    <n v="3.9983565371792786"/>
    <n v="1.3719461737846819"/>
    <n v="0.95"/>
    <n v="0.66125688892142653"/>
    <n v="2.57025351162503"/>
    <n v="8.2425388076728598"/>
    <n v="0.79107086020877704"/>
    <n v="28.676361280594399"/>
    <n v="26.421052631578949"/>
    <n v="0.66125688892142653"/>
    <n v="19"/>
    <n v="1"/>
  </r>
  <r>
    <x v="0"/>
    <s v="2025-05-18 18:56:05"/>
    <n v="4"/>
    <x v="25"/>
    <x v="11"/>
    <x v="1"/>
    <n v="3.22280159592645"/>
    <n v="2E+20"/>
    <n v="0.99819795973385805"/>
    <n v="7.9996986341013496"/>
    <n v="24"/>
    <s v="Friday (Solucion: datafono, gofre, cocina y caja compartida)TiempoEnSistemaNoMesaCantProd2IntervalUser Specified"/>
    <n v="19"/>
    <n v="3.9983565371792786"/>
    <n v="1.3719461737846819"/>
    <n v="0.95"/>
    <n v="0.66125688892142653"/>
    <n v="2.57025351162503"/>
    <n v="8.2425388076728598"/>
    <n v="0.79107086020877704"/>
    <n v="28.676361280594399"/>
    <n v="26.421052631578949"/>
    <n v="0.66125688892142653"/>
    <n v="19"/>
    <n v="1"/>
  </r>
  <r>
    <x v="0"/>
    <s v="2025-05-18 18:56:05"/>
    <n v="5"/>
    <x v="25"/>
    <x v="11"/>
    <x v="1"/>
    <n v="2.6302112201626699"/>
    <n v="2E+20"/>
    <n v="0.87856724224636196"/>
    <n v="5.5878140287058802"/>
    <n v="27"/>
    <s v="Friday (Solucion: datafono, gofre, cocina y caja compartida)TiempoEnSistemaNoMesaCantProd2IntervalUser Specified"/>
    <n v="19"/>
    <n v="3.9983565371792786"/>
    <n v="1.3719461737846819"/>
    <n v="0.95"/>
    <n v="0.66125688892142653"/>
    <n v="2.57025351162503"/>
    <n v="8.2425388076728598"/>
    <n v="0.79107086020877704"/>
    <n v="28.676361280594399"/>
    <n v="26.421052631578949"/>
    <n v="0.66125688892142653"/>
    <n v="19"/>
    <n v="1"/>
  </r>
  <r>
    <x v="0"/>
    <s v="2025-05-18 18:56:05"/>
    <n v="6"/>
    <x v="25"/>
    <x v="11"/>
    <x v="1"/>
    <n v="3.41603518954948"/>
    <n v="2E+20"/>
    <n v="1.2518834858929599"/>
    <n v="7.2890540910401302"/>
    <n v="21"/>
    <s v="Friday (Solucion: datafono, gofre, cocina y caja compartida)TiempoEnSistemaNoMesaCantProd2IntervalUser Specified"/>
    <n v="19"/>
    <n v="3.9983565371792786"/>
    <n v="1.3719461737846819"/>
    <n v="0.95"/>
    <n v="0.66125688892142653"/>
    <n v="2.57025351162503"/>
    <n v="8.2425388076728598"/>
    <n v="0.79107086020877704"/>
    <n v="28.676361280594399"/>
    <n v="26.421052631578949"/>
    <n v="0.66125688892142653"/>
    <n v="19"/>
    <n v="1"/>
  </r>
  <r>
    <x v="0"/>
    <s v="2025-05-18 18:56:05"/>
    <n v="7"/>
    <x v="25"/>
    <x v="11"/>
    <x v="1"/>
    <n v="2.80555733196225"/>
    <n v="2E+20"/>
    <n v="1.0576742520727"/>
    <n v="6.7561511662560196"/>
    <n v="26"/>
    <s v="Friday (Solucion: datafono, gofre, cocina y caja compartida)TiempoEnSistemaNoMesaCantProd2IntervalUser Specified"/>
    <n v="19"/>
    <n v="3.9983565371792786"/>
    <n v="1.3719461737846819"/>
    <n v="0.95"/>
    <n v="0.66125688892142653"/>
    <n v="2.57025351162503"/>
    <n v="8.2425388076728598"/>
    <n v="0.79107086020877704"/>
    <n v="28.676361280594399"/>
    <n v="26.421052631578949"/>
    <n v="0.66125688892142653"/>
    <n v="19"/>
    <n v="1"/>
  </r>
  <r>
    <x v="0"/>
    <s v="2025-05-18 18:56:05"/>
    <n v="8"/>
    <x v="25"/>
    <x v="11"/>
    <x v="1"/>
    <n v="4.13245986986652"/>
    <n v="2E+20"/>
    <n v="1.05661896582843"/>
    <n v="7.4151637396185199"/>
    <n v="30"/>
    <s v="Friday (Solucion: datafono, gofre, cocina y caja compartida)TiempoEnSistemaNoMesaCantProd2IntervalUser Specified"/>
    <n v="19"/>
    <n v="3.9983565371792786"/>
    <n v="1.3719461737846819"/>
    <n v="0.95"/>
    <n v="0.66125688892142653"/>
    <n v="2.57025351162503"/>
    <n v="8.2425388076728598"/>
    <n v="0.79107086020877704"/>
    <n v="28.676361280594399"/>
    <n v="26.421052631578949"/>
    <n v="0.66125688892142653"/>
    <n v="19"/>
    <n v="1"/>
  </r>
  <r>
    <x v="0"/>
    <s v="2025-05-18 18:56:05"/>
    <n v="9"/>
    <x v="25"/>
    <x v="11"/>
    <x v="1"/>
    <n v="3.6158006544472499"/>
    <n v="2E+20"/>
    <n v="1.2908236732782801"/>
    <n v="7.8121911289489097"/>
    <n v="29"/>
    <s v="Friday (Solucion: datafono, gofre, cocina y caja compartida)TiempoEnSistemaNoMesaCantProd2IntervalUser Specified"/>
    <n v="19"/>
    <n v="3.9983565371792786"/>
    <n v="1.3719461737846819"/>
    <n v="0.95"/>
    <n v="0.66125688892142653"/>
    <n v="2.57025351162503"/>
    <n v="8.2425388076728598"/>
    <n v="0.79107086020877704"/>
    <n v="28.676361280594399"/>
    <n v="26.421052631578949"/>
    <n v="0.66125688892142653"/>
    <n v="19"/>
    <n v="1"/>
  </r>
  <r>
    <x v="0"/>
    <s v="2025-05-18 18:56:05"/>
    <n v="10"/>
    <x v="25"/>
    <x v="11"/>
    <x v="1"/>
    <n v="4.7684541106724998"/>
    <n v="2E+20"/>
    <n v="1.1454731599886101"/>
    <n v="10.1102553415142"/>
    <n v="24"/>
    <s v="Friday (Solucion: datafono, gofre, cocina y caja compartida)TiempoEnSistemaNoMesaCantProd2IntervalUser Specified"/>
    <n v="19"/>
    <n v="3.9983565371792786"/>
    <n v="1.3719461737846819"/>
    <n v="0.95"/>
    <n v="0.66125688892142653"/>
    <n v="2.57025351162503"/>
    <n v="8.2425388076728598"/>
    <n v="0.79107086020877704"/>
    <n v="28.676361280594399"/>
    <n v="26.421052631578949"/>
    <n v="0.66125688892142653"/>
    <n v="19"/>
    <n v="1"/>
  </r>
  <r>
    <x v="0"/>
    <s v="2025-05-18 18:56:05"/>
    <n v="11"/>
    <x v="25"/>
    <x v="11"/>
    <x v="1"/>
    <n v="4.5011821689848599"/>
    <n v="2E+20"/>
    <n v="1.0904645489758"/>
    <n v="13.1620486081399"/>
    <n v="20"/>
    <s v="Friday (Solucion: datafono, gofre, cocina y caja compartida)TiempoEnSistemaNoMesaCantProd2IntervalUser Specified"/>
    <n v="19"/>
    <n v="3.9983565371792786"/>
    <n v="1.3719461737846819"/>
    <n v="0.95"/>
    <n v="0.66125688892142653"/>
    <n v="2.57025351162503"/>
    <n v="8.2425388076728598"/>
    <n v="0.79107086020877704"/>
    <n v="28.676361280594399"/>
    <n v="26.421052631578949"/>
    <n v="0.66125688892142653"/>
    <n v="19"/>
    <n v="1"/>
  </r>
  <r>
    <x v="0"/>
    <s v="2025-05-18 18:56:05"/>
    <n v="12"/>
    <x v="25"/>
    <x v="11"/>
    <x v="1"/>
    <n v="4.1186364115776302"/>
    <n v="2E+20"/>
    <n v="1.2950955103362101"/>
    <n v="12.961252976243699"/>
    <n v="28"/>
    <s v="Friday (Solucion: datafono, gofre, cocina y caja compartida)TiempoEnSistemaNoMesaCantProd2IntervalUser Specified"/>
    <n v="19"/>
    <n v="3.9983565371792786"/>
    <n v="1.3719461737846819"/>
    <n v="0.95"/>
    <n v="0.66125688892142653"/>
    <n v="2.57025351162503"/>
    <n v="8.2425388076728598"/>
    <n v="0.79107086020877704"/>
    <n v="28.676361280594399"/>
    <n v="26.421052631578949"/>
    <n v="0.66125688892142653"/>
    <n v="19"/>
    <n v="1"/>
  </r>
  <r>
    <x v="0"/>
    <s v="2025-05-18 18:56:05"/>
    <n v="13"/>
    <x v="25"/>
    <x v="11"/>
    <x v="1"/>
    <n v="4.2310921790923004"/>
    <n v="2E+20"/>
    <n v="1.4330704143505499"/>
    <n v="9.7551273377462699"/>
    <n v="17"/>
    <s v="Friday (Solucion: datafono, gofre, cocina y caja compartida)TiempoEnSistemaNoMesaCantProd2IntervalUser Specified"/>
    <n v="19"/>
    <n v="3.9983565371792786"/>
    <n v="1.3719461737846819"/>
    <n v="0.95"/>
    <n v="0.66125688892142653"/>
    <n v="2.57025351162503"/>
    <n v="8.2425388076728598"/>
    <n v="0.79107086020877704"/>
    <n v="28.676361280594399"/>
    <n v="26.421052631578949"/>
    <n v="0.66125688892142653"/>
    <n v="19"/>
    <n v="1"/>
  </r>
  <r>
    <x v="0"/>
    <s v="2025-05-18 18:56:05"/>
    <n v="14"/>
    <x v="25"/>
    <x v="11"/>
    <x v="1"/>
    <n v="4.4142735922071399"/>
    <n v="2E+20"/>
    <n v="0.90626582299365999"/>
    <n v="9.6132112456618906"/>
    <n v="29"/>
    <s v="Friday (Solucion: datafono, gofre, cocina y caja compartida)TiempoEnSistemaNoMesaCantProd2IntervalUser Specified"/>
    <n v="19"/>
    <n v="3.9983565371792786"/>
    <n v="1.3719461737846819"/>
    <n v="0.95"/>
    <n v="0.66125688892142653"/>
    <n v="2.57025351162503"/>
    <n v="8.2425388076728598"/>
    <n v="0.79107086020877704"/>
    <n v="28.676361280594399"/>
    <n v="26.421052631578949"/>
    <n v="0.66125688892142653"/>
    <n v="19"/>
    <n v="1"/>
  </r>
  <r>
    <x v="0"/>
    <s v="2025-05-18 18:56:05"/>
    <n v="15"/>
    <x v="25"/>
    <x v="11"/>
    <x v="1"/>
    <n v="4.2051238455995303"/>
    <n v="2E+20"/>
    <n v="1.1547950808032701"/>
    <n v="9.35924763372293"/>
    <n v="31"/>
    <s v="Friday (Solucion: datafono, gofre, cocina y caja compartida)TiempoEnSistemaNoMesaCantProd2IntervalUser Specified"/>
    <n v="19"/>
    <n v="3.9983565371792786"/>
    <n v="1.3719461737846819"/>
    <n v="0.95"/>
    <n v="0.66125688892142653"/>
    <n v="2.57025351162503"/>
    <n v="8.2425388076728598"/>
    <n v="0.79107086020877704"/>
    <n v="28.676361280594399"/>
    <n v="26.421052631578949"/>
    <n v="0.66125688892142653"/>
    <n v="19"/>
    <n v="1"/>
  </r>
  <r>
    <x v="0"/>
    <s v="2025-05-18 18:56:05"/>
    <n v="16"/>
    <x v="25"/>
    <x v="11"/>
    <x v="1"/>
    <n v="2.57025351162503"/>
    <n v="2E+20"/>
    <n v="1.1392686782118899"/>
    <n v="6.3855704945601097"/>
    <n v="24"/>
    <s v="Friday (Solucion: datafono, gofre, cocina y caja compartida)TiempoEnSistemaNoMesaCantProd2IntervalUser Specified"/>
    <n v="19"/>
    <n v="3.9983565371792786"/>
    <n v="1.3719461737846819"/>
    <n v="0.95"/>
    <n v="0.66125688892142653"/>
    <n v="2.57025351162503"/>
    <n v="8.2425388076728598"/>
    <n v="0.79107086020877704"/>
    <n v="28.676361280594399"/>
    <n v="26.421052631578949"/>
    <n v="0.66125688892142653"/>
    <n v="19"/>
    <n v="1"/>
  </r>
  <r>
    <x v="0"/>
    <s v="2025-05-18 18:56:05"/>
    <n v="17"/>
    <x v="25"/>
    <x v="11"/>
    <x v="1"/>
    <n v="3.6681524596270898"/>
    <n v="2E+20"/>
    <n v="0.79107086020877704"/>
    <n v="9.4592384965350806"/>
    <n v="27"/>
    <s v="Friday (Solucion: datafono, gofre, cocina y caja compartida)TiempoEnSistemaNoMesaCantProd2IntervalUser Specified"/>
    <n v="19"/>
    <n v="3.9983565371792786"/>
    <n v="1.3719461737846819"/>
    <n v="0.95"/>
    <n v="0.66125688892142653"/>
    <n v="2.57025351162503"/>
    <n v="8.2425388076728598"/>
    <n v="0.79107086020877704"/>
    <n v="28.676361280594399"/>
    <n v="26.421052631578949"/>
    <n v="0.66125688892142653"/>
    <n v="19"/>
    <n v="1"/>
  </r>
  <r>
    <x v="0"/>
    <s v="2025-05-18 18:56:05"/>
    <n v="18"/>
    <x v="25"/>
    <x v="11"/>
    <x v="1"/>
    <n v="3.4394452137487699"/>
    <n v="2E+20"/>
    <n v="1.0155913816741999"/>
    <n v="13.608286167777701"/>
    <n v="27"/>
    <s v="Friday (Solucion: datafono, gofre, cocina y caja compartida)TiempoEnSistemaNoMesaCantProd2IntervalUser Specified"/>
    <n v="19"/>
    <n v="3.9983565371792786"/>
    <n v="1.3719461737846819"/>
    <n v="0.95"/>
    <n v="0.66125688892142653"/>
    <n v="2.57025351162503"/>
    <n v="8.2425388076728598"/>
    <n v="0.79107086020877704"/>
    <n v="28.676361280594399"/>
    <n v="26.421052631578949"/>
    <n v="0.66125688892142653"/>
    <n v="19"/>
    <n v="1"/>
  </r>
  <r>
    <x v="0"/>
    <s v="2025-05-18 18:56:05"/>
    <n v="19"/>
    <x v="25"/>
    <x v="11"/>
    <x v="1"/>
    <n v="2.5784448567521299"/>
    <n v="2E+20"/>
    <n v="1.1575743007591901"/>
    <n v="5.3691953179989298"/>
    <n v="23"/>
    <s v="Friday (Solucion: datafono, gofre, cocina y caja compartida)TiempoEnSistemaNoMesaCantProd2IntervalUser Specified"/>
    <n v="19"/>
    <n v="3.9983565371792786"/>
    <n v="1.3719461737846819"/>
    <n v="0.95"/>
    <n v="0.66125688892142653"/>
    <n v="2.57025351162503"/>
    <n v="8.2425388076728598"/>
    <n v="0.79107086020877704"/>
    <n v="28.676361280594399"/>
    <n v="26.421052631578949"/>
    <n v="0.66125688892142653"/>
    <n v="19"/>
    <n v="1"/>
  </r>
  <r>
    <x v="0"/>
    <s v="2025-05-18 18:56:05"/>
    <n v="1"/>
    <x v="26"/>
    <x v="11"/>
    <x v="1"/>
    <n v="10.505033326075599"/>
    <n v="2E+20"/>
    <n v="1.74456312590783"/>
    <n v="23.748706291307901"/>
    <n v="9"/>
    <s v="Friday (Solucion: datafono, gofre, cocina y caja compartida)TiempoEnSistemaNoMesaCantProd3IntervalUser Specified"/>
    <n v="19"/>
    <n v="4.6916077746929048"/>
    <n v="1.692674069693535"/>
    <n v="0.95"/>
    <n v="0.81584278645262853"/>
    <n v="3.2109546257116102"/>
    <n v="10.505033326075599"/>
    <n v="0.92811877614322202"/>
    <n v="23.748706291307901"/>
    <n v="7.2631578947368425"/>
    <n v="0.81584278645262853"/>
    <n v="19"/>
    <n v="1"/>
  </r>
  <r>
    <x v="0"/>
    <s v="2025-05-18 18:56:05"/>
    <n v="2"/>
    <x v="26"/>
    <x v="11"/>
    <x v="1"/>
    <n v="4.9673157515860602"/>
    <n v="2E+20"/>
    <n v="1.7256877584082"/>
    <n v="11.326578842878"/>
    <n v="10"/>
    <s v="Friday (Solucion: datafono, gofre, cocina y caja compartida)TiempoEnSistemaNoMesaCantProd3IntervalUser Specified"/>
    <n v="19"/>
    <n v="4.6916077746929048"/>
    <n v="1.692674069693535"/>
    <n v="0.95"/>
    <n v="0.81584278645262853"/>
    <n v="3.2109546257116102"/>
    <n v="10.505033326075599"/>
    <n v="0.92811877614322202"/>
    <n v="23.748706291307901"/>
    <n v="7.2631578947368425"/>
    <n v="0.81584278645262853"/>
    <n v="19"/>
    <n v="1"/>
  </r>
  <r>
    <x v="0"/>
    <s v="2025-05-18 18:56:05"/>
    <n v="3"/>
    <x v="26"/>
    <x v="11"/>
    <x v="1"/>
    <n v="3.7602302906304002"/>
    <n v="2E+20"/>
    <n v="1.77260651393505"/>
    <n v="5.3658885041759303"/>
    <n v="3"/>
    <s v="Friday (Solucion: datafono, gofre, cocina y caja compartida)TiempoEnSistemaNoMesaCantProd3IntervalUser Specified"/>
    <n v="19"/>
    <n v="4.6916077746929048"/>
    <n v="1.692674069693535"/>
    <n v="0.95"/>
    <n v="0.81584278645262853"/>
    <n v="3.2109546257116102"/>
    <n v="10.505033326075599"/>
    <n v="0.92811877614322202"/>
    <n v="23.748706291307901"/>
    <n v="7.2631578947368425"/>
    <n v="0.81584278645262853"/>
    <n v="19"/>
    <n v="1"/>
  </r>
  <r>
    <x v="0"/>
    <s v="2025-05-18 18:56:05"/>
    <n v="4"/>
    <x v="26"/>
    <x v="11"/>
    <x v="1"/>
    <n v="3.51101901564431"/>
    <n v="2E+20"/>
    <n v="1.63864791194413"/>
    <n v="7.2974386156073097"/>
    <n v="10"/>
    <s v="Friday (Solucion: datafono, gofre, cocina y caja compartida)TiempoEnSistemaNoMesaCantProd3IntervalUser Specified"/>
    <n v="19"/>
    <n v="4.6916077746929048"/>
    <n v="1.692674069693535"/>
    <n v="0.95"/>
    <n v="0.81584278645262853"/>
    <n v="3.2109546257116102"/>
    <n v="10.505033326075599"/>
    <n v="0.92811877614322202"/>
    <n v="23.748706291307901"/>
    <n v="7.2631578947368425"/>
    <n v="0.81584278645262853"/>
    <n v="19"/>
    <n v="1"/>
  </r>
  <r>
    <x v="0"/>
    <s v="2025-05-18 18:56:05"/>
    <n v="5"/>
    <x v="26"/>
    <x v="11"/>
    <x v="1"/>
    <n v="5.0295855939118104"/>
    <n v="2E+20"/>
    <n v="3.2628553426746101"/>
    <n v="6.6363069063213"/>
    <n v="6"/>
    <s v="Friday (Solucion: datafono, gofre, cocina y caja compartida)TiempoEnSistemaNoMesaCantProd3IntervalUser Specified"/>
    <n v="19"/>
    <n v="4.6916077746929048"/>
    <n v="1.692674069693535"/>
    <n v="0.95"/>
    <n v="0.81584278645262853"/>
    <n v="3.2109546257116102"/>
    <n v="10.505033326075599"/>
    <n v="0.92811877614322202"/>
    <n v="23.748706291307901"/>
    <n v="7.2631578947368425"/>
    <n v="0.81584278645262853"/>
    <n v="19"/>
    <n v="1"/>
  </r>
  <r>
    <x v="0"/>
    <s v="2025-05-18 18:56:05"/>
    <n v="6"/>
    <x v="26"/>
    <x v="11"/>
    <x v="1"/>
    <n v="3.2109546257116102"/>
    <n v="2E+20"/>
    <n v="1.3688537006875401"/>
    <n v="5.5750818133899402"/>
    <n v="7"/>
    <s v="Friday (Solucion: datafono, gofre, cocina y caja compartida)TiempoEnSistemaNoMesaCantProd3IntervalUser Specified"/>
    <n v="19"/>
    <n v="4.6916077746929048"/>
    <n v="1.692674069693535"/>
    <n v="0.95"/>
    <n v="0.81584278645262853"/>
    <n v="3.2109546257116102"/>
    <n v="10.505033326075599"/>
    <n v="0.92811877614322202"/>
    <n v="23.748706291307901"/>
    <n v="7.2631578947368425"/>
    <n v="0.81584278645262853"/>
    <n v="19"/>
    <n v="1"/>
  </r>
  <r>
    <x v="0"/>
    <s v="2025-05-18 18:56:05"/>
    <n v="7"/>
    <x v="26"/>
    <x v="11"/>
    <x v="1"/>
    <n v="3.9959996028031699"/>
    <n v="2E+20"/>
    <n v="1.4350728451088099"/>
    <n v="7.0572066376264804"/>
    <n v="5"/>
    <s v="Friday (Solucion: datafono, gofre, cocina y caja compartida)TiempoEnSistemaNoMesaCantProd3IntervalUser Specified"/>
    <n v="19"/>
    <n v="4.6916077746929048"/>
    <n v="1.692674069693535"/>
    <n v="0.95"/>
    <n v="0.81584278645262853"/>
    <n v="3.2109546257116102"/>
    <n v="10.505033326075599"/>
    <n v="0.92811877614322202"/>
    <n v="23.748706291307901"/>
    <n v="7.2631578947368425"/>
    <n v="0.81584278645262853"/>
    <n v="19"/>
    <n v="1"/>
  </r>
  <r>
    <x v="0"/>
    <s v="2025-05-18 18:56:05"/>
    <n v="8"/>
    <x v="26"/>
    <x v="11"/>
    <x v="1"/>
    <n v="4.6675021237296503"/>
    <n v="2E+20"/>
    <n v="1.45253303140473"/>
    <n v="10.4788765301382"/>
    <n v="11"/>
    <s v="Friday (Solucion: datafono, gofre, cocina y caja compartida)TiempoEnSistemaNoMesaCantProd3IntervalUser Specified"/>
    <n v="19"/>
    <n v="4.6916077746929048"/>
    <n v="1.692674069693535"/>
    <n v="0.95"/>
    <n v="0.81584278645262853"/>
    <n v="3.2109546257116102"/>
    <n v="10.505033326075599"/>
    <n v="0.92811877614322202"/>
    <n v="23.748706291307901"/>
    <n v="7.2631578947368425"/>
    <n v="0.81584278645262853"/>
    <n v="19"/>
    <n v="1"/>
  </r>
  <r>
    <x v="0"/>
    <s v="2025-05-18 18:56:05"/>
    <n v="9"/>
    <x v="26"/>
    <x v="11"/>
    <x v="1"/>
    <n v="5.3040894473270601"/>
    <n v="2E+20"/>
    <n v="2.7882385006347898"/>
    <n v="9.7826778195312407"/>
    <n v="7"/>
    <s v="Friday (Solucion: datafono, gofre, cocina y caja compartida)TiempoEnSistemaNoMesaCantProd3IntervalUser Specified"/>
    <n v="19"/>
    <n v="4.6916077746929048"/>
    <n v="1.692674069693535"/>
    <n v="0.95"/>
    <n v="0.81584278645262853"/>
    <n v="3.2109546257116102"/>
    <n v="10.505033326075599"/>
    <n v="0.92811877614322202"/>
    <n v="23.748706291307901"/>
    <n v="7.2631578947368425"/>
    <n v="0.81584278645262853"/>
    <n v="19"/>
    <n v="1"/>
  </r>
  <r>
    <x v="0"/>
    <s v="2025-05-18 18:56:05"/>
    <n v="10"/>
    <x v="26"/>
    <x v="11"/>
    <x v="1"/>
    <n v="3.9871297134532999"/>
    <n v="2E+20"/>
    <n v="1.03716936645546"/>
    <n v="7.7244758280859598"/>
    <n v="7"/>
    <s v="Friday (Solucion: datafono, gofre, cocina y caja compartida)TiempoEnSistemaNoMesaCantProd3IntervalUser Specified"/>
    <n v="19"/>
    <n v="4.6916077746929048"/>
    <n v="1.692674069693535"/>
    <n v="0.95"/>
    <n v="0.81584278645262853"/>
    <n v="3.2109546257116102"/>
    <n v="10.505033326075599"/>
    <n v="0.92811877614322202"/>
    <n v="23.748706291307901"/>
    <n v="7.2631578947368425"/>
    <n v="0.81584278645262853"/>
    <n v="19"/>
    <n v="1"/>
  </r>
  <r>
    <x v="0"/>
    <s v="2025-05-18 18:56:05"/>
    <n v="11"/>
    <x v="26"/>
    <x v="11"/>
    <x v="1"/>
    <n v="4.21995423371754"/>
    <n v="2E+20"/>
    <n v="2.3747281373490701"/>
    <n v="5.8972480031228498"/>
    <n v="5"/>
    <s v="Friday (Solucion: datafono, gofre, cocina y caja compartida)TiempoEnSistemaNoMesaCantProd3IntervalUser Specified"/>
    <n v="19"/>
    <n v="4.6916077746929048"/>
    <n v="1.692674069693535"/>
    <n v="0.95"/>
    <n v="0.81584278645262853"/>
    <n v="3.2109546257116102"/>
    <n v="10.505033326075599"/>
    <n v="0.92811877614322202"/>
    <n v="23.748706291307901"/>
    <n v="7.2631578947368425"/>
    <n v="0.81584278645262853"/>
    <n v="19"/>
    <n v="1"/>
  </r>
  <r>
    <x v="0"/>
    <s v="2025-05-18 18:56:05"/>
    <n v="12"/>
    <x v="26"/>
    <x v="11"/>
    <x v="1"/>
    <n v="3.8863538288780601"/>
    <n v="2E+20"/>
    <n v="0.92811877614322202"/>
    <n v="7.27133959610308"/>
    <n v="7"/>
    <s v="Friday (Solucion: datafono, gofre, cocina y caja compartida)TiempoEnSistemaNoMesaCantProd3IntervalUser Specified"/>
    <n v="19"/>
    <n v="4.6916077746929048"/>
    <n v="1.692674069693535"/>
    <n v="0.95"/>
    <n v="0.81584278645262853"/>
    <n v="3.2109546257116102"/>
    <n v="10.505033326075599"/>
    <n v="0.92811877614322202"/>
    <n v="23.748706291307901"/>
    <n v="7.2631578947368425"/>
    <n v="0.81584278645262853"/>
    <n v="19"/>
    <n v="1"/>
  </r>
  <r>
    <x v="0"/>
    <s v="2025-05-18 18:56:05"/>
    <n v="13"/>
    <x v="26"/>
    <x v="11"/>
    <x v="1"/>
    <n v="4.4878718554981303"/>
    <n v="2E+20"/>
    <n v="1.77562070776207"/>
    <n v="6.4019226419042603"/>
    <n v="8"/>
    <s v="Friday (Solucion: datafono, gofre, cocina y caja compartida)TiempoEnSistemaNoMesaCantProd3IntervalUser Specified"/>
    <n v="19"/>
    <n v="4.6916077746929048"/>
    <n v="1.692674069693535"/>
    <n v="0.95"/>
    <n v="0.81584278645262853"/>
    <n v="3.2109546257116102"/>
    <n v="10.505033326075599"/>
    <n v="0.92811877614322202"/>
    <n v="23.748706291307901"/>
    <n v="7.2631578947368425"/>
    <n v="0.81584278645262853"/>
    <n v="19"/>
    <n v="1"/>
  </r>
  <r>
    <x v="0"/>
    <s v="2025-05-18 18:56:05"/>
    <n v="14"/>
    <x v="26"/>
    <x v="11"/>
    <x v="1"/>
    <n v="7.2893332518797296"/>
    <n v="2E+20"/>
    <n v="4.0565280146237503"/>
    <n v="9.9311745364599293"/>
    <n v="5"/>
    <s v="Friday (Solucion: datafono, gofre, cocina y caja compartida)TiempoEnSistemaNoMesaCantProd3IntervalUser Specified"/>
    <n v="19"/>
    <n v="4.6916077746929048"/>
    <n v="1.692674069693535"/>
    <n v="0.95"/>
    <n v="0.81584278645262853"/>
    <n v="3.2109546257116102"/>
    <n v="10.505033326075599"/>
    <n v="0.92811877614322202"/>
    <n v="23.748706291307901"/>
    <n v="7.2631578947368425"/>
    <n v="0.81584278645262853"/>
    <n v="19"/>
    <n v="1"/>
  </r>
  <r>
    <x v="0"/>
    <s v="2025-05-18 18:56:05"/>
    <n v="15"/>
    <x v="26"/>
    <x v="11"/>
    <x v="1"/>
    <n v="4.1573732549829101"/>
    <n v="2E+20"/>
    <n v="1.5417479497529301"/>
    <n v="7.4973072292442904"/>
    <n v="7"/>
    <s v="Friday (Solucion: datafono, gofre, cocina y caja compartida)TiempoEnSistemaNoMesaCantProd3IntervalUser Specified"/>
    <n v="19"/>
    <n v="4.6916077746929048"/>
    <n v="1.692674069693535"/>
    <n v="0.95"/>
    <n v="0.81584278645262853"/>
    <n v="3.2109546257116102"/>
    <n v="10.505033326075599"/>
    <n v="0.92811877614322202"/>
    <n v="23.748706291307901"/>
    <n v="7.2631578947368425"/>
    <n v="0.81584278645262853"/>
    <n v="19"/>
    <n v="1"/>
  </r>
  <r>
    <x v="0"/>
    <s v="2025-05-18 18:56:05"/>
    <n v="16"/>
    <x v="26"/>
    <x v="11"/>
    <x v="1"/>
    <n v="3.6283600208341702"/>
    <n v="2E+20"/>
    <n v="1.6032141394294399"/>
    <n v="5.9439403200795597"/>
    <n v="4"/>
    <s v="Friday (Solucion: datafono, gofre, cocina y caja compartida)TiempoEnSistemaNoMesaCantProd3IntervalUser Specified"/>
    <n v="19"/>
    <n v="4.6916077746929048"/>
    <n v="1.692674069693535"/>
    <n v="0.95"/>
    <n v="0.81584278645262853"/>
    <n v="3.2109546257116102"/>
    <n v="10.505033326075599"/>
    <n v="0.92811877614322202"/>
    <n v="23.748706291307901"/>
    <n v="7.2631578947368425"/>
    <n v="0.81584278645262853"/>
    <n v="19"/>
    <n v="1"/>
  </r>
  <r>
    <x v="0"/>
    <s v="2025-05-18 18:56:05"/>
    <n v="17"/>
    <x v="26"/>
    <x v="11"/>
    <x v="1"/>
    <n v="3.4758843930179602"/>
    <n v="2E+20"/>
    <n v="1.84222025118427"/>
    <n v="5.1788835531424402"/>
    <n v="5"/>
    <s v="Friday (Solucion: datafono, gofre, cocina y caja compartida)TiempoEnSistemaNoMesaCantProd3IntervalUser Specified"/>
    <n v="19"/>
    <n v="4.6916077746929048"/>
    <n v="1.692674069693535"/>
    <n v="0.95"/>
    <n v="0.81584278645262853"/>
    <n v="3.2109546257116102"/>
    <n v="10.505033326075599"/>
    <n v="0.92811877614322202"/>
    <n v="23.748706291307901"/>
    <n v="7.2631578947368425"/>
    <n v="0.81584278645262853"/>
    <n v="19"/>
    <n v="1"/>
  </r>
  <r>
    <x v="0"/>
    <s v="2025-05-18 18:56:05"/>
    <n v="18"/>
    <x v="26"/>
    <x v="11"/>
    <x v="1"/>
    <n v="5.29286376447119"/>
    <n v="2E+20"/>
    <n v="2.06716984979494"/>
    <n v="15.025553497874199"/>
    <n v="14"/>
    <s v="Friday (Solucion: datafono, gofre, cocina y caja compartida)TiempoEnSistemaNoMesaCantProd3IntervalUser Specified"/>
    <n v="19"/>
    <n v="4.6916077746929048"/>
    <n v="1.692674069693535"/>
    <n v="0.95"/>
    <n v="0.81584278645262853"/>
    <n v="3.2109546257116102"/>
    <n v="10.505033326075599"/>
    <n v="0.92811877614322202"/>
    <n v="23.748706291307901"/>
    <n v="7.2631578947368425"/>
    <n v="0.81584278645262853"/>
    <n v="19"/>
    <n v="1"/>
  </r>
  <r>
    <x v="0"/>
    <s v="2025-05-18 18:56:05"/>
    <n v="19"/>
    <x v="26"/>
    <x v="11"/>
    <x v="1"/>
    <n v="3.7636936250125399"/>
    <n v="2E+20"/>
    <n v="2.4104538854659001"/>
    <n v="7.3876511191450103"/>
    <n v="8"/>
    <s v="Friday (Solucion: datafono, gofre, cocina y caja compartida)TiempoEnSistemaNoMesaCantProd3IntervalUser Specified"/>
    <n v="19"/>
    <n v="4.6916077746929048"/>
    <n v="1.692674069693535"/>
    <n v="0.95"/>
    <n v="0.81584278645262853"/>
    <n v="3.2109546257116102"/>
    <n v="10.505033326075599"/>
    <n v="0.92811877614322202"/>
    <n v="23.748706291307901"/>
    <n v="7.2631578947368425"/>
    <n v="0.81584278645262853"/>
    <n v="19"/>
    <n v="1"/>
  </r>
  <r>
    <x v="0"/>
    <s v="2025-05-18 18:56:05"/>
    <n v="1"/>
    <x v="27"/>
    <x v="11"/>
    <x v="1"/>
    <n v="6.3892932831145499"/>
    <n v="2E+20"/>
    <n v="3.3815145512173799"/>
    <n v="9.5100163075887902"/>
    <n v="4"/>
    <s v="Friday (Solucion: datafono, gofre, cocina y caja compartida)TiempoEnSistemaNoMesaCantProd4IntervalUser Specified"/>
    <n v="19"/>
    <n v="6.0285427713953732"/>
    <n v="1.7749352051247906"/>
    <n v="0.95"/>
    <n v="0.94579620909031992"/>
    <n v="3.6009919886175199"/>
    <n v="10.0000175511267"/>
    <n v="2.1260873755372098"/>
    <n v="18.396198344222"/>
    <n v="3.625"/>
    <n v="0.94579620909031992"/>
    <n v="16"/>
    <n v="0"/>
  </r>
  <r>
    <x v="0"/>
    <s v="2025-05-18 18:56:05"/>
    <n v="2"/>
    <x v="27"/>
    <x v="11"/>
    <x v="1"/>
    <n v="5.4534722430738896"/>
    <n v="2E+20"/>
    <n v="2.3174248280529901"/>
    <n v="11.264544586272899"/>
    <n v="6"/>
    <s v="Friday (Solucion: datafono, gofre, cocina y caja compartida)TiempoEnSistemaNoMesaCantProd4IntervalUser Specified"/>
    <n v="19"/>
    <n v="6.0285427713953732"/>
    <n v="1.7749352051247906"/>
    <n v="0.95"/>
    <n v="0.94579620909031992"/>
    <n v="3.6009919886175199"/>
    <n v="10.0000175511267"/>
    <n v="2.1260873755372098"/>
    <n v="18.396198344222"/>
    <n v="3.625"/>
    <n v="0.94579620909031992"/>
    <n v="16"/>
    <n v="0"/>
  </r>
  <r>
    <x v="0"/>
    <s v="2025-05-18 18:56:05"/>
    <n v="3"/>
    <x v="27"/>
    <x v="11"/>
    <x v="1"/>
    <n v="10.0000175511267"/>
    <n v="2E+20"/>
    <n v="3.5852135449874298"/>
    <n v="18.396198344222"/>
    <n v="4"/>
    <s v="Friday (Solucion: datafono, gofre, cocina y caja compartida)TiempoEnSistemaNoMesaCantProd4IntervalUser Specified"/>
    <n v="19"/>
    <n v="6.0285427713953732"/>
    <n v="1.7749352051247906"/>
    <n v="0.95"/>
    <n v="0.94579620909031992"/>
    <n v="3.6009919886175199"/>
    <n v="10.0000175511267"/>
    <n v="2.1260873755372098"/>
    <n v="18.396198344222"/>
    <n v="3.625"/>
    <n v="0.94579620909031992"/>
    <n v="16"/>
    <n v="0"/>
  </r>
  <r>
    <x v="0"/>
    <s v="2025-05-18 18:56:05"/>
    <n v="4"/>
    <x v="27"/>
    <x v="11"/>
    <x v="1"/>
    <n v="5.1741120716627398"/>
    <n v="2E+20"/>
    <n v="3.3508186310479"/>
    <n v="7.4418409902236"/>
    <n v="6"/>
    <s v="Friday (Solucion: datafono, gofre, cocina y caja compartida)TiempoEnSistemaNoMesaCantProd4IntervalUser Specified"/>
    <n v="19"/>
    <n v="6.0285427713953732"/>
    <n v="1.7749352051247906"/>
    <n v="0.95"/>
    <n v="0.94579620909031992"/>
    <n v="3.6009919886175199"/>
    <n v="10.0000175511267"/>
    <n v="2.1260873755372098"/>
    <n v="18.396198344222"/>
    <n v="3.625"/>
    <n v="0.94579620909031992"/>
    <n v="16"/>
    <n v="0"/>
  </r>
  <r>
    <x v="0"/>
    <s v="2025-05-18 18:56:05"/>
    <n v="7"/>
    <x v="27"/>
    <x v="11"/>
    <x v="1"/>
    <n v="5.0278562635145398"/>
    <n v="2E+20"/>
    <n v="4.6017676299177896"/>
    <n v="5.7955401768690296"/>
    <n v="4"/>
    <s v="Friday (Solucion: datafono, gofre, cocina y caja compartida)TiempoEnSistemaNoMesaCantProd4IntervalUser Specified"/>
    <n v="19"/>
    <n v="6.0285427713953732"/>
    <n v="1.7749352051247906"/>
    <n v="0.95"/>
    <n v="0.94579620909031992"/>
    <n v="3.6009919886175199"/>
    <n v="10.0000175511267"/>
    <n v="2.1260873755372098"/>
    <n v="18.396198344222"/>
    <n v="3.625"/>
    <n v="0.94579620909031992"/>
    <n v="16"/>
    <n v="0"/>
  </r>
  <r>
    <x v="0"/>
    <s v="2025-05-18 18:56:05"/>
    <n v="8"/>
    <x v="27"/>
    <x v="11"/>
    <x v="1"/>
    <n v="7.1381855101105103"/>
    <n v="2E+20"/>
    <n v="5.1931274980678497"/>
    <n v="9.9071601677769401"/>
    <n v="3"/>
    <s v="Friday (Solucion: datafono, gofre, cocina y caja compartida)TiempoEnSistemaNoMesaCantProd4IntervalUser Specified"/>
    <n v="19"/>
    <n v="6.0285427713953732"/>
    <n v="1.7749352051247906"/>
    <n v="0.95"/>
    <n v="0.94579620909031992"/>
    <n v="3.6009919886175199"/>
    <n v="10.0000175511267"/>
    <n v="2.1260873755372098"/>
    <n v="18.396198344222"/>
    <n v="3.625"/>
    <n v="0.94579620909031992"/>
    <n v="16"/>
    <n v="0"/>
  </r>
  <r>
    <x v="0"/>
    <s v="2025-05-18 18:56:05"/>
    <n v="9"/>
    <x v="27"/>
    <x v="11"/>
    <x v="1"/>
    <n v="5.1730322813840797"/>
    <n v="2E+20"/>
    <n v="3.19481722296862"/>
    <n v="6.4733682307519604"/>
    <n v="3"/>
    <s v="Friday (Solucion: datafono, gofre, cocina y caja compartida)TiempoEnSistemaNoMesaCantProd4IntervalUser Specified"/>
    <n v="19"/>
    <n v="6.0285427713953732"/>
    <n v="1.7749352051247906"/>
    <n v="0.95"/>
    <n v="0.94579620909031992"/>
    <n v="3.6009919886175199"/>
    <n v="10.0000175511267"/>
    <n v="2.1260873755372098"/>
    <n v="18.396198344222"/>
    <n v="3.625"/>
    <n v="0.94579620909031992"/>
    <n v="16"/>
    <n v="0"/>
  </r>
  <r>
    <x v="0"/>
    <s v="2025-05-18 18:56:05"/>
    <n v="10"/>
    <x v="27"/>
    <x v="11"/>
    <x v="1"/>
    <n v="8.2364781884174398"/>
    <n v="2E+20"/>
    <n v="3.34011485433096"/>
    <n v="10.5233466665102"/>
    <n v="5"/>
    <s v="Friday (Solucion: datafono, gofre, cocina y caja compartida)TiempoEnSistemaNoMesaCantProd4IntervalUser Specified"/>
    <n v="19"/>
    <n v="6.0285427713953732"/>
    <n v="1.7749352051247906"/>
    <n v="0.95"/>
    <n v="0.94579620909031992"/>
    <n v="3.6009919886175199"/>
    <n v="10.0000175511267"/>
    <n v="2.1260873755372098"/>
    <n v="18.396198344222"/>
    <n v="3.625"/>
    <n v="0.94579620909031992"/>
    <n v="16"/>
    <n v="0"/>
  </r>
  <r>
    <x v="0"/>
    <s v="2025-05-18 18:56:05"/>
    <n v="11"/>
    <x v="27"/>
    <x v="11"/>
    <x v="1"/>
    <n v="3.8768242326103399"/>
    <n v="2E+20"/>
    <n v="2.17823468982201"/>
    <n v="5.0188264013916903"/>
    <n v="3"/>
    <s v="Friday (Solucion: datafono, gofre, cocina y caja compartida)TiempoEnSistemaNoMesaCantProd4IntervalUser Specified"/>
    <n v="19"/>
    <n v="6.0285427713953732"/>
    <n v="1.7749352051247906"/>
    <n v="0.95"/>
    <n v="0.94579620909031992"/>
    <n v="3.6009919886175199"/>
    <n v="10.0000175511267"/>
    <n v="2.1260873755372098"/>
    <n v="18.396198344222"/>
    <n v="3.625"/>
    <n v="0.94579620909031992"/>
    <n v="16"/>
    <n v="0"/>
  </r>
  <r>
    <x v="0"/>
    <s v="2025-05-18 18:56:05"/>
    <n v="12"/>
    <x v="27"/>
    <x v="11"/>
    <x v="1"/>
    <n v="5.9918292474812596"/>
    <n v="2E+20"/>
    <n v="4.3380301226344802"/>
    <n v="7.6456283723280496"/>
    <n v="2"/>
    <s v="Friday (Solucion: datafono, gofre, cocina y caja compartida)TiempoEnSistemaNoMesaCantProd4IntervalUser Specified"/>
    <n v="19"/>
    <n v="6.0285427713953732"/>
    <n v="1.7749352051247906"/>
    <n v="0.95"/>
    <n v="0.94579620909031992"/>
    <n v="3.6009919886175199"/>
    <n v="10.0000175511267"/>
    <n v="2.1260873755372098"/>
    <n v="18.396198344222"/>
    <n v="3.625"/>
    <n v="0.94579620909031992"/>
    <n v="16"/>
    <n v="0"/>
  </r>
  <r>
    <x v="0"/>
    <s v="2025-05-18 18:56:05"/>
    <n v="13"/>
    <x v="27"/>
    <x v="11"/>
    <x v="1"/>
    <n v="4.65547375370683"/>
    <n v="2E+20"/>
    <n v="2.6453588750785402"/>
    <n v="7.8955755923568596"/>
    <n v="7"/>
    <s v="Friday (Solucion: datafono, gofre, cocina y caja compartida)TiempoEnSistemaNoMesaCantProd4IntervalUser Specified"/>
    <n v="19"/>
    <n v="6.0285427713953732"/>
    <n v="1.7749352051247906"/>
    <n v="0.95"/>
    <n v="0.94579620909031992"/>
    <n v="3.6009919886175199"/>
    <n v="10.0000175511267"/>
    <n v="2.1260873755372098"/>
    <n v="18.396198344222"/>
    <n v="3.625"/>
    <n v="0.94579620909031992"/>
    <n v="16"/>
    <n v="0"/>
  </r>
  <r>
    <x v="0"/>
    <s v="2025-05-18 18:56:05"/>
    <n v="14"/>
    <x v="27"/>
    <x v="11"/>
    <x v="1"/>
    <n v="5.2910817363868299"/>
    <n v="2E+20"/>
    <n v="2.1260873755372098"/>
    <n v="8.1684442401226995"/>
    <n v="5"/>
    <s v="Friday (Solucion: datafono, gofre, cocina y caja compartida)TiempoEnSistemaNoMesaCantProd4IntervalUser Specified"/>
    <n v="19"/>
    <n v="6.0285427713953732"/>
    <n v="1.7749352051247906"/>
    <n v="0.95"/>
    <n v="0.94579620909031992"/>
    <n v="3.6009919886175199"/>
    <n v="10.0000175511267"/>
    <n v="2.1260873755372098"/>
    <n v="18.396198344222"/>
    <n v="3.625"/>
    <n v="0.94579620909031992"/>
    <n v="16"/>
    <n v="0"/>
  </r>
  <r>
    <x v="0"/>
    <s v="2025-05-18 18:56:05"/>
    <n v="15"/>
    <x v="27"/>
    <x v="11"/>
    <x v="1"/>
    <n v="4.8565005965647599"/>
    <n v="2E+20"/>
    <n v="4.8565005965647599"/>
    <n v="4.8565005965647599"/>
    <n v="1"/>
    <s v="Friday (Solucion: datafono, gofre, cocina y caja compartida)TiempoEnSistemaNoMesaCantProd4IntervalUser Specified"/>
    <n v="19"/>
    <n v="6.0285427713953732"/>
    <n v="1.7749352051247906"/>
    <n v="0.95"/>
    <n v="0.94579620909031992"/>
    <n v="3.6009919886175199"/>
    <n v="10.0000175511267"/>
    <n v="2.1260873755372098"/>
    <n v="18.396198344222"/>
    <n v="3.625"/>
    <n v="0.94579620909031992"/>
    <n v="16"/>
    <n v="0"/>
  </r>
  <r>
    <x v="0"/>
    <s v="2025-05-18 18:56:05"/>
    <n v="17"/>
    <x v="27"/>
    <x v="11"/>
    <x v="1"/>
    <n v="6.8263361505207296"/>
    <n v="2E+20"/>
    <n v="3.9983688597264999"/>
    <n v="9.6543034413149709"/>
    <n v="2"/>
    <s v="Friday (Solucion: datafono, gofre, cocina y caja compartida)TiempoEnSistemaNoMesaCantProd4IntervalUser Specified"/>
    <n v="19"/>
    <n v="6.0285427713953732"/>
    <n v="1.7749352051247906"/>
    <n v="0.95"/>
    <n v="0.94579620909031992"/>
    <n v="3.6009919886175199"/>
    <n v="10.0000175511267"/>
    <n v="2.1260873755372098"/>
    <n v="18.396198344222"/>
    <n v="3.625"/>
    <n v="0.94579620909031992"/>
    <n v="16"/>
    <n v="0"/>
  </r>
  <r>
    <x v="0"/>
    <s v="2025-05-18 18:56:05"/>
    <n v="18"/>
    <x v="27"/>
    <x v="11"/>
    <x v="1"/>
    <n v="8.7651992440332602"/>
    <n v="2E+20"/>
    <n v="8.7651992440332602"/>
    <n v="8.7651992440332602"/>
    <n v="1"/>
    <s v="Friday (Solucion: datafono, gofre, cocina y caja compartida)TiempoEnSistemaNoMesaCantProd4IntervalUser Specified"/>
    <n v="19"/>
    <n v="6.0285427713953732"/>
    <n v="1.7749352051247906"/>
    <n v="0.95"/>
    <n v="0.94579620909031992"/>
    <n v="3.6009919886175199"/>
    <n v="10.0000175511267"/>
    <n v="2.1260873755372098"/>
    <n v="18.396198344222"/>
    <n v="3.625"/>
    <n v="0.94579620909031992"/>
    <n v="16"/>
    <n v="0"/>
  </r>
  <r>
    <x v="0"/>
    <s v="2025-05-18 18:56:05"/>
    <n v="19"/>
    <x v="27"/>
    <x v="11"/>
    <x v="1"/>
    <n v="3.6009919886175199"/>
    <n v="2E+20"/>
    <n v="3.1889853636094201"/>
    <n v="4.0129986136256299"/>
    <n v="2"/>
    <s v="Friday (Solucion: datafono, gofre, cocina y caja compartida)TiempoEnSistemaNoMesaCantProd4IntervalUser Specified"/>
    <n v="19"/>
    <n v="6.0285427713953732"/>
    <n v="1.7749352051247906"/>
    <n v="0.95"/>
    <n v="0.94579620909031992"/>
    <n v="3.6009919886175199"/>
    <n v="10.0000175511267"/>
    <n v="2.1260873755372098"/>
    <n v="18.396198344222"/>
    <n v="3.625"/>
    <n v="0.94579620909031992"/>
    <n v="16"/>
    <n v="0"/>
  </r>
  <r>
    <x v="0"/>
    <s v="2025-05-18 18:56:05"/>
    <n v="1"/>
    <x v="28"/>
    <x v="11"/>
    <x v="1"/>
    <n v="25.148497784008899"/>
    <n v="2E+20"/>
    <n v="18.0154143184335"/>
    <n v="32.281581249584399"/>
    <n v="2"/>
    <s v="Friday (Solucion: datafono, gofre, cocina y caja compartida)TiempoEnSistemaNoMesaCantProd5IntervalUser Specified"/>
    <n v="19"/>
    <n v="7.0194841526840355"/>
    <n v="5.8860452071458917"/>
    <n v="0.95"/>
    <n v="3.5569015203314231"/>
    <n v="2.3433217689368999"/>
    <n v="25.148497784008899"/>
    <n v="2.3433217689368999"/>
    <n v="32.281581249584399"/>
    <n v="1.7692307692307692"/>
    <n v="3.5569015203314231"/>
    <n v="13"/>
    <n v="0"/>
  </r>
  <r>
    <x v="0"/>
    <s v="2025-05-18 18:56:05"/>
    <n v="2"/>
    <x v="28"/>
    <x v="11"/>
    <x v="1"/>
    <n v="6.0350846342714703"/>
    <n v="2E+20"/>
    <n v="6.0350846342714703"/>
    <n v="6.0350846342714703"/>
    <n v="1"/>
    <s v="Friday (Solucion: datafono, gofre, cocina y caja compartida)TiempoEnSistemaNoMesaCantProd5IntervalUser Specified"/>
    <n v="19"/>
    <n v="7.0194841526840355"/>
    <n v="5.8860452071458917"/>
    <n v="0.95"/>
    <n v="3.5569015203314231"/>
    <n v="2.3433217689368999"/>
    <n v="25.148497784008899"/>
    <n v="2.3433217689368999"/>
    <n v="32.281581249584399"/>
    <n v="1.7692307692307692"/>
    <n v="3.5569015203314231"/>
    <n v="13"/>
    <n v="0"/>
  </r>
  <r>
    <x v="0"/>
    <s v="2025-05-18 18:56:05"/>
    <n v="3"/>
    <x v="28"/>
    <x v="11"/>
    <x v="1"/>
    <n v="8.9354482133871294"/>
    <n v="2E+20"/>
    <n v="8.9354482133871294"/>
    <n v="8.9354482133871294"/>
    <n v="1"/>
    <s v="Friday (Solucion: datafono, gofre, cocina y caja compartida)TiempoEnSistemaNoMesaCantProd5IntervalUser Specified"/>
    <n v="19"/>
    <n v="7.0194841526840355"/>
    <n v="5.8860452071458917"/>
    <n v="0.95"/>
    <n v="3.5569015203314231"/>
    <n v="2.3433217689368999"/>
    <n v="25.148497784008899"/>
    <n v="2.3433217689368999"/>
    <n v="32.281581249584399"/>
    <n v="1.7692307692307692"/>
    <n v="3.5569015203314231"/>
    <n v="13"/>
    <n v="0"/>
  </r>
  <r>
    <x v="0"/>
    <s v="2025-05-18 18:56:05"/>
    <n v="5"/>
    <x v="28"/>
    <x v="11"/>
    <x v="1"/>
    <n v="6.3541123145293597"/>
    <n v="2E+20"/>
    <n v="6.3541123145293597"/>
    <n v="6.3541123145293597"/>
    <n v="1"/>
    <s v="Friday (Solucion: datafono, gofre, cocina y caja compartida)TiempoEnSistemaNoMesaCantProd5IntervalUser Specified"/>
    <n v="19"/>
    <n v="7.0194841526840355"/>
    <n v="5.8860452071458917"/>
    <n v="0.95"/>
    <n v="3.5569015203314231"/>
    <n v="2.3433217689368999"/>
    <n v="25.148497784008899"/>
    <n v="2.3433217689368999"/>
    <n v="32.281581249584399"/>
    <n v="1.7692307692307692"/>
    <n v="3.5569015203314231"/>
    <n v="13"/>
    <n v="0"/>
  </r>
  <r>
    <x v="0"/>
    <s v="2025-05-18 18:56:05"/>
    <n v="7"/>
    <x v="28"/>
    <x v="11"/>
    <x v="1"/>
    <n v="4.2317408414065198"/>
    <n v="2E+20"/>
    <n v="4.2317408414065198"/>
    <n v="4.2317408414065198"/>
    <n v="1"/>
    <s v="Friday (Solucion: datafono, gofre, cocina y caja compartida)TiempoEnSistemaNoMesaCantProd5IntervalUser Specified"/>
    <n v="19"/>
    <n v="7.0194841526840355"/>
    <n v="5.8860452071458917"/>
    <n v="0.95"/>
    <n v="3.5569015203314231"/>
    <n v="2.3433217689368999"/>
    <n v="25.148497784008899"/>
    <n v="2.3433217689368999"/>
    <n v="32.281581249584399"/>
    <n v="1.7692307692307692"/>
    <n v="3.5569015203314231"/>
    <n v="13"/>
    <n v="0"/>
  </r>
  <r>
    <x v="0"/>
    <s v="2025-05-18 18:56:05"/>
    <n v="8"/>
    <x v="28"/>
    <x v="11"/>
    <x v="1"/>
    <n v="4.1384346945717301"/>
    <n v="2E+20"/>
    <n v="3.9413865674823101"/>
    <n v="4.3354828216611496"/>
    <n v="2"/>
    <s v="Friday (Solucion: datafono, gofre, cocina y caja compartida)TiempoEnSistemaNoMesaCantProd5IntervalUser Specified"/>
    <n v="19"/>
    <n v="7.0194841526840355"/>
    <n v="5.8860452071458917"/>
    <n v="0.95"/>
    <n v="3.5569015203314231"/>
    <n v="2.3433217689368999"/>
    <n v="25.148497784008899"/>
    <n v="2.3433217689368999"/>
    <n v="32.281581249584399"/>
    <n v="1.7692307692307692"/>
    <n v="3.5569015203314231"/>
    <n v="13"/>
    <n v="0"/>
  </r>
  <r>
    <x v="0"/>
    <s v="2025-05-18 18:56:05"/>
    <n v="10"/>
    <x v="28"/>
    <x v="11"/>
    <x v="1"/>
    <n v="5.3169674564929297"/>
    <n v="2E+20"/>
    <n v="5.3169674564929297"/>
    <n v="5.3169674564929297"/>
    <n v="1"/>
    <s v="Friday (Solucion: datafono, gofre, cocina y caja compartida)TiempoEnSistemaNoMesaCantProd5IntervalUser Specified"/>
    <n v="19"/>
    <n v="7.0194841526840355"/>
    <n v="5.8860452071458917"/>
    <n v="0.95"/>
    <n v="3.5569015203314231"/>
    <n v="2.3433217689368999"/>
    <n v="25.148497784008899"/>
    <n v="2.3433217689368999"/>
    <n v="32.281581249584399"/>
    <n v="1.7692307692307692"/>
    <n v="3.5569015203314231"/>
    <n v="13"/>
    <n v="0"/>
  </r>
  <r>
    <x v="0"/>
    <s v="2025-05-18 18:56:05"/>
    <n v="14"/>
    <x v="28"/>
    <x v="11"/>
    <x v="1"/>
    <n v="2.3433217689368999"/>
    <n v="2E+20"/>
    <n v="2.3433217689368999"/>
    <n v="2.3433217689368999"/>
    <n v="1"/>
    <s v="Friday (Solucion: datafono, gofre, cocina y caja compartida)TiempoEnSistemaNoMesaCantProd5IntervalUser Specified"/>
    <n v="19"/>
    <n v="7.0194841526840355"/>
    <n v="5.8860452071458917"/>
    <n v="0.95"/>
    <n v="3.5569015203314231"/>
    <n v="2.3433217689368999"/>
    <n v="25.148497784008899"/>
    <n v="2.3433217689368999"/>
    <n v="32.281581249584399"/>
    <n v="1.7692307692307692"/>
    <n v="3.5569015203314231"/>
    <n v="13"/>
    <n v="0"/>
  </r>
  <r>
    <x v="0"/>
    <s v="2025-05-18 18:56:05"/>
    <n v="15"/>
    <x v="28"/>
    <x v="11"/>
    <x v="1"/>
    <n v="5.5611109671377799"/>
    <n v="2E+20"/>
    <n v="3.1197589896881701"/>
    <n v="8.5753755587809106"/>
    <n v="3"/>
    <s v="Friday (Solucion: datafono, gofre, cocina y caja compartida)TiempoEnSistemaNoMesaCantProd5IntervalUser Specified"/>
    <n v="19"/>
    <n v="7.0194841526840355"/>
    <n v="5.8860452071458917"/>
    <n v="0.95"/>
    <n v="3.5569015203314231"/>
    <n v="2.3433217689368999"/>
    <n v="25.148497784008899"/>
    <n v="2.3433217689368999"/>
    <n v="32.281581249584399"/>
    <n v="1.7692307692307692"/>
    <n v="3.5569015203314231"/>
    <n v="13"/>
    <n v="0"/>
  </r>
  <r>
    <x v="0"/>
    <s v="2025-05-18 18:56:05"/>
    <n v="16"/>
    <x v="28"/>
    <x v="11"/>
    <x v="1"/>
    <n v="5.5528669780020197"/>
    <n v="2E+20"/>
    <n v="3.47387964293344"/>
    <n v="7.2838300771006601"/>
    <n v="3"/>
    <s v="Friday (Solucion: datafono, gofre, cocina y caja compartida)TiempoEnSistemaNoMesaCantProd5IntervalUser Specified"/>
    <n v="19"/>
    <n v="7.0194841526840355"/>
    <n v="5.8860452071458917"/>
    <n v="0.95"/>
    <n v="3.5569015203314231"/>
    <n v="2.3433217689368999"/>
    <n v="25.148497784008899"/>
    <n v="2.3433217689368999"/>
    <n v="32.281581249584399"/>
    <n v="1.7692307692307692"/>
    <n v="3.5569015203314231"/>
    <n v="13"/>
    <n v="0"/>
  </r>
  <r>
    <x v="0"/>
    <s v="2025-05-18 18:56:05"/>
    <n v="17"/>
    <x v="28"/>
    <x v="11"/>
    <x v="1"/>
    <n v="4.6272870031241098"/>
    <n v="2E+20"/>
    <n v="3.6709138646050001"/>
    <n v="5.5836601416432199"/>
    <n v="2"/>
    <s v="Friday (Solucion: datafono, gofre, cocina y caja compartida)TiempoEnSistemaNoMesaCantProd5IntervalUser Specified"/>
    <n v="19"/>
    <n v="7.0194841526840355"/>
    <n v="5.8860452071458917"/>
    <n v="0.95"/>
    <n v="3.5569015203314231"/>
    <n v="2.3433217689368999"/>
    <n v="25.148497784008899"/>
    <n v="2.3433217689368999"/>
    <n v="32.281581249584399"/>
    <n v="1.7692307692307692"/>
    <n v="3.5569015203314231"/>
    <n v="13"/>
    <n v="0"/>
  </r>
  <r>
    <x v="0"/>
    <s v="2025-05-18 18:56:05"/>
    <n v="18"/>
    <x v="28"/>
    <x v="11"/>
    <x v="1"/>
    <n v="10.417908853733101"/>
    <n v="2E+20"/>
    <n v="5.2465679586232703"/>
    <n v="15.880653964393501"/>
    <n v="4"/>
    <s v="Friday (Solucion: datafono, gofre, cocina y caja compartida)TiempoEnSistemaNoMesaCantProd5IntervalUser Specified"/>
    <n v="19"/>
    <n v="7.0194841526840355"/>
    <n v="5.8860452071458917"/>
    <n v="0.95"/>
    <n v="3.5569015203314231"/>
    <n v="2.3433217689368999"/>
    <n v="25.148497784008899"/>
    <n v="2.3433217689368999"/>
    <n v="32.281581249584399"/>
    <n v="1.7692307692307692"/>
    <n v="3.5569015203314231"/>
    <n v="13"/>
    <n v="0"/>
  </r>
  <r>
    <x v="0"/>
    <s v="2025-05-18 18:56:05"/>
    <n v="19"/>
    <x v="28"/>
    <x v="11"/>
    <x v="1"/>
    <n v="2.5905124752905202"/>
    <n v="2E+20"/>
    <n v="2.5905124752905202"/>
    <n v="2.5905124752905202"/>
    <n v="1"/>
    <s v="Friday (Solucion: datafono, gofre, cocina y caja compartida)TiempoEnSistemaNoMesaCantProd5IntervalUser Specified"/>
    <n v="19"/>
    <n v="7.0194841526840355"/>
    <n v="5.8860452071458917"/>
    <n v="0.95"/>
    <n v="3.5569015203314231"/>
    <n v="2.3433217689368999"/>
    <n v="25.148497784008899"/>
    <n v="2.3433217689368999"/>
    <n v="32.281581249584399"/>
    <n v="1.7692307692307692"/>
    <n v="3.5569015203314231"/>
    <n v="13"/>
    <n v="0"/>
  </r>
  <r>
    <x v="0"/>
    <s v="2025-05-18 18:56:05"/>
    <n v="4"/>
    <x v="29"/>
    <x v="11"/>
    <x v="1"/>
    <n v="7.3362180422532504"/>
    <n v="2E+20"/>
    <n v="7.3362180422532504"/>
    <n v="7.3362180422532504"/>
    <n v="1"/>
    <s v="Friday (Solucion: datafono, gofre, cocina y caja compartida)TiempoEnSistemaNoMesaCantProd7IntervalUser Specified"/>
    <n v="19"/>
    <n v="8.2145919124675348"/>
    <n v="2.7652000076644274"/>
    <n v="0.95"/>
    <n v="4.4000502738810683"/>
    <n v="6.1857392610640201"/>
    <n v="12.2973900741707"/>
    <n v="6.1857392610640201"/>
    <n v="12.2973900741707"/>
    <n v="1"/>
    <n v="4.4000502738810683"/>
    <n v="4"/>
    <n v="0"/>
  </r>
  <r>
    <x v="0"/>
    <s v="2025-05-18 18:56:05"/>
    <n v="10"/>
    <x v="29"/>
    <x v="11"/>
    <x v="1"/>
    <n v="12.2973900741707"/>
    <n v="2E+20"/>
    <n v="12.2973900741707"/>
    <n v="12.2973900741707"/>
    <n v="1"/>
    <s v="Friday (Solucion: datafono, gofre, cocina y caja compartida)TiempoEnSistemaNoMesaCantProd7IntervalUser Specified"/>
    <n v="19"/>
    <n v="8.2145919124675348"/>
    <n v="2.7652000076644274"/>
    <n v="0.95"/>
    <n v="4.4000502738810683"/>
    <n v="6.1857392610640201"/>
    <n v="12.2973900741707"/>
    <n v="6.1857392610640201"/>
    <n v="12.2973900741707"/>
    <n v="1"/>
    <n v="4.4000502738810683"/>
    <n v="4"/>
    <n v="0"/>
  </r>
  <r>
    <x v="0"/>
    <s v="2025-05-18 18:56:05"/>
    <n v="16"/>
    <x v="29"/>
    <x v="11"/>
    <x v="1"/>
    <n v="6.1857392610640201"/>
    <n v="2E+20"/>
    <n v="6.1857392610640201"/>
    <n v="6.1857392610640201"/>
    <n v="1"/>
    <s v="Friday (Solucion: datafono, gofre, cocina y caja compartida)TiempoEnSistemaNoMesaCantProd7IntervalUser Specified"/>
    <n v="19"/>
    <n v="8.2145919124675348"/>
    <n v="2.7652000076644274"/>
    <n v="0.95"/>
    <n v="4.4000502738810683"/>
    <n v="6.1857392610640201"/>
    <n v="12.2973900741707"/>
    <n v="6.1857392610640201"/>
    <n v="12.2973900741707"/>
    <n v="1"/>
    <n v="4.4000502738810683"/>
    <n v="4"/>
    <n v="0"/>
  </r>
  <r>
    <x v="0"/>
    <s v="2025-05-18 18:56:05"/>
    <n v="19"/>
    <x v="29"/>
    <x v="11"/>
    <x v="1"/>
    <n v="7.03902027238217"/>
    <n v="2E+20"/>
    <n v="7.03902027238217"/>
    <n v="7.03902027238217"/>
    <n v="1"/>
    <s v="Friday (Solucion: datafono, gofre, cocina y caja compartida)TiempoEnSistemaNoMesaCantProd7IntervalUser Specified"/>
    <n v="19"/>
    <n v="8.2145919124675348"/>
    <n v="2.7652000076644274"/>
    <n v="0.95"/>
    <n v="4.4000502738810683"/>
    <n v="6.1857392610640201"/>
    <n v="12.2973900741707"/>
    <n v="6.1857392610640201"/>
    <n v="12.2973900741707"/>
    <n v="1"/>
    <n v="4.4000502738810683"/>
    <n v="4"/>
    <n v="0"/>
  </r>
  <r>
    <x v="0"/>
    <s v="2025-05-18 18:56:05"/>
    <n v="1"/>
    <x v="30"/>
    <x v="11"/>
    <x v="1"/>
    <n v="12.691770210246"/>
    <n v="2E+20"/>
    <n v="0.70200058212000704"/>
    <n v="53.985537664855997"/>
    <n v="150"/>
    <s v="Friday (Solucion: datafono, gofre, cocina y caja compartida)TiempoEnSistemaTodosIntervalUser Specified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2"/>
    <x v="30"/>
    <x v="11"/>
    <x v="1"/>
    <n v="4.4316568587741703"/>
    <n v="2E+20"/>
    <n v="0.79935814911601699"/>
    <n v="31.901306189863199"/>
    <n v="109"/>
    <s v="Friday (Solucion: datafono, gofre, cocina y caja compartida)TiempoEnSistemaTodosIntervalUser Specified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3"/>
    <x v="30"/>
    <x v="11"/>
    <x v="1"/>
    <n v="8.7302970526223795"/>
    <n v="2E+20"/>
    <n v="0.76842845569436202"/>
    <n v="61.164243616895902"/>
    <n v="115"/>
    <s v="Friday (Solucion: datafono, gofre, cocina y caja compartida)TiempoEnSistemaTodosIntervalUser Specified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4"/>
    <x v="30"/>
    <x v="11"/>
    <x v="1"/>
    <n v="4.7759336557260301"/>
    <n v="2E+20"/>
    <n v="0.66484709423230004"/>
    <n v="34.468258188937298"/>
    <n v="116"/>
    <s v="Friday (Solucion: datafono, gofre, cocina y caja compartida)TiempoEnSistemaTodosIntervalUser Specified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5"/>
    <x v="30"/>
    <x v="11"/>
    <x v="1"/>
    <n v="4.6095490004320201"/>
    <n v="2E+20"/>
    <n v="0.54286746462793201"/>
    <n v="33.053883639485001"/>
    <n v="129"/>
    <s v="Friday (Solucion: datafono, gofre, cocina y caja compartida)TiempoEnSistemaTodosIntervalUser Specified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6"/>
    <x v="30"/>
    <x v="11"/>
    <x v="1"/>
    <n v="4.85694996673445"/>
    <n v="2E+20"/>
    <n v="0.53277804786901595"/>
    <n v="31.333361577483"/>
    <n v="117"/>
    <s v="Friday (Solucion: datafono, gofre, cocina y caja compartida)TiempoEnSistemaTodosIntervalUser Specified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7"/>
    <x v="30"/>
    <x v="11"/>
    <x v="1"/>
    <n v="5.4218972748640004"/>
    <n v="2E+20"/>
    <n v="0.53262100124479195"/>
    <n v="31.217607833439502"/>
    <n v="112"/>
    <s v="Friday (Solucion: datafono, gofre, cocina y caja compartida)TiempoEnSistemaTodosIntervalUser Specified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8"/>
    <x v="30"/>
    <x v="11"/>
    <x v="1"/>
    <n v="5.8965473384769904"/>
    <n v="2E+20"/>
    <n v="0.68529338576375698"/>
    <n v="32.632046658621903"/>
    <n v="135"/>
    <s v="Friday (Solucion: datafono, gofre, cocina y caja compartida)TiempoEnSistemaTodosIntervalUser Specified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9"/>
    <x v="30"/>
    <x v="11"/>
    <x v="1"/>
    <n v="5.63039811192073"/>
    <n v="2E+20"/>
    <n v="0.74864526886420901"/>
    <n v="33.450755225246603"/>
    <n v="114"/>
    <s v="Friday (Solucion: datafono, gofre, cocina y caja compartida)TiempoEnSistemaTodosIntervalUser Specified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10"/>
    <x v="30"/>
    <x v="11"/>
    <x v="1"/>
    <n v="7.7213538413687797"/>
    <n v="2E+20"/>
    <n v="0.59592264307153198"/>
    <n v="35.522485212755001"/>
    <n v="116"/>
    <s v="Friday (Solucion: datafono, gofre, cocina y caja compartida)TiempoEnSistemaTodosIntervalUser Specified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11"/>
    <x v="30"/>
    <x v="11"/>
    <x v="1"/>
    <n v="5.9000606491422101"/>
    <n v="2E+20"/>
    <n v="0.79935237358711198"/>
    <n v="42.017600569038599"/>
    <n v="115"/>
    <s v="Friday (Solucion: datafono, gofre, cocina y caja compartida)TiempoEnSistemaTodosIntervalUser Specified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12"/>
    <x v="30"/>
    <x v="11"/>
    <x v="1"/>
    <n v="6.3747796947994502"/>
    <n v="2E+20"/>
    <n v="0.66391758995999295"/>
    <n v="44.043793385560598"/>
    <n v="120"/>
    <s v="Friday (Solucion: datafono, gofre, cocina y caja compartida)TiempoEnSistemaTodosIntervalUser Specified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13"/>
    <x v="30"/>
    <x v="11"/>
    <x v="1"/>
    <n v="5.7263554213937002"/>
    <n v="2E+20"/>
    <n v="0.66732471695547702"/>
    <n v="42.764047605892102"/>
    <n v="116"/>
    <s v="Friday (Solucion: datafono, gofre, cocina y caja compartida)TiempoEnSistemaTodosIntervalUser Specified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14"/>
    <x v="30"/>
    <x v="11"/>
    <x v="1"/>
    <n v="6.0688050211007702"/>
    <n v="2E+20"/>
    <n v="0.54564677089423697"/>
    <n v="34.472039274439503"/>
    <n v="135"/>
    <s v="Friday (Solucion: datafono, gofre, cocina y caja compartida)TiempoEnSistemaTodosIntervalUser Specified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15"/>
    <x v="30"/>
    <x v="11"/>
    <x v="1"/>
    <n v="5.2918619779328004"/>
    <n v="2E+20"/>
    <n v="0.42710492268932398"/>
    <n v="38.964637179729202"/>
    <n v="128"/>
    <s v="Friday (Solucion: datafono, gofre, cocina y caja compartida)TiempoEnSistemaTodosIntervalUser Specified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16"/>
    <x v="30"/>
    <x v="11"/>
    <x v="1"/>
    <n v="5.1069599568864099"/>
    <n v="2E+20"/>
    <n v="0.50900606419733696"/>
    <n v="40.377024852532202"/>
    <n v="131"/>
    <s v="Friday (Solucion: datafono, gofre, cocina y caja compartida)TiempoEnSistemaTodosIntervalUser Specified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17"/>
    <x v="30"/>
    <x v="11"/>
    <x v="1"/>
    <n v="5.7418252784821497"/>
    <n v="2E+20"/>
    <n v="0.57202204234091902"/>
    <n v="42.919398101907198"/>
    <n v="124"/>
    <s v="Friday (Solucion: datafono, gofre, cocina y caja compartida)TiempoEnSistemaTodosIntervalUser Specified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18"/>
    <x v="30"/>
    <x v="11"/>
    <x v="1"/>
    <n v="6.3388926776326597"/>
    <n v="2E+20"/>
    <n v="0.45382681950752601"/>
    <n v="54.081238089079903"/>
    <n v="122"/>
    <s v="Friday (Solucion: datafono, gofre, cocina y caja compartida)TiempoEnSistemaTodosIntervalUser Specified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19"/>
    <x v="30"/>
    <x v="11"/>
    <x v="1"/>
    <n v="4.59328334182731"/>
    <n v="2E+20"/>
    <n v="0.63745372587239002"/>
    <n v="28.7626893681803"/>
    <n v="121"/>
    <s v="Friday (Solucion: datafono, gofre, cocina y caja compartida)TiempoEnSistemaTodosIntervalUser Specified"/>
    <n v="19"/>
    <n v="6.1004830173875275"/>
    <n v="1.9202776678807203"/>
    <n v="0.95"/>
    <n v="0.92554420923468694"/>
    <n v="4.4316568587741703"/>
    <n v="12.691770210246"/>
    <n v="0.42710492268932398"/>
    <n v="61.164243616895902"/>
    <n v="122.36842105263158"/>
    <n v="0.92554420923468694"/>
    <n v="19"/>
    <n v="1"/>
  </r>
  <r>
    <x v="0"/>
    <s v="2025-05-18 18:56:05"/>
    <n v="1"/>
    <x v="31"/>
    <x v="6"/>
    <x v="1"/>
    <n v="0.32985025472577101"/>
    <n v="2E+20"/>
    <n v="1.04544670279836E-2"/>
    <n v="1.7947031420017701"/>
    <n v="150"/>
    <s v="Friday (Solucion: datafono, gofre, cocina y caja compartida)TiempoPagoExpressionUser Specified"/>
    <n v="19"/>
    <n v="0.3256545808151487"/>
    <n v="2.9896306588682073E-2"/>
    <n v="0.95"/>
    <n v="1.4409558525563334E-2"/>
    <n v="0.254905928907871"/>
    <n v="0.37952723924807102"/>
    <n v="7.7143139311317598E-3"/>
    <n v="2.34378124046611"/>
    <n v="122.36842105263158"/>
    <n v="1.4409558525563334E-2"/>
    <n v="19"/>
    <n v="1"/>
  </r>
  <r>
    <x v="0"/>
    <s v="2025-05-18 18:56:05"/>
    <n v="2"/>
    <x v="31"/>
    <x v="6"/>
    <x v="1"/>
    <n v="0.31276328365316303"/>
    <n v="2E+20"/>
    <n v="1.8488432573192898E-2"/>
    <n v="1.84761895605473"/>
    <n v="109"/>
    <s v="Friday (Solucion: datafono, gofre, cocina y caja compartida)TiempoPagoExpressionUser Specified"/>
    <n v="19"/>
    <n v="0.3256545808151487"/>
    <n v="2.9896306588682073E-2"/>
    <n v="0.95"/>
    <n v="1.4409558525563334E-2"/>
    <n v="0.254905928907871"/>
    <n v="0.37952723924807102"/>
    <n v="7.7143139311317598E-3"/>
    <n v="2.34378124046611"/>
    <n v="122.36842105263158"/>
    <n v="1.4409558525563334E-2"/>
    <n v="19"/>
    <n v="1"/>
  </r>
  <r>
    <x v="0"/>
    <s v="2025-05-18 18:56:05"/>
    <n v="3"/>
    <x v="31"/>
    <x v="6"/>
    <x v="1"/>
    <n v="0.34620234191451199"/>
    <n v="2E+20"/>
    <n v="2.31255553534595E-2"/>
    <n v="2.10701815910656"/>
    <n v="115"/>
    <s v="Friday (Solucion: datafono, gofre, cocina y caja compartida)TiempoPagoExpressionUser Specified"/>
    <n v="19"/>
    <n v="0.3256545808151487"/>
    <n v="2.9896306588682073E-2"/>
    <n v="0.95"/>
    <n v="1.4409558525563334E-2"/>
    <n v="0.254905928907871"/>
    <n v="0.37952723924807102"/>
    <n v="7.7143139311317598E-3"/>
    <n v="2.34378124046611"/>
    <n v="122.36842105263158"/>
    <n v="1.4409558525563334E-2"/>
    <n v="19"/>
    <n v="1"/>
  </r>
  <r>
    <x v="0"/>
    <s v="2025-05-18 18:56:05"/>
    <n v="4"/>
    <x v="31"/>
    <x v="6"/>
    <x v="1"/>
    <n v="0.3302301212189"/>
    <n v="2E+20"/>
    <n v="1.36854690215387E-2"/>
    <n v="2.1597984381946"/>
    <n v="116"/>
    <s v="Friday (Solucion: datafono, gofre, cocina y caja compartida)TiempoPagoExpressionUser Specified"/>
    <n v="19"/>
    <n v="0.3256545808151487"/>
    <n v="2.9896306588682073E-2"/>
    <n v="0.95"/>
    <n v="1.4409558525563334E-2"/>
    <n v="0.254905928907871"/>
    <n v="0.37952723924807102"/>
    <n v="7.7143139311317598E-3"/>
    <n v="2.34378124046611"/>
    <n v="122.36842105263158"/>
    <n v="1.4409558525563334E-2"/>
    <n v="19"/>
    <n v="1"/>
  </r>
  <r>
    <x v="0"/>
    <s v="2025-05-18 18:56:05"/>
    <n v="5"/>
    <x v="31"/>
    <x v="6"/>
    <x v="1"/>
    <n v="0.254905928907871"/>
    <n v="2E+20"/>
    <n v="1.3123702130371799E-2"/>
    <n v="0.90168462709739605"/>
    <n v="129"/>
    <s v="Friday (Solucion: datafono, gofre, cocina y caja compartida)TiempoPagoExpressionUser Specified"/>
    <n v="19"/>
    <n v="0.3256545808151487"/>
    <n v="2.9896306588682073E-2"/>
    <n v="0.95"/>
    <n v="1.4409558525563334E-2"/>
    <n v="0.254905928907871"/>
    <n v="0.37952723924807102"/>
    <n v="7.7143139311317598E-3"/>
    <n v="2.34378124046611"/>
    <n v="122.36842105263158"/>
    <n v="1.4409558525563334E-2"/>
    <n v="19"/>
    <n v="1"/>
  </r>
  <r>
    <x v="0"/>
    <s v="2025-05-18 18:56:05"/>
    <n v="6"/>
    <x v="31"/>
    <x v="6"/>
    <x v="1"/>
    <n v="0.32565050249621802"/>
    <n v="2E+20"/>
    <n v="3.3564722613277802E-2"/>
    <n v="1.8056931578900299"/>
    <n v="117"/>
    <s v="Friday (Solucion: datafono, gofre, cocina y caja compartida)TiempoPagoExpressionUser Specified"/>
    <n v="19"/>
    <n v="0.3256545808151487"/>
    <n v="2.9896306588682073E-2"/>
    <n v="0.95"/>
    <n v="1.4409558525563334E-2"/>
    <n v="0.254905928907871"/>
    <n v="0.37952723924807102"/>
    <n v="7.7143139311317598E-3"/>
    <n v="2.34378124046611"/>
    <n v="122.36842105263158"/>
    <n v="1.4409558525563334E-2"/>
    <n v="19"/>
    <n v="1"/>
  </r>
  <r>
    <x v="0"/>
    <s v="2025-05-18 18:56:05"/>
    <n v="7"/>
    <x v="31"/>
    <x v="6"/>
    <x v="1"/>
    <n v="0.37952723924807102"/>
    <n v="2E+20"/>
    <n v="1.07621456128442E-2"/>
    <n v="2.1969649220562002"/>
    <n v="112"/>
    <s v="Friday (Solucion: datafono, gofre, cocina y caja compartida)TiempoPagoExpressionUser Specified"/>
    <n v="19"/>
    <n v="0.3256545808151487"/>
    <n v="2.9896306588682073E-2"/>
    <n v="0.95"/>
    <n v="1.4409558525563334E-2"/>
    <n v="0.254905928907871"/>
    <n v="0.37952723924807102"/>
    <n v="7.7143139311317598E-3"/>
    <n v="2.34378124046611"/>
    <n v="122.36842105263158"/>
    <n v="1.4409558525563334E-2"/>
    <n v="19"/>
    <n v="1"/>
  </r>
  <r>
    <x v="0"/>
    <s v="2025-05-18 18:56:05"/>
    <n v="8"/>
    <x v="31"/>
    <x v="6"/>
    <x v="1"/>
    <n v="0.35335235624884198"/>
    <n v="2E+20"/>
    <n v="9.6289267566334099E-3"/>
    <n v="2.1081380588174699"/>
    <n v="135"/>
    <s v="Friday (Solucion: datafono, gofre, cocina y caja compartida)TiempoPagoExpressionUser Specified"/>
    <n v="19"/>
    <n v="0.3256545808151487"/>
    <n v="2.9896306588682073E-2"/>
    <n v="0.95"/>
    <n v="1.4409558525563334E-2"/>
    <n v="0.254905928907871"/>
    <n v="0.37952723924807102"/>
    <n v="7.7143139311317598E-3"/>
    <n v="2.34378124046611"/>
    <n v="122.36842105263158"/>
    <n v="1.4409558525563334E-2"/>
    <n v="19"/>
    <n v="1"/>
  </r>
  <r>
    <x v="0"/>
    <s v="2025-05-18 18:56:05"/>
    <n v="9"/>
    <x v="31"/>
    <x v="6"/>
    <x v="1"/>
    <n v="0.30586158711763201"/>
    <n v="2E+20"/>
    <n v="5.50413402732488E-2"/>
    <n v="0.81697554779039205"/>
    <n v="114"/>
    <s v="Friday (Solucion: datafono, gofre, cocina y caja compartida)TiempoPagoExpressionUser Specified"/>
    <n v="19"/>
    <n v="0.3256545808151487"/>
    <n v="2.9896306588682073E-2"/>
    <n v="0.95"/>
    <n v="1.4409558525563334E-2"/>
    <n v="0.254905928907871"/>
    <n v="0.37952723924807102"/>
    <n v="7.7143139311317598E-3"/>
    <n v="2.34378124046611"/>
    <n v="122.36842105263158"/>
    <n v="1.4409558525563334E-2"/>
    <n v="19"/>
    <n v="1"/>
  </r>
  <r>
    <x v="0"/>
    <s v="2025-05-18 18:56:05"/>
    <n v="10"/>
    <x v="31"/>
    <x v="6"/>
    <x v="1"/>
    <n v="0.337076278545348"/>
    <n v="2E+20"/>
    <n v="1.2394548481111701E-2"/>
    <n v="1.7746126207755599"/>
    <n v="116"/>
    <s v="Friday (Solucion: datafono, gofre, cocina y caja compartida)TiempoPagoExpressionUser Specified"/>
    <n v="19"/>
    <n v="0.3256545808151487"/>
    <n v="2.9896306588682073E-2"/>
    <n v="0.95"/>
    <n v="1.4409558525563334E-2"/>
    <n v="0.254905928907871"/>
    <n v="0.37952723924807102"/>
    <n v="7.7143139311317598E-3"/>
    <n v="2.34378124046611"/>
    <n v="122.36842105263158"/>
    <n v="1.4409558525563334E-2"/>
    <n v="19"/>
    <n v="1"/>
  </r>
  <r>
    <x v="0"/>
    <s v="2025-05-18 18:56:05"/>
    <n v="11"/>
    <x v="31"/>
    <x v="6"/>
    <x v="1"/>
    <n v="0.35550942903339899"/>
    <n v="2E+20"/>
    <n v="5.0307919448954401E-2"/>
    <n v="2.34378124046611"/>
    <n v="115"/>
    <s v="Friday (Solucion: datafono, gofre, cocina y caja compartida)TiempoPagoExpressionUser Specified"/>
    <n v="19"/>
    <n v="0.3256545808151487"/>
    <n v="2.9896306588682073E-2"/>
    <n v="0.95"/>
    <n v="1.4409558525563334E-2"/>
    <n v="0.254905928907871"/>
    <n v="0.37952723924807102"/>
    <n v="7.7143139311317598E-3"/>
    <n v="2.34378124046611"/>
    <n v="122.36842105263158"/>
    <n v="1.4409558525563334E-2"/>
    <n v="19"/>
    <n v="1"/>
  </r>
  <r>
    <x v="0"/>
    <s v="2025-05-18 18:56:05"/>
    <n v="12"/>
    <x v="31"/>
    <x v="6"/>
    <x v="1"/>
    <n v="0.35223063211255101"/>
    <n v="2E+20"/>
    <n v="1.2844393367743101E-2"/>
    <n v="2.29670504424936"/>
    <n v="120"/>
    <s v="Friday (Solucion: datafono, gofre, cocina y caja compartida)TiempoPagoExpressionUser Specified"/>
    <n v="19"/>
    <n v="0.3256545808151487"/>
    <n v="2.9896306588682073E-2"/>
    <n v="0.95"/>
    <n v="1.4409558525563334E-2"/>
    <n v="0.254905928907871"/>
    <n v="0.37952723924807102"/>
    <n v="7.7143139311317598E-3"/>
    <n v="2.34378124046611"/>
    <n v="122.36842105263158"/>
    <n v="1.4409558525563334E-2"/>
    <n v="19"/>
    <n v="1"/>
  </r>
  <r>
    <x v="0"/>
    <s v="2025-05-18 18:56:05"/>
    <n v="13"/>
    <x v="31"/>
    <x v="6"/>
    <x v="1"/>
    <n v="0.30144946570970299"/>
    <n v="2E+20"/>
    <n v="3.5142078057234002E-2"/>
    <n v="1.58099470885452"/>
    <n v="116"/>
    <s v="Friday (Solucion: datafono, gofre, cocina y caja compartida)TiempoPagoExpressionUser Specified"/>
    <n v="19"/>
    <n v="0.3256545808151487"/>
    <n v="2.9896306588682073E-2"/>
    <n v="0.95"/>
    <n v="1.4409558525563334E-2"/>
    <n v="0.254905928907871"/>
    <n v="0.37952723924807102"/>
    <n v="7.7143139311317598E-3"/>
    <n v="2.34378124046611"/>
    <n v="122.36842105263158"/>
    <n v="1.4409558525563334E-2"/>
    <n v="19"/>
    <n v="1"/>
  </r>
  <r>
    <x v="0"/>
    <s v="2025-05-18 18:56:05"/>
    <n v="14"/>
    <x v="31"/>
    <x v="6"/>
    <x v="1"/>
    <n v="0.34867046234534099"/>
    <n v="2E+20"/>
    <n v="3.4359571868890298E-2"/>
    <n v="1.8939496066312"/>
    <n v="135"/>
    <s v="Friday (Solucion: datafono, gofre, cocina y caja compartida)TiempoPagoExpressionUser Specified"/>
    <n v="19"/>
    <n v="0.3256545808151487"/>
    <n v="2.9896306588682073E-2"/>
    <n v="0.95"/>
    <n v="1.4409558525563334E-2"/>
    <n v="0.254905928907871"/>
    <n v="0.37952723924807102"/>
    <n v="7.7143139311317598E-3"/>
    <n v="2.34378124046611"/>
    <n v="122.36842105263158"/>
    <n v="1.4409558525563334E-2"/>
    <n v="19"/>
    <n v="1"/>
  </r>
  <r>
    <x v="0"/>
    <s v="2025-05-18 18:56:05"/>
    <n v="15"/>
    <x v="31"/>
    <x v="6"/>
    <x v="1"/>
    <n v="0.33435551004403802"/>
    <n v="2E+20"/>
    <n v="7.7143139311317598E-3"/>
    <n v="1.9382405200038899"/>
    <n v="128"/>
    <s v="Friday (Solucion: datafono, gofre, cocina y caja compartida)TiempoPagoExpressionUser Specified"/>
    <n v="19"/>
    <n v="0.3256545808151487"/>
    <n v="2.9896306588682073E-2"/>
    <n v="0.95"/>
    <n v="1.4409558525563334E-2"/>
    <n v="0.254905928907871"/>
    <n v="0.37952723924807102"/>
    <n v="7.7143139311317598E-3"/>
    <n v="2.34378124046611"/>
    <n v="122.36842105263158"/>
    <n v="1.4409558525563334E-2"/>
    <n v="19"/>
    <n v="1"/>
  </r>
  <r>
    <x v="0"/>
    <s v="2025-05-18 18:56:05"/>
    <n v="16"/>
    <x v="31"/>
    <x v="6"/>
    <x v="1"/>
    <n v="0.28401372558141302"/>
    <n v="2E+20"/>
    <n v="1.6604817301640699E-2"/>
    <n v="0.74009212106085398"/>
    <n v="131"/>
    <s v="Friday (Solucion: datafono, gofre, cocina y caja compartida)TiempoPagoExpressionUser Specified"/>
    <n v="19"/>
    <n v="0.3256545808151487"/>
    <n v="2.9896306588682073E-2"/>
    <n v="0.95"/>
    <n v="1.4409558525563334E-2"/>
    <n v="0.254905928907871"/>
    <n v="0.37952723924807102"/>
    <n v="7.7143139311317598E-3"/>
    <n v="2.34378124046611"/>
    <n v="122.36842105263158"/>
    <n v="1.4409558525563334E-2"/>
    <n v="19"/>
    <n v="1"/>
  </r>
  <r>
    <x v="0"/>
    <s v="2025-05-18 18:56:05"/>
    <n v="17"/>
    <x v="31"/>
    <x v="6"/>
    <x v="1"/>
    <n v="0.32384084494681198"/>
    <n v="2E+20"/>
    <n v="1.25171935620614E-2"/>
    <n v="2.0881920245518302"/>
    <n v="124"/>
    <s v="Friday (Solucion: datafono, gofre, cocina y caja compartida)TiempoPagoExpressionUser Specified"/>
    <n v="19"/>
    <n v="0.3256545808151487"/>
    <n v="2.9896306588682073E-2"/>
    <n v="0.95"/>
    <n v="1.4409558525563334E-2"/>
    <n v="0.254905928907871"/>
    <n v="0.37952723924807102"/>
    <n v="7.7143139311317598E-3"/>
    <n v="2.34378124046611"/>
    <n v="122.36842105263158"/>
    <n v="1.4409558525563334E-2"/>
    <n v="19"/>
    <n v="1"/>
  </r>
  <r>
    <x v="0"/>
    <s v="2025-05-18 18:56:05"/>
    <n v="18"/>
    <x v="31"/>
    <x v="6"/>
    <x v="1"/>
    <n v="0.28402599397318501"/>
    <n v="2E+20"/>
    <n v="1.8665397697589001E-2"/>
    <n v="0.83348682950257602"/>
    <n v="122"/>
    <s v="Friday (Solucion: datafono, gofre, cocina y caja compartida)TiempoPagoExpressionUser Specified"/>
    <n v="19"/>
    <n v="0.3256545808151487"/>
    <n v="2.9896306588682073E-2"/>
    <n v="0.95"/>
    <n v="1.4409558525563334E-2"/>
    <n v="0.254905928907871"/>
    <n v="0.37952723924807102"/>
    <n v="7.7143139311317598E-3"/>
    <n v="2.34378124046611"/>
    <n v="122.36842105263158"/>
    <n v="1.4409558525563334E-2"/>
    <n v="19"/>
    <n v="1"/>
  </r>
  <r>
    <x v="0"/>
    <s v="2025-05-18 18:56:05"/>
    <n v="19"/>
    <x v="31"/>
    <x v="6"/>
    <x v="1"/>
    <n v="0.32792107766505602"/>
    <n v="2E+20"/>
    <n v="3.8358789772132702E-2"/>
    <n v="1.71413279501365"/>
    <n v="121"/>
    <s v="Friday (Solucion: datafono, gofre, cocina y caja compartida)TiempoPagoExpressionUser Specified"/>
    <n v="19"/>
    <n v="0.3256545808151487"/>
    <n v="2.9896306588682073E-2"/>
    <n v="0.95"/>
    <n v="1.4409558525563334E-2"/>
    <n v="0.254905928907871"/>
    <n v="0.37952723924807102"/>
    <n v="7.7143139311317598E-3"/>
    <n v="2.34378124046611"/>
    <n v="122.36842105263158"/>
    <n v="1.4409558525563334E-2"/>
    <n v="19"/>
    <n v="1"/>
  </r>
  <r>
    <x v="0"/>
    <s v="2025-05-18 18:56:05"/>
    <n v="1"/>
    <x v="32"/>
    <x v="6"/>
    <x v="1"/>
    <n v="0.34068822893337097"/>
    <n v="2E+20"/>
    <n v="3.6332865054561098E-2"/>
    <n v="1.1254827335592399"/>
    <n v="150"/>
    <s v="Friday (Solucion: datafono, gofre, cocina y caja compartida)TiempoPedidoExpressionUser Specified"/>
    <n v="19"/>
    <n v="0.30942332048567528"/>
    <n v="1.8447793739684307E-2"/>
    <n v="0.95"/>
    <n v="8.8915519638180264E-3"/>
    <n v="0.27409788076790698"/>
    <n v="0.34566100502619002"/>
    <n v="2.7295964517620099E-2"/>
    <n v="1.3578592622225301"/>
    <n v="122.36842105263158"/>
    <n v="8.8915519638180264E-3"/>
    <n v="19"/>
    <n v="1"/>
  </r>
  <r>
    <x v="0"/>
    <s v="2025-05-18 18:56:05"/>
    <n v="2"/>
    <x v="32"/>
    <x v="6"/>
    <x v="1"/>
    <n v="0.30174041009956498"/>
    <n v="2E+20"/>
    <n v="3.2691388069679299E-2"/>
    <n v="1.30125691063139"/>
    <n v="109"/>
    <s v="Friday (Solucion: datafono, gofre, cocina y caja compartida)TiempoPedidoExpressionUser Specified"/>
    <n v="19"/>
    <n v="0.30942332048567528"/>
    <n v="1.8447793739684307E-2"/>
    <n v="0.95"/>
    <n v="8.8915519638180264E-3"/>
    <n v="0.27409788076790698"/>
    <n v="0.34566100502619002"/>
    <n v="2.7295964517620099E-2"/>
    <n v="1.3578592622225301"/>
    <n v="122.36842105263158"/>
    <n v="8.8915519638180264E-3"/>
    <n v="19"/>
    <n v="1"/>
  </r>
  <r>
    <x v="0"/>
    <s v="2025-05-18 18:56:05"/>
    <n v="3"/>
    <x v="32"/>
    <x v="6"/>
    <x v="1"/>
    <n v="0.32262956680430299"/>
    <n v="2E+20"/>
    <n v="5.3475730445683198E-2"/>
    <n v="1.3578592622225301"/>
    <n v="115"/>
    <s v="Friday (Solucion: datafono, gofre, cocina y caja compartida)TiempoPedidoExpressionUser Specified"/>
    <n v="19"/>
    <n v="0.30942332048567528"/>
    <n v="1.8447793739684307E-2"/>
    <n v="0.95"/>
    <n v="8.8915519638180264E-3"/>
    <n v="0.27409788076790698"/>
    <n v="0.34566100502619002"/>
    <n v="2.7295964517620099E-2"/>
    <n v="1.3578592622225301"/>
    <n v="122.36842105263158"/>
    <n v="8.8915519638180264E-3"/>
    <n v="19"/>
    <n v="1"/>
  </r>
  <r>
    <x v="0"/>
    <s v="2025-05-18 18:56:05"/>
    <n v="4"/>
    <x v="32"/>
    <x v="6"/>
    <x v="1"/>
    <n v="0.32121627682439802"/>
    <n v="2E+20"/>
    <n v="3.4985691403335302E-2"/>
    <n v="0.97320538721399397"/>
    <n v="116"/>
    <s v="Friday (Solucion: datafono, gofre, cocina y caja compartida)TiempoPedidoExpressionUser Specified"/>
    <n v="19"/>
    <n v="0.30942332048567528"/>
    <n v="1.8447793739684307E-2"/>
    <n v="0.95"/>
    <n v="8.8915519638180264E-3"/>
    <n v="0.27409788076790698"/>
    <n v="0.34566100502619002"/>
    <n v="2.7295964517620099E-2"/>
    <n v="1.3578592622225301"/>
    <n v="122.36842105263158"/>
    <n v="8.8915519638180264E-3"/>
    <n v="19"/>
    <n v="1"/>
  </r>
  <r>
    <x v="0"/>
    <s v="2025-05-18 18:56:05"/>
    <n v="5"/>
    <x v="32"/>
    <x v="6"/>
    <x v="1"/>
    <n v="0.29975502428012202"/>
    <n v="2E+20"/>
    <n v="2.7295964517620099E-2"/>
    <n v="1.0232158211595399"/>
    <n v="129"/>
    <s v="Friday (Solucion: datafono, gofre, cocina y caja compartida)TiempoPedidoExpressionUser Specified"/>
    <n v="19"/>
    <n v="0.30942332048567528"/>
    <n v="1.8447793739684307E-2"/>
    <n v="0.95"/>
    <n v="8.8915519638180264E-3"/>
    <n v="0.27409788076790698"/>
    <n v="0.34566100502619002"/>
    <n v="2.7295964517620099E-2"/>
    <n v="1.3578592622225301"/>
    <n v="122.36842105263158"/>
    <n v="8.8915519638180264E-3"/>
    <n v="19"/>
    <n v="1"/>
  </r>
  <r>
    <x v="0"/>
    <s v="2025-05-18 18:56:05"/>
    <n v="6"/>
    <x v="32"/>
    <x v="6"/>
    <x v="1"/>
    <n v="0.32140058418511902"/>
    <n v="2E+20"/>
    <n v="3.3565205325928098E-2"/>
    <n v="1.2035509078425"/>
    <n v="117"/>
    <s v="Friday (Solucion: datafono, gofre, cocina y caja compartida)TiempoPedidoExpressionUser Specified"/>
    <n v="19"/>
    <n v="0.30942332048567528"/>
    <n v="1.8447793739684307E-2"/>
    <n v="0.95"/>
    <n v="8.8915519638180264E-3"/>
    <n v="0.27409788076790698"/>
    <n v="0.34566100502619002"/>
    <n v="2.7295964517620099E-2"/>
    <n v="1.3578592622225301"/>
    <n v="122.36842105263158"/>
    <n v="8.8915519638180264E-3"/>
    <n v="19"/>
    <n v="1"/>
  </r>
  <r>
    <x v="0"/>
    <s v="2025-05-18 18:56:05"/>
    <n v="7"/>
    <x v="32"/>
    <x v="6"/>
    <x v="1"/>
    <n v="0.32893644944573103"/>
    <n v="2E+20"/>
    <n v="2.9708481357886299E-2"/>
    <n v="0.81018957858330498"/>
    <n v="112"/>
    <s v="Friday (Solucion: datafono, gofre, cocina y caja compartida)TiempoPedidoExpressionUser Specified"/>
    <n v="19"/>
    <n v="0.30942332048567528"/>
    <n v="1.8447793739684307E-2"/>
    <n v="0.95"/>
    <n v="8.8915519638180264E-3"/>
    <n v="0.27409788076790698"/>
    <n v="0.34566100502619002"/>
    <n v="2.7295964517620099E-2"/>
    <n v="1.3578592622225301"/>
    <n v="122.36842105263158"/>
    <n v="8.8915519638180264E-3"/>
    <n v="19"/>
    <n v="1"/>
  </r>
  <r>
    <x v="0"/>
    <s v="2025-05-18 18:56:05"/>
    <n v="8"/>
    <x v="32"/>
    <x v="6"/>
    <x v="1"/>
    <n v="0.31206000462417299"/>
    <n v="2E+20"/>
    <n v="3.15929628477747E-2"/>
    <n v="1.1916587921259401"/>
    <n v="135"/>
    <s v="Friday (Solucion: datafono, gofre, cocina y caja compartida)TiempoPedidoExpressionUser Specified"/>
    <n v="19"/>
    <n v="0.30942332048567528"/>
    <n v="1.8447793739684307E-2"/>
    <n v="0.95"/>
    <n v="8.8915519638180264E-3"/>
    <n v="0.27409788076790698"/>
    <n v="0.34566100502619002"/>
    <n v="2.7295964517620099E-2"/>
    <n v="1.3578592622225301"/>
    <n v="122.36842105263158"/>
    <n v="8.8915519638180264E-3"/>
    <n v="19"/>
    <n v="1"/>
  </r>
  <r>
    <x v="0"/>
    <s v="2025-05-18 18:56:05"/>
    <n v="9"/>
    <x v="32"/>
    <x v="6"/>
    <x v="1"/>
    <n v="0.32279213942045198"/>
    <n v="2E+20"/>
    <n v="3.7208010601062803E-2"/>
    <n v="1.0494109444083199"/>
    <n v="114"/>
    <s v="Friday (Solucion: datafono, gofre, cocina y caja compartida)TiempoPedidoExpressionUser Specified"/>
    <n v="19"/>
    <n v="0.30942332048567528"/>
    <n v="1.8447793739684307E-2"/>
    <n v="0.95"/>
    <n v="8.8915519638180264E-3"/>
    <n v="0.27409788076790698"/>
    <n v="0.34566100502619002"/>
    <n v="2.7295964517620099E-2"/>
    <n v="1.3578592622225301"/>
    <n v="122.36842105263158"/>
    <n v="8.8915519638180264E-3"/>
    <n v="19"/>
    <n v="1"/>
  </r>
  <r>
    <x v="0"/>
    <s v="2025-05-18 18:56:05"/>
    <n v="10"/>
    <x v="32"/>
    <x v="6"/>
    <x v="1"/>
    <n v="0.34566100502619002"/>
    <n v="2E+20"/>
    <n v="4.4039780477021402E-2"/>
    <n v="1.2124289806024799"/>
    <n v="116"/>
    <s v="Friday (Solucion: datafono, gofre, cocina y caja compartida)TiempoPedidoExpressionUser Specified"/>
    <n v="19"/>
    <n v="0.30942332048567528"/>
    <n v="1.8447793739684307E-2"/>
    <n v="0.95"/>
    <n v="8.8915519638180264E-3"/>
    <n v="0.27409788076790698"/>
    <n v="0.34566100502619002"/>
    <n v="2.7295964517620099E-2"/>
    <n v="1.3578592622225301"/>
    <n v="122.36842105263158"/>
    <n v="8.8915519638180264E-3"/>
    <n v="19"/>
    <n v="1"/>
  </r>
  <r>
    <x v="0"/>
    <s v="2025-05-18 18:56:05"/>
    <n v="11"/>
    <x v="32"/>
    <x v="6"/>
    <x v="1"/>
    <n v="0.29018771023844597"/>
    <n v="2E+20"/>
    <n v="3.6342852181689998E-2"/>
    <n v="0.84178935787227305"/>
    <n v="115"/>
    <s v="Friday (Solucion: datafono, gofre, cocina y caja compartida)TiempoPedidoExpressionUser Specified"/>
    <n v="19"/>
    <n v="0.30942332048567528"/>
    <n v="1.8447793739684307E-2"/>
    <n v="0.95"/>
    <n v="8.8915519638180264E-3"/>
    <n v="0.27409788076790698"/>
    <n v="0.34566100502619002"/>
    <n v="2.7295964517620099E-2"/>
    <n v="1.3578592622225301"/>
    <n v="122.36842105263158"/>
    <n v="8.8915519638180264E-3"/>
    <n v="19"/>
    <n v="1"/>
  </r>
  <r>
    <x v="0"/>
    <s v="2025-05-18 18:56:05"/>
    <n v="12"/>
    <x v="32"/>
    <x v="6"/>
    <x v="1"/>
    <n v="0.29189041378244701"/>
    <n v="2E+20"/>
    <n v="3.10299731586667E-2"/>
    <n v="1.03414098983842"/>
    <n v="120"/>
    <s v="Friday (Solucion: datafono, gofre, cocina y caja compartida)TiempoPedidoExpressionUser Specified"/>
    <n v="19"/>
    <n v="0.30942332048567528"/>
    <n v="1.8447793739684307E-2"/>
    <n v="0.95"/>
    <n v="8.8915519638180264E-3"/>
    <n v="0.27409788076790698"/>
    <n v="0.34566100502619002"/>
    <n v="2.7295964517620099E-2"/>
    <n v="1.3578592622225301"/>
    <n v="122.36842105263158"/>
    <n v="8.8915519638180264E-3"/>
    <n v="19"/>
    <n v="1"/>
  </r>
  <r>
    <x v="0"/>
    <s v="2025-05-18 18:56:05"/>
    <n v="13"/>
    <x v="32"/>
    <x v="6"/>
    <x v="1"/>
    <n v="0.30606106379374698"/>
    <n v="2E+20"/>
    <n v="2.8807272420088698E-2"/>
    <n v="1.24290008737611"/>
    <n v="116"/>
    <s v="Friday (Solucion: datafono, gofre, cocina y caja compartida)TiempoPedidoExpressionUser Specified"/>
    <n v="19"/>
    <n v="0.30942332048567528"/>
    <n v="1.8447793739684307E-2"/>
    <n v="0.95"/>
    <n v="8.8915519638180264E-3"/>
    <n v="0.27409788076790698"/>
    <n v="0.34566100502619002"/>
    <n v="2.7295964517620099E-2"/>
    <n v="1.3578592622225301"/>
    <n v="122.36842105263158"/>
    <n v="8.8915519638180264E-3"/>
    <n v="19"/>
    <n v="1"/>
  </r>
  <r>
    <x v="0"/>
    <s v="2025-05-18 18:56:05"/>
    <n v="14"/>
    <x v="32"/>
    <x v="6"/>
    <x v="1"/>
    <n v="0.28900406127390499"/>
    <n v="2E+20"/>
    <n v="3.3918669767985E-2"/>
    <n v="0.87043292760920099"/>
    <n v="135"/>
    <s v="Friday (Solucion: datafono, gofre, cocina y caja compartida)TiempoPedidoExpressionUser Specified"/>
    <n v="19"/>
    <n v="0.30942332048567528"/>
    <n v="1.8447793739684307E-2"/>
    <n v="0.95"/>
    <n v="8.8915519638180264E-3"/>
    <n v="0.27409788076790698"/>
    <n v="0.34566100502619002"/>
    <n v="2.7295964517620099E-2"/>
    <n v="1.3578592622225301"/>
    <n v="122.36842105263158"/>
    <n v="8.8915519638180264E-3"/>
    <n v="19"/>
    <n v="1"/>
  </r>
  <r>
    <x v="0"/>
    <s v="2025-05-18 18:56:05"/>
    <n v="15"/>
    <x v="32"/>
    <x v="6"/>
    <x v="1"/>
    <n v="0.30010162280610497"/>
    <n v="2E+20"/>
    <n v="3.3346523162805397E-2"/>
    <n v="0.80052104397313395"/>
    <n v="128"/>
    <s v="Friday (Solucion: datafono, gofre, cocina y caja compartida)TiempoPedidoExpressionUser Specified"/>
    <n v="19"/>
    <n v="0.30942332048567528"/>
    <n v="1.8447793739684307E-2"/>
    <n v="0.95"/>
    <n v="8.8915519638180264E-3"/>
    <n v="0.27409788076790698"/>
    <n v="0.34566100502619002"/>
    <n v="2.7295964517620099E-2"/>
    <n v="1.3578592622225301"/>
    <n v="122.36842105263158"/>
    <n v="8.8915519638180264E-3"/>
    <n v="19"/>
    <n v="1"/>
  </r>
  <r>
    <x v="0"/>
    <s v="2025-05-18 18:56:05"/>
    <n v="16"/>
    <x v="32"/>
    <x v="6"/>
    <x v="1"/>
    <n v="0.29819761495284097"/>
    <n v="2E+20"/>
    <n v="5.1668077727015302E-2"/>
    <n v="1.02537441700147"/>
    <n v="131"/>
    <s v="Friday (Solucion: datafono, gofre, cocina y caja compartida)TiempoPedidoExpressionUser Specified"/>
    <n v="19"/>
    <n v="0.30942332048567528"/>
    <n v="1.8447793739684307E-2"/>
    <n v="0.95"/>
    <n v="8.8915519638180264E-3"/>
    <n v="0.27409788076790698"/>
    <n v="0.34566100502619002"/>
    <n v="2.7295964517620099E-2"/>
    <n v="1.3578592622225301"/>
    <n v="122.36842105263158"/>
    <n v="8.8915519638180264E-3"/>
    <n v="19"/>
    <n v="1"/>
  </r>
  <r>
    <x v="0"/>
    <s v="2025-05-18 18:56:05"/>
    <n v="17"/>
    <x v="32"/>
    <x v="6"/>
    <x v="1"/>
    <n v="0.27409788076790698"/>
    <n v="2E+20"/>
    <n v="3.1975835765393902E-2"/>
    <n v="1.0744399206973601"/>
    <n v="124"/>
    <s v="Friday (Solucion: datafono, gofre, cocina y caja compartida)TiempoPedidoExpressionUser Specified"/>
    <n v="19"/>
    <n v="0.30942332048567528"/>
    <n v="1.8447793739684307E-2"/>
    <n v="0.95"/>
    <n v="8.8915519638180264E-3"/>
    <n v="0.27409788076790698"/>
    <n v="0.34566100502619002"/>
    <n v="2.7295964517620099E-2"/>
    <n v="1.3578592622225301"/>
    <n v="122.36842105263158"/>
    <n v="8.8915519638180264E-3"/>
    <n v="19"/>
    <n v="1"/>
  </r>
  <r>
    <x v="0"/>
    <s v="2025-05-18 18:56:05"/>
    <n v="18"/>
    <x v="32"/>
    <x v="6"/>
    <x v="1"/>
    <n v="0.30025293449221002"/>
    <n v="2E+20"/>
    <n v="3.0771398004731099E-2"/>
    <n v="1.0201468279618999"/>
    <n v="122"/>
    <s v="Friday (Solucion: datafono, gofre, cocina y caja compartida)TiempoPedidoExpressionUser Specified"/>
    <n v="19"/>
    <n v="0.30942332048567528"/>
    <n v="1.8447793739684307E-2"/>
    <n v="0.95"/>
    <n v="8.8915519638180264E-3"/>
    <n v="0.27409788076790698"/>
    <n v="0.34566100502619002"/>
    <n v="2.7295964517620099E-2"/>
    <n v="1.3578592622225301"/>
    <n v="122.36842105263158"/>
    <n v="8.8915519638180264E-3"/>
    <n v="19"/>
    <n v="1"/>
  </r>
  <r>
    <x v="0"/>
    <s v="2025-05-18 18:56:05"/>
    <n v="19"/>
    <x v="32"/>
    <x v="6"/>
    <x v="1"/>
    <n v="0.312370097476798"/>
    <n v="2E+20"/>
    <n v="4.4950642078305202E-2"/>
    <n v="0.94804765579124295"/>
    <n v="121"/>
    <s v="Friday (Solucion: datafono, gofre, cocina y caja compartida)TiempoPedidoExpressionUser Specified"/>
    <n v="19"/>
    <n v="0.30942332048567528"/>
    <n v="1.8447793739684307E-2"/>
    <n v="0.95"/>
    <n v="8.8915519638180264E-3"/>
    <n v="0.27409788076790698"/>
    <n v="0.34566100502619002"/>
    <n v="2.7295964517620099E-2"/>
    <n v="1.3578592622225301"/>
    <n v="122.36842105263158"/>
    <n v="8.8915519638180264E-3"/>
    <n v="19"/>
    <n v="1"/>
  </r>
  <r>
    <x v="0"/>
    <s v="2025-05-18 18:56:05"/>
    <n v="1"/>
    <x v="33"/>
    <x v="6"/>
    <x v="1"/>
    <n v="22.3932978203521"/>
    <n v="2E+20"/>
    <n v="20.867460976460301"/>
    <n v="31.574504495586101"/>
    <n v="150"/>
    <s v="Friday (Solucion: datafono, gofre, cocina y caja compartida)TiempoPromEnMesaExpressionUser Specified"/>
    <n v="19"/>
    <n v="17.206313798024606"/>
    <n v="3.7886051578243847"/>
    <n v="0.95"/>
    <n v="1.826049234208371"/>
    <n v="10.9249913192987"/>
    <n v="22.866424489953602"/>
    <n v="0"/>
    <n v="34.374891013709401"/>
    <n v="122.36842105263158"/>
    <n v="1.826049234208371"/>
    <n v="19"/>
    <n v="1"/>
  </r>
  <r>
    <x v="0"/>
    <s v="2025-05-18 18:56:05"/>
    <n v="2"/>
    <x v="33"/>
    <x v="6"/>
    <x v="1"/>
    <n v="18.984465624564301"/>
    <n v="2E+20"/>
    <n v="17.498014439900999"/>
    <n v="25.0516020619601"/>
    <n v="109"/>
    <s v="Friday (Solucion: datafono, gofre, cocina y caja compartida)TiempoPromEnMesaExpressionUser Specified"/>
    <n v="19"/>
    <n v="17.206313798024606"/>
    <n v="3.7886051578243847"/>
    <n v="0.95"/>
    <n v="1.826049234208371"/>
    <n v="10.9249913192987"/>
    <n v="22.866424489953602"/>
    <n v="0"/>
    <n v="34.374891013709401"/>
    <n v="122.36842105263158"/>
    <n v="1.826049234208371"/>
    <n v="19"/>
    <n v="1"/>
  </r>
  <r>
    <x v="0"/>
    <s v="2025-05-18 18:56:05"/>
    <n v="3"/>
    <x v="33"/>
    <x v="6"/>
    <x v="1"/>
    <n v="17.690995600175299"/>
    <n v="2E+20"/>
    <n v="0"/>
    <n v="25.037856745776601"/>
    <n v="115"/>
    <s v="Friday (Solucion: datafono, gofre, cocina y caja compartida)TiempoPromEnMesaExpressionUser Specified"/>
    <n v="19"/>
    <n v="17.206313798024606"/>
    <n v="3.7886051578243847"/>
    <n v="0.95"/>
    <n v="1.826049234208371"/>
    <n v="10.9249913192987"/>
    <n v="22.866424489953602"/>
    <n v="0"/>
    <n v="34.374891013709401"/>
    <n v="122.36842105263158"/>
    <n v="1.826049234208371"/>
    <n v="19"/>
    <n v="1"/>
  </r>
  <r>
    <x v="0"/>
    <s v="2025-05-18 18:56:05"/>
    <n v="4"/>
    <x v="33"/>
    <x v="6"/>
    <x v="1"/>
    <n v="11.4392429514899"/>
    <n v="2E+20"/>
    <n v="0"/>
    <n v="19.8109468349327"/>
    <n v="116"/>
    <s v="Friday (Solucion: datafono, gofre, cocina y caja compartida)TiempoPromEnMesaExpressionUser Specified"/>
    <n v="19"/>
    <n v="17.206313798024606"/>
    <n v="3.7886051578243847"/>
    <n v="0.95"/>
    <n v="1.826049234208371"/>
    <n v="10.9249913192987"/>
    <n v="22.866424489953602"/>
    <n v="0"/>
    <n v="34.374891013709401"/>
    <n v="122.36842105263158"/>
    <n v="1.826049234208371"/>
    <n v="19"/>
    <n v="1"/>
  </r>
  <r>
    <x v="0"/>
    <s v="2025-05-18 18:56:05"/>
    <n v="5"/>
    <x v="33"/>
    <x v="6"/>
    <x v="1"/>
    <n v="16.640998754637501"/>
    <n v="2E+20"/>
    <n v="8.5496079165879699"/>
    <n v="19.651254552665002"/>
    <n v="129"/>
    <s v="Friday (Solucion: datafono, gofre, cocina y caja compartida)TiempoPromEnMesaExpressionUser Specified"/>
    <n v="19"/>
    <n v="17.206313798024606"/>
    <n v="3.7886051578243847"/>
    <n v="0.95"/>
    <n v="1.826049234208371"/>
    <n v="10.9249913192987"/>
    <n v="22.866424489953602"/>
    <n v="0"/>
    <n v="34.374891013709401"/>
    <n v="122.36842105263158"/>
    <n v="1.826049234208371"/>
    <n v="19"/>
    <n v="1"/>
  </r>
  <r>
    <x v="0"/>
    <s v="2025-05-18 18:56:05"/>
    <n v="6"/>
    <x v="33"/>
    <x v="6"/>
    <x v="1"/>
    <n v="18.326527987564099"/>
    <n v="2E+20"/>
    <n v="15.9568624069253"/>
    <n v="22.435921006349002"/>
    <n v="117"/>
    <s v="Friday (Solucion: datafono, gofre, cocina y caja compartida)TiempoPromEnMesaExpressionUser Specified"/>
    <n v="19"/>
    <n v="17.206313798024606"/>
    <n v="3.7886051578243847"/>
    <n v="0.95"/>
    <n v="1.826049234208371"/>
    <n v="10.9249913192987"/>
    <n v="22.866424489953602"/>
    <n v="0"/>
    <n v="34.374891013709401"/>
    <n v="122.36842105263158"/>
    <n v="1.826049234208371"/>
    <n v="19"/>
    <n v="1"/>
  </r>
  <r>
    <x v="0"/>
    <s v="2025-05-18 18:56:05"/>
    <n v="7"/>
    <x v="33"/>
    <x v="6"/>
    <x v="1"/>
    <n v="12.749055579761601"/>
    <n v="2E+20"/>
    <n v="0"/>
    <n v="16.7366646348583"/>
    <n v="112"/>
    <s v="Friday (Solucion: datafono, gofre, cocina y caja compartida)TiempoPromEnMesaExpressionUser Specified"/>
    <n v="19"/>
    <n v="17.206313798024606"/>
    <n v="3.7886051578243847"/>
    <n v="0.95"/>
    <n v="1.826049234208371"/>
    <n v="10.9249913192987"/>
    <n v="22.866424489953602"/>
    <n v="0"/>
    <n v="34.374891013709401"/>
    <n v="122.36842105263158"/>
    <n v="1.826049234208371"/>
    <n v="19"/>
    <n v="1"/>
  </r>
  <r>
    <x v="0"/>
    <s v="2025-05-18 18:56:05"/>
    <n v="8"/>
    <x v="33"/>
    <x v="6"/>
    <x v="1"/>
    <n v="17.3381774302051"/>
    <n v="2E+20"/>
    <n v="0"/>
    <n v="19.024468023680001"/>
    <n v="135"/>
    <s v="Friday (Solucion: datafono, gofre, cocina y caja compartida)TiempoPromEnMesaExpressionUser Specified"/>
    <n v="19"/>
    <n v="17.206313798024606"/>
    <n v="3.7886051578243847"/>
    <n v="0.95"/>
    <n v="1.826049234208371"/>
    <n v="10.9249913192987"/>
    <n v="22.866424489953602"/>
    <n v="0"/>
    <n v="34.374891013709401"/>
    <n v="122.36842105263158"/>
    <n v="1.826049234208371"/>
    <n v="19"/>
    <n v="1"/>
  </r>
  <r>
    <x v="0"/>
    <s v="2025-05-18 18:56:05"/>
    <n v="9"/>
    <x v="33"/>
    <x v="6"/>
    <x v="1"/>
    <n v="14.993869773570101"/>
    <n v="2E+20"/>
    <n v="0"/>
    <n v="20.975024443674901"/>
    <n v="114"/>
    <s v="Friday (Solucion: datafono, gofre, cocina y caja compartida)TiempoPromEnMesaExpressionUser Specified"/>
    <n v="19"/>
    <n v="17.206313798024606"/>
    <n v="3.7886051578243847"/>
    <n v="0.95"/>
    <n v="1.826049234208371"/>
    <n v="10.9249913192987"/>
    <n v="22.866424489953602"/>
    <n v="0"/>
    <n v="34.374891013709401"/>
    <n v="122.36842105263158"/>
    <n v="1.826049234208371"/>
    <n v="19"/>
    <n v="1"/>
  </r>
  <r>
    <x v="0"/>
    <s v="2025-05-18 18:56:05"/>
    <n v="10"/>
    <x v="33"/>
    <x v="6"/>
    <x v="1"/>
    <n v="13.3280034835342"/>
    <n v="2E+20"/>
    <n v="0"/>
    <n v="17.5379961470727"/>
    <n v="116"/>
    <s v="Friday (Solucion: datafono, gofre, cocina y caja compartida)TiempoPromEnMesaExpressionUser Specified"/>
    <n v="19"/>
    <n v="17.206313798024606"/>
    <n v="3.7886051578243847"/>
    <n v="0.95"/>
    <n v="1.826049234208371"/>
    <n v="10.9249913192987"/>
    <n v="22.866424489953602"/>
    <n v="0"/>
    <n v="34.374891013709401"/>
    <n v="122.36842105263158"/>
    <n v="1.826049234208371"/>
    <n v="19"/>
    <n v="1"/>
  </r>
  <r>
    <x v="0"/>
    <s v="2025-05-18 18:56:05"/>
    <n v="11"/>
    <x v="33"/>
    <x v="6"/>
    <x v="1"/>
    <n v="10.9249913192987"/>
    <n v="2E+20"/>
    <n v="0"/>
    <n v="14.2546755862785"/>
    <n v="115"/>
    <s v="Friday (Solucion: datafono, gofre, cocina y caja compartida)TiempoPromEnMesaExpressionUser Specified"/>
    <n v="19"/>
    <n v="17.206313798024606"/>
    <n v="3.7886051578243847"/>
    <n v="0.95"/>
    <n v="1.826049234208371"/>
    <n v="10.9249913192987"/>
    <n v="22.866424489953602"/>
    <n v="0"/>
    <n v="34.374891013709401"/>
    <n v="122.36842105263158"/>
    <n v="1.826049234208371"/>
    <n v="19"/>
    <n v="1"/>
  </r>
  <r>
    <x v="0"/>
    <s v="2025-05-18 18:56:05"/>
    <n v="12"/>
    <x v="33"/>
    <x v="6"/>
    <x v="1"/>
    <n v="21.700197518603002"/>
    <n v="2E+20"/>
    <n v="0"/>
    <n v="31.410110505773002"/>
    <n v="120"/>
    <s v="Friday (Solucion: datafono, gofre, cocina y caja compartida)TiempoPromEnMesaExpressionUser Specified"/>
    <n v="19"/>
    <n v="17.206313798024606"/>
    <n v="3.7886051578243847"/>
    <n v="0.95"/>
    <n v="1.826049234208371"/>
    <n v="10.9249913192987"/>
    <n v="22.866424489953602"/>
    <n v="0"/>
    <n v="34.374891013709401"/>
    <n v="122.36842105263158"/>
    <n v="1.826049234208371"/>
    <n v="19"/>
    <n v="1"/>
  </r>
  <r>
    <x v="0"/>
    <s v="2025-05-18 18:56:05"/>
    <n v="13"/>
    <x v="33"/>
    <x v="6"/>
    <x v="1"/>
    <n v="22.866424489953602"/>
    <n v="2E+20"/>
    <n v="0"/>
    <n v="32.627952325797203"/>
    <n v="116"/>
    <s v="Friday (Solucion: datafono, gofre, cocina y caja compartida)TiempoPromEnMesaExpressionUser Specified"/>
    <n v="19"/>
    <n v="17.206313798024606"/>
    <n v="3.7886051578243847"/>
    <n v="0.95"/>
    <n v="1.826049234208371"/>
    <n v="10.9249913192987"/>
    <n v="22.866424489953602"/>
    <n v="0"/>
    <n v="34.374891013709401"/>
    <n v="122.36842105263158"/>
    <n v="1.826049234208371"/>
    <n v="19"/>
    <n v="1"/>
  </r>
  <r>
    <x v="0"/>
    <s v="2025-05-18 18:56:05"/>
    <n v="14"/>
    <x v="33"/>
    <x v="6"/>
    <x v="1"/>
    <n v="18.1288208179637"/>
    <n v="2E+20"/>
    <n v="16.106995028483801"/>
    <n v="21.8291059759473"/>
    <n v="135"/>
    <s v="Friday (Solucion: datafono, gofre, cocina y caja compartida)TiempoPromEnMesaExpressionUser Specified"/>
    <n v="19"/>
    <n v="17.206313798024606"/>
    <n v="3.7886051578243847"/>
    <n v="0.95"/>
    <n v="1.826049234208371"/>
    <n v="10.9249913192987"/>
    <n v="22.866424489953602"/>
    <n v="0"/>
    <n v="34.374891013709401"/>
    <n v="122.36842105263158"/>
    <n v="1.826049234208371"/>
    <n v="19"/>
    <n v="1"/>
  </r>
  <r>
    <x v="0"/>
    <s v="2025-05-18 18:56:05"/>
    <n v="15"/>
    <x v="33"/>
    <x v="6"/>
    <x v="1"/>
    <n v="20.645260238418899"/>
    <n v="2E+20"/>
    <n v="0"/>
    <n v="23.7453739010218"/>
    <n v="128"/>
    <s v="Friday (Solucion: datafono, gofre, cocina y caja compartida)TiempoPromEnMesaExpressionUser Specified"/>
    <n v="19"/>
    <n v="17.206313798024606"/>
    <n v="3.7886051578243847"/>
    <n v="0.95"/>
    <n v="1.826049234208371"/>
    <n v="10.9249913192987"/>
    <n v="22.866424489953602"/>
    <n v="0"/>
    <n v="34.374891013709401"/>
    <n v="122.36842105263158"/>
    <n v="1.826049234208371"/>
    <n v="19"/>
    <n v="1"/>
  </r>
  <r>
    <x v="0"/>
    <s v="2025-05-18 18:56:05"/>
    <n v="16"/>
    <x v="33"/>
    <x v="6"/>
    <x v="1"/>
    <n v="16.603546107817699"/>
    <n v="2E+20"/>
    <n v="0"/>
    <n v="20.818240770479299"/>
    <n v="131"/>
    <s v="Friday (Solucion: datafono, gofre, cocina y caja compartida)TiempoPromEnMesaExpressionUser Specified"/>
    <n v="19"/>
    <n v="17.206313798024606"/>
    <n v="3.7886051578243847"/>
    <n v="0.95"/>
    <n v="1.826049234208371"/>
    <n v="10.9249913192987"/>
    <n v="22.866424489953602"/>
    <n v="0"/>
    <n v="34.374891013709401"/>
    <n v="122.36842105263158"/>
    <n v="1.826049234208371"/>
    <n v="19"/>
    <n v="1"/>
  </r>
  <r>
    <x v="0"/>
    <s v="2025-05-18 18:56:05"/>
    <n v="17"/>
    <x v="33"/>
    <x v="6"/>
    <x v="1"/>
    <n v="19.928281174968401"/>
    <n v="2E+20"/>
    <n v="0"/>
    <n v="31.843646296482"/>
    <n v="124"/>
    <s v="Friday (Solucion: datafono, gofre, cocina y caja compartida)TiempoPromEnMesaExpressionUser Specified"/>
    <n v="19"/>
    <n v="17.206313798024606"/>
    <n v="3.7886051578243847"/>
    <n v="0.95"/>
    <n v="1.826049234208371"/>
    <n v="10.9249913192987"/>
    <n v="22.866424489953602"/>
    <n v="0"/>
    <n v="34.374891013709401"/>
    <n v="122.36842105263158"/>
    <n v="1.826049234208371"/>
    <n v="19"/>
    <n v="1"/>
  </r>
  <r>
    <x v="0"/>
    <s v="2025-05-18 18:56:05"/>
    <n v="18"/>
    <x v="33"/>
    <x v="6"/>
    <x v="1"/>
    <n v="20.529463085218701"/>
    <n v="2E+20"/>
    <n v="0"/>
    <n v="34.374891013709401"/>
    <n v="122"/>
    <s v="Friday (Solucion: datafono, gofre, cocina y caja compartida)TiempoPromEnMesaExpressionUser Specified"/>
    <n v="19"/>
    <n v="17.206313798024606"/>
    <n v="3.7886051578243847"/>
    <n v="0.95"/>
    <n v="1.826049234208371"/>
    <n v="10.9249913192987"/>
    <n v="22.866424489953602"/>
    <n v="0"/>
    <n v="34.374891013709401"/>
    <n v="122.36842105263158"/>
    <n v="1.826049234208371"/>
    <n v="19"/>
    <n v="1"/>
  </r>
  <r>
    <x v="0"/>
    <s v="2025-05-18 18:56:05"/>
    <n v="19"/>
    <x v="33"/>
    <x v="6"/>
    <x v="1"/>
    <n v="11.708342404370599"/>
    <n v="2E+20"/>
    <n v="0"/>
    <n v="19.735585972751998"/>
    <n v="121"/>
    <s v="Friday (Solucion: datafono, gofre, cocina y caja compartida)TiempoPromEnMesaExpressionUser Specified"/>
    <n v="19"/>
    <n v="17.206313798024606"/>
    <n v="3.7886051578243847"/>
    <n v="0.95"/>
    <n v="1.826049234208371"/>
    <n v="10.9249913192987"/>
    <n v="22.866424489953602"/>
    <n v="0"/>
    <n v="34.374891013709401"/>
    <n v="122.36842105263158"/>
    <n v="1.826049234208371"/>
    <n v="19"/>
    <n v="1"/>
  </r>
  <r>
    <x v="0"/>
    <s v="2025-05-18 18:56:05"/>
    <n v="1"/>
    <x v="34"/>
    <x v="6"/>
    <x v="1"/>
    <n v="23.5684194805701"/>
    <n v="2E+20"/>
    <n v="23.5684194805701"/>
    <n v="23.5684194805701"/>
    <n v="1"/>
    <s v="Friday (Solucion: datafono, gofre, cocina y caja compartida)TiempoSistemaTodosH1ExpressionUser Specified"/>
    <n v="19"/>
    <n v="7.21924481490937"/>
    <n v="4.6581447823048947"/>
    <n v="0.95"/>
    <n v="2.2451539176608639"/>
    <n v="3.5254104253296199"/>
    <n v="23.5684194805701"/>
    <n v="3.5254104253296199"/>
    <n v="23.5684194805701"/>
    <n v="1"/>
    <n v="2.2451539176608639"/>
    <n v="19"/>
    <n v="1"/>
  </r>
  <r>
    <x v="0"/>
    <s v="2025-05-18 18:56:05"/>
    <n v="2"/>
    <x v="34"/>
    <x v="6"/>
    <x v="1"/>
    <n v="4.8608168712678204"/>
    <n v="2E+20"/>
    <n v="4.8608168712678204"/>
    <n v="4.8608168712678204"/>
    <n v="1"/>
    <s v="Friday (Solucion: datafono, gofre, cocina y caja compartida)TiempoSistemaTodosH1ExpressionUser Specified"/>
    <n v="19"/>
    <n v="7.21924481490937"/>
    <n v="4.6581447823048947"/>
    <n v="0.95"/>
    <n v="2.2451539176608639"/>
    <n v="3.5254104253296199"/>
    <n v="23.5684194805701"/>
    <n v="3.5254104253296199"/>
    <n v="23.5684194805701"/>
    <n v="1"/>
    <n v="2.2451539176608639"/>
    <n v="19"/>
    <n v="1"/>
  </r>
  <r>
    <x v="0"/>
    <s v="2025-05-18 18:56:05"/>
    <n v="3"/>
    <x v="34"/>
    <x v="6"/>
    <x v="1"/>
    <n v="14.821270860799901"/>
    <n v="2E+20"/>
    <n v="14.821270860799901"/>
    <n v="14.821270860799901"/>
    <n v="1"/>
    <s v="Friday (Solucion: datafono, gofre, cocina y caja compartida)TiempoSistemaTodosH1ExpressionUser Specified"/>
    <n v="19"/>
    <n v="7.21924481490937"/>
    <n v="4.6581447823048947"/>
    <n v="0.95"/>
    <n v="2.2451539176608639"/>
    <n v="3.5254104253296199"/>
    <n v="23.5684194805701"/>
    <n v="3.5254104253296199"/>
    <n v="23.5684194805701"/>
    <n v="1"/>
    <n v="2.2451539176608639"/>
    <n v="19"/>
    <n v="1"/>
  </r>
  <r>
    <x v="0"/>
    <s v="2025-05-18 18:56:05"/>
    <n v="4"/>
    <x v="34"/>
    <x v="6"/>
    <x v="1"/>
    <n v="4.6185931522815604"/>
    <n v="2E+20"/>
    <n v="4.6185931522815604"/>
    <n v="4.6185931522815604"/>
    <n v="1"/>
    <s v="Friday (Solucion: datafono, gofre, cocina y caja compartida)TiempoSistemaTodosH1ExpressionUser Specified"/>
    <n v="19"/>
    <n v="7.21924481490937"/>
    <n v="4.6581447823048947"/>
    <n v="0.95"/>
    <n v="2.2451539176608639"/>
    <n v="3.5254104253296199"/>
    <n v="23.5684194805701"/>
    <n v="3.5254104253296199"/>
    <n v="23.5684194805701"/>
    <n v="1"/>
    <n v="2.2451539176608639"/>
    <n v="19"/>
    <n v="1"/>
  </r>
  <r>
    <x v="0"/>
    <s v="2025-05-18 18:56:05"/>
    <n v="5"/>
    <x v="34"/>
    <x v="6"/>
    <x v="1"/>
    <n v="3.5254104253296199"/>
    <n v="2E+20"/>
    <n v="3.5254104253296199"/>
    <n v="3.5254104253296199"/>
    <n v="1"/>
    <s v="Friday (Solucion: datafono, gofre, cocina y caja compartida)TiempoSistemaTodosH1ExpressionUser Specified"/>
    <n v="19"/>
    <n v="7.21924481490937"/>
    <n v="4.6581447823048947"/>
    <n v="0.95"/>
    <n v="2.2451539176608639"/>
    <n v="3.5254104253296199"/>
    <n v="23.5684194805701"/>
    <n v="3.5254104253296199"/>
    <n v="23.5684194805701"/>
    <n v="1"/>
    <n v="2.2451539176608639"/>
    <n v="19"/>
    <n v="1"/>
  </r>
  <r>
    <x v="0"/>
    <s v="2025-05-18 18:56:05"/>
    <n v="6"/>
    <x v="34"/>
    <x v="6"/>
    <x v="1"/>
    <n v="6.52510542525315"/>
    <n v="2E+20"/>
    <n v="6.52510542525315"/>
    <n v="6.52510542525315"/>
    <n v="1"/>
    <s v="Friday (Solucion: datafono, gofre, cocina y caja compartida)TiempoSistemaTodosH1ExpressionUser Specified"/>
    <n v="19"/>
    <n v="7.21924481490937"/>
    <n v="4.6581447823048947"/>
    <n v="0.95"/>
    <n v="2.2451539176608639"/>
    <n v="3.5254104253296199"/>
    <n v="23.5684194805701"/>
    <n v="3.5254104253296199"/>
    <n v="23.5684194805701"/>
    <n v="1"/>
    <n v="2.2451539176608639"/>
    <n v="19"/>
    <n v="1"/>
  </r>
  <r>
    <x v="0"/>
    <s v="2025-05-18 18:56:05"/>
    <n v="7"/>
    <x v="34"/>
    <x v="6"/>
    <x v="1"/>
    <n v="5.1914002022162302"/>
    <n v="2E+20"/>
    <n v="5.1914002022162302"/>
    <n v="5.1914002022162302"/>
    <n v="1"/>
    <s v="Friday (Solucion: datafono, gofre, cocina y caja compartida)TiempoSistemaTodosH1ExpressionUser Specified"/>
    <n v="19"/>
    <n v="7.21924481490937"/>
    <n v="4.6581447823048947"/>
    <n v="0.95"/>
    <n v="2.2451539176608639"/>
    <n v="3.5254104253296199"/>
    <n v="23.5684194805701"/>
    <n v="3.5254104253296199"/>
    <n v="23.5684194805701"/>
    <n v="1"/>
    <n v="2.2451539176608639"/>
    <n v="19"/>
    <n v="1"/>
  </r>
  <r>
    <x v="0"/>
    <s v="2025-05-18 18:56:05"/>
    <n v="8"/>
    <x v="34"/>
    <x v="6"/>
    <x v="1"/>
    <n v="5.6071871288170998"/>
    <n v="2E+20"/>
    <n v="5.6071871288170998"/>
    <n v="5.6071871288170998"/>
    <n v="1"/>
    <s v="Friday (Solucion: datafono, gofre, cocina y caja compartida)TiempoSistemaTodosH1ExpressionUser Specified"/>
    <n v="19"/>
    <n v="7.21924481490937"/>
    <n v="4.6581447823048947"/>
    <n v="0.95"/>
    <n v="2.2451539176608639"/>
    <n v="3.5254104253296199"/>
    <n v="23.5684194805701"/>
    <n v="3.5254104253296199"/>
    <n v="23.5684194805701"/>
    <n v="1"/>
    <n v="2.2451539176608639"/>
    <n v="19"/>
    <n v="1"/>
  </r>
  <r>
    <x v="0"/>
    <s v="2025-05-18 18:56:05"/>
    <n v="9"/>
    <x v="34"/>
    <x v="6"/>
    <x v="1"/>
    <n v="7.4328184816178702"/>
    <n v="2E+20"/>
    <n v="7.4328184816178702"/>
    <n v="7.4328184816178702"/>
    <n v="1"/>
    <s v="Friday (Solucion: datafono, gofre, cocina y caja compartida)TiempoSistemaTodosH1ExpressionUser Specified"/>
    <n v="19"/>
    <n v="7.21924481490937"/>
    <n v="4.6581447823048947"/>
    <n v="0.95"/>
    <n v="2.2451539176608639"/>
    <n v="3.5254104253296199"/>
    <n v="23.5684194805701"/>
    <n v="3.5254104253296199"/>
    <n v="23.5684194805701"/>
    <n v="1"/>
    <n v="2.2451539176608639"/>
    <n v="19"/>
    <n v="1"/>
  </r>
  <r>
    <x v="0"/>
    <s v="2025-05-18 18:56:05"/>
    <n v="10"/>
    <x v="34"/>
    <x v="6"/>
    <x v="1"/>
    <n v="5.6973889517113898"/>
    <n v="2E+20"/>
    <n v="5.6973889517113898"/>
    <n v="5.6973889517113898"/>
    <n v="1"/>
    <s v="Friday (Solucion: datafono, gofre, cocina y caja compartida)TiempoSistemaTodosH1ExpressionUser Specified"/>
    <n v="19"/>
    <n v="7.21924481490937"/>
    <n v="4.6581447823048947"/>
    <n v="0.95"/>
    <n v="2.2451539176608639"/>
    <n v="3.5254104253296199"/>
    <n v="23.5684194805701"/>
    <n v="3.5254104253296199"/>
    <n v="23.5684194805701"/>
    <n v="1"/>
    <n v="2.2451539176608639"/>
    <n v="19"/>
    <n v="1"/>
  </r>
  <r>
    <x v="0"/>
    <s v="2025-05-18 18:56:05"/>
    <n v="11"/>
    <x v="34"/>
    <x v="6"/>
    <x v="1"/>
    <n v="3.7968894868763599"/>
    <n v="2E+20"/>
    <n v="3.7968894868763599"/>
    <n v="3.7968894868763599"/>
    <n v="1"/>
    <s v="Friday (Solucion: datafono, gofre, cocina y caja compartida)TiempoSistemaTodosH1ExpressionUser Specified"/>
    <n v="19"/>
    <n v="7.21924481490937"/>
    <n v="4.6581447823048947"/>
    <n v="0.95"/>
    <n v="2.2451539176608639"/>
    <n v="3.5254104253296199"/>
    <n v="23.5684194805701"/>
    <n v="3.5254104253296199"/>
    <n v="23.5684194805701"/>
    <n v="1"/>
    <n v="2.2451539176608639"/>
    <n v="19"/>
    <n v="1"/>
  </r>
  <r>
    <x v="0"/>
    <s v="2025-05-18 18:56:05"/>
    <n v="12"/>
    <x v="34"/>
    <x v="6"/>
    <x v="1"/>
    <n v="8.4903304056400302"/>
    <n v="2E+20"/>
    <n v="8.4903304056400302"/>
    <n v="8.4903304056400302"/>
    <n v="1"/>
    <s v="Friday (Solucion: datafono, gofre, cocina y caja compartida)TiempoSistemaTodosH1ExpressionUser Specified"/>
    <n v="19"/>
    <n v="7.21924481490937"/>
    <n v="4.6581447823048947"/>
    <n v="0.95"/>
    <n v="2.2451539176608639"/>
    <n v="3.5254104253296199"/>
    <n v="23.5684194805701"/>
    <n v="3.5254104253296199"/>
    <n v="23.5684194805701"/>
    <n v="1"/>
    <n v="2.2451539176608639"/>
    <n v="19"/>
    <n v="1"/>
  </r>
  <r>
    <x v="0"/>
    <s v="2025-05-18 18:56:05"/>
    <n v="13"/>
    <x v="34"/>
    <x v="6"/>
    <x v="1"/>
    <n v="6.3016404289227497"/>
    <n v="2E+20"/>
    <n v="6.3016404289227497"/>
    <n v="6.3016404289227497"/>
    <n v="1"/>
    <s v="Friday (Solucion: datafono, gofre, cocina y caja compartida)TiempoSistemaTodosH1ExpressionUser Specified"/>
    <n v="19"/>
    <n v="7.21924481490937"/>
    <n v="4.6581447823048947"/>
    <n v="0.95"/>
    <n v="2.2451539176608639"/>
    <n v="3.5254104253296199"/>
    <n v="23.5684194805701"/>
    <n v="3.5254104253296199"/>
    <n v="23.5684194805701"/>
    <n v="1"/>
    <n v="2.2451539176608639"/>
    <n v="19"/>
    <n v="1"/>
  </r>
  <r>
    <x v="0"/>
    <s v="2025-05-18 18:56:05"/>
    <n v="14"/>
    <x v="34"/>
    <x v="6"/>
    <x v="1"/>
    <n v="5.9467234532645401"/>
    <n v="2E+20"/>
    <n v="5.9467234532645401"/>
    <n v="5.9467234532645401"/>
    <n v="1"/>
    <s v="Friday (Solucion: datafono, gofre, cocina y caja compartida)TiempoSistemaTodosH1ExpressionUser Specified"/>
    <n v="19"/>
    <n v="7.21924481490937"/>
    <n v="4.6581447823048947"/>
    <n v="0.95"/>
    <n v="2.2451539176608639"/>
    <n v="3.5254104253296199"/>
    <n v="23.5684194805701"/>
    <n v="3.5254104253296199"/>
    <n v="23.5684194805701"/>
    <n v="1"/>
    <n v="2.2451539176608639"/>
    <n v="19"/>
    <n v="1"/>
  </r>
  <r>
    <x v="0"/>
    <s v="2025-05-18 18:56:05"/>
    <n v="15"/>
    <x v="34"/>
    <x v="6"/>
    <x v="1"/>
    <n v="6.7122997990669004"/>
    <n v="2E+20"/>
    <n v="6.7122997990669004"/>
    <n v="6.7122997990669004"/>
    <n v="1"/>
    <s v="Friday (Solucion: datafono, gofre, cocina y caja compartida)TiempoSistemaTodosH1ExpressionUser Specified"/>
    <n v="19"/>
    <n v="7.21924481490937"/>
    <n v="4.6581447823048947"/>
    <n v="0.95"/>
    <n v="2.2451539176608639"/>
    <n v="3.5254104253296199"/>
    <n v="23.5684194805701"/>
    <n v="3.5254104253296199"/>
    <n v="23.5684194805701"/>
    <n v="1"/>
    <n v="2.2451539176608639"/>
    <n v="19"/>
    <n v="1"/>
  </r>
  <r>
    <x v="0"/>
    <s v="2025-05-18 18:56:05"/>
    <n v="16"/>
    <x v="34"/>
    <x v="6"/>
    <x v="1"/>
    <n v="5.7835017766188797"/>
    <n v="2E+20"/>
    <n v="5.7835017766188797"/>
    <n v="5.7835017766188797"/>
    <n v="1"/>
    <s v="Friday (Solucion: datafono, gofre, cocina y caja compartida)TiempoSistemaTodosH1ExpressionUser Specified"/>
    <n v="19"/>
    <n v="7.21924481490937"/>
    <n v="4.6581447823048947"/>
    <n v="0.95"/>
    <n v="2.2451539176608639"/>
    <n v="3.5254104253296199"/>
    <n v="23.5684194805701"/>
    <n v="3.5254104253296199"/>
    <n v="23.5684194805701"/>
    <n v="1"/>
    <n v="2.2451539176608639"/>
    <n v="19"/>
    <n v="1"/>
  </r>
  <r>
    <x v="0"/>
    <s v="2025-05-18 18:56:05"/>
    <n v="17"/>
    <x v="34"/>
    <x v="6"/>
    <x v="1"/>
    <n v="4.8439860031095101"/>
    <n v="2E+20"/>
    <n v="4.8439860031095101"/>
    <n v="4.8439860031095101"/>
    <n v="1"/>
    <s v="Friday (Solucion: datafono, gofre, cocina y caja compartida)TiempoSistemaTodosH1ExpressionUser Specified"/>
    <n v="19"/>
    <n v="7.21924481490937"/>
    <n v="4.6581447823048947"/>
    <n v="0.95"/>
    <n v="2.2451539176608639"/>
    <n v="3.5254104253296199"/>
    <n v="23.5684194805701"/>
    <n v="3.5254104253296199"/>
    <n v="23.5684194805701"/>
    <n v="1"/>
    <n v="2.2451539176608639"/>
    <n v="19"/>
    <n v="1"/>
  </r>
  <r>
    <x v="0"/>
    <s v="2025-05-18 18:56:05"/>
    <n v="18"/>
    <x v="34"/>
    <x v="6"/>
    <x v="1"/>
    <n v="8.4110007408659992"/>
    <n v="2E+20"/>
    <n v="8.4110007408659992"/>
    <n v="8.4110007408659992"/>
    <n v="1"/>
    <s v="Friday (Solucion: datafono, gofre, cocina y caja compartida)TiempoSistemaTodosH1ExpressionUser Specified"/>
    <n v="19"/>
    <n v="7.21924481490937"/>
    <n v="4.6581447823048947"/>
    <n v="0.95"/>
    <n v="2.2451539176608639"/>
    <n v="3.5254104253296199"/>
    <n v="23.5684194805701"/>
    <n v="3.5254104253296199"/>
    <n v="23.5684194805701"/>
    <n v="1"/>
    <n v="2.2451539176608639"/>
    <n v="19"/>
    <n v="1"/>
  </r>
  <r>
    <x v="0"/>
    <s v="2025-05-18 18:56:05"/>
    <n v="19"/>
    <x v="34"/>
    <x v="6"/>
    <x v="1"/>
    <n v="5.0308684090483196"/>
    <n v="2E+20"/>
    <n v="5.0308684090483196"/>
    <n v="5.0308684090483196"/>
    <n v="1"/>
    <s v="Friday (Solucion: datafono, gofre, cocina y caja compartida)TiempoSistemaTodosH1ExpressionUser Specified"/>
    <n v="19"/>
    <n v="7.21924481490937"/>
    <n v="4.6581447823048947"/>
    <n v="0.95"/>
    <n v="2.2451539176608639"/>
    <n v="3.5254104253296199"/>
    <n v="23.5684194805701"/>
    <n v="3.5254104253296199"/>
    <n v="23.5684194805701"/>
    <n v="1"/>
    <n v="2.2451539176608639"/>
    <n v="19"/>
    <n v="1"/>
  </r>
  <r>
    <x v="0"/>
    <s v="2025-05-18 18:56:05"/>
    <n v="1"/>
    <x v="35"/>
    <x v="6"/>
    <x v="1"/>
    <n v="15.6421643177151"/>
    <n v="2E+20"/>
    <n v="15.6421643177151"/>
    <n v="15.6421643177151"/>
    <n v="1"/>
    <s v="Friday (Solucion: datafono, gofre, cocina y caja compartida)TiempoSistemaTodosH2ExpressionUser Specified"/>
    <n v="19"/>
    <n v="6.2413723329291182"/>
    <n v="2.6778317329608212"/>
    <n v="0.95"/>
    <n v="1.2906735808067136"/>
    <n v="4.0121604978615801"/>
    <n v="15.6421643177151"/>
    <n v="4.0121604978615801"/>
    <n v="15.6421643177151"/>
    <n v="1"/>
    <n v="1.2906735808067136"/>
    <n v="19"/>
    <n v="1"/>
  </r>
  <r>
    <x v="0"/>
    <s v="2025-05-18 18:56:05"/>
    <n v="2"/>
    <x v="35"/>
    <x v="6"/>
    <x v="1"/>
    <n v="4.3706237840812401"/>
    <n v="2E+20"/>
    <n v="4.3706237840812401"/>
    <n v="4.3706237840812401"/>
    <n v="1"/>
    <s v="Friday (Solucion: datafono, gofre, cocina y caja compartida)TiempoSistemaTodosH2ExpressionUser Specified"/>
    <n v="19"/>
    <n v="6.2413723329291182"/>
    <n v="2.6778317329608212"/>
    <n v="0.95"/>
    <n v="1.2906735808067136"/>
    <n v="4.0121604978615801"/>
    <n v="15.6421643177151"/>
    <n v="4.0121604978615801"/>
    <n v="15.6421643177151"/>
    <n v="1"/>
    <n v="1.2906735808067136"/>
    <n v="19"/>
    <n v="1"/>
  </r>
  <r>
    <x v="0"/>
    <s v="2025-05-18 18:56:05"/>
    <n v="3"/>
    <x v="35"/>
    <x v="6"/>
    <x v="1"/>
    <n v="10.563509437069399"/>
    <n v="2E+20"/>
    <n v="10.563509437069399"/>
    <n v="10.563509437069399"/>
    <n v="1"/>
    <s v="Friday (Solucion: datafono, gofre, cocina y caja compartida)TiempoSistemaTodosH2ExpressionUser Specified"/>
    <n v="19"/>
    <n v="6.2413723329291182"/>
    <n v="2.6778317329608212"/>
    <n v="0.95"/>
    <n v="1.2906735808067136"/>
    <n v="4.0121604978615801"/>
    <n v="15.6421643177151"/>
    <n v="4.0121604978615801"/>
    <n v="15.6421643177151"/>
    <n v="1"/>
    <n v="1.2906735808067136"/>
    <n v="19"/>
    <n v="1"/>
  </r>
  <r>
    <x v="0"/>
    <s v="2025-05-18 18:56:05"/>
    <n v="4"/>
    <x v="35"/>
    <x v="6"/>
    <x v="1"/>
    <n v="4.5471023284040601"/>
    <n v="2E+20"/>
    <n v="4.5471023284040601"/>
    <n v="4.5471023284040601"/>
    <n v="1"/>
    <s v="Friday (Solucion: datafono, gofre, cocina y caja compartida)TiempoSistemaTodosH2ExpressionUser Specified"/>
    <n v="19"/>
    <n v="6.2413723329291182"/>
    <n v="2.6778317329608212"/>
    <n v="0.95"/>
    <n v="1.2906735808067136"/>
    <n v="4.0121604978615801"/>
    <n v="15.6421643177151"/>
    <n v="4.0121604978615801"/>
    <n v="15.6421643177151"/>
    <n v="1"/>
    <n v="1.2906735808067136"/>
    <n v="19"/>
    <n v="1"/>
  </r>
  <r>
    <x v="0"/>
    <s v="2025-05-18 18:56:05"/>
    <n v="5"/>
    <x v="35"/>
    <x v="6"/>
    <x v="1"/>
    <n v="4.0121604978615801"/>
    <n v="2E+20"/>
    <n v="4.0121604978615801"/>
    <n v="4.0121604978615801"/>
    <n v="1"/>
    <s v="Friday (Solucion: datafono, gofre, cocina y caja compartida)TiempoSistemaTodosH2ExpressionUser Specified"/>
    <n v="19"/>
    <n v="6.2413723329291182"/>
    <n v="2.6778317329608212"/>
    <n v="0.95"/>
    <n v="1.2906735808067136"/>
    <n v="4.0121604978615801"/>
    <n v="15.6421643177151"/>
    <n v="4.0121604978615801"/>
    <n v="15.6421643177151"/>
    <n v="1"/>
    <n v="1.2906735808067136"/>
    <n v="19"/>
    <n v="1"/>
  </r>
  <r>
    <x v="0"/>
    <s v="2025-05-18 18:56:05"/>
    <n v="6"/>
    <x v="35"/>
    <x v="6"/>
    <x v="1"/>
    <n v="5.35022439813413"/>
    <n v="2E+20"/>
    <n v="5.35022439813413"/>
    <n v="5.35022439813413"/>
    <n v="1"/>
    <s v="Friday (Solucion: datafono, gofre, cocina y caja compartida)TiempoSistemaTodosH2ExpressionUser Specified"/>
    <n v="19"/>
    <n v="6.2413723329291182"/>
    <n v="2.6778317329608212"/>
    <n v="0.95"/>
    <n v="1.2906735808067136"/>
    <n v="4.0121604978615801"/>
    <n v="15.6421643177151"/>
    <n v="4.0121604978615801"/>
    <n v="15.6421643177151"/>
    <n v="1"/>
    <n v="1.2906735808067136"/>
    <n v="19"/>
    <n v="1"/>
  </r>
  <r>
    <x v="0"/>
    <s v="2025-05-18 18:56:05"/>
    <n v="7"/>
    <x v="35"/>
    <x v="6"/>
    <x v="1"/>
    <n v="5.8606125732170602"/>
    <n v="2E+20"/>
    <n v="5.8606125732170602"/>
    <n v="5.8606125732170602"/>
    <n v="1"/>
    <s v="Friday (Solucion: datafono, gofre, cocina y caja compartida)TiempoSistemaTodosH2ExpressionUser Specified"/>
    <n v="19"/>
    <n v="6.2413723329291182"/>
    <n v="2.6778317329608212"/>
    <n v="0.95"/>
    <n v="1.2906735808067136"/>
    <n v="4.0121604978615801"/>
    <n v="15.6421643177151"/>
    <n v="4.0121604978615801"/>
    <n v="15.6421643177151"/>
    <n v="1"/>
    <n v="1.2906735808067136"/>
    <n v="19"/>
    <n v="1"/>
  </r>
  <r>
    <x v="0"/>
    <s v="2025-05-18 18:56:05"/>
    <n v="8"/>
    <x v="35"/>
    <x v="6"/>
    <x v="1"/>
    <n v="6.4928200049249503"/>
    <n v="2E+20"/>
    <n v="6.4928200049249503"/>
    <n v="6.4928200049249503"/>
    <n v="1"/>
    <s v="Friday (Solucion: datafono, gofre, cocina y caja compartida)TiempoSistemaTodosH2ExpressionUser Specified"/>
    <n v="19"/>
    <n v="6.2413723329291182"/>
    <n v="2.6778317329608212"/>
    <n v="0.95"/>
    <n v="1.2906735808067136"/>
    <n v="4.0121604978615801"/>
    <n v="15.6421643177151"/>
    <n v="4.0121604978615801"/>
    <n v="15.6421643177151"/>
    <n v="1"/>
    <n v="1.2906735808067136"/>
    <n v="19"/>
    <n v="1"/>
  </r>
  <r>
    <x v="0"/>
    <s v="2025-05-18 18:56:05"/>
    <n v="9"/>
    <x v="35"/>
    <x v="6"/>
    <x v="1"/>
    <n v="5.64471754358184"/>
    <n v="2E+20"/>
    <n v="5.64471754358184"/>
    <n v="5.64471754358184"/>
    <n v="1"/>
    <s v="Friday (Solucion: datafono, gofre, cocina y caja compartida)TiempoSistemaTodosH2ExpressionUser Specified"/>
    <n v="19"/>
    <n v="6.2413723329291182"/>
    <n v="2.6778317329608212"/>
    <n v="0.95"/>
    <n v="1.2906735808067136"/>
    <n v="4.0121604978615801"/>
    <n v="15.6421643177151"/>
    <n v="4.0121604978615801"/>
    <n v="15.6421643177151"/>
    <n v="1"/>
    <n v="1.2906735808067136"/>
    <n v="19"/>
    <n v="1"/>
  </r>
  <r>
    <x v="0"/>
    <s v="2025-05-18 18:56:05"/>
    <n v="10"/>
    <x v="35"/>
    <x v="6"/>
    <x v="1"/>
    <n v="6.2247194371909602"/>
    <n v="2E+20"/>
    <n v="6.2247194371909602"/>
    <n v="6.2247194371909602"/>
    <n v="1"/>
    <s v="Friday (Solucion: datafono, gofre, cocina y caja compartida)TiempoSistemaTodosH2ExpressionUser Specified"/>
    <n v="19"/>
    <n v="6.2413723329291182"/>
    <n v="2.6778317329608212"/>
    <n v="0.95"/>
    <n v="1.2906735808067136"/>
    <n v="4.0121604978615801"/>
    <n v="15.6421643177151"/>
    <n v="4.0121604978615801"/>
    <n v="15.6421643177151"/>
    <n v="1"/>
    <n v="1.2906735808067136"/>
    <n v="19"/>
    <n v="1"/>
  </r>
  <r>
    <x v="0"/>
    <s v="2025-05-18 18:56:05"/>
    <n v="11"/>
    <x v="35"/>
    <x v="6"/>
    <x v="1"/>
    <n v="4.3773817963677404"/>
    <n v="2E+20"/>
    <n v="4.3773817963677404"/>
    <n v="4.3773817963677404"/>
    <n v="1"/>
    <s v="Friday (Solucion: datafono, gofre, cocina y caja compartida)TiempoSistemaTodosH2ExpressionUser Specified"/>
    <n v="19"/>
    <n v="6.2413723329291182"/>
    <n v="2.6778317329608212"/>
    <n v="0.95"/>
    <n v="1.2906735808067136"/>
    <n v="4.0121604978615801"/>
    <n v="15.6421643177151"/>
    <n v="4.0121604978615801"/>
    <n v="15.6421643177151"/>
    <n v="1"/>
    <n v="1.2906735808067136"/>
    <n v="19"/>
    <n v="1"/>
  </r>
  <r>
    <x v="0"/>
    <s v="2025-05-18 18:56:05"/>
    <n v="12"/>
    <x v="35"/>
    <x v="6"/>
    <x v="1"/>
    <n v="6.6312540225624801"/>
    <n v="2E+20"/>
    <n v="6.6312540225624801"/>
    <n v="6.6312540225624801"/>
    <n v="1"/>
    <s v="Friday (Solucion: datafono, gofre, cocina y caja compartida)TiempoSistemaTodosH2ExpressionUser Specified"/>
    <n v="19"/>
    <n v="6.2413723329291182"/>
    <n v="2.6778317329608212"/>
    <n v="0.95"/>
    <n v="1.2906735808067136"/>
    <n v="4.0121604978615801"/>
    <n v="15.6421643177151"/>
    <n v="4.0121604978615801"/>
    <n v="15.6421643177151"/>
    <n v="1"/>
    <n v="1.2906735808067136"/>
    <n v="19"/>
    <n v="1"/>
  </r>
  <r>
    <x v="0"/>
    <s v="2025-05-18 18:56:05"/>
    <n v="13"/>
    <x v="35"/>
    <x v="6"/>
    <x v="1"/>
    <n v="5.6579186552198699"/>
    <n v="2E+20"/>
    <n v="5.6579186552198699"/>
    <n v="5.6579186552198699"/>
    <n v="1"/>
    <s v="Friday (Solucion: datafono, gofre, cocina y caja compartida)TiempoSistemaTodosH2ExpressionUser Specified"/>
    <n v="19"/>
    <n v="6.2413723329291182"/>
    <n v="2.6778317329608212"/>
    <n v="0.95"/>
    <n v="1.2906735808067136"/>
    <n v="4.0121604978615801"/>
    <n v="15.6421643177151"/>
    <n v="4.0121604978615801"/>
    <n v="15.6421643177151"/>
    <n v="1"/>
    <n v="1.2906735808067136"/>
    <n v="19"/>
    <n v="1"/>
  </r>
  <r>
    <x v="0"/>
    <s v="2025-05-18 18:56:05"/>
    <n v="14"/>
    <x v="35"/>
    <x v="6"/>
    <x v="1"/>
    <n v="4.7398999135549396"/>
    <n v="2E+20"/>
    <n v="4.7398999135549396"/>
    <n v="4.7398999135549396"/>
    <n v="1"/>
    <s v="Friday (Solucion: datafono, gofre, cocina y caja compartida)TiempoSistemaTodosH2ExpressionUser Specified"/>
    <n v="19"/>
    <n v="6.2413723329291182"/>
    <n v="2.6778317329608212"/>
    <n v="0.95"/>
    <n v="1.2906735808067136"/>
    <n v="4.0121604978615801"/>
    <n v="15.6421643177151"/>
    <n v="4.0121604978615801"/>
    <n v="15.6421643177151"/>
    <n v="1"/>
    <n v="1.2906735808067136"/>
    <n v="19"/>
    <n v="1"/>
  </r>
  <r>
    <x v="0"/>
    <s v="2025-05-18 18:56:05"/>
    <n v="15"/>
    <x v="35"/>
    <x v="6"/>
    <x v="1"/>
    <n v="5.2379805195918898"/>
    <n v="2E+20"/>
    <n v="5.2379805195918898"/>
    <n v="5.2379805195918898"/>
    <n v="1"/>
    <s v="Friday (Solucion: datafono, gofre, cocina y caja compartida)TiempoSistemaTodosH2ExpressionUser Specified"/>
    <n v="19"/>
    <n v="6.2413723329291182"/>
    <n v="2.6778317329608212"/>
    <n v="0.95"/>
    <n v="1.2906735808067136"/>
    <n v="4.0121604978615801"/>
    <n v="15.6421643177151"/>
    <n v="4.0121604978615801"/>
    <n v="15.6421643177151"/>
    <n v="1"/>
    <n v="1.2906735808067136"/>
    <n v="19"/>
    <n v="1"/>
  </r>
  <r>
    <x v="0"/>
    <s v="2025-05-18 18:56:05"/>
    <n v="16"/>
    <x v="35"/>
    <x v="6"/>
    <x v="1"/>
    <n v="5.2111620703608903"/>
    <n v="2E+20"/>
    <n v="5.2111620703608903"/>
    <n v="5.2111620703608903"/>
    <n v="1"/>
    <s v="Friday (Solucion: datafono, gofre, cocina y caja compartida)TiempoSistemaTodosH2ExpressionUser Specified"/>
    <n v="19"/>
    <n v="6.2413723329291182"/>
    <n v="2.6778317329608212"/>
    <n v="0.95"/>
    <n v="1.2906735808067136"/>
    <n v="4.0121604978615801"/>
    <n v="15.6421643177151"/>
    <n v="4.0121604978615801"/>
    <n v="15.6421643177151"/>
    <n v="1"/>
    <n v="1.2906735808067136"/>
    <n v="19"/>
    <n v="1"/>
  </r>
  <r>
    <x v="0"/>
    <s v="2025-05-18 18:56:05"/>
    <n v="17"/>
    <x v="35"/>
    <x v="6"/>
    <x v="1"/>
    <n v="5.7379953589261801"/>
    <n v="2E+20"/>
    <n v="5.7379953589261801"/>
    <n v="5.7379953589261801"/>
    <n v="1"/>
    <s v="Friday (Solucion: datafono, gofre, cocina y caja compartida)TiempoSistemaTodosH2ExpressionUser Specified"/>
    <n v="19"/>
    <n v="6.2413723329291182"/>
    <n v="2.6778317329608212"/>
    <n v="0.95"/>
    <n v="1.2906735808067136"/>
    <n v="4.0121604978615801"/>
    <n v="15.6421643177151"/>
    <n v="4.0121604978615801"/>
    <n v="15.6421643177151"/>
    <n v="1"/>
    <n v="1.2906735808067136"/>
    <n v="19"/>
    <n v="1"/>
  </r>
  <r>
    <x v="0"/>
    <s v="2025-05-18 18:56:05"/>
    <n v="18"/>
    <x v="35"/>
    <x v="6"/>
    <x v="1"/>
    <n v="6.7573263651612301"/>
    <n v="2E+20"/>
    <n v="6.7573263651612301"/>
    <n v="6.7573263651612301"/>
    <n v="1"/>
    <s v="Friday (Solucion: datafono, gofre, cocina y caja compartida)TiempoSistemaTodosH2ExpressionUser Specified"/>
    <n v="19"/>
    <n v="6.2413723329291182"/>
    <n v="2.6778317329608212"/>
    <n v="0.95"/>
    <n v="1.2906735808067136"/>
    <n v="4.0121604978615801"/>
    <n v="15.6421643177151"/>
    <n v="4.0121604978615801"/>
    <n v="15.6421643177151"/>
    <n v="1"/>
    <n v="1.2906735808067136"/>
    <n v="19"/>
    <n v="1"/>
  </r>
  <r>
    <x v="0"/>
    <s v="2025-05-18 18:56:05"/>
    <n v="19"/>
    <x v="35"/>
    <x v="6"/>
    <x v="1"/>
    <n v="5.52650130172771"/>
    <n v="2E+20"/>
    <n v="5.52650130172771"/>
    <n v="5.52650130172771"/>
    <n v="1"/>
    <s v="Friday (Solucion: datafono, gofre, cocina y caja compartida)TiempoSistemaTodosH2ExpressionUser Specified"/>
    <n v="19"/>
    <n v="6.2413723329291182"/>
    <n v="2.6778317329608212"/>
    <n v="0.95"/>
    <n v="1.2906735808067136"/>
    <n v="4.0121604978615801"/>
    <n v="15.6421643177151"/>
    <n v="4.0121604978615801"/>
    <n v="15.6421643177151"/>
    <n v="1"/>
    <n v="1.2906735808067136"/>
    <n v="19"/>
    <n v="1"/>
  </r>
  <r>
    <x v="0"/>
    <s v="2025-05-18 18:56:05"/>
    <n v="1"/>
    <x v="36"/>
    <x v="6"/>
    <x v="1"/>
    <n v="12.691770210246"/>
    <n v="2E+20"/>
    <n v="12.691770210246"/>
    <n v="12.691770210246"/>
    <n v="1"/>
    <s v="Friday (Solucion: datafono, gofre, cocina y caja compartida)TiempoSistemaTodosH3ExpressionUser Specified"/>
    <n v="19"/>
    <n v="6.1004830173875275"/>
    <n v="1.9202776678807203"/>
    <n v="0.95"/>
    <n v="0.92554420923468694"/>
    <n v="4.4316568587741703"/>
    <n v="12.691770210246"/>
    <n v="4.4316568587741703"/>
    <n v="12.691770210246"/>
    <n v="1"/>
    <n v="0.92554420923468694"/>
    <n v="19"/>
    <n v="1"/>
  </r>
  <r>
    <x v="0"/>
    <s v="2025-05-18 18:56:05"/>
    <n v="2"/>
    <x v="36"/>
    <x v="6"/>
    <x v="1"/>
    <n v="4.4316568587741703"/>
    <n v="2E+20"/>
    <n v="4.4316568587741703"/>
    <n v="4.4316568587741703"/>
    <n v="1"/>
    <s v="Friday (Solucion: datafono, gofre, cocina y caja compartida)TiempoSistemaTodosH3ExpressionUser Specified"/>
    <n v="19"/>
    <n v="6.1004830173875275"/>
    <n v="1.9202776678807203"/>
    <n v="0.95"/>
    <n v="0.92554420923468694"/>
    <n v="4.4316568587741703"/>
    <n v="12.691770210246"/>
    <n v="4.4316568587741703"/>
    <n v="12.691770210246"/>
    <n v="1"/>
    <n v="0.92554420923468694"/>
    <n v="19"/>
    <n v="1"/>
  </r>
  <r>
    <x v="0"/>
    <s v="2025-05-18 18:56:05"/>
    <n v="3"/>
    <x v="36"/>
    <x v="6"/>
    <x v="1"/>
    <n v="8.7302970526223795"/>
    <n v="2E+20"/>
    <n v="8.7302970526223795"/>
    <n v="8.7302970526223795"/>
    <n v="1"/>
    <s v="Friday (Solucion: datafono, gofre, cocina y caja compartida)TiempoSistemaTodosH3ExpressionUser Specified"/>
    <n v="19"/>
    <n v="6.1004830173875275"/>
    <n v="1.9202776678807203"/>
    <n v="0.95"/>
    <n v="0.92554420923468694"/>
    <n v="4.4316568587741703"/>
    <n v="12.691770210246"/>
    <n v="4.4316568587741703"/>
    <n v="12.691770210246"/>
    <n v="1"/>
    <n v="0.92554420923468694"/>
    <n v="19"/>
    <n v="1"/>
  </r>
  <r>
    <x v="0"/>
    <s v="2025-05-18 18:56:05"/>
    <n v="4"/>
    <x v="36"/>
    <x v="6"/>
    <x v="1"/>
    <n v="4.7759336557260301"/>
    <n v="2E+20"/>
    <n v="4.7759336557260301"/>
    <n v="4.7759336557260301"/>
    <n v="1"/>
    <s v="Friday (Solucion: datafono, gofre, cocina y caja compartida)TiempoSistemaTodosH3ExpressionUser Specified"/>
    <n v="19"/>
    <n v="6.1004830173875275"/>
    <n v="1.9202776678807203"/>
    <n v="0.95"/>
    <n v="0.92554420923468694"/>
    <n v="4.4316568587741703"/>
    <n v="12.691770210246"/>
    <n v="4.4316568587741703"/>
    <n v="12.691770210246"/>
    <n v="1"/>
    <n v="0.92554420923468694"/>
    <n v="19"/>
    <n v="1"/>
  </r>
  <r>
    <x v="0"/>
    <s v="2025-05-18 18:56:05"/>
    <n v="5"/>
    <x v="36"/>
    <x v="6"/>
    <x v="1"/>
    <n v="4.6095490004320201"/>
    <n v="2E+20"/>
    <n v="4.6095490004320201"/>
    <n v="4.6095490004320201"/>
    <n v="1"/>
    <s v="Friday (Solucion: datafono, gofre, cocina y caja compartida)TiempoSistemaTodosH3ExpressionUser Specified"/>
    <n v="19"/>
    <n v="6.1004830173875275"/>
    <n v="1.9202776678807203"/>
    <n v="0.95"/>
    <n v="0.92554420923468694"/>
    <n v="4.4316568587741703"/>
    <n v="12.691770210246"/>
    <n v="4.4316568587741703"/>
    <n v="12.691770210246"/>
    <n v="1"/>
    <n v="0.92554420923468694"/>
    <n v="19"/>
    <n v="1"/>
  </r>
  <r>
    <x v="0"/>
    <s v="2025-05-18 18:56:05"/>
    <n v="6"/>
    <x v="36"/>
    <x v="6"/>
    <x v="1"/>
    <n v="4.85694996673445"/>
    <n v="2E+20"/>
    <n v="4.85694996673445"/>
    <n v="4.85694996673445"/>
    <n v="1"/>
    <s v="Friday (Solucion: datafono, gofre, cocina y caja compartida)TiempoSistemaTodosH3ExpressionUser Specified"/>
    <n v="19"/>
    <n v="6.1004830173875275"/>
    <n v="1.9202776678807203"/>
    <n v="0.95"/>
    <n v="0.92554420923468694"/>
    <n v="4.4316568587741703"/>
    <n v="12.691770210246"/>
    <n v="4.4316568587741703"/>
    <n v="12.691770210246"/>
    <n v="1"/>
    <n v="0.92554420923468694"/>
    <n v="19"/>
    <n v="1"/>
  </r>
  <r>
    <x v="0"/>
    <s v="2025-05-18 18:56:05"/>
    <n v="7"/>
    <x v="36"/>
    <x v="6"/>
    <x v="1"/>
    <n v="5.4218972748640004"/>
    <n v="2E+20"/>
    <n v="5.4218972748640004"/>
    <n v="5.4218972748640004"/>
    <n v="1"/>
    <s v="Friday (Solucion: datafono, gofre, cocina y caja compartida)TiempoSistemaTodosH3ExpressionUser Specified"/>
    <n v="19"/>
    <n v="6.1004830173875275"/>
    <n v="1.9202776678807203"/>
    <n v="0.95"/>
    <n v="0.92554420923468694"/>
    <n v="4.4316568587741703"/>
    <n v="12.691770210246"/>
    <n v="4.4316568587741703"/>
    <n v="12.691770210246"/>
    <n v="1"/>
    <n v="0.92554420923468694"/>
    <n v="19"/>
    <n v="1"/>
  </r>
  <r>
    <x v="0"/>
    <s v="2025-05-18 18:56:05"/>
    <n v="8"/>
    <x v="36"/>
    <x v="6"/>
    <x v="1"/>
    <n v="5.8965473384769904"/>
    <n v="2E+20"/>
    <n v="5.8965473384769904"/>
    <n v="5.8965473384769904"/>
    <n v="1"/>
    <s v="Friday (Solucion: datafono, gofre, cocina y caja compartida)TiempoSistemaTodosH3ExpressionUser Specified"/>
    <n v="19"/>
    <n v="6.1004830173875275"/>
    <n v="1.9202776678807203"/>
    <n v="0.95"/>
    <n v="0.92554420923468694"/>
    <n v="4.4316568587741703"/>
    <n v="12.691770210246"/>
    <n v="4.4316568587741703"/>
    <n v="12.691770210246"/>
    <n v="1"/>
    <n v="0.92554420923468694"/>
    <n v="19"/>
    <n v="1"/>
  </r>
  <r>
    <x v="0"/>
    <s v="2025-05-18 18:56:05"/>
    <n v="9"/>
    <x v="36"/>
    <x v="6"/>
    <x v="1"/>
    <n v="5.63039811192073"/>
    <n v="2E+20"/>
    <n v="5.63039811192073"/>
    <n v="5.63039811192073"/>
    <n v="1"/>
    <s v="Friday (Solucion: datafono, gofre, cocina y caja compartida)TiempoSistemaTodosH3ExpressionUser Specified"/>
    <n v="19"/>
    <n v="6.1004830173875275"/>
    <n v="1.9202776678807203"/>
    <n v="0.95"/>
    <n v="0.92554420923468694"/>
    <n v="4.4316568587741703"/>
    <n v="12.691770210246"/>
    <n v="4.4316568587741703"/>
    <n v="12.691770210246"/>
    <n v="1"/>
    <n v="0.92554420923468694"/>
    <n v="19"/>
    <n v="1"/>
  </r>
  <r>
    <x v="0"/>
    <s v="2025-05-18 18:56:05"/>
    <n v="10"/>
    <x v="36"/>
    <x v="6"/>
    <x v="1"/>
    <n v="7.7213538413687797"/>
    <n v="2E+20"/>
    <n v="7.7213538413687797"/>
    <n v="7.7213538413687797"/>
    <n v="1"/>
    <s v="Friday (Solucion: datafono, gofre, cocina y caja compartida)TiempoSistemaTodosH3ExpressionUser Specified"/>
    <n v="19"/>
    <n v="6.1004830173875275"/>
    <n v="1.9202776678807203"/>
    <n v="0.95"/>
    <n v="0.92554420923468694"/>
    <n v="4.4316568587741703"/>
    <n v="12.691770210246"/>
    <n v="4.4316568587741703"/>
    <n v="12.691770210246"/>
    <n v="1"/>
    <n v="0.92554420923468694"/>
    <n v="19"/>
    <n v="1"/>
  </r>
  <r>
    <x v="0"/>
    <s v="2025-05-18 18:56:05"/>
    <n v="11"/>
    <x v="36"/>
    <x v="6"/>
    <x v="1"/>
    <n v="5.9000606491422101"/>
    <n v="2E+20"/>
    <n v="5.9000606491422101"/>
    <n v="5.9000606491422101"/>
    <n v="1"/>
    <s v="Friday (Solucion: datafono, gofre, cocina y caja compartida)TiempoSistemaTodosH3ExpressionUser Specified"/>
    <n v="19"/>
    <n v="6.1004830173875275"/>
    <n v="1.9202776678807203"/>
    <n v="0.95"/>
    <n v="0.92554420923468694"/>
    <n v="4.4316568587741703"/>
    <n v="12.691770210246"/>
    <n v="4.4316568587741703"/>
    <n v="12.691770210246"/>
    <n v="1"/>
    <n v="0.92554420923468694"/>
    <n v="19"/>
    <n v="1"/>
  </r>
  <r>
    <x v="0"/>
    <s v="2025-05-18 18:56:05"/>
    <n v="12"/>
    <x v="36"/>
    <x v="6"/>
    <x v="1"/>
    <n v="6.3747796947994502"/>
    <n v="2E+20"/>
    <n v="6.3747796947994502"/>
    <n v="6.3747796947994502"/>
    <n v="1"/>
    <s v="Friday (Solucion: datafono, gofre, cocina y caja compartida)TiempoSistemaTodosH3ExpressionUser Specified"/>
    <n v="19"/>
    <n v="6.1004830173875275"/>
    <n v="1.9202776678807203"/>
    <n v="0.95"/>
    <n v="0.92554420923468694"/>
    <n v="4.4316568587741703"/>
    <n v="12.691770210246"/>
    <n v="4.4316568587741703"/>
    <n v="12.691770210246"/>
    <n v="1"/>
    <n v="0.92554420923468694"/>
    <n v="19"/>
    <n v="1"/>
  </r>
  <r>
    <x v="0"/>
    <s v="2025-05-18 18:56:05"/>
    <n v="13"/>
    <x v="36"/>
    <x v="6"/>
    <x v="1"/>
    <n v="5.7263554213937002"/>
    <n v="2E+20"/>
    <n v="5.7263554213937002"/>
    <n v="5.7263554213937002"/>
    <n v="1"/>
    <s v="Friday (Solucion: datafono, gofre, cocina y caja compartida)TiempoSistemaTodosH3ExpressionUser Specified"/>
    <n v="19"/>
    <n v="6.1004830173875275"/>
    <n v="1.9202776678807203"/>
    <n v="0.95"/>
    <n v="0.92554420923468694"/>
    <n v="4.4316568587741703"/>
    <n v="12.691770210246"/>
    <n v="4.4316568587741703"/>
    <n v="12.691770210246"/>
    <n v="1"/>
    <n v="0.92554420923468694"/>
    <n v="19"/>
    <n v="1"/>
  </r>
  <r>
    <x v="0"/>
    <s v="2025-05-18 18:56:05"/>
    <n v="14"/>
    <x v="36"/>
    <x v="6"/>
    <x v="1"/>
    <n v="6.0688050211007702"/>
    <n v="2E+20"/>
    <n v="6.0688050211007702"/>
    <n v="6.0688050211007702"/>
    <n v="1"/>
    <s v="Friday (Solucion: datafono, gofre, cocina y caja compartida)TiempoSistemaTodosH3ExpressionUser Specified"/>
    <n v="19"/>
    <n v="6.1004830173875275"/>
    <n v="1.9202776678807203"/>
    <n v="0.95"/>
    <n v="0.92554420923468694"/>
    <n v="4.4316568587741703"/>
    <n v="12.691770210246"/>
    <n v="4.4316568587741703"/>
    <n v="12.691770210246"/>
    <n v="1"/>
    <n v="0.92554420923468694"/>
    <n v="19"/>
    <n v="1"/>
  </r>
  <r>
    <x v="0"/>
    <s v="2025-05-18 18:56:05"/>
    <n v="15"/>
    <x v="36"/>
    <x v="6"/>
    <x v="1"/>
    <n v="5.2918619779328004"/>
    <n v="2E+20"/>
    <n v="5.2918619779328004"/>
    <n v="5.2918619779328004"/>
    <n v="1"/>
    <s v="Friday (Solucion: datafono, gofre, cocina y caja compartida)TiempoSistemaTodosH3ExpressionUser Specified"/>
    <n v="19"/>
    <n v="6.1004830173875275"/>
    <n v="1.9202776678807203"/>
    <n v="0.95"/>
    <n v="0.92554420923468694"/>
    <n v="4.4316568587741703"/>
    <n v="12.691770210246"/>
    <n v="4.4316568587741703"/>
    <n v="12.691770210246"/>
    <n v="1"/>
    <n v="0.92554420923468694"/>
    <n v="19"/>
    <n v="1"/>
  </r>
  <r>
    <x v="0"/>
    <s v="2025-05-18 18:56:05"/>
    <n v="16"/>
    <x v="36"/>
    <x v="6"/>
    <x v="1"/>
    <n v="5.1069599568864099"/>
    <n v="2E+20"/>
    <n v="5.1069599568864099"/>
    <n v="5.1069599568864099"/>
    <n v="1"/>
    <s v="Friday (Solucion: datafono, gofre, cocina y caja compartida)TiempoSistemaTodosH3ExpressionUser Specified"/>
    <n v="19"/>
    <n v="6.1004830173875275"/>
    <n v="1.9202776678807203"/>
    <n v="0.95"/>
    <n v="0.92554420923468694"/>
    <n v="4.4316568587741703"/>
    <n v="12.691770210246"/>
    <n v="4.4316568587741703"/>
    <n v="12.691770210246"/>
    <n v="1"/>
    <n v="0.92554420923468694"/>
    <n v="19"/>
    <n v="1"/>
  </r>
  <r>
    <x v="0"/>
    <s v="2025-05-18 18:56:05"/>
    <n v="17"/>
    <x v="36"/>
    <x v="6"/>
    <x v="1"/>
    <n v="5.7418252784821497"/>
    <n v="2E+20"/>
    <n v="5.7418252784821497"/>
    <n v="5.7418252784821497"/>
    <n v="1"/>
    <s v="Friday (Solucion: datafono, gofre, cocina y caja compartida)TiempoSistemaTodosH3ExpressionUser Specified"/>
    <n v="19"/>
    <n v="6.1004830173875275"/>
    <n v="1.9202776678807203"/>
    <n v="0.95"/>
    <n v="0.92554420923468694"/>
    <n v="4.4316568587741703"/>
    <n v="12.691770210246"/>
    <n v="4.4316568587741703"/>
    <n v="12.691770210246"/>
    <n v="1"/>
    <n v="0.92554420923468694"/>
    <n v="19"/>
    <n v="1"/>
  </r>
  <r>
    <x v="0"/>
    <s v="2025-05-18 18:56:05"/>
    <n v="18"/>
    <x v="36"/>
    <x v="6"/>
    <x v="1"/>
    <n v="6.3388926776326597"/>
    <n v="2E+20"/>
    <n v="6.3388926776326597"/>
    <n v="6.3388926776326597"/>
    <n v="1"/>
    <s v="Friday (Solucion: datafono, gofre, cocina y caja compartida)TiempoSistemaTodosH3ExpressionUser Specified"/>
    <n v="19"/>
    <n v="6.1004830173875275"/>
    <n v="1.9202776678807203"/>
    <n v="0.95"/>
    <n v="0.92554420923468694"/>
    <n v="4.4316568587741703"/>
    <n v="12.691770210246"/>
    <n v="4.4316568587741703"/>
    <n v="12.691770210246"/>
    <n v="1"/>
    <n v="0.92554420923468694"/>
    <n v="19"/>
    <n v="1"/>
  </r>
  <r>
    <x v="0"/>
    <s v="2025-05-18 18:56:05"/>
    <n v="19"/>
    <x v="36"/>
    <x v="6"/>
    <x v="1"/>
    <n v="4.59328334182731"/>
    <n v="2E+20"/>
    <n v="4.59328334182731"/>
    <n v="4.59328334182731"/>
    <n v="1"/>
    <s v="Friday (Solucion: datafono, gofre, cocina y caja compartida)TiempoSistemaTodosH3ExpressionUser Specified"/>
    <n v="19"/>
    <n v="6.1004830173875275"/>
    <n v="1.9202776678807203"/>
    <n v="0.95"/>
    <n v="0.92554420923468694"/>
    <n v="4.4316568587741703"/>
    <n v="12.691770210246"/>
    <n v="4.4316568587741703"/>
    <n v="12.691770210246"/>
    <n v="1"/>
    <n v="0.92554420923468694"/>
    <n v="19"/>
    <n v="1"/>
  </r>
  <r>
    <x v="0"/>
    <s v="2025-05-18 18:56:05"/>
    <n v="1"/>
    <x v="37"/>
    <x v="6"/>
    <x v="1"/>
    <n v="1"/>
    <n v="2E+20"/>
    <n v="1"/>
    <n v="1"/>
    <n v="1"/>
    <s v="Friday (Solucion: datafono, gofre, cocina y caja compartida)UtilizacionCajeroH1ExpressionUser Specified"/>
    <n v="19"/>
    <n v="0.84210526315789469"/>
    <n v="0.37463432463267765"/>
    <n v="0.95"/>
    <n v="0.18056796448973789"/>
    <n v="0"/>
    <n v="1"/>
    <n v="0"/>
    <n v="1"/>
    <n v="1"/>
    <n v="0.18056796448973789"/>
    <n v="19"/>
    <n v="1"/>
  </r>
  <r>
    <x v="0"/>
    <s v="2025-05-18 18:56:05"/>
    <n v="2"/>
    <x v="37"/>
    <x v="6"/>
    <x v="1"/>
    <n v="0"/>
    <n v="2E+20"/>
    <n v="0"/>
    <n v="0"/>
    <n v="1"/>
    <s v="Friday (Solucion: datafono, gofre, cocina y caja compartida)UtilizacionCajeroH1ExpressionUser Specified"/>
    <n v="19"/>
    <n v="0.84210526315789469"/>
    <n v="0.37463432463267765"/>
    <n v="0.95"/>
    <n v="0.18056796448973789"/>
    <n v="0"/>
    <n v="1"/>
    <n v="0"/>
    <n v="1"/>
    <n v="1"/>
    <n v="0.18056796448973789"/>
    <n v="19"/>
    <n v="1"/>
  </r>
  <r>
    <x v="0"/>
    <s v="2025-05-18 18:56:05"/>
    <n v="3"/>
    <x v="37"/>
    <x v="6"/>
    <x v="1"/>
    <n v="1"/>
    <n v="2E+20"/>
    <n v="1"/>
    <n v="1"/>
    <n v="1"/>
    <s v="Friday (Solucion: datafono, gofre, cocina y caja compartida)UtilizacionCajeroH1ExpressionUser Specified"/>
    <n v="19"/>
    <n v="0.84210526315789469"/>
    <n v="0.37463432463267765"/>
    <n v="0.95"/>
    <n v="0.18056796448973789"/>
    <n v="0"/>
    <n v="1"/>
    <n v="0"/>
    <n v="1"/>
    <n v="1"/>
    <n v="0.18056796448973789"/>
    <n v="19"/>
    <n v="1"/>
  </r>
  <r>
    <x v="0"/>
    <s v="2025-05-18 18:56:05"/>
    <n v="4"/>
    <x v="37"/>
    <x v="6"/>
    <x v="1"/>
    <n v="1"/>
    <n v="2E+20"/>
    <n v="1"/>
    <n v="1"/>
    <n v="1"/>
    <s v="Friday (Solucion: datafono, gofre, cocina y caja compartida)UtilizacionCajeroH1ExpressionUser Specified"/>
    <n v="19"/>
    <n v="0.84210526315789469"/>
    <n v="0.37463432463267765"/>
    <n v="0.95"/>
    <n v="0.18056796448973789"/>
    <n v="0"/>
    <n v="1"/>
    <n v="0"/>
    <n v="1"/>
    <n v="1"/>
    <n v="0.18056796448973789"/>
    <n v="19"/>
    <n v="1"/>
  </r>
  <r>
    <x v="0"/>
    <s v="2025-05-18 18:56:05"/>
    <n v="5"/>
    <x v="37"/>
    <x v="6"/>
    <x v="1"/>
    <n v="1"/>
    <n v="2E+20"/>
    <n v="1"/>
    <n v="1"/>
    <n v="1"/>
    <s v="Friday (Solucion: datafono, gofre, cocina y caja compartida)UtilizacionCajeroH1ExpressionUser Specified"/>
    <n v="19"/>
    <n v="0.84210526315789469"/>
    <n v="0.37463432463267765"/>
    <n v="0.95"/>
    <n v="0.18056796448973789"/>
    <n v="0"/>
    <n v="1"/>
    <n v="0"/>
    <n v="1"/>
    <n v="1"/>
    <n v="0.18056796448973789"/>
    <n v="19"/>
    <n v="1"/>
  </r>
  <r>
    <x v="0"/>
    <s v="2025-05-18 18:56:05"/>
    <n v="6"/>
    <x v="37"/>
    <x v="6"/>
    <x v="1"/>
    <n v="1"/>
    <n v="2E+20"/>
    <n v="1"/>
    <n v="1"/>
    <n v="1"/>
    <s v="Friday (Solucion: datafono, gofre, cocina y caja compartida)UtilizacionCajeroH1ExpressionUser Specified"/>
    <n v="19"/>
    <n v="0.84210526315789469"/>
    <n v="0.37463432463267765"/>
    <n v="0.95"/>
    <n v="0.18056796448973789"/>
    <n v="0"/>
    <n v="1"/>
    <n v="0"/>
    <n v="1"/>
    <n v="1"/>
    <n v="0.18056796448973789"/>
    <n v="19"/>
    <n v="1"/>
  </r>
  <r>
    <x v="0"/>
    <s v="2025-05-18 18:56:05"/>
    <n v="7"/>
    <x v="37"/>
    <x v="6"/>
    <x v="1"/>
    <n v="1"/>
    <n v="2E+20"/>
    <n v="1"/>
    <n v="1"/>
    <n v="1"/>
    <s v="Friday (Solucion: datafono, gofre, cocina y caja compartida)UtilizacionCajeroH1ExpressionUser Specified"/>
    <n v="19"/>
    <n v="0.84210526315789469"/>
    <n v="0.37463432463267765"/>
    <n v="0.95"/>
    <n v="0.18056796448973789"/>
    <n v="0"/>
    <n v="1"/>
    <n v="0"/>
    <n v="1"/>
    <n v="1"/>
    <n v="0.18056796448973789"/>
    <n v="19"/>
    <n v="1"/>
  </r>
  <r>
    <x v="0"/>
    <s v="2025-05-18 18:56:05"/>
    <n v="8"/>
    <x v="37"/>
    <x v="6"/>
    <x v="1"/>
    <n v="1"/>
    <n v="2E+20"/>
    <n v="1"/>
    <n v="1"/>
    <n v="1"/>
    <s v="Friday (Solucion: datafono, gofre, cocina y caja compartida)UtilizacionCajeroH1ExpressionUser Specified"/>
    <n v="19"/>
    <n v="0.84210526315789469"/>
    <n v="0.37463432463267765"/>
    <n v="0.95"/>
    <n v="0.18056796448973789"/>
    <n v="0"/>
    <n v="1"/>
    <n v="0"/>
    <n v="1"/>
    <n v="1"/>
    <n v="0.18056796448973789"/>
    <n v="19"/>
    <n v="1"/>
  </r>
  <r>
    <x v="0"/>
    <s v="2025-05-18 18:56:05"/>
    <n v="9"/>
    <x v="37"/>
    <x v="6"/>
    <x v="1"/>
    <n v="1"/>
    <n v="2E+20"/>
    <n v="1"/>
    <n v="1"/>
    <n v="1"/>
    <s v="Friday (Solucion: datafono, gofre, cocina y caja compartida)UtilizacionCajeroH1ExpressionUser Specified"/>
    <n v="19"/>
    <n v="0.84210526315789469"/>
    <n v="0.37463432463267765"/>
    <n v="0.95"/>
    <n v="0.18056796448973789"/>
    <n v="0"/>
    <n v="1"/>
    <n v="0"/>
    <n v="1"/>
    <n v="1"/>
    <n v="0.18056796448973789"/>
    <n v="19"/>
    <n v="1"/>
  </r>
  <r>
    <x v="0"/>
    <s v="2025-05-18 18:56:05"/>
    <n v="10"/>
    <x v="37"/>
    <x v="6"/>
    <x v="1"/>
    <n v="1"/>
    <n v="2E+20"/>
    <n v="1"/>
    <n v="1"/>
    <n v="1"/>
    <s v="Friday (Solucion: datafono, gofre, cocina y caja compartida)UtilizacionCajeroH1ExpressionUser Specified"/>
    <n v="19"/>
    <n v="0.84210526315789469"/>
    <n v="0.37463432463267765"/>
    <n v="0.95"/>
    <n v="0.18056796448973789"/>
    <n v="0"/>
    <n v="1"/>
    <n v="0"/>
    <n v="1"/>
    <n v="1"/>
    <n v="0.18056796448973789"/>
    <n v="19"/>
    <n v="1"/>
  </r>
  <r>
    <x v="0"/>
    <s v="2025-05-18 18:56:05"/>
    <n v="11"/>
    <x v="37"/>
    <x v="6"/>
    <x v="1"/>
    <n v="0"/>
    <n v="2E+20"/>
    <n v="0"/>
    <n v="0"/>
    <n v="1"/>
    <s v="Friday (Solucion: datafono, gofre, cocina y caja compartida)UtilizacionCajeroH1ExpressionUser Specified"/>
    <n v="19"/>
    <n v="0.84210526315789469"/>
    <n v="0.37463432463267765"/>
    <n v="0.95"/>
    <n v="0.18056796448973789"/>
    <n v="0"/>
    <n v="1"/>
    <n v="0"/>
    <n v="1"/>
    <n v="1"/>
    <n v="0.18056796448973789"/>
    <n v="19"/>
    <n v="1"/>
  </r>
  <r>
    <x v="0"/>
    <s v="2025-05-18 18:56:05"/>
    <n v="12"/>
    <x v="37"/>
    <x v="6"/>
    <x v="1"/>
    <n v="1"/>
    <n v="2E+20"/>
    <n v="1"/>
    <n v="1"/>
    <n v="1"/>
    <s v="Friday (Solucion: datafono, gofre, cocina y caja compartida)UtilizacionCajeroH1ExpressionUser Specified"/>
    <n v="19"/>
    <n v="0.84210526315789469"/>
    <n v="0.37463432463267765"/>
    <n v="0.95"/>
    <n v="0.18056796448973789"/>
    <n v="0"/>
    <n v="1"/>
    <n v="0"/>
    <n v="1"/>
    <n v="1"/>
    <n v="0.18056796448973789"/>
    <n v="19"/>
    <n v="1"/>
  </r>
  <r>
    <x v="0"/>
    <s v="2025-05-18 18:56:05"/>
    <n v="13"/>
    <x v="37"/>
    <x v="6"/>
    <x v="1"/>
    <n v="1"/>
    <n v="2E+20"/>
    <n v="1"/>
    <n v="1"/>
    <n v="1"/>
    <s v="Friday (Solucion: datafono, gofre, cocina y caja compartida)UtilizacionCajeroH1ExpressionUser Specified"/>
    <n v="19"/>
    <n v="0.84210526315789469"/>
    <n v="0.37463432463267765"/>
    <n v="0.95"/>
    <n v="0.18056796448973789"/>
    <n v="0"/>
    <n v="1"/>
    <n v="0"/>
    <n v="1"/>
    <n v="1"/>
    <n v="0.18056796448973789"/>
    <n v="19"/>
    <n v="1"/>
  </r>
  <r>
    <x v="0"/>
    <s v="2025-05-18 18:56:05"/>
    <n v="14"/>
    <x v="37"/>
    <x v="6"/>
    <x v="1"/>
    <n v="1"/>
    <n v="2E+20"/>
    <n v="1"/>
    <n v="1"/>
    <n v="1"/>
    <s v="Friday (Solucion: datafono, gofre, cocina y caja compartida)UtilizacionCajeroH1ExpressionUser Specified"/>
    <n v="19"/>
    <n v="0.84210526315789469"/>
    <n v="0.37463432463267765"/>
    <n v="0.95"/>
    <n v="0.18056796448973789"/>
    <n v="0"/>
    <n v="1"/>
    <n v="0"/>
    <n v="1"/>
    <n v="1"/>
    <n v="0.18056796448973789"/>
    <n v="19"/>
    <n v="1"/>
  </r>
  <r>
    <x v="0"/>
    <s v="2025-05-18 18:56:05"/>
    <n v="15"/>
    <x v="37"/>
    <x v="6"/>
    <x v="1"/>
    <n v="1"/>
    <n v="2E+20"/>
    <n v="1"/>
    <n v="1"/>
    <n v="1"/>
    <s v="Friday (Solucion: datafono, gofre, cocina y caja compartida)UtilizacionCajeroH1ExpressionUser Specified"/>
    <n v="19"/>
    <n v="0.84210526315789469"/>
    <n v="0.37463432463267765"/>
    <n v="0.95"/>
    <n v="0.18056796448973789"/>
    <n v="0"/>
    <n v="1"/>
    <n v="0"/>
    <n v="1"/>
    <n v="1"/>
    <n v="0.18056796448973789"/>
    <n v="19"/>
    <n v="1"/>
  </r>
  <r>
    <x v="0"/>
    <s v="2025-05-18 18:56:05"/>
    <n v="16"/>
    <x v="37"/>
    <x v="6"/>
    <x v="1"/>
    <n v="0"/>
    <n v="2E+20"/>
    <n v="0"/>
    <n v="0"/>
    <n v="1"/>
    <s v="Friday (Solucion: datafono, gofre, cocina y caja compartida)UtilizacionCajeroH1ExpressionUser Specified"/>
    <n v="19"/>
    <n v="0.84210526315789469"/>
    <n v="0.37463432463267765"/>
    <n v="0.95"/>
    <n v="0.18056796448973789"/>
    <n v="0"/>
    <n v="1"/>
    <n v="0"/>
    <n v="1"/>
    <n v="1"/>
    <n v="0.18056796448973789"/>
    <n v="19"/>
    <n v="1"/>
  </r>
  <r>
    <x v="0"/>
    <s v="2025-05-18 18:56:05"/>
    <n v="17"/>
    <x v="37"/>
    <x v="6"/>
    <x v="1"/>
    <n v="1"/>
    <n v="2E+20"/>
    <n v="1"/>
    <n v="1"/>
    <n v="1"/>
    <s v="Friday (Solucion: datafono, gofre, cocina y caja compartida)UtilizacionCajeroH1ExpressionUser Specified"/>
    <n v="19"/>
    <n v="0.84210526315789469"/>
    <n v="0.37463432463267765"/>
    <n v="0.95"/>
    <n v="0.18056796448973789"/>
    <n v="0"/>
    <n v="1"/>
    <n v="0"/>
    <n v="1"/>
    <n v="1"/>
    <n v="0.18056796448973789"/>
    <n v="19"/>
    <n v="1"/>
  </r>
  <r>
    <x v="0"/>
    <s v="2025-05-18 18:56:05"/>
    <n v="18"/>
    <x v="37"/>
    <x v="6"/>
    <x v="1"/>
    <n v="1"/>
    <n v="2E+20"/>
    <n v="1"/>
    <n v="1"/>
    <n v="1"/>
    <s v="Friday (Solucion: datafono, gofre, cocina y caja compartida)UtilizacionCajeroH1ExpressionUser Specified"/>
    <n v="19"/>
    <n v="0.84210526315789469"/>
    <n v="0.37463432463267765"/>
    <n v="0.95"/>
    <n v="0.18056796448973789"/>
    <n v="0"/>
    <n v="1"/>
    <n v="0"/>
    <n v="1"/>
    <n v="1"/>
    <n v="0.18056796448973789"/>
    <n v="19"/>
    <n v="1"/>
  </r>
  <r>
    <x v="0"/>
    <s v="2025-05-18 18:56:05"/>
    <n v="19"/>
    <x v="37"/>
    <x v="6"/>
    <x v="1"/>
    <n v="1"/>
    <n v="2E+20"/>
    <n v="1"/>
    <n v="1"/>
    <n v="1"/>
    <s v="Friday (Solucion: datafono, gofre, cocina y caja compartida)UtilizacionCajeroH1ExpressionUser Specified"/>
    <n v="19"/>
    <n v="0.84210526315789469"/>
    <n v="0.37463432463267765"/>
    <n v="0.95"/>
    <n v="0.18056796448973789"/>
    <n v="0"/>
    <n v="1"/>
    <n v="0"/>
    <n v="1"/>
    <n v="1"/>
    <n v="0.18056796448973789"/>
    <n v="19"/>
    <n v="1"/>
  </r>
  <r>
    <x v="0"/>
    <s v="2025-05-18 18:56:05"/>
    <n v="1"/>
    <x v="38"/>
    <x v="6"/>
    <x v="1"/>
    <n v="1"/>
    <n v="2E+20"/>
    <n v="1"/>
    <n v="1"/>
    <n v="1"/>
    <s v="Friday (Solucion: datafono, gofre, cocina y caja compartida)UtilizacionCajeroH2ExpressionUser Specified"/>
    <n v="19"/>
    <n v="0.63157894736842102"/>
    <n v="0.49559462778335212"/>
    <n v="0.95"/>
    <n v="0.23886896439249422"/>
    <n v="0"/>
    <n v="1"/>
    <n v="0"/>
    <n v="1"/>
    <n v="1"/>
    <n v="0.23886896439249422"/>
    <n v="19"/>
    <n v="1"/>
  </r>
  <r>
    <x v="0"/>
    <s v="2025-05-18 18:56:05"/>
    <n v="2"/>
    <x v="38"/>
    <x v="6"/>
    <x v="1"/>
    <n v="0"/>
    <n v="2E+20"/>
    <n v="0"/>
    <n v="0"/>
    <n v="1"/>
    <s v="Friday (Solucion: datafono, gofre, cocina y caja compartida)UtilizacionCajeroH2ExpressionUser Specified"/>
    <n v="19"/>
    <n v="0.63157894736842102"/>
    <n v="0.49559462778335212"/>
    <n v="0.95"/>
    <n v="0.23886896439249422"/>
    <n v="0"/>
    <n v="1"/>
    <n v="0"/>
    <n v="1"/>
    <n v="1"/>
    <n v="0.23886896439249422"/>
    <n v="19"/>
    <n v="1"/>
  </r>
  <r>
    <x v="0"/>
    <s v="2025-05-18 18:56:05"/>
    <n v="3"/>
    <x v="38"/>
    <x v="6"/>
    <x v="1"/>
    <n v="0"/>
    <n v="2E+20"/>
    <n v="0"/>
    <n v="0"/>
    <n v="1"/>
    <s v="Friday (Solucion: datafono, gofre, cocina y caja compartida)UtilizacionCajeroH2ExpressionUser Specified"/>
    <n v="19"/>
    <n v="0.63157894736842102"/>
    <n v="0.49559462778335212"/>
    <n v="0.95"/>
    <n v="0.23886896439249422"/>
    <n v="0"/>
    <n v="1"/>
    <n v="0"/>
    <n v="1"/>
    <n v="1"/>
    <n v="0.23886896439249422"/>
    <n v="19"/>
    <n v="1"/>
  </r>
  <r>
    <x v="0"/>
    <s v="2025-05-18 18:56:05"/>
    <n v="4"/>
    <x v="38"/>
    <x v="6"/>
    <x v="1"/>
    <n v="1"/>
    <n v="2E+20"/>
    <n v="1"/>
    <n v="1"/>
    <n v="1"/>
    <s v="Friday (Solucion: datafono, gofre, cocina y caja compartida)UtilizacionCajeroH2ExpressionUser Specified"/>
    <n v="19"/>
    <n v="0.63157894736842102"/>
    <n v="0.49559462778335212"/>
    <n v="0.95"/>
    <n v="0.23886896439249422"/>
    <n v="0"/>
    <n v="1"/>
    <n v="0"/>
    <n v="1"/>
    <n v="1"/>
    <n v="0.23886896439249422"/>
    <n v="19"/>
    <n v="1"/>
  </r>
  <r>
    <x v="0"/>
    <s v="2025-05-18 18:56:05"/>
    <n v="5"/>
    <x v="38"/>
    <x v="6"/>
    <x v="1"/>
    <n v="0"/>
    <n v="2E+20"/>
    <n v="0"/>
    <n v="0"/>
    <n v="1"/>
    <s v="Friday (Solucion: datafono, gofre, cocina y caja compartida)UtilizacionCajeroH2ExpressionUser Specified"/>
    <n v="19"/>
    <n v="0.63157894736842102"/>
    <n v="0.49559462778335212"/>
    <n v="0.95"/>
    <n v="0.23886896439249422"/>
    <n v="0"/>
    <n v="1"/>
    <n v="0"/>
    <n v="1"/>
    <n v="1"/>
    <n v="0.23886896439249422"/>
    <n v="19"/>
    <n v="1"/>
  </r>
  <r>
    <x v="0"/>
    <s v="2025-05-18 18:56:05"/>
    <n v="6"/>
    <x v="38"/>
    <x v="6"/>
    <x v="1"/>
    <n v="0"/>
    <n v="2E+20"/>
    <n v="0"/>
    <n v="0"/>
    <n v="1"/>
    <s v="Friday (Solucion: datafono, gofre, cocina y caja compartida)UtilizacionCajeroH2ExpressionUser Specified"/>
    <n v="19"/>
    <n v="0.63157894736842102"/>
    <n v="0.49559462778335212"/>
    <n v="0.95"/>
    <n v="0.23886896439249422"/>
    <n v="0"/>
    <n v="1"/>
    <n v="0"/>
    <n v="1"/>
    <n v="1"/>
    <n v="0.23886896439249422"/>
    <n v="19"/>
    <n v="1"/>
  </r>
  <r>
    <x v="0"/>
    <s v="2025-05-18 18:56:05"/>
    <n v="7"/>
    <x v="38"/>
    <x v="6"/>
    <x v="1"/>
    <n v="0"/>
    <n v="2E+20"/>
    <n v="0"/>
    <n v="0"/>
    <n v="1"/>
    <s v="Friday (Solucion: datafono, gofre, cocina y caja compartida)UtilizacionCajeroH2ExpressionUser Specified"/>
    <n v="19"/>
    <n v="0.63157894736842102"/>
    <n v="0.49559462778335212"/>
    <n v="0.95"/>
    <n v="0.23886896439249422"/>
    <n v="0"/>
    <n v="1"/>
    <n v="0"/>
    <n v="1"/>
    <n v="1"/>
    <n v="0.23886896439249422"/>
    <n v="19"/>
    <n v="1"/>
  </r>
  <r>
    <x v="0"/>
    <s v="2025-05-18 18:56:05"/>
    <n v="8"/>
    <x v="38"/>
    <x v="6"/>
    <x v="1"/>
    <n v="1"/>
    <n v="2E+20"/>
    <n v="1"/>
    <n v="1"/>
    <n v="1"/>
    <s v="Friday (Solucion: datafono, gofre, cocina y caja compartida)UtilizacionCajeroH2ExpressionUser Specified"/>
    <n v="19"/>
    <n v="0.63157894736842102"/>
    <n v="0.49559462778335212"/>
    <n v="0.95"/>
    <n v="0.23886896439249422"/>
    <n v="0"/>
    <n v="1"/>
    <n v="0"/>
    <n v="1"/>
    <n v="1"/>
    <n v="0.23886896439249422"/>
    <n v="19"/>
    <n v="1"/>
  </r>
  <r>
    <x v="0"/>
    <s v="2025-05-18 18:56:05"/>
    <n v="9"/>
    <x v="38"/>
    <x v="6"/>
    <x v="1"/>
    <n v="1"/>
    <n v="2E+20"/>
    <n v="1"/>
    <n v="1"/>
    <n v="1"/>
    <s v="Friday (Solucion: datafono, gofre, cocina y caja compartida)UtilizacionCajeroH2ExpressionUser Specified"/>
    <n v="19"/>
    <n v="0.63157894736842102"/>
    <n v="0.49559462778335212"/>
    <n v="0.95"/>
    <n v="0.23886896439249422"/>
    <n v="0"/>
    <n v="1"/>
    <n v="0"/>
    <n v="1"/>
    <n v="1"/>
    <n v="0.23886896439249422"/>
    <n v="19"/>
    <n v="1"/>
  </r>
  <r>
    <x v="0"/>
    <s v="2025-05-18 18:56:05"/>
    <n v="10"/>
    <x v="38"/>
    <x v="6"/>
    <x v="1"/>
    <n v="1"/>
    <n v="2E+20"/>
    <n v="1"/>
    <n v="1"/>
    <n v="1"/>
    <s v="Friday (Solucion: datafono, gofre, cocina y caja compartida)UtilizacionCajeroH2ExpressionUser Specified"/>
    <n v="19"/>
    <n v="0.63157894736842102"/>
    <n v="0.49559462778335212"/>
    <n v="0.95"/>
    <n v="0.23886896439249422"/>
    <n v="0"/>
    <n v="1"/>
    <n v="0"/>
    <n v="1"/>
    <n v="1"/>
    <n v="0.23886896439249422"/>
    <n v="19"/>
    <n v="1"/>
  </r>
  <r>
    <x v="0"/>
    <s v="2025-05-18 18:56:05"/>
    <n v="11"/>
    <x v="38"/>
    <x v="6"/>
    <x v="1"/>
    <n v="1"/>
    <n v="2E+20"/>
    <n v="1"/>
    <n v="1"/>
    <n v="1"/>
    <s v="Friday (Solucion: datafono, gofre, cocina y caja compartida)UtilizacionCajeroH2ExpressionUser Specified"/>
    <n v="19"/>
    <n v="0.63157894736842102"/>
    <n v="0.49559462778335212"/>
    <n v="0.95"/>
    <n v="0.23886896439249422"/>
    <n v="0"/>
    <n v="1"/>
    <n v="0"/>
    <n v="1"/>
    <n v="1"/>
    <n v="0.23886896439249422"/>
    <n v="19"/>
    <n v="1"/>
  </r>
  <r>
    <x v="0"/>
    <s v="2025-05-18 18:56:05"/>
    <n v="12"/>
    <x v="38"/>
    <x v="6"/>
    <x v="1"/>
    <n v="1"/>
    <n v="2E+20"/>
    <n v="1"/>
    <n v="1"/>
    <n v="1"/>
    <s v="Friday (Solucion: datafono, gofre, cocina y caja compartida)UtilizacionCajeroH2ExpressionUser Specified"/>
    <n v="19"/>
    <n v="0.63157894736842102"/>
    <n v="0.49559462778335212"/>
    <n v="0.95"/>
    <n v="0.23886896439249422"/>
    <n v="0"/>
    <n v="1"/>
    <n v="0"/>
    <n v="1"/>
    <n v="1"/>
    <n v="0.23886896439249422"/>
    <n v="19"/>
    <n v="1"/>
  </r>
  <r>
    <x v="0"/>
    <s v="2025-05-18 18:56:05"/>
    <n v="13"/>
    <x v="38"/>
    <x v="6"/>
    <x v="1"/>
    <n v="1"/>
    <n v="2E+20"/>
    <n v="1"/>
    <n v="1"/>
    <n v="1"/>
    <s v="Friday (Solucion: datafono, gofre, cocina y caja compartida)UtilizacionCajeroH2ExpressionUser Specified"/>
    <n v="19"/>
    <n v="0.63157894736842102"/>
    <n v="0.49559462778335212"/>
    <n v="0.95"/>
    <n v="0.23886896439249422"/>
    <n v="0"/>
    <n v="1"/>
    <n v="0"/>
    <n v="1"/>
    <n v="1"/>
    <n v="0.23886896439249422"/>
    <n v="19"/>
    <n v="1"/>
  </r>
  <r>
    <x v="0"/>
    <s v="2025-05-18 18:56:05"/>
    <n v="14"/>
    <x v="38"/>
    <x v="6"/>
    <x v="1"/>
    <n v="0"/>
    <n v="2E+20"/>
    <n v="0"/>
    <n v="0"/>
    <n v="1"/>
    <s v="Friday (Solucion: datafono, gofre, cocina y caja compartida)UtilizacionCajeroH2ExpressionUser Specified"/>
    <n v="19"/>
    <n v="0.63157894736842102"/>
    <n v="0.49559462778335212"/>
    <n v="0.95"/>
    <n v="0.23886896439249422"/>
    <n v="0"/>
    <n v="1"/>
    <n v="0"/>
    <n v="1"/>
    <n v="1"/>
    <n v="0.23886896439249422"/>
    <n v="19"/>
    <n v="1"/>
  </r>
  <r>
    <x v="0"/>
    <s v="2025-05-18 18:56:05"/>
    <n v="15"/>
    <x v="38"/>
    <x v="6"/>
    <x v="1"/>
    <n v="1"/>
    <n v="2E+20"/>
    <n v="1"/>
    <n v="1"/>
    <n v="1"/>
    <s v="Friday (Solucion: datafono, gofre, cocina y caja compartida)UtilizacionCajeroH2ExpressionUser Specified"/>
    <n v="19"/>
    <n v="0.63157894736842102"/>
    <n v="0.49559462778335212"/>
    <n v="0.95"/>
    <n v="0.23886896439249422"/>
    <n v="0"/>
    <n v="1"/>
    <n v="0"/>
    <n v="1"/>
    <n v="1"/>
    <n v="0.23886896439249422"/>
    <n v="19"/>
    <n v="1"/>
  </r>
  <r>
    <x v="0"/>
    <s v="2025-05-18 18:56:05"/>
    <n v="16"/>
    <x v="38"/>
    <x v="6"/>
    <x v="1"/>
    <n v="1"/>
    <n v="2E+20"/>
    <n v="1"/>
    <n v="1"/>
    <n v="1"/>
    <s v="Friday (Solucion: datafono, gofre, cocina y caja compartida)UtilizacionCajeroH2ExpressionUser Specified"/>
    <n v="19"/>
    <n v="0.63157894736842102"/>
    <n v="0.49559462778335212"/>
    <n v="0.95"/>
    <n v="0.23886896439249422"/>
    <n v="0"/>
    <n v="1"/>
    <n v="0"/>
    <n v="1"/>
    <n v="1"/>
    <n v="0.23886896439249422"/>
    <n v="19"/>
    <n v="1"/>
  </r>
  <r>
    <x v="0"/>
    <s v="2025-05-18 18:56:05"/>
    <n v="17"/>
    <x v="38"/>
    <x v="6"/>
    <x v="1"/>
    <n v="1"/>
    <n v="2E+20"/>
    <n v="1"/>
    <n v="1"/>
    <n v="1"/>
    <s v="Friday (Solucion: datafono, gofre, cocina y caja compartida)UtilizacionCajeroH2ExpressionUser Specified"/>
    <n v="19"/>
    <n v="0.63157894736842102"/>
    <n v="0.49559462778335212"/>
    <n v="0.95"/>
    <n v="0.23886896439249422"/>
    <n v="0"/>
    <n v="1"/>
    <n v="0"/>
    <n v="1"/>
    <n v="1"/>
    <n v="0.23886896439249422"/>
    <n v="19"/>
    <n v="1"/>
  </r>
  <r>
    <x v="0"/>
    <s v="2025-05-18 18:56:05"/>
    <n v="18"/>
    <x v="38"/>
    <x v="6"/>
    <x v="1"/>
    <n v="1"/>
    <n v="2E+20"/>
    <n v="1"/>
    <n v="1"/>
    <n v="1"/>
    <s v="Friday (Solucion: datafono, gofre, cocina y caja compartida)UtilizacionCajeroH2ExpressionUser Specified"/>
    <n v="19"/>
    <n v="0.63157894736842102"/>
    <n v="0.49559462778335212"/>
    <n v="0.95"/>
    <n v="0.23886896439249422"/>
    <n v="0"/>
    <n v="1"/>
    <n v="0"/>
    <n v="1"/>
    <n v="1"/>
    <n v="0.23886896439249422"/>
    <n v="19"/>
    <n v="1"/>
  </r>
  <r>
    <x v="0"/>
    <s v="2025-05-18 18:56:05"/>
    <n v="19"/>
    <x v="38"/>
    <x v="6"/>
    <x v="1"/>
    <n v="0"/>
    <n v="2E+20"/>
    <n v="0"/>
    <n v="0"/>
    <n v="1"/>
    <s v="Friday (Solucion: datafono, gofre, cocina y caja compartida)UtilizacionCajeroH2ExpressionUser Specified"/>
    <n v="19"/>
    <n v="0.63157894736842102"/>
    <n v="0.49559462778335212"/>
    <n v="0.95"/>
    <n v="0.23886896439249422"/>
    <n v="0"/>
    <n v="1"/>
    <n v="0"/>
    <n v="1"/>
    <n v="1"/>
    <n v="0.23886896439249422"/>
    <n v="19"/>
    <n v="1"/>
  </r>
  <r>
    <x v="0"/>
    <s v="2025-05-18 18:56:05"/>
    <n v="1"/>
    <x v="39"/>
    <x v="6"/>
    <x v="1"/>
    <n v="1"/>
    <n v="2E+20"/>
    <n v="1"/>
    <n v="1"/>
    <n v="1"/>
    <s v="Friday (Solucion: datafono, gofre, cocina y caja compartida)UtilizacionCajeroH3ExpressionUser Specified"/>
    <n v="19"/>
    <n v="0.78947368421052633"/>
    <n v="0.41885390829169544"/>
    <n v="0.95"/>
    <n v="0.20188112157891097"/>
    <n v="0"/>
    <n v="1"/>
    <n v="0"/>
    <n v="1"/>
    <n v="1"/>
    <n v="0.20188112157891097"/>
    <n v="19"/>
    <n v="1"/>
  </r>
  <r>
    <x v="0"/>
    <s v="2025-05-18 18:56:05"/>
    <n v="2"/>
    <x v="39"/>
    <x v="6"/>
    <x v="1"/>
    <n v="1"/>
    <n v="2E+20"/>
    <n v="1"/>
    <n v="1"/>
    <n v="1"/>
    <s v="Friday (Solucion: datafono, gofre, cocina y caja compartida)UtilizacionCajeroH3ExpressionUser Specified"/>
    <n v="19"/>
    <n v="0.78947368421052633"/>
    <n v="0.41885390829169544"/>
    <n v="0.95"/>
    <n v="0.20188112157891097"/>
    <n v="0"/>
    <n v="1"/>
    <n v="0"/>
    <n v="1"/>
    <n v="1"/>
    <n v="0.20188112157891097"/>
    <n v="19"/>
    <n v="1"/>
  </r>
  <r>
    <x v="0"/>
    <s v="2025-05-18 18:56:05"/>
    <n v="3"/>
    <x v="39"/>
    <x v="6"/>
    <x v="1"/>
    <n v="1"/>
    <n v="2E+20"/>
    <n v="1"/>
    <n v="1"/>
    <n v="1"/>
    <s v="Friday (Solucion: datafono, gofre, cocina y caja compartida)UtilizacionCajeroH3ExpressionUser Specified"/>
    <n v="19"/>
    <n v="0.78947368421052633"/>
    <n v="0.41885390829169544"/>
    <n v="0.95"/>
    <n v="0.20188112157891097"/>
    <n v="0"/>
    <n v="1"/>
    <n v="0"/>
    <n v="1"/>
    <n v="1"/>
    <n v="0.20188112157891097"/>
    <n v="19"/>
    <n v="1"/>
  </r>
  <r>
    <x v="0"/>
    <s v="2025-05-18 18:56:05"/>
    <n v="4"/>
    <x v="39"/>
    <x v="6"/>
    <x v="1"/>
    <n v="1"/>
    <n v="2E+20"/>
    <n v="1"/>
    <n v="1"/>
    <n v="1"/>
    <s v="Friday (Solucion: datafono, gofre, cocina y caja compartida)UtilizacionCajeroH3ExpressionUser Specified"/>
    <n v="19"/>
    <n v="0.78947368421052633"/>
    <n v="0.41885390829169544"/>
    <n v="0.95"/>
    <n v="0.20188112157891097"/>
    <n v="0"/>
    <n v="1"/>
    <n v="0"/>
    <n v="1"/>
    <n v="1"/>
    <n v="0.20188112157891097"/>
    <n v="19"/>
    <n v="1"/>
  </r>
  <r>
    <x v="0"/>
    <s v="2025-05-18 18:56:05"/>
    <n v="5"/>
    <x v="39"/>
    <x v="6"/>
    <x v="1"/>
    <n v="0"/>
    <n v="2E+20"/>
    <n v="0"/>
    <n v="0"/>
    <n v="1"/>
    <s v="Friday (Solucion: datafono, gofre, cocina y caja compartida)UtilizacionCajeroH3ExpressionUser Specified"/>
    <n v="19"/>
    <n v="0.78947368421052633"/>
    <n v="0.41885390829169544"/>
    <n v="0.95"/>
    <n v="0.20188112157891097"/>
    <n v="0"/>
    <n v="1"/>
    <n v="0"/>
    <n v="1"/>
    <n v="1"/>
    <n v="0.20188112157891097"/>
    <n v="19"/>
    <n v="1"/>
  </r>
  <r>
    <x v="0"/>
    <s v="2025-05-18 18:56:05"/>
    <n v="6"/>
    <x v="39"/>
    <x v="6"/>
    <x v="1"/>
    <n v="1"/>
    <n v="2E+20"/>
    <n v="1"/>
    <n v="1"/>
    <n v="1"/>
    <s v="Friday (Solucion: datafono, gofre, cocina y caja compartida)UtilizacionCajeroH3ExpressionUser Specified"/>
    <n v="19"/>
    <n v="0.78947368421052633"/>
    <n v="0.41885390829169544"/>
    <n v="0.95"/>
    <n v="0.20188112157891097"/>
    <n v="0"/>
    <n v="1"/>
    <n v="0"/>
    <n v="1"/>
    <n v="1"/>
    <n v="0.20188112157891097"/>
    <n v="19"/>
    <n v="1"/>
  </r>
  <r>
    <x v="0"/>
    <s v="2025-05-18 18:56:05"/>
    <n v="7"/>
    <x v="39"/>
    <x v="6"/>
    <x v="1"/>
    <n v="0"/>
    <n v="2E+20"/>
    <n v="0"/>
    <n v="0"/>
    <n v="1"/>
    <s v="Friday (Solucion: datafono, gofre, cocina y caja compartida)UtilizacionCajeroH3ExpressionUser Specified"/>
    <n v="19"/>
    <n v="0.78947368421052633"/>
    <n v="0.41885390829169544"/>
    <n v="0.95"/>
    <n v="0.20188112157891097"/>
    <n v="0"/>
    <n v="1"/>
    <n v="0"/>
    <n v="1"/>
    <n v="1"/>
    <n v="0.20188112157891097"/>
    <n v="19"/>
    <n v="1"/>
  </r>
  <r>
    <x v="0"/>
    <s v="2025-05-18 18:56:05"/>
    <n v="8"/>
    <x v="39"/>
    <x v="6"/>
    <x v="1"/>
    <n v="1"/>
    <n v="2E+20"/>
    <n v="1"/>
    <n v="1"/>
    <n v="1"/>
    <s v="Friday (Solucion: datafono, gofre, cocina y caja compartida)UtilizacionCajeroH3ExpressionUser Specified"/>
    <n v="19"/>
    <n v="0.78947368421052633"/>
    <n v="0.41885390829169544"/>
    <n v="0.95"/>
    <n v="0.20188112157891097"/>
    <n v="0"/>
    <n v="1"/>
    <n v="0"/>
    <n v="1"/>
    <n v="1"/>
    <n v="0.20188112157891097"/>
    <n v="19"/>
    <n v="1"/>
  </r>
  <r>
    <x v="0"/>
    <s v="2025-05-18 18:56:05"/>
    <n v="9"/>
    <x v="39"/>
    <x v="6"/>
    <x v="1"/>
    <n v="1"/>
    <n v="2E+20"/>
    <n v="1"/>
    <n v="1"/>
    <n v="1"/>
    <s v="Friday (Solucion: datafono, gofre, cocina y caja compartida)UtilizacionCajeroH3ExpressionUser Specified"/>
    <n v="19"/>
    <n v="0.78947368421052633"/>
    <n v="0.41885390829169544"/>
    <n v="0.95"/>
    <n v="0.20188112157891097"/>
    <n v="0"/>
    <n v="1"/>
    <n v="0"/>
    <n v="1"/>
    <n v="1"/>
    <n v="0.20188112157891097"/>
    <n v="19"/>
    <n v="1"/>
  </r>
  <r>
    <x v="0"/>
    <s v="2025-05-18 18:56:05"/>
    <n v="10"/>
    <x v="39"/>
    <x v="6"/>
    <x v="1"/>
    <n v="0"/>
    <n v="2E+20"/>
    <n v="0"/>
    <n v="0"/>
    <n v="1"/>
    <s v="Friday (Solucion: datafono, gofre, cocina y caja compartida)UtilizacionCajeroH3ExpressionUser Specified"/>
    <n v="19"/>
    <n v="0.78947368421052633"/>
    <n v="0.41885390829169544"/>
    <n v="0.95"/>
    <n v="0.20188112157891097"/>
    <n v="0"/>
    <n v="1"/>
    <n v="0"/>
    <n v="1"/>
    <n v="1"/>
    <n v="0.20188112157891097"/>
    <n v="19"/>
    <n v="1"/>
  </r>
  <r>
    <x v="0"/>
    <s v="2025-05-18 18:56:05"/>
    <n v="11"/>
    <x v="39"/>
    <x v="6"/>
    <x v="1"/>
    <n v="1"/>
    <n v="2E+20"/>
    <n v="1"/>
    <n v="1"/>
    <n v="1"/>
    <s v="Friday (Solucion: datafono, gofre, cocina y caja compartida)UtilizacionCajeroH3ExpressionUser Specified"/>
    <n v="19"/>
    <n v="0.78947368421052633"/>
    <n v="0.41885390829169544"/>
    <n v="0.95"/>
    <n v="0.20188112157891097"/>
    <n v="0"/>
    <n v="1"/>
    <n v="0"/>
    <n v="1"/>
    <n v="1"/>
    <n v="0.20188112157891097"/>
    <n v="19"/>
    <n v="1"/>
  </r>
  <r>
    <x v="0"/>
    <s v="2025-05-18 18:56:05"/>
    <n v="12"/>
    <x v="39"/>
    <x v="6"/>
    <x v="1"/>
    <n v="1"/>
    <n v="2E+20"/>
    <n v="1"/>
    <n v="1"/>
    <n v="1"/>
    <s v="Friday (Solucion: datafono, gofre, cocina y caja compartida)UtilizacionCajeroH3ExpressionUser Specified"/>
    <n v="19"/>
    <n v="0.78947368421052633"/>
    <n v="0.41885390829169544"/>
    <n v="0.95"/>
    <n v="0.20188112157891097"/>
    <n v="0"/>
    <n v="1"/>
    <n v="0"/>
    <n v="1"/>
    <n v="1"/>
    <n v="0.20188112157891097"/>
    <n v="19"/>
    <n v="1"/>
  </r>
  <r>
    <x v="0"/>
    <s v="2025-05-18 18:56:05"/>
    <n v="13"/>
    <x v="39"/>
    <x v="6"/>
    <x v="1"/>
    <n v="1"/>
    <n v="2E+20"/>
    <n v="1"/>
    <n v="1"/>
    <n v="1"/>
    <s v="Friday (Solucion: datafono, gofre, cocina y caja compartida)UtilizacionCajeroH3ExpressionUser Specified"/>
    <n v="19"/>
    <n v="0.78947368421052633"/>
    <n v="0.41885390829169544"/>
    <n v="0.95"/>
    <n v="0.20188112157891097"/>
    <n v="0"/>
    <n v="1"/>
    <n v="0"/>
    <n v="1"/>
    <n v="1"/>
    <n v="0.20188112157891097"/>
    <n v="19"/>
    <n v="1"/>
  </r>
  <r>
    <x v="0"/>
    <s v="2025-05-18 18:56:05"/>
    <n v="14"/>
    <x v="39"/>
    <x v="6"/>
    <x v="1"/>
    <n v="1"/>
    <n v="2E+20"/>
    <n v="1"/>
    <n v="1"/>
    <n v="1"/>
    <s v="Friday (Solucion: datafono, gofre, cocina y caja compartida)UtilizacionCajeroH3ExpressionUser Specified"/>
    <n v="19"/>
    <n v="0.78947368421052633"/>
    <n v="0.41885390829169544"/>
    <n v="0.95"/>
    <n v="0.20188112157891097"/>
    <n v="0"/>
    <n v="1"/>
    <n v="0"/>
    <n v="1"/>
    <n v="1"/>
    <n v="0.20188112157891097"/>
    <n v="19"/>
    <n v="1"/>
  </r>
  <r>
    <x v="0"/>
    <s v="2025-05-18 18:56:05"/>
    <n v="15"/>
    <x v="39"/>
    <x v="6"/>
    <x v="1"/>
    <n v="1"/>
    <n v="2E+20"/>
    <n v="1"/>
    <n v="1"/>
    <n v="1"/>
    <s v="Friday (Solucion: datafono, gofre, cocina y caja compartida)UtilizacionCajeroH3ExpressionUser Specified"/>
    <n v="19"/>
    <n v="0.78947368421052633"/>
    <n v="0.41885390829169544"/>
    <n v="0.95"/>
    <n v="0.20188112157891097"/>
    <n v="0"/>
    <n v="1"/>
    <n v="0"/>
    <n v="1"/>
    <n v="1"/>
    <n v="0.20188112157891097"/>
    <n v="19"/>
    <n v="1"/>
  </r>
  <r>
    <x v="0"/>
    <s v="2025-05-18 18:56:05"/>
    <n v="16"/>
    <x v="39"/>
    <x v="6"/>
    <x v="1"/>
    <n v="0"/>
    <n v="2E+20"/>
    <n v="0"/>
    <n v="0"/>
    <n v="1"/>
    <s v="Friday (Solucion: datafono, gofre, cocina y caja compartida)UtilizacionCajeroH3ExpressionUser Specified"/>
    <n v="19"/>
    <n v="0.78947368421052633"/>
    <n v="0.41885390829169544"/>
    <n v="0.95"/>
    <n v="0.20188112157891097"/>
    <n v="0"/>
    <n v="1"/>
    <n v="0"/>
    <n v="1"/>
    <n v="1"/>
    <n v="0.20188112157891097"/>
    <n v="19"/>
    <n v="1"/>
  </r>
  <r>
    <x v="0"/>
    <s v="2025-05-18 18:56:05"/>
    <n v="17"/>
    <x v="39"/>
    <x v="6"/>
    <x v="1"/>
    <n v="1"/>
    <n v="2E+20"/>
    <n v="1"/>
    <n v="1"/>
    <n v="1"/>
    <s v="Friday (Solucion: datafono, gofre, cocina y caja compartida)UtilizacionCajeroH3ExpressionUser Specified"/>
    <n v="19"/>
    <n v="0.78947368421052633"/>
    <n v="0.41885390829169544"/>
    <n v="0.95"/>
    <n v="0.20188112157891097"/>
    <n v="0"/>
    <n v="1"/>
    <n v="0"/>
    <n v="1"/>
    <n v="1"/>
    <n v="0.20188112157891097"/>
    <n v="19"/>
    <n v="1"/>
  </r>
  <r>
    <x v="0"/>
    <s v="2025-05-18 18:56:05"/>
    <n v="18"/>
    <x v="39"/>
    <x v="6"/>
    <x v="1"/>
    <n v="1"/>
    <n v="2E+20"/>
    <n v="1"/>
    <n v="1"/>
    <n v="1"/>
    <s v="Friday (Solucion: datafono, gofre, cocina y caja compartida)UtilizacionCajeroH3ExpressionUser Specified"/>
    <n v="19"/>
    <n v="0.78947368421052633"/>
    <n v="0.41885390829169544"/>
    <n v="0.95"/>
    <n v="0.20188112157891097"/>
    <n v="0"/>
    <n v="1"/>
    <n v="0"/>
    <n v="1"/>
    <n v="1"/>
    <n v="0.20188112157891097"/>
    <n v="19"/>
    <n v="1"/>
  </r>
  <r>
    <x v="0"/>
    <s v="2025-05-18 18:56:05"/>
    <n v="19"/>
    <x v="39"/>
    <x v="6"/>
    <x v="1"/>
    <n v="1"/>
    <n v="2E+20"/>
    <n v="1"/>
    <n v="1"/>
    <n v="1"/>
    <s v="Friday (Solucion: datafono, gofre, cocina y caja compartida)UtilizacionCajeroH3ExpressionUser Specified"/>
    <n v="19"/>
    <n v="0.78947368421052633"/>
    <n v="0.41885390829169544"/>
    <n v="0.95"/>
    <n v="0.20188112157891097"/>
    <n v="0"/>
    <n v="1"/>
    <n v="0"/>
    <n v="1"/>
    <n v="1"/>
    <n v="0.20188112157891097"/>
    <n v="19"/>
    <n v="1"/>
  </r>
  <r>
    <x v="0"/>
    <s v="2025-05-18 18:56:05"/>
    <n v="1"/>
    <x v="40"/>
    <x v="6"/>
    <x v="1"/>
    <n v="1"/>
    <n v="2E+20"/>
    <n v="1"/>
    <n v="1"/>
    <n v="1"/>
    <s v="Friday (Solucion: datafono, gofre, cocina y caja compartida)UtilizacionCocinaH1ExpressionUser Specified"/>
    <n v="19"/>
    <n v="0.70252114313058733"/>
    <n v="0.13432189260482255"/>
    <n v="0.95"/>
    <n v="6.4741079872600651E-2"/>
    <n v="0.47294888831318199"/>
    <n v="1"/>
    <n v="0.47294888831318199"/>
    <n v="1"/>
    <n v="1"/>
    <n v="6.4741079872600651E-2"/>
    <n v="19"/>
    <n v="1"/>
  </r>
  <r>
    <x v="0"/>
    <s v="2025-05-18 18:56:05"/>
    <n v="2"/>
    <x v="40"/>
    <x v="6"/>
    <x v="1"/>
    <n v="0.65311336065885806"/>
    <n v="2E+20"/>
    <n v="0.65311336065885806"/>
    <n v="0.65311336065885806"/>
    <n v="1"/>
    <s v="Friday (Solucion: datafono, gofre, cocina y caja compartida)UtilizacionCocinaH1ExpressionUser Specified"/>
    <n v="19"/>
    <n v="0.70252114313058733"/>
    <n v="0.13432189260482255"/>
    <n v="0.95"/>
    <n v="6.4741079872600651E-2"/>
    <n v="0.47294888831318199"/>
    <n v="1"/>
    <n v="0.47294888831318199"/>
    <n v="1"/>
    <n v="1"/>
    <n v="6.4741079872600651E-2"/>
    <n v="19"/>
    <n v="1"/>
  </r>
  <r>
    <x v="0"/>
    <s v="2025-05-18 18:56:05"/>
    <n v="3"/>
    <x v="40"/>
    <x v="6"/>
    <x v="1"/>
    <n v="0.95120613992454905"/>
    <n v="2E+20"/>
    <n v="0.95120613992454905"/>
    <n v="0.95120613992454905"/>
    <n v="1"/>
    <s v="Friday (Solucion: datafono, gofre, cocina y caja compartida)UtilizacionCocinaH1ExpressionUser Specified"/>
    <n v="19"/>
    <n v="0.70252114313058733"/>
    <n v="0.13432189260482255"/>
    <n v="0.95"/>
    <n v="6.4741079872600651E-2"/>
    <n v="0.47294888831318199"/>
    <n v="1"/>
    <n v="0.47294888831318199"/>
    <n v="1"/>
    <n v="1"/>
    <n v="6.4741079872600651E-2"/>
    <n v="19"/>
    <n v="1"/>
  </r>
  <r>
    <x v="0"/>
    <s v="2025-05-18 18:56:05"/>
    <n v="4"/>
    <x v="40"/>
    <x v="6"/>
    <x v="1"/>
    <n v="0.77827697792280004"/>
    <n v="2E+20"/>
    <n v="0.77827697792280004"/>
    <n v="0.77827697792280004"/>
    <n v="1"/>
    <s v="Friday (Solucion: datafono, gofre, cocina y caja compartida)UtilizacionCocinaH1ExpressionUser Specified"/>
    <n v="19"/>
    <n v="0.70252114313058733"/>
    <n v="0.13432189260482255"/>
    <n v="0.95"/>
    <n v="6.4741079872600651E-2"/>
    <n v="0.47294888831318199"/>
    <n v="1"/>
    <n v="0.47294888831318199"/>
    <n v="1"/>
    <n v="1"/>
    <n v="6.4741079872600651E-2"/>
    <n v="19"/>
    <n v="1"/>
  </r>
  <r>
    <x v="0"/>
    <s v="2025-05-18 18:56:05"/>
    <n v="5"/>
    <x v="40"/>
    <x v="6"/>
    <x v="1"/>
    <n v="0.64517670502770197"/>
    <n v="2E+20"/>
    <n v="0.64517670502770197"/>
    <n v="0.64517670502770197"/>
    <n v="1"/>
    <s v="Friday (Solucion: datafono, gofre, cocina y caja compartida)UtilizacionCocinaH1ExpressionUser Specified"/>
    <n v="19"/>
    <n v="0.70252114313058733"/>
    <n v="0.13432189260482255"/>
    <n v="0.95"/>
    <n v="6.4741079872600651E-2"/>
    <n v="0.47294888831318199"/>
    <n v="1"/>
    <n v="0.47294888831318199"/>
    <n v="1"/>
    <n v="1"/>
    <n v="6.4741079872600651E-2"/>
    <n v="19"/>
    <n v="1"/>
  </r>
  <r>
    <x v="0"/>
    <s v="2025-05-18 18:56:05"/>
    <n v="6"/>
    <x v="40"/>
    <x v="6"/>
    <x v="1"/>
    <n v="0.65686013300843304"/>
    <n v="2E+20"/>
    <n v="0.65686013300843304"/>
    <n v="0.65686013300843304"/>
    <n v="1"/>
    <s v="Friday (Solucion: datafono, gofre, cocina y caja compartida)UtilizacionCocinaH1ExpressionUser Specified"/>
    <n v="19"/>
    <n v="0.70252114313058733"/>
    <n v="0.13432189260482255"/>
    <n v="0.95"/>
    <n v="6.4741079872600651E-2"/>
    <n v="0.47294888831318199"/>
    <n v="1"/>
    <n v="0.47294888831318199"/>
    <n v="1"/>
    <n v="1"/>
    <n v="6.4741079872600651E-2"/>
    <n v="19"/>
    <n v="1"/>
  </r>
  <r>
    <x v="0"/>
    <s v="2025-05-18 18:56:05"/>
    <n v="7"/>
    <x v="40"/>
    <x v="6"/>
    <x v="1"/>
    <n v="0.63376196472592505"/>
    <n v="2E+20"/>
    <n v="0.63376196472592505"/>
    <n v="0.63376196472592505"/>
    <n v="1"/>
    <s v="Friday (Solucion: datafono, gofre, cocina y caja compartida)UtilizacionCocinaH1ExpressionUser Specified"/>
    <n v="19"/>
    <n v="0.70252114313058733"/>
    <n v="0.13432189260482255"/>
    <n v="0.95"/>
    <n v="6.4741079872600651E-2"/>
    <n v="0.47294888831318199"/>
    <n v="1"/>
    <n v="0.47294888831318199"/>
    <n v="1"/>
    <n v="1"/>
    <n v="6.4741079872600651E-2"/>
    <n v="19"/>
    <n v="1"/>
  </r>
  <r>
    <x v="0"/>
    <s v="2025-05-18 18:56:05"/>
    <n v="8"/>
    <x v="40"/>
    <x v="6"/>
    <x v="1"/>
    <n v="0.71568434615447896"/>
    <n v="2E+20"/>
    <n v="0.71568434615447896"/>
    <n v="0.71568434615447896"/>
    <n v="1"/>
    <s v="Friday (Solucion: datafono, gofre, cocina y caja compartida)UtilizacionCocinaH1ExpressionUser Specified"/>
    <n v="19"/>
    <n v="0.70252114313058733"/>
    <n v="0.13432189260482255"/>
    <n v="0.95"/>
    <n v="6.4741079872600651E-2"/>
    <n v="0.47294888831318199"/>
    <n v="1"/>
    <n v="0.47294888831318199"/>
    <n v="1"/>
    <n v="1"/>
    <n v="6.4741079872600651E-2"/>
    <n v="19"/>
    <n v="1"/>
  </r>
  <r>
    <x v="0"/>
    <s v="2025-05-18 18:56:05"/>
    <n v="9"/>
    <x v="40"/>
    <x v="6"/>
    <x v="1"/>
    <n v="0.74493047849023197"/>
    <n v="2E+20"/>
    <n v="0.74493047849023197"/>
    <n v="0.74493047849023197"/>
    <n v="1"/>
    <s v="Friday (Solucion: datafono, gofre, cocina y caja compartida)UtilizacionCocinaH1ExpressionUser Specified"/>
    <n v="19"/>
    <n v="0.70252114313058733"/>
    <n v="0.13432189260482255"/>
    <n v="0.95"/>
    <n v="6.4741079872600651E-2"/>
    <n v="0.47294888831318199"/>
    <n v="1"/>
    <n v="0.47294888831318199"/>
    <n v="1"/>
    <n v="1"/>
    <n v="6.4741079872600651E-2"/>
    <n v="19"/>
    <n v="1"/>
  </r>
  <r>
    <x v="0"/>
    <s v="2025-05-18 18:56:05"/>
    <n v="10"/>
    <x v="40"/>
    <x v="6"/>
    <x v="1"/>
    <n v="0.59225315772614595"/>
    <n v="2E+20"/>
    <n v="0.59225315772614595"/>
    <n v="0.59225315772614595"/>
    <n v="1"/>
    <s v="Friday (Solucion: datafono, gofre, cocina y caja compartida)UtilizacionCocinaH1ExpressionUser Specified"/>
    <n v="19"/>
    <n v="0.70252114313058733"/>
    <n v="0.13432189260482255"/>
    <n v="0.95"/>
    <n v="6.4741079872600651E-2"/>
    <n v="0.47294888831318199"/>
    <n v="1"/>
    <n v="0.47294888831318199"/>
    <n v="1"/>
    <n v="1"/>
    <n v="6.4741079872600651E-2"/>
    <n v="19"/>
    <n v="1"/>
  </r>
  <r>
    <x v="0"/>
    <s v="2025-05-18 18:56:05"/>
    <n v="11"/>
    <x v="40"/>
    <x v="6"/>
    <x v="1"/>
    <n v="0.47294888831318199"/>
    <n v="2E+20"/>
    <n v="0.47294888831318199"/>
    <n v="0.47294888831318199"/>
    <n v="1"/>
    <s v="Friday (Solucion: datafono, gofre, cocina y caja compartida)UtilizacionCocinaH1ExpressionUser Specified"/>
    <n v="19"/>
    <n v="0.70252114313058733"/>
    <n v="0.13432189260482255"/>
    <n v="0.95"/>
    <n v="6.4741079872600651E-2"/>
    <n v="0.47294888831318199"/>
    <n v="1"/>
    <n v="0.47294888831318199"/>
    <n v="1"/>
    <n v="1"/>
    <n v="6.4741079872600651E-2"/>
    <n v="19"/>
    <n v="1"/>
  </r>
  <r>
    <x v="0"/>
    <s v="2025-05-18 18:56:05"/>
    <n v="12"/>
    <x v="40"/>
    <x v="6"/>
    <x v="1"/>
    <n v="0.65991252897872998"/>
    <n v="2E+20"/>
    <n v="0.65991252897872998"/>
    <n v="0.65991252897872998"/>
    <n v="1"/>
    <s v="Friday (Solucion: datafono, gofre, cocina y caja compartida)UtilizacionCocinaH1ExpressionUser Specified"/>
    <n v="19"/>
    <n v="0.70252114313058733"/>
    <n v="0.13432189260482255"/>
    <n v="0.95"/>
    <n v="6.4741079872600651E-2"/>
    <n v="0.47294888831318199"/>
    <n v="1"/>
    <n v="0.47294888831318199"/>
    <n v="1"/>
    <n v="1"/>
    <n v="6.4741079872600651E-2"/>
    <n v="19"/>
    <n v="1"/>
  </r>
  <r>
    <x v="0"/>
    <s v="2025-05-18 18:56:05"/>
    <n v="13"/>
    <x v="40"/>
    <x v="6"/>
    <x v="1"/>
    <n v="0.517463442249112"/>
    <n v="2E+20"/>
    <n v="0.517463442249112"/>
    <n v="0.517463442249112"/>
    <n v="1"/>
    <s v="Friday (Solucion: datafono, gofre, cocina y caja compartida)UtilizacionCocinaH1ExpressionUser Specified"/>
    <n v="19"/>
    <n v="0.70252114313058733"/>
    <n v="0.13432189260482255"/>
    <n v="0.95"/>
    <n v="6.4741079872600651E-2"/>
    <n v="0.47294888831318199"/>
    <n v="1"/>
    <n v="0.47294888831318199"/>
    <n v="1"/>
    <n v="1"/>
    <n v="6.4741079872600651E-2"/>
    <n v="19"/>
    <n v="1"/>
  </r>
  <r>
    <x v="0"/>
    <s v="2025-05-18 18:56:05"/>
    <n v="14"/>
    <x v="40"/>
    <x v="6"/>
    <x v="1"/>
    <n v="0.63776879858742197"/>
    <n v="2E+20"/>
    <n v="0.63776879858742197"/>
    <n v="0.63776879858742197"/>
    <n v="1"/>
    <s v="Friday (Solucion: datafono, gofre, cocina y caja compartida)UtilizacionCocinaH1ExpressionUser Specified"/>
    <n v="19"/>
    <n v="0.70252114313058733"/>
    <n v="0.13432189260482255"/>
    <n v="0.95"/>
    <n v="6.4741079872600651E-2"/>
    <n v="0.47294888831318199"/>
    <n v="1"/>
    <n v="0.47294888831318199"/>
    <n v="1"/>
    <n v="1"/>
    <n v="6.4741079872600651E-2"/>
    <n v="19"/>
    <n v="1"/>
  </r>
  <r>
    <x v="0"/>
    <s v="2025-05-18 18:56:05"/>
    <n v="15"/>
    <x v="40"/>
    <x v="6"/>
    <x v="1"/>
    <n v="0.74740418503746897"/>
    <n v="2E+20"/>
    <n v="0.74740418503746897"/>
    <n v="0.74740418503746897"/>
    <n v="1"/>
    <s v="Friday (Solucion: datafono, gofre, cocina y caja compartida)UtilizacionCocinaH1ExpressionUser Specified"/>
    <n v="19"/>
    <n v="0.70252114313058733"/>
    <n v="0.13432189260482255"/>
    <n v="0.95"/>
    <n v="6.4741079872600651E-2"/>
    <n v="0.47294888831318199"/>
    <n v="1"/>
    <n v="0.47294888831318199"/>
    <n v="1"/>
    <n v="1"/>
    <n v="6.4741079872600651E-2"/>
    <n v="19"/>
    <n v="1"/>
  </r>
  <r>
    <x v="0"/>
    <s v="2025-05-18 18:56:05"/>
    <n v="16"/>
    <x v="40"/>
    <x v="6"/>
    <x v="1"/>
    <n v="0.76184861774766999"/>
    <n v="2E+20"/>
    <n v="0.76184861774766999"/>
    <n v="0.76184861774766999"/>
    <n v="1"/>
    <s v="Friday (Solucion: datafono, gofre, cocina y caja compartida)UtilizacionCocinaH1ExpressionUser Specified"/>
    <n v="19"/>
    <n v="0.70252114313058733"/>
    <n v="0.13432189260482255"/>
    <n v="0.95"/>
    <n v="6.4741079872600651E-2"/>
    <n v="0.47294888831318199"/>
    <n v="1"/>
    <n v="0.47294888831318199"/>
    <n v="1"/>
    <n v="1"/>
    <n v="6.4741079872600651E-2"/>
    <n v="19"/>
    <n v="1"/>
  </r>
  <r>
    <x v="0"/>
    <s v="2025-05-18 18:56:05"/>
    <n v="17"/>
    <x v="40"/>
    <x v="6"/>
    <x v="1"/>
    <n v="0.82262518738352897"/>
    <n v="2E+20"/>
    <n v="0.82262518738352897"/>
    <n v="0.82262518738352897"/>
    <n v="1"/>
    <s v="Friday (Solucion: datafono, gofre, cocina y caja compartida)UtilizacionCocinaH1ExpressionUser Specified"/>
    <n v="19"/>
    <n v="0.70252114313058733"/>
    <n v="0.13432189260482255"/>
    <n v="0.95"/>
    <n v="6.4741079872600651E-2"/>
    <n v="0.47294888831318199"/>
    <n v="1"/>
    <n v="0.47294888831318199"/>
    <n v="1"/>
    <n v="1"/>
    <n v="6.4741079872600651E-2"/>
    <n v="19"/>
    <n v="1"/>
  </r>
  <r>
    <x v="0"/>
    <s v="2025-05-18 18:56:05"/>
    <n v="18"/>
    <x v="40"/>
    <x v="6"/>
    <x v="1"/>
    <n v="0.79649699745760005"/>
    <n v="2E+20"/>
    <n v="0.79649699745760005"/>
    <n v="0.79649699745760005"/>
    <n v="1"/>
    <s v="Friday (Solucion: datafono, gofre, cocina y caja compartida)UtilizacionCocinaH1ExpressionUser Specified"/>
    <n v="19"/>
    <n v="0.70252114313058733"/>
    <n v="0.13432189260482255"/>
    <n v="0.95"/>
    <n v="6.4741079872600651E-2"/>
    <n v="0.47294888831318199"/>
    <n v="1"/>
    <n v="0.47294888831318199"/>
    <n v="1"/>
    <n v="1"/>
    <n v="6.4741079872600651E-2"/>
    <n v="19"/>
    <n v="1"/>
  </r>
  <r>
    <x v="0"/>
    <s v="2025-05-18 18:56:05"/>
    <n v="19"/>
    <x v="40"/>
    <x v="6"/>
    <x v="1"/>
    <n v="0.56016981008732203"/>
    <n v="2E+20"/>
    <n v="0.56016981008732203"/>
    <n v="0.56016981008732203"/>
    <n v="1"/>
    <s v="Friday (Solucion: datafono, gofre, cocina y caja compartida)UtilizacionCocinaH1ExpressionUser Specified"/>
    <n v="19"/>
    <n v="0.70252114313058733"/>
    <n v="0.13432189260482255"/>
    <n v="0.95"/>
    <n v="6.4741079872600651E-2"/>
    <n v="0.47294888831318199"/>
    <n v="1"/>
    <n v="0.47294888831318199"/>
    <n v="1"/>
    <n v="1"/>
    <n v="6.4741079872600651E-2"/>
    <n v="19"/>
    <n v="1"/>
  </r>
  <r>
    <x v="0"/>
    <s v="2025-05-18 18:56:05"/>
    <n v="1"/>
    <x v="41"/>
    <x v="6"/>
    <x v="1"/>
    <n v="0.815482524363215"/>
    <n v="2E+20"/>
    <n v="0.815482524363215"/>
    <n v="0.815482524363215"/>
    <n v="1"/>
    <s v="Friday (Solucion: datafono, gofre, cocina y caja compartida)UtilizacionCocinaH2ExpressionUser Specified"/>
    <n v="19"/>
    <n v="0.68140291572007905"/>
    <n v="7.5179169598534323E-2"/>
    <n v="0.95"/>
    <n v="3.6235199857210437E-2"/>
    <n v="0.54332107247146499"/>
    <n v="0.815482524363215"/>
    <n v="0.54332107247146499"/>
    <n v="0.815482524363215"/>
    <n v="1"/>
    <n v="3.6235199857210437E-2"/>
    <n v="19"/>
    <n v="1"/>
  </r>
  <r>
    <x v="0"/>
    <s v="2025-05-18 18:56:05"/>
    <n v="2"/>
    <x v="41"/>
    <x v="6"/>
    <x v="1"/>
    <n v="0.64172872636505096"/>
    <n v="2E+20"/>
    <n v="0.64172872636505096"/>
    <n v="0.64172872636505096"/>
    <n v="1"/>
    <s v="Friday (Solucion: datafono, gofre, cocina y caja compartida)UtilizacionCocinaH2ExpressionUser Specified"/>
    <n v="19"/>
    <n v="0.68140291572007905"/>
    <n v="7.5179169598534323E-2"/>
    <n v="0.95"/>
    <n v="3.6235199857210437E-2"/>
    <n v="0.54332107247146499"/>
    <n v="0.815482524363215"/>
    <n v="0.54332107247146499"/>
    <n v="0.815482524363215"/>
    <n v="1"/>
    <n v="3.6235199857210437E-2"/>
    <n v="19"/>
    <n v="1"/>
  </r>
  <r>
    <x v="0"/>
    <s v="2025-05-18 18:56:05"/>
    <n v="3"/>
    <x v="41"/>
    <x v="6"/>
    <x v="1"/>
    <n v="0.78250777922007297"/>
    <n v="2E+20"/>
    <n v="0.78250777922007297"/>
    <n v="0.78250777922007297"/>
    <n v="1"/>
    <s v="Friday (Solucion: datafono, gofre, cocina y caja compartida)UtilizacionCocinaH2ExpressionUser Specified"/>
    <n v="19"/>
    <n v="0.68140291572007905"/>
    <n v="7.5179169598534323E-2"/>
    <n v="0.95"/>
    <n v="3.6235199857210437E-2"/>
    <n v="0.54332107247146499"/>
    <n v="0.815482524363215"/>
    <n v="0.54332107247146499"/>
    <n v="0.815482524363215"/>
    <n v="1"/>
    <n v="3.6235199857210437E-2"/>
    <n v="19"/>
    <n v="1"/>
  </r>
  <r>
    <x v="0"/>
    <s v="2025-05-18 18:56:05"/>
    <n v="4"/>
    <x v="41"/>
    <x v="6"/>
    <x v="1"/>
    <n v="0.73116552822344905"/>
    <n v="2E+20"/>
    <n v="0.73116552822344905"/>
    <n v="0.73116552822344905"/>
    <n v="1"/>
    <s v="Friday (Solucion: datafono, gofre, cocina y caja compartida)UtilizacionCocinaH2ExpressionUser Specified"/>
    <n v="19"/>
    <n v="0.68140291572007905"/>
    <n v="7.5179169598534323E-2"/>
    <n v="0.95"/>
    <n v="3.6235199857210437E-2"/>
    <n v="0.54332107247146499"/>
    <n v="0.815482524363215"/>
    <n v="0.54332107247146499"/>
    <n v="0.815482524363215"/>
    <n v="1"/>
    <n v="3.6235199857210437E-2"/>
    <n v="19"/>
    <n v="1"/>
  </r>
  <r>
    <x v="0"/>
    <s v="2025-05-18 18:56:05"/>
    <n v="5"/>
    <x v="41"/>
    <x v="6"/>
    <x v="1"/>
    <n v="0.56350294011612601"/>
    <n v="2E+20"/>
    <n v="0.56350294011612601"/>
    <n v="0.56350294011612601"/>
    <n v="1"/>
    <s v="Friday (Solucion: datafono, gofre, cocina y caja compartida)UtilizacionCocinaH2ExpressionUser Specified"/>
    <n v="19"/>
    <n v="0.68140291572007905"/>
    <n v="7.5179169598534323E-2"/>
    <n v="0.95"/>
    <n v="3.6235199857210437E-2"/>
    <n v="0.54332107247146499"/>
    <n v="0.815482524363215"/>
    <n v="0.54332107247146499"/>
    <n v="0.815482524363215"/>
    <n v="1"/>
    <n v="3.6235199857210437E-2"/>
    <n v="19"/>
    <n v="1"/>
  </r>
  <r>
    <x v="0"/>
    <s v="2025-05-18 18:56:05"/>
    <n v="6"/>
    <x v="41"/>
    <x v="6"/>
    <x v="1"/>
    <n v="0.61914529595578705"/>
    <n v="2E+20"/>
    <n v="0.61914529595578705"/>
    <n v="0.61914529595578705"/>
    <n v="1"/>
    <s v="Friday (Solucion: datafono, gofre, cocina y caja compartida)UtilizacionCocinaH2ExpressionUser Specified"/>
    <n v="19"/>
    <n v="0.68140291572007905"/>
    <n v="7.5179169598534323E-2"/>
    <n v="0.95"/>
    <n v="3.6235199857210437E-2"/>
    <n v="0.54332107247146499"/>
    <n v="0.815482524363215"/>
    <n v="0.54332107247146499"/>
    <n v="0.815482524363215"/>
    <n v="1"/>
    <n v="3.6235199857210437E-2"/>
    <n v="19"/>
    <n v="1"/>
  </r>
  <r>
    <x v="0"/>
    <s v="2025-05-18 18:56:05"/>
    <n v="7"/>
    <x v="41"/>
    <x v="6"/>
    <x v="1"/>
    <n v="0.62154226559598802"/>
    <n v="2E+20"/>
    <n v="0.62154226559598802"/>
    <n v="0.62154226559598802"/>
    <n v="1"/>
    <s v="Friday (Solucion: datafono, gofre, cocina y caja compartida)UtilizacionCocinaH2ExpressionUser Specified"/>
    <n v="19"/>
    <n v="0.68140291572007905"/>
    <n v="7.5179169598534323E-2"/>
    <n v="0.95"/>
    <n v="3.6235199857210437E-2"/>
    <n v="0.54332107247146499"/>
    <n v="0.815482524363215"/>
    <n v="0.54332107247146499"/>
    <n v="0.815482524363215"/>
    <n v="1"/>
    <n v="3.6235199857210437E-2"/>
    <n v="19"/>
    <n v="1"/>
  </r>
  <r>
    <x v="0"/>
    <s v="2025-05-18 18:56:05"/>
    <n v="8"/>
    <x v="41"/>
    <x v="6"/>
    <x v="1"/>
    <n v="0.78906134822933305"/>
    <n v="2E+20"/>
    <n v="0.78906134822933305"/>
    <n v="0.78906134822933305"/>
    <n v="1"/>
    <s v="Friday (Solucion: datafono, gofre, cocina y caja compartida)UtilizacionCocinaH2ExpressionUser Specified"/>
    <n v="19"/>
    <n v="0.68140291572007905"/>
    <n v="7.5179169598534323E-2"/>
    <n v="0.95"/>
    <n v="3.6235199857210437E-2"/>
    <n v="0.54332107247146499"/>
    <n v="0.815482524363215"/>
    <n v="0.54332107247146499"/>
    <n v="0.815482524363215"/>
    <n v="1"/>
    <n v="3.6235199857210437E-2"/>
    <n v="19"/>
    <n v="1"/>
  </r>
  <r>
    <x v="0"/>
    <s v="2025-05-18 18:56:05"/>
    <n v="9"/>
    <x v="41"/>
    <x v="6"/>
    <x v="1"/>
    <n v="0.74244292916955401"/>
    <n v="2E+20"/>
    <n v="0.74244292916955401"/>
    <n v="0.74244292916955401"/>
    <n v="1"/>
    <s v="Friday (Solucion: datafono, gofre, cocina y caja compartida)UtilizacionCocinaH2ExpressionUser Specified"/>
    <n v="19"/>
    <n v="0.68140291572007905"/>
    <n v="7.5179169598534323E-2"/>
    <n v="0.95"/>
    <n v="3.6235199857210437E-2"/>
    <n v="0.54332107247146499"/>
    <n v="0.815482524363215"/>
    <n v="0.54332107247146499"/>
    <n v="0.815482524363215"/>
    <n v="1"/>
    <n v="3.6235199857210437E-2"/>
    <n v="19"/>
    <n v="1"/>
  </r>
  <r>
    <x v="0"/>
    <s v="2025-05-18 18:56:05"/>
    <n v="10"/>
    <x v="41"/>
    <x v="6"/>
    <x v="1"/>
    <n v="0.67316345155396096"/>
    <n v="2E+20"/>
    <n v="0.67316345155396096"/>
    <n v="0.67316345155396096"/>
    <n v="1"/>
    <s v="Friday (Solucion: datafono, gofre, cocina y caja compartida)UtilizacionCocinaH2ExpressionUser Specified"/>
    <n v="19"/>
    <n v="0.68140291572007905"/>
    <n v="7.5179169598534323E-2"/>
    <n v="0.95"/>
    <n v="3.6235199857210437E-2"/>
    <n v="0.54332107247146499"/>
    <n v="0.815482524363215"/>
    <n v="0.54332107247146499"/>
    <n v="0.815482524363215"/>
    <n v="1"/>
    <n v="3.6235199857210437E-2"/>
    <n v="19"/>
    <n v="1"/>
  </r>
  <r>
    <x v="0"/>
    <s v="2025-05-18 18:56:05"/>
    <n v="11"/>
    <x v="41"/>
    <x v="6"/>
    <x v="1"/>
    <n v="0.54332107247146499"/>
    <n v="2E+20"/>
    <n v="0.54332107247146499"/>
    <n v="0.54332107247146499"/>
    <n v="1"/>
    <s v="Friday (Solucion: datafono, gofre, cocina y caja compartida)UtilizacionCocinaH2ExpressionUser Specified"/>
    <n v="19"/>
    <n v="0.68140291572007905"/>
    <n v="7.5179169598534323E-2"/>
    <n v="0.95"/>
    <n v="3.6235199857210437E-2"/>
    <n v="0.54332107247146499"/>
    <n v="0.815482524363215"/>
    <n v="0.54332107247146499"/>
    <n v="0.815482524363215"/>
    <n v="1"/>
    <n v="3.6235199857210437E-2"/>
    <n v="19"/>
    <n v="1"/>
  </r>
  <r>
    <x v="0"/>
    <s v="2025-05-18 18:56:05"/>
    <n v="12"/>
    <x v="41"/>
    <x v="6"/>
    <x v="1"/>
    <n v="0.68449121850690398"/>
    <n v="2E+20"/>
    <n v="0.68449121850690398"/>
    <n v="0.68449121850690398"/>
    <n v="1"/>
    <s v="Friday (Solucion: datafono, gofre, cocina y caja compartida)UtilizacionCocinaH2ExpressionUser Specified"/>
    <n v="19"/>
    <n v="0.68140291572007905"/>
    <n v="7.5179169598534323E-2"/>
    <n v="0.95"/>
    <n v="3.6235199857210437E-2"/>
    <n v="0.54332107247146499"/>
    <n v="0.815482524363215"/>
    <n v="0.54332107247146499"/>
    <n v="0.815482524363215"/>
    <n v="1"/>
    <n v="3.6235199857210437E-2"/>
    <n v="19"/>
    <n v="1"/>
  </r>
  <r>
    <x v="0"/>
    <s v="2025-05-18 18:56:05"/>
    <n v="13"/>
    <x v="41"/>
    <x v="6"/>
    <x v="1"/>
    <n v="0.62477269687929504"/>
    <n v="2E+20"/>
    <n v="0.62477269687929504"/>
    <n v="0.62477269687929504"/>
    <n v="1"/>
    <s v="Friday (Solucion: datafono, gofre, cocina y caja compartida)UtilizacionCocinaH2ExpressionUser Specified"/>
    <n v="19"/>
    <n v="0.68140291572007905"/>
    <n v="7.5179169598534323E-2"/>
    <n v="0.95"/>
    <n v="3.6235199857210437E-2"/>
    <n v="0.54332107247146499"/>
    <n v="0.815482524363215"/>
    <n v="0.54332107247146499"/>
    <n v="0.815482524363215"/>
    <n v="1"/>
    <n v="3.6235199857210437E-2"/>
    <n v="19"/>
    <n v="1"/>
  </r>
  <r>
    <x v="0"/>
    <s v="2025-05-18 18:56:05"/>
    <n v="14"/>
    <x v="41"/>
    <x v="6"/>
    <x v="1"/>
    <n v="0.66094593383914402"/>
    <n v="2E+20"/>
    <n v="0.66094593383914402"/>
    <n v="0.66094593383914402"/>
    <n v="1"/>
    <s v="Friday (Solucion: datafono, gofre, cocina y caja compartida)UtilizacionCocinaH2ExpressionUser Specified"/>
    <n v="19"/>
    <n v="0.68140291572007905"/>
    <n v="7.5179169598534323E-2"/>
    <n v="0.95"/>
    <n v="3.6235199857210437E-2"/>
    <n v="0.54332107247146499"/>
    <n v="0.815482524363215"/>
    <n v="0.54332107247146499"/>
    <n v="0.815482524363215"/>
    <n v="1"/>
    <n v="3.6235199857210437E-2"/>
    <n v="19"/>
    <n v="1"/>
  </r>
  <r>
    <x v="0"/>
    <s v="2025-05-18 18:56:05"/>
    <n v="15"/>
    <x v="41"/>
    <x v="6"/>
    <x v="1"/>
    <n v="0.68467763015435301"/>
    <n v="2E+20"/>
    <n v="0.68467763015435301"/>
    <n v="0.68467763015435301"/>
    <n v="1"/>
    <s v="Friday (Solucion: datafono, gofre, cocina y caja compartida)UtilizacionCocinaH2ExpressionUser Specified"/>
    <n v="19"/>
    <n v="0.68140291572007905"/>
    <n v="7.5179169598534323E-2"/>
    <n v="0.95"/>
    <n v="3.6235199857210437E-2"/>
    <n v="0.54332107247146499"/>
    <n v="0.815482524363215"/>
    <n v="0.54332107247146499"/>
    <n v="0.815482524363215"/>
    <n v="1"/>
    <n v="3.6235199857210437E-2"/>
    <n v="19"/>
    <n v="1"/>
  </r>
  <r>
    <x v="0"/>
    <s v="2025-05-18 18:56:05"/>
    <n v="16"/>
    <x v="41"/>
    <x v="6"/>
    <x v="1"/>
    <n v="0.65230209743994905"/>
    <n v="2E+20"/>
    <n v="0.65230209743994905"/>
    <n v="0.65230209743994905"/>
    <n v="1"/>
    <s v="Friday (Solucion: datafono, gofre, cocina y caja compartida)UtilizacionCocinaH2ExpressionUser Specified"/>
    <n v="19"/>
    <n v="0.68140291572007905"/>
    <n v="7.5179169598534323E-2"/>
    <n v="0.95"/>
    <n v="3.6235199857210437E-2"/>
    <n v="0.54332107247146499"/>
    <n v="0.815482524363215"/>
    <n v="0.54332107247146499"/>
    <n v="0.815482524363215"/>
    <n v="1"/>
    <n v="3.6235199857210437E-2"/>
    <n v="19"/>
    <n v="1"/>
  </r>
  <r>
    <x v="0"/>
    <s v="2025-05-18 18:56:05"/>
    <n v="17"/>
    <x v="41"/>
    <x v="6"/>
    <x v="1"/>
    <n v="0.75662675129033696"/>
    <n v="2E+20"/>
    <n v="0.75662675129033696"/>
    <n v="0.75662675129033696"/>
    <n v="1"/>
    <s v="Friday (Solucion: datafono, gofre, cocina y caja compartida)UtilizacionCocinaH2ExpressionUser Specified"/>
    <n v="19"/>
    <n v="0.68140291572007905"/>
    <n v="7.5179169598534323E-2"/>
    <n v="0.95"/>
    <n v="3.6235199857210437E-2"/>
    <n v="0.54332107247146499"/>
    <n v="0.815482524363215"/>
    <n v="0.54332107247146499"/>
    <n v="0.815482524363215"/>
    <n v="1"/>
    <n v="3.6235199857210437E-2"/>
    <n v="19"/>
    <n v="1"/>
  </r>
  <r>
    <x v="0"/>
    <s v="2025-05-18 18:56:05"/>
    <n v="18"/>
    <x v="41"/>
    <x v="6"/>
    <x v="1"/>
    <n v="0.72182933190494702"/>
    <n v="2E+20"/>
    <n v="0.72182933190494702"/>
    <n v="0.72182933190494702"/>
    <n v="1"/>
    <s v="Friday (Solucion: datafono, gofre, cocina y caja compartida)UtilizacionCocinaH2ExpressionUser Specified"/>
    <n v="19"/>
    <n v="0.68140291572007905"/>
    <n v="7.5179169598534323E-2"/>
    <n v="0.95"/>
    <n v="3.6235199857210437E-2"/>
    <n v="0.54332107247146499"/>
    <n v="0.815482524363215"/>
    <n v="0.54332107247146499"/>
    <n v="0.815482524363215"/>
    <n v="1"/>
    <n v="3.6235199857210437E-2"/>
    <n v="19"/>
    <n v="1"/>
  </r>
  <r>
    <x v="0"/>
    <s v="2025-05-18 18:56:05"/>
    <n v="19"/>
    <x v="41"/>
    <x v="6"/>
    <x v="1"/>
    <n v="0.63794587740257103"/>
    <n v="2E+20"/>
    <n v="0.63794587740257103"/>
    <n v="0.63794587740257103"/>
    <n v="1"/>
    <s v="Friday (Solucion: datafono, gofre, cocina y caja compartida)UtilizacionCocinaH2ExpressionUser Specified"/>
    <n v="19"/>
    <n v="0.68140291572007905"/>
    <n v="7.5179169598534323E-2"/>
    <n v="0.95"/>
    <n v="3.6235199857210437E-2"/>
    <n v="0.54332107247146499"/>
    <n v="0.815482524363215"/>
    <n v="0.54332107247146499"/>
    <n v="0.815482524363215"/>
    <n v="1"/>
    <n v="3.6235199857210437E-2"/>
    <n v="19"/>
    <n v="1"/>
  </r>
  <r>
    <x v="0"/>
    <s v="2025-05-18 18:56:05"/>
    <n v="1"/>
    <x v="42"/>
    <x v="6"/>
    <x v="1"/>
    <n v="0.82897119936997599"/>
    <n v="2E+20"/>
    <n v="0.82897119936997599"/>
    <n v="0.82897119936997599"/>
    <n v="1"/>
    <s v="Friday (Solucion: datafono, gofre, cocina y caja compartida)UtilizacionCocinaH3ExpressionUser Specified"/>
    <n v="19"/>
    <n v="0.68474836505339687"/>
    <n v="6.2272947935973065E-2"/>
    <n v="0.95"/>
    <n v="3.0014600137344902E-2"/>
    <n v="0.59592290927233305"/>
    <n v="0.82897119936997599"/>
    <n v="0.59592290927233305"/>
    <n v="0.82897119936997599"/>
    <n v="1"/>
    <n v="3.0014600137344902E-2"/>
    <n v="19"/>
    <n v="1"/>
  </r>
  <r>
    <x v="0"/>
    <s v="2025-05-18 18:56:05"/>
    <n v="2"/>
    <x v="42"/>
    <x v="6"/>
    <x v="1"/>
    <n v="0.63054559860404802"/>
    <n v="2E+20"/>
    <n v="0.63054559860404802"/>
    <n v="0.63054559860404802"/>
    <n v="1"/>
    <s v="Friday (Solucion: datafono, gofre, cocina y caja compartida)UtilizacionCocinaH3ExpressionUser Specified"/>
    <n v="19"/>
    <n v="0.68474836505339687"/>
    <n v="6.2272947935973065E-2"/>
    <n v="0.95"/>
    <n v="3.0014600137344902E-2"/>
    <n v="0.59592290927233305"/>
    <n v="0.82897119936997599"/>
    <n v="0.59592290927233305"/>
    <n v="0.82897119936997599"/>
    <n v="1"/>
    <n v="3.0014600137344902E-2"/>
    <n v="19"/>
    <n v="1"/>
  </r>
  <r>
    <x v="0"/>
    <s v="2025-05-18 18:56:05"/>
    <n v="3"/>
    <x v="42"/>
    <x v="6"/>
    <x v="1"/>
    <n v="0.71651890712748101"/>
    <n v="2E+20"/>
    <n v="0.71651890712748101"/>
    <n v="0.71651890712748101"/>
    <n v="1"/>
    <s v="Friday (Solucion: datafono, gofre, cocina y caja compartida)UtilizacionCocinaH3ExpressionUser Specified"/>
    <n v="19"/>
    <n v="0.68474836505339687"/>
    <n v="6.2272947935973065E-2"/>
    <n v="0.95"/>
    <n v="3.0014600137344902E-2"/>
    <n v="0.59592290927233305"/>
    <n v="0.82897119936997599"/>
    <n v="0.59592290927233305"/>
    <n v="0.82897119936997599"/>
    <n v="1"/>
    <n v="3.0014600137344902E-2"/>
    <n v="19"/>
    <n v="1"/>
  </r>
  <r>
    <x v="0"/>
    <s v="2025-05-18 18:56:05"/>
    <n v="4"/>
    <x v="42"/>
    <x v="6"/>
    <x v="1"/>
    <n v="0.65540630966095803"/>
    <n v="2E+20"/>
    <n v="0.65540630966095803"/>
    <n v="0.65540630966095803"/>
    <n v="1"/>
    <s v="Friday (Solucion: datafono, gofre, cocina y caja compartida)UtilizacionCocinaH3ExpressionUser Specified"/>
    <n v="19"/>
    <n v="0.68474836505339687"/>
    <n v="6.2272947935973065E-2"/>
    <n v="0.95"/>
    <n v="3.0014600137344902E-2"/>
    <n v="0.59592290927233305"/>
    <n v="0.82897119936997599"/>
    <n v="0.59592290927233305"/>
    <n v="0.82897119936997599"/>
    <n v="1"/>
    <n v="3.0014600137344902E-2"/>
    <n v="19"/>
    <n v="1"/>
  </r>
  <r>
    <x v="0"/>
    <s v="2025-05-18 18:56:05"/>
    <n v="5"/>
    <x v="42"/>
    <x v="6"/>
    <x v="1"/>
    <n v="0.59861794843566096"/>
    <n v="2E+20"/>
    <n v="0.59861794843566096"/>
    <n v="0.59861794843566096"/>
    <n v="1"/>
    <s v="Friday (Solucion: datafono, gofre, cocina y caja compartida)UtilizacionCocinaH3ExpressionUser Specified"/>
    <n v="19"/>
    <n v="0.68474836505339687"/>
    <n v="6.2272947935973065E-2"/>
    <n v="0.95"/>
    <n v="3.0014600137344902E-2"/>
    <n v="0.59592290927233305"/>
    <n v="0.82897119936997599"/>
    <n v="0.59592290927233305"/>
    <n v="0.82897119936997599"/>
    <n v="1"/>
    <n v="3.0014600137344902E-2"/>
    <n v="19"/>
    <n v="1"/>
  </r>
  <r>
    <x v="0"/>
    <s v="2025-05-18 18:56:05"/>
    <n v="6"/>
    <x v="42"/>
    <x v="6"/>
    <x v="1"/>
    <n v="0.64480330756614701"/>
    <n v="2E+20"/>
    <n v="0.64480330756614701"/>
    <n v="0.64480330756614701"/>
    <n v="1"/>
    <s v="Friday (Solucion: datafono, gofre, cocina y caja compartida)UtilizacionCocinaH3ExpressionUser Specified"/>
    <n v="19"/>
    <n v="0.68474836505339687"/>
    <n v="6.2272947935973065E-2"/>
    <n v="0.95"/>
    <n v="3.0014600137344902E-2"/>
    <n v="0.59592290927233305"/>
    <n v="0.82897119936997599"/>
    <n v="0.59592290927233305"/>
    <n v="0.82897119936997599"/>
    <n v="1"/>
    <n v="3.0014600137344902E-2"/>
    <n v="19"/>
    <n v="1"/>
  </r>
  <r>
    <x v="0"/>
    <s v="2025-05-18 18:56:05"/>
    <n v="7"/>
    <x v="42"/>
    <x v="6"/>
    <x v="1"/>
    <n v="0.59592290927233305"/>
    <n v="2E+20"/>
    <n v="0.59592290927233305"/>
    <n v="0.59592290927233305"/>
    <n v="1"/>
    <s v="Friday (Solucion: datafono, gofre, cocina y caja compartida)UtilizacionCocinaH3ExpressionUser Specified"/>
    <n v="19"/>
    <n v="0.68474836505339687"/>
    <n v="6.2272947935973065E-2"/>
    <n v="0.95"/>
    <n v="3.0014600137344902E-2"/>
    <n v="0.59592290927233305"/>
    <n v="0.82897119936997599"/>
    <n v="0.59592290927233305"/>
    <n v="0.82897119936997599"/>
    <n v="1"/>
    <n v="3.0014600137344902E-2"/>
    <n v="19"/>
    <n v="1"/>
  </r>
  <r>
    <x v="0"/>
    <s v="2025-05-18 18:56:05"/>
    <n v="8"/>
    <x v="42"/>
    <x v="6"/>
    <x v="1"/>
    <n v="0.77465536357210296"/>
    <n v="2E+20"/>
    <n v="0.77465536357210296"/>
    <n v="0.77465536357210296"/>
    <n v="1"/>
    <s v="Friday (Solucion: datafono, gofre, cocina y caja compartida)UtilizacionCocinaH3ExpressionUser Specified"/>
    <n v="19"/>
    <n v="0.68474836505339687"/>
    <n v="6.2272947935973065E-2"/>
    <n v="0.95"/>
    <n v="3.0014600137344902E-2"/>
    <n v="0.59592290927233305"/>
    <n v="0.82897119936997599"/>
    <n v="0.59592290927233305"/>
    <n v="0.82897119936997599"/>
    <n v="1"/>
    <n v="3.0014600137344902E-2"/>
    <n v="19"/>
    <n v="1"/>
  </r>
  <r>
    <x v="0"/>
    <s v="2025-05-18 18:56:05"/>
    <n v="9"/>
    <x v="42"/>
    <x v="6"/>
    <x v="1"/>
    <n v="0.70138866139720901"/>
    <n v="2E+20"/>
    <n v="0.70138866139720901"/>
    <n v="0.70138866139720901"/>
    <n v="1"/>
    <s v="Friday (Solucion: datafono, gofre, cocina y caja compartida)UtilizacionCocinaH3ExpressionUser Specified"/>
    <n v="19"/>
    <n v="0.68474836505339687"/>
    <n v="6.2272947935973065E-2"/>
    <n v="0.95"/>
    <n v="3.0014600137344902E-2"/>
    <n v="0.59592290927233305"/>
    <n v="0.82897119936997599"/>
    <n v="0.59592290927233305"/>
    <n v="0.82897119936997599"/>
    <n v="1"/>
    <n v="3.0014600137344902E-2"/>
    <n v="19"/>
    <n v="1"/>
  </r>
  <r>
    <x v="0"/>
    <s v="2025-05-18 18:56:05"/>
    <n v="10"/>
    <x v="42"/>
    <x v="6"/>
    <x v="1"/>
    <n v="0.73240339248557995"/>
    <n v="2E+20"/>
    <n v="0.73240339248557995"/>
    <n v="0.73240339248557995"/>
    <n v="1"/>
    <s v="Friday (Solucion: datafono, gofre, cocina y caja compartida)UtilizacionCocinaH3ExpressionUser Specified"/>
    <n v="19"/>
    <n v="0.68474836505339687"/>
    <n v="6.2272947935973065E-2"/>
    <n v="0.95"/>
    <n v="3.0014600137344902E-2"/>
    <n v="0.59592290927233305"/>
    <n v="0.82897119936997599"/>
    <n v="0.59592290927233305"/>
    <n v="0.82897119936997599"/>
    <n v="1"/>
    <n v="3.0014600137344902E-2"/>
    <n v="19"/>
    <n v="1"/>
  </r>
  <r>
    <x v="0"/>
    <s v="2025-05-18 18:56:05"/>
    <n v="11"/>
    <x v="42"/>
    <x v="6"/>
    <x v="1"/>
    <n v="0.62130605304115805"/>
    <n v="2E+20"/>
    <n v="0.62130605304115805"/>
    <n v="0.62130605304115805"/>
    <n v="1"/>
    <s v="Friday (Solucion: datafono, gofre, cocina y caja compartida)UtilizacionCocinaH3ExpressionUser Specified"/>
    <n v="19"/>
    <n v="0.68474836505339687"/>
    <n v="6.2272947935973065E-2"/>
    <n v="0.95"/>
    <n v="3.0014600137344902E-2"/>
    <n v="0.59592290927233305"/>
    <n v="0.82897119936997599"/>
    <n v="0.59592290927233305"/>
    <n v="0.82897119936997599"/>
    <n v="1"/>
    <n v="3.0014600137344902E-2"/>
    <n v="19"/>
    <n v="1"/>
  </r>
  <r>
    <x v="0"/>
    <s v="2025-05-18 18:56:05"/>
    <n v="12"/>
    <x v="42"/>
    <x v="6"/>
    <x v="1"/>
    <n v="0.68321371392804497"/>
    <n v="2E+20"/>
    <n v="0.68321371392804497"/>
    <n v="0.68321371392804497"/>
    <n v="1"/>
    <s v="Friday (Solucion: datafono, gofre, cocina y caja compartida)UtilizacionCocinaH3ExpressionUser Specified"/>
    <n v="19"/>
    <n v="0.68474836505339687"/>
    <n v="6.2272947935973065E-2"/>
    <n v="0.95"/>
    <n v="3.0014600137344902E-2"/>
    <n v="0.59592290927233305"/>
    <n v="0.82897119936997599"/>
    <n v="0.59592290927233305"/>
    <n v="0.82897119936997599"/>
    <n v="1"/>
    <n v="3.0014600137344902E-2"/>
    <n v="19"/>
    <n v="1"/>
  </r>
  <r>
    <x v="0"/>
    <s v="2025-05-18 18:56:05"/>
    <n v="13"/>
    <x v="42"/>
    <x v="6"/>
    <x v="1"/>
    <n v="0.66710192957718595"/>
    <n v="2E+20"/>
    <n v="0.66710192957718595"/>
    <n v="0.66710192957718595"/>
    <n v="1"/>
    <s v="Friday (Solucion: datafono, gofre, cocina y caja compartida)UtilizacionCocinaH3ExpressionUser Specified"/>
    <n v="19"/>
    <n v="0.68474836505339687"/>
    <n v="6.2272947935973065E-2"/>
    <n v="0.95"/>
    <n v="3.0014600137344902E-2"/>
    <n v="0.59592290927233305"/>
    <n v="0.82897119936997599"/>
    <n v="0.59592290927233305"/>
    <n v="0.82897119936997599"/>
    <n v="1"/>
    <n v="3.0014600137344902E-2"/>
    <n v="19"/>
    <n v="1"/>
  </r>
  <r>
    <x v="0"/>
    <s v="2025-05-18 18:56:05"/>
    <n v="14"/>
    <x v="42"/>
    <x v="6"/>
    <x v="1"/>
    <n v="0.73992182849147503"/>
    <n v="2E+20"/>
    <n v="0.73992182849147503"/>
    <n v="0.73992182849147503"/>
    <n v="1"/>
    <s v="Friday (Solucion: datafono, gofre, cocina y caja compartida)UtilizacionCocinaH3ExpressionUser Specified"/>
    <n v="19"/>
    <n v="0.68474836505339687"/>
    <n v="6.2272947935973065E-2"/>
    <n v="0.95"/>
    <n v="3.0014600137344902E-2"/>
    <n v="0.59592290927233305"/>
    <n v="0.82897119936997599"/>
    <n v="0.59592290927233305"/>
    <n v="0.82897119936997599"/>
    <n v="1"/>
    <n v="3.0014600137344902E-2"/>
    <n v="19"/>
    <n v="1"/>
  </r>
  <r>
    <x v="0"/>
    <s v="2025-05-18 18:56:05"/>
    <n v="15"/>
    <x v="42"/>
    <x v="6"/>
    <x v="1"/>
    <n v="0.69703284839692703"/>
    <n v="2E+20"/>
    <n v="0.69703284839692703"/>
    <n v="0.69703284839692703"/>
    <n v="1"/>
    <s v="Friday (Solucion: datafono, gofre, cocina y caja compartida)UtilizacionCocinaH3ExpressionUser Specified"/>
    <n v="19"/>
    <n v="0.68474836505339687"/>
    <n v="6.2272947935973065E-2"/>
    <n v="0.95"/>
    <n v="3.0014600137344902E-2"/>
    <n v="0.59592290927233305"/>
    <n v="0.82897119936997599"/>
    <n v="0.59592290927233305"/>
    <n v="0.82897119936997599"/>
    <n v="1"/>
    <n v="3.0014600137344902E-2"/>
    <n v="19"/>
    <n v="1"/>
  </r>
  <r>
    <x v="0"/>
    <s v="2025-05-18 18:56:05"/>
    <n v="16"/>
    <x v="42"/>
    <x v="6"/>
    <x v="1"/>
    <n v="0.63961204022853202"/>
    <n v="2E+20"/>
    <n v="0.63961204022853202"/>
    <n v="0.63961204022853202"/>
    <n v="1"/>
    <s v="Friday (Solucion: datafono, gofre, cocina y caja compartida)UtilizacionCocinaH3ExpressionUser Specified"/>
    <n v="19"/>
    <n v="0.68474836505339687"/>
    <n v="6.2272947935973065E-2"/>
    <n v="0.95"/>
    <n v="3.0014600137344902E-2"/>
    <n v="0.59592290927233305"/>
    <n v="0.82897119936997599"/>
    <n v="0.59592290927233305"/>
    <n v="0.82897119936997599"/>
    <n v="1"/>
    <n v="3.0014600137344902E-2"/>
    <n v="19"/>
    <n v="1"/>
  </r>
  <r>
    <x v="0"/>
    <s v="2025-05-18 18:56:05"/>
    <n v="17"/>
    <x v="42"/>
    <x v="6"/>
    <x v="1"/>
    <n v="0.66962680509933803"/>
    <n v="2E+20"/>
    <n v="0.66962680509933803"/>
    <n v="0.66962680509933803"/>
    <n v="1"/>
    <s v="Friday (Solucion: datafono, gofre, cocina y caja compartida)UtilizacionCocinaH3ExpressionUser Specified"/>
    <n v="19"/>
    <n v="0.68474836505339687"/>
    <n v="6.2272947935973065E-2"/>
    <n v="0.95"/>
    <n v="3.0014600137344902E-2"/>
    <n v="0.59592290927233305"/>
    <n v="0.82897119936997599"/>
    <n v="0.59592290927233305"/>
    <n v="0.82897119936997599"/>
    <n v="1"/>
    <n v="3.0014600137344902E-2"/>
    <n v="19"/>
    <n v="1"/>
  </r>
  <r>
    <x v="0"/>
    <s v="2025-05-18 18:56:05"/>
    <n v="18"/>
    <x v="42"/>
    <x v="6"/>
    <x v="1"/>
    <n v="0.76092451969044494"/>
    <n v="2E+20"/>
    <n v="0.76092451969044494"/>
    <n v="0.76092451969044494"/>
    <n v="1"/>
    <s v="Friday (Solucion: datafono, gofre, cocina y caja compartida)UtilizacionCocinaH3ExpressionUser Specified"/>
    <n v="19"/>
    <n v="0.68474836505339687"/>
    <n v="6.2272947935973065E-2"/>
    <n v="0.95"/>
    <n v="3.0014600137344902E-2"/>
    <n v="0.59592290927233305"/>
    <n v="0.82897119936997599"/>
    <n v="0.59592290927233305"/>
    <n v="0.82897119936997599"/>
    <n v="1"/>
    <n v="3.0014600137344902E-2"/>
    <n v="19"/>
    <n v="1"/>
  </r>
  <r>
    <x v="0"/>
    <s v="2025-05-18 18:56:05"/>
    <n v="19"/>
    <x v="42"/>
    <x v="6"/>
    <x v="1"/>
    <n v="0.65224560006994103"/>
    <n v="2E+20"/>
    <n v="0.65224560006994103"/>
    <n v="0.65224560006994103"/>
    <n v="1"/>
    <s v="Friday (Solucion: datafono, gofre, cocina y caja compartida)UtilizacionCocinaH3ExpressionUser Specified"/>
    <n v="19"/>
    <n v="0.68474836505339687"/>
    <n v="6.2272947935973065E-2"/>
    <n v="0.95"/>
    <n v="3.0014600137344902E-2"/>
    <n v="0.59592290927233305"/>
    <n v="0.82897119936997599"/>
    <n v="0.59592290927233305"/>
    <n v="0.82897119936997599"/>
    <n v="1"/>
    <n v="3.0014600137344902E-2"/>
    <n v="19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23" firstHeaderRow="0" firstDataRow="1" firstDataCol="4"/>
  <pivotFields count="16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9">
        <item m="1" x="46"/>
        <item m="1" x="22"/>
        <item m="1" x="47"/>
        <item m="1" x="23"/>
        <item m="1" x="48"/>
        <item m="1" x="24"/>
        <item m="1" x="49"/>
        <item m="1" x="25"/>
        <item m="1" x="81"/>
        <item m="1" x="36"/>
        <item x="12"/>
        <item m="1" x="80"/>
        <item m="1" x="67"/>
        <item m="1" x="84"/>
        <item m="1" x="69"/>
        <item m="1" x="85"/>
        <item m="1" x="92"/>
        <item m="1" x="61"/>
        <item m="1" x="29"/>
        <item m="1" x="78"/>
        <item m="1" x="68"/>
        <item m="1" x="66"/>
        <item m="1" x="32"/>
        <item m="1" x="76"/>
        <item m="1" x="41"/>
        <item m="1" x="77"/>
        <item m="1" x="42"/>
        <item m="1" x="75"/>
        <item m="1" x="95"/>
        <item m="1" x="35"/>
        <item m="1" x="98"/>
        <item m="1" x="63"/>
        <item m="1" x="30"/>
        <item m="1" x="93"/>
        <item m="1" x="88"/>
        <item m="1" x="64"/>
        <item m="1" x="31"/>
        <item m="1" x="94"/>
        <item m="1" x="89"/>
        <item m="1" x="26"/>
        <item m="1" x="60"/>
        <item m="1" x="44"/>
        <item m="1" x="34"/>
        <item m="1" x="86"/>
        <item m="1" x="56"/>
        <item m="1" x="87"/>
        <item m="1" x="57"/>
        <item m="1" x="43"/>
        <item m="1" x="38"/>
        <item m="1" x="65"/>
        <item m="1" x="40"/>
        <item m="1" x="97"/>
        <item m="1" x="90"/>
        <item m="1" x="39"/>
        <item m="1" x="37"/>
        <item m="1" x="82"/>
        <item m="1" x="91"/>
        <item m="1" x="27"/>
        <item m="1" x="45"/>
        <item m="1" x="58"/>
        <item m="1" x="79"/>
        <item m="1" x="96"/>
        <item m="1" x="28"/>
        <item m="1" x="55"/>
        <item m="1" x="59"/>
        <item m="1" x="83"/>
        <item m="1" x="62"/>
        <item m="1" x="33"/>
        <item m="1" x="50"/>
        <item m="1" x="70"/>
        <item m="1" x="51"/>
        <item m="1" x="71"/>
        <item m="1" x="52"/>
        <item m="1" x="72"/>
        <item m="1" x="53"/>
        <item m="1" x="73"/>
        <item m="1" x="54"/>
        <item m="1" x="74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6"/>
        <item x="17"/>
        <item x="18"/>
        <item x="19"/>
        <item x="20"/>
      </items>
    </pivotField>
    <pivotField axis="axisRow" compact="0" outline="0" showAll="0" defaultSubtotal="0">
      <items count="7">
        <item x="0"/>
        <item x="1"/>
        <item x="5"/>
        <item x="4"/>
        <item x="2"/>
        <item x="3"/>
        <item m="1" x="6"/>
      </items>
    </pivotField>
    <pivotField axis="axisRow" compact="0" outline="0" showAll="0" defaultSubtotal="0">
      <items count="5">
        <item x="0"/>
        <item x="3"/>
        <item x="2"/>
        <item x="1"/>
        <item m="1" x="4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1">
    <i>
      <x v="4"/>
      <x v="10"/>
      <x v="1"/>
      <x v="2"/>
    </i>
    <i r="1">
      <x v="79"/>
      <x/>
      <x/>
    </i>
    <i r="1">
      <x v="80"/>
      <x v="1"/>
      <x/>
    </i>
    <i r="1">
      <x v="81"/>
      <x v="4"/>
      <x v="3"/>
    </i>
    <i r="1">
      <x v="82"/>
      <x v="5"/>
      <x v="3"/>
    </i>
    <i r="1">
      <x v="83"/>
      <x/>
      <x v="3"/>
    </i>
    <i r="1">
      <x v="84"/>
      <x v="1"/>
      <x v="3"/>
    </i>
    <i r="1">
      <x v="85"/>
      <x/>
      <x/>
    </i>
    <i r="1">
      <x v="86"/>
      <x v="1"/>
      <x/>
    </i>
    <i r="1">
      <x v="87"/>
      <x v="4"/>
      <x v="3"/>
    </i>
    <i r="1">
      <x v="88"/>
      <x v="5"/>
      <x v="3"/>
    </i>
    <i r="1">
      <x v="89"/>
      <x/>
      <x v="3"/>
    </i>
    <i r="1">
      <x v="90"/>
      <x v="1"/>
      <x v="3"/>
    </i>
    <i r="1">
      <x v="91"/>
      <x v="3"/>
      <x v="1"/>
    </i>
    <i r="1">
      <x v="92"/>
      <x v="2"/>
      <x v="1"/>
    </i>
    <i r="1">
      <x v="93"/>
      <x v="3"/>
      <x v="1"/>
    </i>
    <i r="1">
      <x v="94"/>
      <x v="2"/>
      <x v="1"/>
    </i>
    <i r="1">
      <x v="95"/>
      <x v="3"/>
      <x v="1"/>
    </i>
    <i r="1">
      <x v="96"/>
      <x v="2"/>
      <x v="1"/>
    </i>
    <i r="1">
      <x v="97"/>
      <x/>
      <x/>
    </i>
    <i r="1">
      <x v="98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21" firstHeaderRow="0" firstDataRow="1" firstDataCol="4"/>
  <pivotFields count="21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7">
        <item m="1" x="28"/>
        <item m="1" x="19"/>
        <item m="1" x="35"/>
        <item m="1" x="44"/>
        <item m="1" x="57"/>
        <item m="1" x="56"/>
        <item m="1" x="20"/>
        <item m="1" x="121"/>
        <item m="1" x="99"/>
        <item m="1" x="62"/>
        <item m="1" x="49"/>
        <item m="1" x="53"/>
        <item m="1" x="135"/>
        <item m="1" x="38"/>
        <item m="1" x="120"/>
        <item m="1" x="42"/>
        <item m="1" x="93"/>
        <item m="1" x="107"/>
        <item m="1" x="17"/>
        <item m="1" x="43"/>
        <item m="1" x="130"/>
        <item m="1" x="32"/>
        <item m="1" x="122"/>
        <item m="1" x="21"/>
        <item m="1" x="48"/>
        <item m="1" x="74"/>
        <item m="1" x="18"/>
        <item m="1" x="24"/>
        <item m="1" x="94"/>
        <item m="1" x="75"/>
        <item m="1" x="109"/>
        <item m="1" x="65"/>
        <item m="1" x="29"/>
        <item m="1" x="59"/>
        <item m="1" x="95"/>
        <item m="1" x="80"/>
        <item m="1" x="30"/>
        <item m="1" x="40"/>
        <item m="1" x="102"/>
        <item m="1" x="16"/>
        <item m="1" x="129"/>
        <item m="1" x="87"/>
        <item m="1" x="27"/>
        <item m="1" x="112"/>
        <item m="1" x="58"/>
        <item m="1" x="131"/>
        <item m="1" x="92"/>
        <item m="1" x="34"/>
        <item m="1" x="79"/>
        <item m="1" x="98"/>
        <item m="1" x="111"/>
        <item m="1" x="119"/>
        <item m="1" x="128"/>
        <item m="1" x="15"/>
        <item m="1" x="33"/>
        <item m="1" x="47"/>
        <item m="1" x="36"/>
        <item m="1" x="14"/>
        <item m="1" x="108"/>
        <item m="1" x="125"/>
        <item m="1" x="51"/>
        <item m="1" x="86"/>
        <item m="1" x="39"/>
        <item m="1" x="60"/>
        <item m="1" x="45"/>
        <item m="1" x="69"/>
        <item m="1" x="54"/>
        <item m="1" x="76"/>
        <item m="1" x="61"/>
        <item m="1" x="88"/>
        <item m="1" x="70"/>
        <item m="1" x="96"/>
        <item m="1" x="77"/>
        <item m="1" x="105"/>
        <item m="1" x="89"/>
        <item m="1" x="110"/>
        <item m="1" x="97"/>
        <item m="1" x="114"/>
        <item m="1" x="126"/>
        <item m="1" x="116"/>
        <item m="1" x="100"/>
        <item m="1" x="73"/>
        <item m="1" x="52"/>
        <item m="1" x="67"/>
        <item m="1" x="31"/>
        <item m="1" x="37"/>
        <item m="1" x="46"/>
        <item m="1" x="50"/>
        <item m="1" x="82"/>
        <item m="1" x="127"/>
        <item m="1" x="117"/>
        <item m="1" x="101"/>
        <item m="1" x="68"/>
        <item m="1" x="136"/>
        <item m="1" x="84"/>
        <item m="1" x="72"/>
        <item m="1" x="104"/>
        <item m="1" x="85"/>
        <item m="1" x="64"/>
        <item m="1" x="71"/>
        <item m="1" x="25"/>
        <item m="1" x="90"/>
        <item m="1" x="106"/>
        <item m="1" x="115"/>
        <item m="1" x="123"/>
        <item m="1" x="134"/>
        <item m="1" x="22"/>
        <item m="1" x="41"/>
        <item m="1" x="133"/>
        <item m="1" x="23"/>
        <item m="1" x="91"/>
        <item m="1" x="66"/>
        <item m="1" x="81"/>
        <item m="1" x="26"/>
        <item m="1" x="132"/>
        <item m="1" x="113"/>
        <item m="1" x="63"/>
        <item m="1" x="124"/>
        <item m="1" x="83"/>
        <item m="1" x="103"/>
        <item m="1" x="118"/>
        <item m="1" x="55"/>
        <item m="1" x="78"/>
        <item m="1"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outline="0" showAll="0" defaultSubtotal="0">
      <items count="9">
        <item x="3"/>
        <item x="4"/>
        <item x="5"/>
        <item x="1"/>
        <item x="0"/>
        <item m="1" x="8"/>
        <item m="1" x="7"/>
        <item x="2"/>
        <item x="6"/>
      </items>
    </pivotField>
    <pivotField axis="axisRow" compact="0" outline="0" showAll="0" defaultSubtotal="0">
      <items count="5">
        <item x="0"/>
        <item x="1"/>
        <item x="3"/>
        <item x="2"/>
        <item m="1" x="4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9">
    <i>
      <x v="4"/>
      <x v="124"/>
      <x v="4"/>
      <x/>
    </i>
    <i r="1">
      <x v="125"/>
      <x v="3"/>
      <x v="1"/>
    </i>
    <i r="1">
      <x v="126"/>
      <x v="3"/>
      <x v="1"/>
    </i>
    <i r="1">
      <x v="127"/>
      <x v="4"/>
      <x/>
    </i>
    <i r="1">
      <x v="128"/>
      <x v="3"/>
      <x v="1"/>
    </i>
    <i r="1">
      <x v="129"/>
      <x v="3"/>
      <x v="1"/>
    </i>
    <i r="1">
      <x v="130"/>
      <x v="7"/>
      <x v="3"/>
    </i>
    <i r="1">
      <x v="131"/>
      <x/>
      <x v="2"/>
    </i>
    <i r="2">
      <x v="1"/>
      <x v="2"/>
    </i>
    <i r="2">
      <x v="2"/>
      <x v="2"/>
    </i>
    <i r="1">
      <x v="132"/>
      <x/>
      <x v="2"/>
    </i>
    <i r="2">
      <x v="1"/>
      <x v="2"/>
    </i>
    <i r="2">
      <x v="2"/>
      <x v="2"/>
    </i>
    <i r="1">
      <x v="133"/>
      <x/>
      <x v="2"/>
    </i>
    <i r="2">
      <x v="1"/>
      <x v="2"/>
    </i>
    <i r="2">
      <x v="2"/>
      <x v="2"/>
    </i>
    <i r="1">
      <x v="134"/>
      <x v="4"/>
      <x/>
    </i>
    <i r="1">
      <x v="135"/>
      <x v="8"/>
      <x v="3"/>
    </i>
    <i r="1">
      <x v="136"/>
      <x v="8"/>
      <x v="3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59" firstHeaderRow="0" firstDataRow="1" firstDataCol="4"/>
  <pivotFields count="25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42">
        <item m="1" x="53"/>
        <item m="1" x="76"/>
        <item m="1" x="48"/>
        <item m="1" x="128"/>
        <item m="1" x="111"/>
        <item m="1" x="81"/>
        <item m="1" x="137"/>
        <item m="1" x="69"/>
        <item m="1" x="73"/>
        <item m="1" x="140"/>
        <item m="1" x="106"/>
        <item m="1" x="118"/>
        <item m="1" x="123"/>
        <item m="1" x="47"/>
        <item m="1" x="75"/>
        <item m="1" x="65"/>
        <item m="1" x="141"/>
        <item m="1" x="135"/>
        <item m="1" x="63"/>
        <item m="1" x="57"/>
        <item m="1" x="129"/>
        <item m="1" x="49"/>
        <item m="1" x="82"/>
        <item m="1" x="68"/>
        <item m="1" x="93"/>
        <item m="1" x="120"/>
        <item m="1" x="84"/>
        <item m="1" x="54"/>
        <item m="1" x="78"/>
        <item m="1" x="107"/>
        <item m="1" x="97"/>
        <item m="1" x="55"/>
        <item m="1" x="114"/>
        <item m="1" x="46"/>
        <item m="1" x="134"/>
        <item m="1" x="102"/>
        <item m="1" x="122"/>
        <item m="1" x="77"/>
        <item m="1" x="136"/>
        <item m="1" x="105"/>
        <item m="1" x="59"/>
        <item m="1" x="96"/>
        <item m="1" x="110"/>
        <item m="1" x="121"/>
        <item m="1" x="127"/>
        <item m="1" x="45"/>
        <item m="1" x="58"/>
        <item m="1" x="67"/>
        <item m="1" x="60"/>
        <item m="1" x="44"/>
        <item m="1" x="119"/>
        <item m="1" x="131"/>
        <item m="1" x="71"/>
        <item m="1" x="101"/>
        <item m="1" x="62"/>
        <item m="1" x="79"/>
        <item m="1" x="66"/>
        <item m="1" x="87"/>
        <item m="1" x="74"/>
        <item m="1" x="94"/>
        <item m="1" x="80"/>
        <item m="1" x="103"/>
        <item m="1" x="88"/>
        <item m="1" x="108"/>
        <item m="1" x="95"/>
        <item m="1" x="116"/>
        <item m="1" x="109"/>
        <item m="1" x="124"/>
        <item m="1" x="132"/>
        <item m="1" x="112"/>
        <item m="1" x="91"/>
        <item m="1" x="72"/>
        <item m="1" x="85"/>
        <item m="1" x="56"/>
        <item m="1" x="61"/>
        <item m="1" x="70"/>
        <item m="1" x="98"/>
        <item m="1" x="133"/>
        <item m="1" x="126"/>
        <item m="1" x="113"/>
        <item m="1" x="86"/>
        <item m="1" x="99"/>
        <item m="1" x="90"/>
        <item m="1" x="115"/>
        <item m="1" x="100"/>
        <item m="1" x="83"/>
        <item m="1" x="89"/>
        <item m="1" x="52"/>
        <item m="1" x="92"/>
        <item m="1" x="104"/>
        <item m="1" x="117"/>
        <item m="1" x="125"/>
        <item m="1" x="130"/>
        <item m="1" x="139"/>
        <item m="1" x="50"/>
        <item m="1" x="64"/>
        <item m="1" x="138"/>
        <item m="1" x="51"/>
        <item m="1" x="4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</items>
    </pivotField>
    <pivotField axis="axisRow" compact="0" outline="0" showAll="0" defaultSubtotal="0">
      <items count="13">
        <item x="11"/>
        <item x="0"/>
        <item x="1"/>
        <item x="2"/>
        <item x="3"/>
        <item x="4"/>
        <item x="5"/>
        <item x="10"/>
        <item x="7"/>
        <item x="8"/>
        <item x="9"/>
        <item m="1" x="12"/>
        <item x="6"/>
      </items>
    </pivotField>
    <pivotField axis="axisRow" compact="0" outline="0" showAll="0" defaultSubtotal="0">
      <items count="5">
        <item x="0"/>
        <item x="3"/>
        <item x="1"/>
        <item x="2"/>
        <item m="1" x="4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57">
    <i>
      <x v="4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12"/>
      <x v="2"/>
    </i>
    <i r="1">
      <x v="101"/>
      <x v="12"/>
      <x v="2"/>
    </i>
    <i r="1">
      <x v="102"/>
      <x v="12"/>
      <x v="2"/>
    </i>
    <i r="1">
      <x v="103"/>
      <x v="12"/>
      <x v="2"/>
    </i>
    <i r="1">
      <x v="104"/>
      <x v="8"/>
      <x v="3"/>
    </i>
    <i r="2">
      <x v="9"/>
      <x v="3"/>
    </i>
    <i r="2">
      <x v="10"/>
      <x v="3"/>
    </i>
    <i r="1">
      <x v="105"/>
      <x v="7"/>
      <x v="1"/>
    </i>
    <i r="1">
      <x v="106"/>
      <x v="7"/>
      <x v="1"/>
    </i>
    <i r="1">
      <x v="107"/>
      <x v="12"/>
      <x v="2"/>
    </i>
    <i r="1">
      <x v="108"/>
      <x v="12"/>
      <x v="2"/>
    </i>
    <i r="1">
      <x v="109"/>
      <x v="12"/>
      <x v="2"/>
    </i>
    <i r="1">
      <x v="110"/>
      <x v="12"/>
      <x v="2"/>
    </i>
    <i r="1">
      <x v="111"/>
      <x v="12"/>
      <x v="2"/>
    </i>
    <i r="1">
      <x v="112"/>
      <x v="12"/>
      <x v="2"/>
    </i>
    <i r="1">
      <x v="113"/>
      <x v="7"/>
      <x v="1"/>
    </i>
    <i r="1">
      <x v="114"/>
      <x v="8"/>
      <x v="3"/>
    </i>
    <i r="2">
      <x v="9"/>
      <x v="3"/>
    </i>
    <i r="2">
      <x v="10"/>
      <x v="3"/>
    </i>
    <i r="1">
      <x v="115"/>
      <x v="7"/>
      <x v="1"/>
    </i>
    <i r="1">
      <x v="116"/>
      <x v="12"/>
      <x v="2"/>
    </i>
    <i r="1">
      <x v="117"/>
      <x v="12"/>
      <x v="2"/>
    </i>
    <i r="1">
      <x v="118"/>
      <x v="12"/>
      <x v="2"/>
    </i>
    <i r="1">
      <x v="11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20"/>
      <x v="12"/>
      <x v="2"/>
    </i>
    <i r="1">
      <x v="121"/>
      <x/>
      <x v="2"/>
    </i>
    <i r="1">
      <x v="122"/>
      <x/>
      <x v="2"/>
    </i>
    <i r="1">
      <x v="123"/>
      <x/>
      <x v="2"/>
    </i>
    <i r="1">
      <x v="124"/>
      <x/>
      <x v="2"/>
    </i>
    <i r="1">
      <x v="125"/>
      <x/>
      <x v="2"/>
    </i>
    <i r="1">
      <x v="126"/>
      <x/>
      <x v="2"/>
    </i>
    <i r="1">
      <x v="127"/>
      <x/>
      <x v="2"/>
    </i>
    <i r="1">
      <x v="128"/>
      <x/>
      <x v="2"/>
    </i>
    <i r="1">
      <x v="129"/>
      <x/>
      <x v="2"/>
    </i>
    <i r="1">
      <x v="130"/>
      <x v="12"/>
      <x v="2"/>
    </i>
    <i r="1">
      <x v="131"/>
      <x v="12"/>
      <x v="2"/>
    </i>
    <i r="1">
      <x v="132"/>
      <x v="12"/>
      <x v="2"/>
    </i>
    <i r="1">
      <x v="133"/>
      <x v="12"/>
      <x v="2"/>
    </i>
    <i r="1">
      <x v="134"/>
      <x v="12"/>
      <x v="2"/>
    </i>
    <i r="1">
      <x v="135"/>
      <x v="12"/>
      <x v="2"/>
    </i>
    <i r="1">
      <x v="136"/>
      <x v="12"/>
      <x v="2"/>
    </i>
    <i r="1">
      <x v="137"/>
      <x v="12"/>
      <x v="2"/>
    </i>
    <i r="1">
      <x v="138"/>
      <x v="12"/>
      <x v="2"/>
    </i>
    <i r="1">
      <x v="139"/>
      <x v="12"/>
      <x v="2"/>
    </i>
    <i r="1">
      <x v="140"/>
      <x v="12"/>
      <x v="2"/>
    </i>
    <i r="1">
      <x v="141"/>
      <x v="12"/>
      <x v="2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060" tableType="queryTable" totalsRowShown="0">
  <autoFilter ref="A1:Y1060" xr:uid="{C3D003CA-1AFF-426C-A03D-D3AF5760DF1A}"/>
  <sortState xmlns:xlrd2="http://schemas.microsoft.com/office/spreadsheetml/2017/richdata2" ref="A2:Y1060">
    <sortCondition ref="D1:D1060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362" tableType="queryTable" totalsRowShown="0">
  <autoFilter ref="A1:U362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400" tableType="queryTable" totalsRowShown="0">
  <autoFilter ref="A1:P400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69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baseColWidth="10" defaultColWidth="9.140625" defaultRowHeight="15" x14ac:dyDescent="0.25"/>
  <cols>
    <col min="1" max="1" width="54" bestFit="1" customWidth="1"/>
    <col min="2" max="2" width="81.140625" bestFit="1" customWidth="1"/>
    <col min="3" max="3" width="18.140625" bestFit="1" customWidth="1"/>
    <col min="4" max="4" width="12.42578125" bestFit="1" customWidth="1"/>
    <col min="5" max="5" width="23.85546875" bestFit="1" customWidth="1"/>
    <col min="6" max="6" width="25.28515625" bestFit="1" customWidth="1"/>
    <col min="7" max="7" width="20.42578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68</v>
      </c>
      <c r="C2" t="s">
        <v>69</v>
      </c>
      <c r="D2">
        <v>2</v>
      </c>
      <c r="E2">
        <v>19</v>
      </c>
      <c r="F2">
        <v>180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59"/>
  <sheetViews>
    <sheetView tabSelected="1" workbookViewId="0"/>
  </sheetViews>
  <sheetFormatPr baseColWidth="10" defaultColWidth="9.140625"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13.7109375" bestFit="1" customWidth="1"/>
    <col min="5" max="5" width="30.28515625" bestFit="1" customWidth="1"/>
    <col min="6" max="6" width="20.7109375" bestFit="1" customWidth="1"/>
    <col min="7" max="7" width="12" bestFit="1" customWidth="1"/>
    <col min="8" max="8" width="28.140625" bestFit="1" customWidth="1"/>
    <col min="9" max="9" width="28.28515625" bestFit="1" customWidth="1"/>
    <col min="10" max="10" width="28.5703125" bestFit="1" customWidth="1"/>
    <col min="11" max="11" width="17.140625" bestFit="1" customWidth="1"/>
    <col min="12" max="12" width="17.42578125" bestFit="1" customWidth="1"/>
    <col min="13" max="13" width="30.7109375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13.7109375" bestFit="1" customWidth="1"/>
    <col min="19" max="19" width="30.28515625" bestFit="1" customWidth="1"/>
    <col min="20" max="20" width="12" bestFit="1" customWidth="1"/>
    <col min="21" max="21" width="28.140625" bestFit="1" customWidth="1"/>
    <col min="22" max="22" width="23" bestFit="1" customWidth="1"/>
    <col min="23" max="23" width="23.28515625" bestFit="1" customWidth="1"/>
    <col min="24" max="24" width="17.140625" bestFit="1" customWidth="1"/>
    <col min="25" max="25" width="17.42578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11" bestFit="1" customWidth="1"/>
    <col min="31" max="31" width="26" bestFit="1" customWidth="1"/>
    <col min="32" max="32" width="10.85546875" bestFit="1" customWidth="1"/>
    <col min="33" max="33" width="30.85546875" bestFit="1" customWidth="1"/>
    <col min="34" max="34" width="20.7109375" bestFit="1" customWidth="1"/>
    <col min="35" max="35" width="21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" bestFit="1" customWidth="1"/>
    <col min="42" max="42" width="12" bestFit="1" customWidth="1"/>
    <col min="43" max="43" width="30.85546875" bestFit="1" customWidth="1"/>
    <col min="44" max="44" width="20.7109375" bestFit="1" customWidth="1"/>
    <col min="45" max="45" width="21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11" bestFit="1" customWidth="1"/>
    <col min="51" max="51" width="27.42578125" bestFit="1" customWidth="1"/>
    <col min="52" max="52" width="28.570312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122.36842105263158</v>
      </c>
      <c r="O3" t="s">
        <v>67</v>
      </c>
      <c r="P3" t="s">
        <v>70</v>
      </c>
      <c r="Q3" t="s">
        <v>129</v>
      </c>
      <c r="R3" t="s">
        <v>72</v>
      </c>
      <c r="S3" s="5">
        <v>5.695207969173218</v>
      </c>
      <c r="T3" s="5">
        <v>0.7371333335799507</v>
      </c>
      <c r="U3" s="5">
        <v>1.5293712224665061</v>
      </c>
      <c r="V3" s="5">
        <v>3.6484308227805702</v>
      </c>
      <c r="W3" s="5">
        <v>10.9337547677616</v>
      </c>
      <c r="X3" s="5">
        <v>0</v>
      </c>
      <c r="Y3" s="5">
        <v>28</v>
      </c>
      <c r="AA3" t="s">
        <v>172</v>
      </c>
      <c r="AB3" t="s">
        <v>172</v>
      </c>
      <c r="AC3" t="s">
        <v>172</v>
      </c>
      <c r="AD3" t="s">
        <v>172</v>
      </c>
      <c r="AE3" s="5"/>
      <c r="AF3" s="5"/>
      <c r="AG3" s="5"/>
      <c r="AH3" s="5"/>
      <c r="AI3" s="5"/>
      <c r="AK3" t="s">
        <v>67</v>
      </c>
      <c r="AL3" t="s">
        <v>160</v>
      </c>
      <c r="AM3" t="s">
        <v>147</v>
      </c>
      <c r="AN3" t="s">
        <v>161</v>
      </c>
      <c r="AO3" s="5">
        <v>125.36842105263158</v>
      </c>
      <c r="AP3" s="5">
        <v>4.8974379522971905</v>
      </c>
      <c r="AQ3" s="5">
        <v>10.160984894934533</v>
      </c>
      <c r="AR3" s="5">
        <v>112</v>
      </c>
      <c r="AS3" s="5">
        <v>153</v>
      </c>
      <c r="AU3" t="s">
        <v>172</v>
      </c>
      <c r="AV3" t="s">
        <v>172</v>
      </c>
      <c r="AW3" t="s">
        <v>172</v>
      </c>
      <c r="AX3" t="s">
        <v>172</v>
      </c>
      <c r="AY3" s="4"/>
      <c r="AZ3" s="4"/>
    </row>
    <row r="4" spans="1:52" x14ac:dyDescent="0.25">
      <c r="C4" t="s">
        <v>73</v>
      </c>
      <c r="D4" t="s">
        <v>72</v>
      </c>
      <c r="E4" s="5">
        <v>0.63507790130082442</v>
      </c>
      <c r="F4" s="5">
        <v>1</v>
      </c>
      <c r="G4" s="5">
        <v>1.8339403607505776E-2</v>
      </c>
      <c r="H4" s="5">
        <v>3.8049773137108653E-2</v>
      </c>
      <c r="I4" s="5">
        <v>0.55466095318799302</v>
      </c>
      <c r="J4" s="5">
        <v>0.70846368869380205</v>
      </c>
      <c r="K4" s="5">
        <v>4.6990588824101599E-2</v>
      </c>
      <c r="L4" s="5">
        <v>2.8324325672652599</v>
      </c>
      <c r="M4" s="5">
        <v>122.36842105263158</v>
      </c>
      <c r="P4" t="s">
        <v>89</v>
      </c>
      <c r="Q4" t="s">
        <v>130</v>
      </c>
      <c r="R4" t="s">
        <v>91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L4" t="s">
        <v>144</v>
      </c>
      <c r="AM4" t="s">
        <v>145</v>
      </c>
      <c r="AN4" t="s">
        <v>72</v>
      </c>
      <c r="AO4" s="5">
        <v>366.21052631578948</v>
      </c>
      <c r="AP4" s="5">
        <v>13.816497752584581</v>
      </c>
      <c r="AQ4" s="5">
        <v>28.665850661580702</v>
      </c>
      <c r="AR4" s="5">
        <v>331</v>
      </c>
      <c r="AS4" s="5">
        <v>427</v>
      </c>
    </row>
    <row r="5" spans="1:52" x14ac:dyDescent="0.25">
      <c r="C5" t="s">
        <v>74</v>
      </c>
      <c r="D5" t="s">
        <v>72</v>
      </c>
      <c r="E5" s="5">
        <v>6.1004830173875275</v>
      </c>
      <c r="F5" s="5">
        <v>1</v>
      </c>
      <c r="G5" s="5">
        <v>0.92554420923468694</v>
      </c>
      <c r="H5" s="5">
        <v>1.9202776678807203</v>
      </c>
      <c r="I5" s="5">
        <v>4.4316568587741703</v>
      </c>
      <c r="J5" s="5">
        <v>12.691770210246</v>
      </c>
      <c r="K5" s="5">
        <v>0.42710492268932398</v>
      </c>
      <c r="L5" s="5">
        <v>61.164243616895902</v>
      </c>
      <c r="M5" s="5">
        <v>122.36842105263158</v>
      </c>
      <c r="P5" t="s">
        <v>92</v>
      </c>
      <c r="Q5" t="s">
        <v>130</v>
      </c>
      <c r="R5" t="s">
        <v>91</v>
      </c>
      <c r="S5" s="5">
        <v>1.4415832090470244</v>
      </c>
      <c r="T5" s="5">
        <v>0.29557002698587687</v>
      </c>
      <c r="U5" s="5">
        <v>0.61323545266973079</v>
      </c>
      <c r="V5" s="5">
        <v>0.95119347509060603</v>
      </c>
      <c r="W5" s="5">
        <v>3.71511779664222</v>
      </c>
      <c r="X5" s="5">
        <v>0</v>
      </c>
      <c r="Y5" s="5">
        <v>15</v>
      </c>
      <c r="AL5" t="s">
        <v>146</v>
      </c>
      <c r="AM5" t="s">
        <v>147</v>
      </c>
      <c r="AN5" t="s">
        <v>72</v>
      </c>
      <c r="AO5" s="5">
        <v>366.63157894736844</v>
      </c>
      <c r="AP5" s="5">
        <v>14.439181758083874</v>
      </c>
      <c r="AQ5" s="5">
        <v>29.957767544617038</v>
      </c>
      <c r="AR5" s="5">
        <v>329</v>
      </c>
      <c r="AS5" s="5">
        <v>443</v>
      </c>
    </row>
    <row r="6" spans="1:52" x14ac:dyDescent="0.25">
      <c r="C6" t="s">
        <v>75</v>
      </c>
      <c r="D6" t="s">
        <v>72</v>
      </c>
      <c r="E6" s="5">
        <v>0.23333333333333742</v>
      </c>
      <c r="F6" s="5">
        <v>1</v>
      </c>
      <c r="G6" s="5">
        <v>5.4002088665477309E-16</v>
      </c>
      <c r="H6" s="5">
        <v>1.1204111467455151E-15</v>
      </c>
      <c r="I6" s="5">
        <v>0.233333333333336</v>
      </c>
      <c r="J6" s="5">
        <v>0.23333333333334</v>
      </c>
      <c r="K6" s="5">
        <v>0.23333333333331999</v>
      </c>
      <c r="L6" s="5">
        <v>0.23333333333334799</v>
      </c>
      <c r="M6" s="5">
        <v>122.36842105263158</v>
      </c>
      <c r="P6" t="s">
        <v>131</v>
      </c>
      <c r="Q6" t="s">
        <v>129</v>
      </c>
      <c r="R6" t="s">
        <v>72</v>
      </c>
      <c r="S6" s="5">
        <v>3.0972744691234286</v>
      </c>
      <c r="T6" s="5">
        <v>0.38366673695655462</v>
      </c>
      <c r="U6" s="5">
        <v>0.7960145604449721</v>
      </c>
      <c r="V6" s="5">
        <v>2.0609398302211299</v>
      </c>
      <c r="W6" s="5">
        <v>5.8229936047650703</v>
      </c>
      <c r="X6" s="5">
        <v>0</v>
      </c>
      <c r="Y6" s="5">
        <v>17</v>
      </c>
      <c r="AL6" t="s">
        <v>148</v>
      </c>
      <c r="AM6" t="s">
        <v>149</v>
      </c>
      <c r="AN6" t="s">
        <v>86</v>
      </c>
      <c r="AO6" s="5">
        <v>283.12549562397913</v>
      </c>
      <c r="AP6" s="5">
        <v>26.877020400444863</v>
      </c>
      <c r="AQ6" s="5">
        <v>55.763238037894645</v>
      </c>
      <c r="AR6" s="5">
        <v>157.05073652574001</v>
      </c>
      <c r="AS6" s="5">
        <v>402.97015039838902</v>
      </c>
    </row>
    <row r="7" spans="1:52" x14ac:dyDescent="0.25">
      <c r="C7" t="s">
        <v>76</v>
      </c>
      <c r="D7" t="s">
        <v>72</v>
      </c>
      <c r="E7" s="5">
        <v>3.7328197351244743</v>
      </c>
      <c r="F7" s="5">
        <v>1</v>
      </c>
      <c r="G7" s="5">
        <v>0.22413635167261109</v>
      </c>
      <c r="H7" s="5">
        <v>0.46502806282270054</v>
      </c>
      <c r="I7" s="5">
        <v>2.8861185212318898</v>
      </c>
      <c r="J7" s="5">
        <v>4.9064162118213703</v>
      </c>
      <c r="K7" s="5">
        <v>0</v>
      </c>
      <c r="L7" s="5">
        <v>47.429632233637001</v>
      </c>
      <c r="M7" s="5">
        <v>122.36842105263158</v>
      </c>
      <c r="P7" t="s">
        <v>99</v>
      </c>
      <c r="Q7" t="s">
        <v>130</v>
      </c>
      <c r="R7" t="s">
        <v>91</v>
      </c>
      <c r="S7" s="5">
        <v>0.5234663348541454</v>
      </c>
      <c r="T7" s="5">
        <v>0.24921615679273348</v>
      </c>
      <c r="U7" s="5">
        <v>0.51706251909874834</v>
      </c>
      <c r="V7" s="5">
        <v>0.17506464523350199</v>
      </c>
      <c r="W7" s="5">
        <v>2.4783528335268201</v>
      </c>
      <c r="X7" s="5">
        <v>0</v>
      </c>
      <c r="Y7" s="5">
        <v>11</v>
      </c>
      <c r="AL7" t="s">
        <v>150</v>
      </c>
      <c r="AM7" t="s">
        <v>151</v>
      </c>
      <c r="AN7" t="s">
        <v>86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</row>
    <row r="8" spans="1:52" x14ac:dyDescent="0.25">
      <c r="C8" t="s">
        <v>77</v>
      </c>
      <c r="D8" t="s">
        <v>72</v>
      </c>
      <c r="E8" s="5">
        <v>3.6753649815042069</v>
      </c>
      <c r="F8" s="5">
        <v>1</v>
      </c>
      <c r="G8" s="5">
        <v>1.1846215317822661</v>
      </c>
      <c r="H8" s="5">
        <v>2.457799691981351</v>
      </c>
      <c r="I8" s="5">
        <v>1.88211764353336</v>
      </c>
      <c r="J8" s="5">
        <v>12.695697184187701</v>
      </c>
      <c r="K8" s="5">
        <v>3.57397384231746E-2</v>
      </c>
      <c r="L8" s="5">
        <v>48.547399979086499</v>
      </c>
      <c r="M8" s="5">
        <v>122.36842105263158</v>
      </c>
      <c r="P8" t="s">
        <v>104</v>
      </c>
      <c r="Q8" t="s">
        <v>130</v>
      </c>
      <c r="R8" t="s">
        <v>91</v>
      </c>
      <c r="S8" s="5">
        <v>0.48138063122984937</v>
      </c>
      <c r="T8" s="5">
        <v>0.26175270772536113</v>
      </c>
      <c r="U8" s="5">
        <v>0.5430727934303009</v>
      </c>
      <c r="V8" s="5">
        <v>0.13383910219346701</v>
      </c>
      <c r="W8" s="5">
        <v>2.5739205922552402</v>
      </c>
      <c r="X8" s="5">
        <v>0</v>
      </c>
      <c r="Y8" s="5">
        <v>12</v>
      </c>
      <c r="AL8" t="s">
        <v>152</v>
      </c>
      <c r="AM8" t="s">
        <v>145</v>
      </c>
      <c r="AN8" t="s">
        <v>86</v>
      </c>
      <c r="AO8" s="5">
        <v>16.157894736842106</v>
      </c>
      <c r="AP8" s="5">
        <v>1.8336763477019644</v>
      </c>
      <c r="AQ8" s="5">
        <v>3.8044295512634076</v>
      </c>
      <c r="AR8" s="5">
        <v>9</v>
      </c>
      <c r="AS8" s="5">
        <v>24</v>
      </c>
    </row>
    <row r="9" spans="1:52" x14ac:dyDescent="0.25">
      <c r="B9" t="s">
        <v>78</v>
      </c>
      <c r="C9" t="s">
        <v>79</v>
      </c>
      <c r="D9" t="s">
        <v>80</v>
      </c>
      <c r="E9" s="5">
        <v>3.8510772186580167</v>
      </c>
      <c r="F9" s="5">
        <v>1</v>
      </c>
      <c r="G9" s="5">
        <v>0.67306013676844423</v>
      </c>
      <c r="H9" s="5">
        <v>1.3964350237206895</v>
      </c>
      <c r="I9" s="5">
        <v>2.6330275229357798</v>
      </c>
      <c r="J9" s="5">
        <v>8.86</v>
      </c>
      <c r="K9" s="5">
        <v>0</v>
      </c>
      <c r="L9" s="5">
        <v>22</v>
      </c>
      <c r="M9" s="5">
        <v>122.36842105263158</v>
      </c>
      <c r="P9" t="s">
        <v>132</v>
      </c>
      <c r="Q9" t="s">
        <v>133</v>
      </c>
      <c r="R9" t="s">
        <v>80</v>
      </c>
      <c r="S9" s="5">
        <v>1.5425305479564364</v>
      </c>
      <c r="T9" s="5">
        <v>0.15082773976588459</v>
      </c>
      <c r="U9" s="5">
        <v>0.31293063851465613</v>
      </c>
      <c r="V9" s="5">
        <v>0.78103222660121896</v>
      </c>
      <c r="W9" s="5">
        <v>2.2471252689993402</v>
      </c>
      <c r="X9" s="5">
        <v>0</v>
      </c>
      <c r="Y9" s="5">
        <v>5</v>
      </c>
      <c r="AL9" t="s">
        <v>153</v>
      </c>
      <c r="AM9" t="s">
        <v>147</v>
      </c>
      <c r="AN9" t="s">
        <v>86</v>
      </c>
      <c r="AO9" s="5">
        <v>16.263157894736842</v>
      </c>
      <c r="AP9" s="5">
        <v>1.6292861329062698</v>
      </c>
      <c r="AQ9" s="5">
        <v>3.3803698887540881</v>
      </c>
      <c r="AR9" s="5">
        <v>8</v>
      </c>
      <c r="AS9" s="5">
        <v>22</v>
      </c>
    </row>
    <row r="10" spans="1:52" x14ac:dyDescent="0.25">
      <c r="B10" t="s">
        <v>81</v>
      </c>
      <c r="C10" t="s">
        <v>79</v>
      </c>
      <c r="D10" t="s">
        <v>80</v>
      </c>
      <c r="E10" s="5">
        <v>4.4411868115403079</v>
      </c>
      <c r="F10" s="5">
        <v>1</v>
      </c>
      <c r="G10" s="5">
        <v>1.6078143711975699</v>
      </c>
      <c r="H10" s="5">
        <v>3.3358212393347739</v>
      </c>
      <c r="I10" s="5">
        <v>1.9032258064516101</v>
      </c>
      <c r="J10" s="5">
        <v>16.964285714285701</v>
      </c>
      <c r="K10" s="5">
        <v>1.9032258064516101</v>
      </c>
      <c r="L10" s="5">
        <v>16.964285714285701</v>
      </c>
      <c r="M10" s="5">
        <v>1</v>
      </c>
      <c r="P10" t="s">
        <v>134</v>
      </c>
      <c r="Q10" t="s">
        <v>135</v>
      </c>
      <c r="R10" t="s">
        <v>136</v>
      </c>
      <c r="S10" s="5">
        <v>0.68474836505339687</v>
      </c>
      <c r="T10" s="5">
        <v>3.0014600137344912E-2</v>
      </c>
      <c r="U10" s="5">
        <v>6.2272947935973086E-2</v>
      </c>
      <c r="V10" s="5">
        <v>0.59592290927233305</v>
      </c>
      <c r="W10" s="5">
        <v>0.82897119936997599</v>
      </c>
      <c r="X10" s="5">
        <v>0</v>
      </c>
      <c r="Y10" s="5">
        <v>1</v>
      </c>
      <c r="AL10" t="s">
        <v>154</v>
      </c>
      <c r="AM10" t="s">
        <v>145</v>
      </c>
      <c r="AN10" t="s">
        <v>72</v>
      </c>
      <c r="AO10" s="5">
        <v>121.89473684210526</v>
      </c>
      <c r="AP10" s="5">
        <v>4.8061559525642172</v>
      </c>
      <c r="AQ10" s="5">
        <v>9.971597090637573</v>
      </c>
      <c r="AR10" s="5">
        <v>109</v>
      </c>
      <c r="AS10" s="5">
        <v>143</v>
      </c>
    </row>
    <row r="11" spans="1:52" x14ac:dyDescent="0.25">
      <c r="B11" t="s">
        <v>82</v>
      </c>
      <c r="C11" t="s">
        <v>79</v>
      </c>
      <c r="D11" t="s">
        <v>80</v>
      </c>
      <c r="E11" s="5">
        <v>3.9030120295014323</v>
      </c>
      <c r="F11" s="5">
        <v>1</v>
      </c>
      <c r="G11" s="5">
        <v>0.90726698106549186</v>
      </c>
      <c r="H11" s="5">
        <v>1.8823568935580257</v>
      </c>
      <c r="I11" s="5">
        <v>2.5249999999999999</v>
      </c>
      <c r="J11" s="5">
        <v>10.7722772277228</v>
      </c>
      <c r="K11" s="5">
        <v>2.5249999999999999</v>
      </c>
      <c r="L11" s="5">
        <v>10.7722772277228</v>
      </c>
      <c r="M11" s="5">
        <v>1</v>
      </c>
      <c r="Q11" t="s">
        <v>137</v>
      </c>
      <c r="R11" t="s">
        <v>136</v>
      </c>
      <c r="S11" s="5">
        <v>0.68474836505339687</v>
      </c>
      <c r="T11" s="5">
        <v>3.0014600137344902E-2</v>
      </c>
      <c r="U11" s="5">
        <v>6.2272947935973065E-2</v>
      </c>
      <c r="V11" s="5">
        <v>0.59592290927233305</v>
      </c>
      <c r="W11" s="5">
        <v>0.82897119936997599</v>
      </c>
      <c r="X11" s="5">
        <v>0</v>
      </c>
      <c r="Y11" s="5">
        <v>1</v>
      </c>
      <c r="AL11" t="s">
        <v>155</v>
      </c>
      <c r="AM11" t="s">
        <v>147</v>
      </c>
      <c r="AN11" t="s">
        <v>72</v>
      </c>
      <c r="AO11" s="5">
        <v>122.36842105263158</v>
      </c>
      <c r="AP11" s="5">
        <v>4.8974379522971905</v>
      </c>
      <c r="AQ11" s="5">
        <v>10.160984894934533</v>
      </c>
      <c r="AR11" s="5">
        <v>109</v>
      </c>
      <c r="AS11" s="5">
        <v>150</v>
      </c>
    </row>
    <row r="12" spans="1:52" x14ac:dyDescent="0.25">
      <c r="B12" t="s">
        <v>83</v>
      </c>
      <c r="C12" t="s">
        <v>79</v>
      </c>
      <c r="D12" t="s">
        <v>80</v>
      </c>
      <c r="E12" s="5">
        <v>3.8510772186580167</v>
      </c>
      <c r="F12" s="5">
        <v>1</v>
      </c>
      <c r="G12" s="5">
        <v>0.67306013676844423</v>
      </c>
      <c r="H12" s="5">
        <v>1.3964350237206895</v>
      </c>
      <c r="I12" s="5">
        <v>2.6330275229357798</v>
      </c>
      <c r="J12" s="5">
        <v>8.86</v>
      </c>
      <c r="K12" s="5">
        <v>2.6330275229357798</v>
      </c>
      <c r="L12" s="5">
        <v>8.86</v>
      </c>
      <c r="M12" s="5">
        <v>1</v>
      </c>
      <c r="Q12" t="s">
        <v>138</v>
      </c>
      <c r="R12" t="s">
        <v>136</v>
      </c>
      <c r="S12" s="5">
        <v>1</v>
      </c>
      <c r="T12" s="5">
        <v>0</v>
      </c>
      <c r="U12" s="5">
        <v>0</v>
      </c>
      <c r="V12" s="5">
        <v>1</v>
      </c>
      <c r="W12" s="5">
        <v>1</v>
      </c>
      <c r="X12" s="5">
        <v>1</v>
      </c>
      <c r="Y12" s="5">
        <v>1</v>
      </c>
      <c r="AL12" t="s">
        <v>156</v>
      </c>
      <c r="AM12" t="s">
        <v>149</v>
      </c>
      <c r="AN12" t="s">
        <v>86</v>
      </c>
      <c r="AO12" s="5">
        <v>174.13537587676447</v>
      </c>
      <c r="AP12" s="5">
        <v>9.4713567574295272</v>
      </c>
      <c r="AQ12" s="5">
        <v>19.65074675456297</v>
      </c>
      <c r="AR12" s="5">
        <v>139.22471453685199</v>
      </c>
      <c r="AS12" s="5">
        <v>210.18722493890999</v>
      </c>
    </row>
    <row r="13" spans="1:52" x14ac:dyDescent="0.25">
      <c r="B13" t="s">
        <v>84</v>
      </c>
      <c r="C13" t="s">
        <v>85</v>
      </c>
      <c r="D13" t="s">
        <v>86</v>
      </c>
      <c r="E13" s="5">
        <v>17.714336330412955</v>
      </c>
      <c r="F13" s="5">
        <v>1</v>
      </c>
      <c r="G13" s="5">
        <v>1.4019633908103393</v>
      </c>
      <c r="H13" s="5">
        <v>2.9087308458074794</v>
      </c>
      <c r="I13" s="5">
        <v>13.101063207922801</v>
      </c>
      <c r="J13" s="5">
        <v>22.975696741341299</v>
      </c>
      <c r="K13" s="5">
        <v>0</v>
      </c>
      <c r="L13" s="5">
        <v>47.092378696302802</v>
      </c>
      <c r="M13" s="5">
        <v>16.263157894736842</v>
      </c>
      <c r="P13" t="s">
        <v>139</v>
      </c>
      <c r="Q13" t="s">
        <v>135</v>
      </c>
      <c r="R13" t="s">
        <v>136</v>
      </c>
      <c r="S13" s="5">
        <v>0.71670342302257706</v>
      </c>
      <c r="T13" s="5">
        <v>3.4176212493127585E-2</v>
      </c>
      <c r="U13" s="5">
        <v>7.0907274842727658E-2</v>
      </c>
      <c r="V13" s="5">
        <v>0.60463940272025996</v>
      </c>
      <c r="W13" s="5">
        <v>0.86361037821575004</v>
      </c>
      <c r="X13" s="5">
        <v>0</v>
      </c>
      <c r="Y13" s="5">
        <v>1</v>
      </c>
      <c r="AL13" t="s">
        <v>157</v>
      </c>
      <c r="AM13" t="s">
        <v>151</v>
      </c>
      <c r="AN13" t="s">
        <v>86</v>
      </c>
      <c r="AO13" s="5">
        <v>89.754366677107924</v>
      </c>
      <c r="AP13" s="5">
        <v>52.79206474085742</v>
      </c>
      <c r="AQ13" s="5">
        <v>109.53061123574736</v>
      </c>
      <c r="AR13" s="5">
        <v>22.316256244919199</v>
      </c>
      <c r="AS13" s="5">
        <v>514.987116007179</v>
      </c>
    </row>
    <row r="14" spans="1:52" x14ac:dyDescent="0.25">
      <c r="C14" t="s">
        <v>87</v>
      </c>
      <c r="D14" t="s">
        <v>86</v>
      </c>
      <c r="E14" s="5">
        <v>17.714336330412955</v>
      </c>
      <c r="F14" s="5">
        <v>1</v>
      </c>
      <c r="G14" s="5">
        <v>1.4019633908103393</v>
      </c>
      <c r="H14" s="5">
        <v>2.9087308458074794</v>
      </c>
      <c r="I14" s="5">
        <v>13.101063207922801</v>
      </c>
      <c r="J14" s="5">
        <v>22.975696741341299</v>
      </c>
      <c r="K14" s="5">
        <v>0</v>
      </c>
      <c r="L14" s="5">
        <v>47.092378696302802</v>
      </c>
      <c r="M14" s="5">
        <v>16.263157894736842</v>
      </c>
      <c r="Q14" t="s">
        <v>137</v>
      </c>
      <c r="R14" t="s">
        <v>136</v>
      </c>
      <c r="S14" s="5">
        <v>0.71670342302257706</v>
      </c>
      <c r="T14" s="5">
        <v>3.4176212493127585E-2</v>
      </c>
      <c r="U14" s="5">
        <v>7.0907274842727658E-2</v>
      </c>
      <c r="V14" s="5">
        <v>0.60463940272025996</v>
      </c>
      <c r="W14" s="5">
        <v>0.86361037821575004</v>
      </c>
      <c r="X14" s="5">
        <v>0</v>
      </c>
      <c r="Y14" s="5">
        <v>1</v>
      </c>
      <c r="AL14" t="s">
        <v>158</v>
      </c>
      <c r="AM14" t="s">
        <v>145</v>
      </c>
      <c r="AN14" t="s">
        <v>86</v>
      </c>
      <c r="AO14" s="5">
        <v>121.89473684210526</v>
      </c>
      <c r="AP14" s="5">
        <v>4.8061559525642172</v>
      </c>
      <c r="AQ14" s="5">
        <v>9.971597090637573</v>
      </c>
      <c r="AR14" s="5">
        <v>109</v>
      </c>
      <c r="AS14" s="5">
        <v>143</v>
      </c>
    </row>
    <row r="15" spans="1:52" x14ac:dyDescent="0.25">
      <c r="C15" t="s">
        <v>88</v>
      </c>
      <c r="D15" t="s">
        <v>86</v>
      </c>
      <c r="E15" s="5">
        <v>0</v>
      </c>
      <c r="F15" s="5">
        <v>1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16.263157894736842</v>
      </c>
      <c r="Q15" t="s">
        <v>138</v>
      </c>
      <c r="R15" t="s">
        <v>136</v>
      </c>
      <c r="S15" s="5">
        <v>1</v>
      </c>
      <c r="T15" s="5">
        <v>0</v>
      </c>
      <c r="U15" s="5">
        <v>0</v>
      </c>
      <c r="V15" s="5">
        <v>1</v>
      </c>
      <c r="W15" s="5">
        <v>1</v>
      </c>
      <c r="X15" s="5">
        <v>1</v>
      </c>
      <c r="Y15" s="5">
        <v>1</v>
      </c>
      <c r="AL15" t="s">
        <v>159</v>
      </c>
      <c r="AM15" t="s">
        <v>147</v>
      </c>
      <c r="AN15" t="s">
        <v>86</v>
      </c>
      <c r="AO15" s="5">
        <v>122.31578947368421</v>
      </c>
      <c r="AP15" s="5">
        <v>4.8811832731752718</v>
      </c>
      <c r="AQ15" s="5">
        <v>10.127260414780096</v>
      </c>
      <c r="AR15" s="5">
        <v>111</v>
      </c>
      <c r="AS15" s="5">
        <v>150</v>
      </c>
    </row>
    <row r="16" spans="1:52" x14ac:dyDescent="0.25">
      <c r="B16" t="s">
        <v>89</v>
      </c>
      <c r="C16" t="s">
        <v>90</v>
      </c>
      <c r="D16" t="s">
        <v>91</v>
      </c>
      <c r="E16" s="5">
        <v>0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16.157894736842106</v>
      </c>
      <c r="P16" t="s">
        <v>140</v>
      </c>
      <c r="Q16" t="s">
        <v>135</v>
      </c>
      <c r="R16" t="s">
        <v>136</v>
      </c>
      <c r="S16" s="5">
        <v>0.30850610959128738</v>
      </c>
      <c r="T16" s="5">
        <v>3.0165547953177007E-2</v>
      </c>
      <c r="U16" s="5">
        <v>6.2586127702931413E-2</v>
      </c>
      <c r="V16" s="5">
        <v>0.156206445320244</v>
      </c>
      <c r="W16" s="5">
        <v>0.44942505379986802</v>
      </c>
      <c r="X16" s="5">
        <v>0</v>
      </c>
      <c r="Y16" s="5">
        <v>1</v>
      </c>
      <c r="AL16" t="s">
        <v>162</v>
      </c>
      <c r="AM16" t="s">
        <v>163</v>
      </c>
      <c r="AN16" t="s">
        <v>136</v>
      </c>
      <c r="AO16" s="5">
        <v>131.63157894736841</v>
      </c>
      <c r="AP16" s="5">
        <v>6.7424466413544986</v>
      </c>
      <c r="AQ16" s="5">
        <v>13.988926280438102</v>
      </c>
      <c r="AR16" s="5">
        <v>113</v>
      </c>
      <c r="AS16" s="5">
        <v>157</v>
      </c>
    </row>
    <row r="17" spans="2:45" x14ac:dyDescent="0.25">
      <c r="B17" t="s">
        <v>92</v>
      </c>
      <c r="C17" t="s">
        <v>90</v>
      </c>
      <c r="D17" t="s">
        <v>91</v>
      </c>
      <c r="E17" s="5">
        <v>1.0553731068142862</v>
      </c>
      <c r="F17" s="5">
        <v>1</v>
      </c>
      <c r="G17" s="5">
        <v>0.18872518025347579</v>
      </c>
      <c r="H17" s="5">
        <v>0.39155855051719024</v>
      </c>
      <c r="I17" s="5">
        <v>0.71661232804193897</v>
      </c>
      <c r="J17" s="5">
        <v>2.4089144698203002</v>
      </c>
      <c r="K17" s="5">
        <v>0</v>
      </c>
      <c r="L17" s="5">
        <v>23.2129094911439</v>
      </c>
      <c r="M17" s="5">
        <v>244.63157894736841</v>
      </c>
      <c r="Q17" t="s">
        <v>137</v>
      </c>
      <c r="R17" t="s">
        <v>136</v>
      </c>
      <c r="S17" s="5">
        <v>1.5425305479564364</v>
      </c>
      <c r="T17" s="5">
        <v>0.15082773976588459</v>
      </c>
      <c r="U17" s="5">
        <v>0.31293063851465613</v>
      </c>
      <c r="V17" s="5">
        <v>0.78103222660121896</v>
      </c>
      <c r="W17" s="5">
        <v>2.2471252689993402</v>
      </c>
      <c r="X17" s="5">
        <v>0</v>
      </c>
      <c r="Y17" s="5">
        <v>5</v>
      </c>
      <c r="AL17" t="s">
        <v>164</v>
      </c>
      <c r="AM17" t="s">
        <v>165</v>
      </c>
      <c r="AN17" t="s">
        <v>136</v>
      </c>
      <c r="AO17" s="5">
        <v>0.68474836505339687</v>
      </c>
      <c r="AP17" s="5">
        <v>3.0014600137344902E-2</v>
      </c>
      <c r="AQ17" s="5">
        <v>6.2272947935973065E-2</v>
      </c>
      <c r="AR17" s="5">
        <v>0.59592290927233305</v>
      </c>
      <c r="AS17" s="5">
        <v>0.82897119936997599</v>
      </c>
    </row>
    <row r="18" spans="2:45" x14ac:dyDescent="0.25">
      <c r="B18" t="s">
        <v>93</v>
      </c>
      <c r="C18" t="s">
        <v>79</v>
      </c>
      <c r="D18" t="s">
        <v>80</v>
      </c>
      <c r="E18" s="5">
        <v>1.2223055609756739</v>
      </c>
      <c r="F18" s="5">
        <v>1</v>
      </c>
      <c r="G18" s="5">
        <v>0.47128115412522836</v>
      </c>
      <c r="H18" s="5">
        <v>0.97779302871771601</v>
      </c>
      <c r="I18" s="5">
        <v>0.65114275444322001</v>
      </c>
      <c r="J18" s="5">
        <v>4.6814959629385502</v>
      </c>
      <c r="K18" s="5">
        <v>0.65114275444322001</v>
      </c>
      <c r="L18" s="5">
        <v>4.6814959629385502</v>
      </c>
      <c r="M18" s="5">
        <v>1</v>
      </c>
      <c r="Q18" t="s">
        <v>138</v>
      </c>
      <c r="R18" t="s">
        <v>136</v>
      </c>
      <c r="S18" s="5">
        <v>5</v>
      </c>
      <c r="T18" s="5">
        <v>0</v>
      </c>
      <c r="U18" s="5">
        <v>0</v>
      </c>
      <c r="V18" s="5">
        <v>5</v>
      </c>
      <c r="W18" s="5">
        <v>5</v>
      </c>
      <c r="X18" s="5">
        <v>5</v>
      </c>
      <c r="Y18" s="5">
        <v>5</v>
      </c>
      <c r="AL18" t="s">
        <v>166</v>
      </c>
      <c r="AM18" t="s">
        <v>163</v>
      </c>
      <c r="AN18" t="s">
        <v>136</v>
      </c>
      <c r="AO18" s="5">
        <v>112.73684210526316</v>
      </c>
      <c r="AP18" s="5">
        <v>4.3935628019284003</v>
      </c>
      <c r="AQ18" s="5">
        <v>9.1155673027772668</v>
      </c>
      <c r="AR18" s="5">
        <v>102</v>
      </c>
      <c r="AS18" s="5">
        <v>135</v>
      </c>
    </row>
    <row r="19" spans="2:45" x14ac:dyDescent="0.25">
      <c r="B19" t="s">
        <v>94</v>
      </c>
      <c r="C19" t="s">
        <v>79</v>
      </c>
      <c r="D19" t="s">
        <v>80</v>
      </c>
      <c r="E19" s="5">
        <v>1.0655123115765994</v>
      </c>
      <c r="F19" s="5">
        <v>1</v>
      </c>
      <c r="G19" s="5">
        <v>0.2619051424169187</v>
      </c>
      <c r="H19" s="5">
        <v>0.54338905810041349</v>
      </c>
      <c r="I19" s="5">
        <v>0.68067339484149003</v>
      </c>
      <c r="J19" s="5">
        <v>2.9908248106951598</v>
      </c>
      <c r="K19" s="5">
        <v>0.68067339484149003</v>
      </c>
      <c r="L19" s="5">
        <v>2.9908248106951598</v>
      </c>
      <c r="M19" s="5">
        <v>1</v>
      </c>
      <c r="P19" t="s">
        <v>127</v>
      </c>
      <c r="Q19" t="s">
        <v>129</v>
      </c>
      <c r="R19" t="s">
        <v>72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1</v>
      </c>
      <c r="AL19" t="s">
        <v>167</v>
      </c>
      <c r="AM19" t="s">
        <v>165</v>
      </c>
      <c r="AN19" t="s">
        <v>136</v>
      </c>
      <c r="AO19" s="5">
        <v>0.71670342302257706</v>
      </c>
      <c r="AP19" s="5">
        <v>3.4176212493127585E-2</v>
      </c>
      <c r="AQ19" s="5">
        <v>7.0907274842727658E-2</v>
      </c>
      <c r="AR19" s="5">
        <v>0.60463940272025996</v>
      </c>
      <c r="AS19" s="5">
        <v>0.86361037821575004</v>
      </c>
    </row>
    <row r="20" spans="2:45" x14ac:dyDescent="0.25">
      <c r="B20" t="s">
        <v>95</v>
      </c>
      <c r="C20" t="s">
        <v>79</v>
      </c>
      <c r="D20" t="s">
        <v>80</v>
      </c>
      <c r="E20" s="5">
        <v>1.0553731068142862</v>
      </c>
      <c r="F20" s="5">
        <v>1</v>
      </c>
      <c r="G20" s="5">
        <v>0.18872518025347579</v>
      </c>
      <c r="H20" s="5">
        <v>0.39155855051719024</v>
      </c>
      <c r="I20" s="5">
        <v>0.71661232804193897</v>
      </c>
      <c r="J20" s="5">
        <v>2.4089144698203002</v>
      </c>
      <c r="K20" s="5">
        <v>0.71661232804193897</v>
      </c>
      <c r="L20" s="5">
        <v>2.4089144698203002</v>
      </c>
      <c r="M20" s="5">
        <v>1</v>
      </c>
      <c r="P20" t="s">
        <v>141</v>
      </c>
      <c r="Q20" t="s">
        <v>142</v>
      </c>
      <c r="R20" t="s">
        <v>80</v>
      </c>
      <c r="S20" s="5">
        <v>4.0733776306724412</v>
      </c>
      <c r="T20" s="5">
        <v>0.63573785879874822</v>
      </c>
      <c r="U20" s="5">
        <v>1.3190004331473169</v>
      </c>
      <c r="V20" s="5">
        <v>2.7964405882205599</v>
      </c>
      <c r="W20" s="5">
        <v>8.8656011818609901</v>
      </c>
      <c r="X20" s="5">
        <v>0</v>
      </c>
      <c r="Y20" s="5">
        <v>23</v>
      </c>
      <c r="AL20" t="s">
        <v>168</v>
      </c>
      <c r="AM20" t="s">
        <v>163</v>
      </c>
      <c r="AN20" t="s">
        <v>136</v>
      </c>
      <c r="AO20" s="5">
        <v>16.157894736842106</v>
      </c>
      <c r="AP20" s="5">
        <v>1.8336763477019644</v>
      </c>
      <c r="AQ20" s="5">
        <v>3.8044295512634076</v>
      </c>
      <c r="AR20" s="5">
        <v>9</v>
      </c>
      <c r="AS20" s="5">
        <v>24</v>
      </c>
    </row>
    <row r="21" spans="2:45" x14ac:dyDescent="0.25">
      <c r="B21" t="s">
        <v>96</v>
      </c>
      <c r="C21" t="s">
        <v>79</v>
      </c>
      <c r="D21" t="s">
        <v>80</v>
      </c>
      <c r="E21" s="5">
        <v>1.131864537901659</v>
      </c>
      <c r="F21" s="5">
        <v>1</v>
      </c>
      <c r="G21" s="5">
        <v>0.94389399468674107</v>
      </c>
      <c r="H21" s="5">
        <v>1.9583489808038694</v>
      </c>
      <c r="I21" s="5">
        <v>5.6414233170681803E-2</v>
      </c>
      <c r="J21" s="5">
        <v>8.3884297812099806</v>
      </c>
      <c r="K21" s="5">
        <v>5.6414233170681803E-2</v>
      </c>
      <c r="L21" s="5">
        <v>8.3884297812099806</v>
      </c>
      <c r="M21" s="5">
        <v>1</v>
      </c>
      <c r="P21" t="s">
        <v>143</v>
      </c>
      <c r="Q21" t="s">
        <v>142</v>
      </c>
      <c r="R21" t="s">
        <v>80</v>
      </c>
      <c r="S21" s="5">
        <v>3.457469452043564</v>
      </c>
      <c r="T21" s="5">
        <v>0.15082773976588496</v>
      </c>
      <c r="U21" s="5">
        <v>0.31293063851465691</v>
      </c>
      <c r="V21" s="5">
        <v>2.7528747310006598</v>
      </c>
      <c r="W21" s="5">
        <v>4.2189677733987798</v>
      </c>
      <c r="X21" s="5">
        <v>0</v>
      </c>
      <c r="Y21" s="5">
        <v>5</v>
      </c>
      <c r="AL21" t="s">
        <v>169</v>
      </c>
      <c r="AM21" t="s">
        <v>165</v>
      </c>
      <c r="AN21" t="s">
        <v>136</v>
      </c>
      <c r="AO21" s="5">
        <v>0.30850610959128744</v>
      </c>
      <c r="AP21" s="5">
        <v>3.0165547953176861E-2</v>
      </c>
      <c r="AQ21" s="5">
        <v>6.2586127702931107E-2</v>
      </c>
      <c r="AR21" s="5">
        <v>0.156206445320244</v>
      </c>
      <c r="AS21" s="5">
        <v>0.44942505379986802</v>
      </c>
    </row>
    <row r="22" spans="2:45" x14ac:dyDescent="0.25">
      <c r="B22" t="s">
        <v>97</v>
      </c>
      <c r="C22" t="s">
        <v>79</v>
      </c>
      <c r="D22" t="s">
        <v>80</v>
      </c>
      <c r="E22" s="5">
        <v>0.83518042792693359</v>
      </c>
      <c r="F22" s="5">
        <v>1</v>
      </c>
      <c r="G22" s="5">
        <v>0.52637142322864783</v>
      </c>
      <c r="H22" s="5">
        <v>1.0920918514225872</v>
      </c>
      <c r="I22" s="5">
        <v>0.19671910787576599</v>
      </c>
      <c r="J22" s="5">
        <v>4.9105552194345297</v>
      </c>
      <c r="K22" s="5">
        <v>0.19671910787576599</v>
      </c>
      <c r="L22" s="5">
        <v>4.9105552194345297</v>
      </c>
      <c r="M22" s="5">
        <v>1</v>
      </c>
      <c r="AL22" t="s">
        <v>170</v>
      </c>
      <c r="AM22" t="s">
        <v>145</v>
      </c>
      <c r="AN22" t="s">
        <v>72</v>
      </c>
      <c r="AO22" s="5">
        <v>3</v>
      </c>
      <c r="AP22" s="5">
        <v>0</v>
      </c>
      <c r="AQ22" s="5">
        <v>0</v>
      </c>
      <c r="AR22" s="5">
        <v>3</v>
      </c>
      <c r="AS22" s="5">
        <v>3</v>
      </c>
    </row>
    <row r="23" spans="2:45" x14ac:dyDescent="0.25">
      <c r="B23" t="s">
        <v>98</v>
      </c>
      <c r="C23" t="s">
        <v>79</v>
      </c>
      <c r="D23" t="s">
        <v>80</v>
      </c>
      <c r="E23" s="5">
        <v>0.78149191546140195</v>
      </c>
      <c r="F23" s="5">
        <v>1</v>
      </c>
      <c r="G23" s="5">
        <v>0.3686718886858002</v>
      </c>
      <c r="H23" s="5">
        <v>0.76490392090955872</v>
      </c>
      <c r="I23" s="5">
        <v>0.24910662918173601</v>
      </c>
      <c r="J23" s="5">
        <v>3.6335836290778101</v>
      </c>
      <c r="K23" s="5">
        <v>0.24910662918173601</v>
      </c>
      <c r="L23" s="5">
        <v>3.6335836290778101</v>
      </c>
      <c r="M23" s="5">
        <v>1</v>
      </c>
      <c r="AL23" t="s">
        <v>171</v>
      </c>
      <c r="AM23" t="s">
        <v>147</v>
      </c>
      <c r="AN23" t="s">
        <v>72</v>
      </c>
      <c r="AO23" s="5">
        <v>3</v>
      </c>
      <c r="AP23" s="5">
        <v>0</v>
      </c>
      <c r="AQ23" s="5">
        <v>0</v>
      </c>
      <c r="AR23" s="5">
        <v>3</v>
      </c>
      <c r="AS23" s="5">
        <v>3</v>
      </c>
    </row>
    <row r="24" spans="2:45" x14ac:dyDescent="0.25">
      <c r="B24" t="s">
        <v>99</v>
      </c>
      <c r="C24" t="s">
        <v>90</v>
      </c>
      <c r="D24" t="s">
        <v>91</v>
      </c>
      <c r="E24" s="5">
        <v>0.78149191546140195</v>
      </c>
      <c r="F24" s="5">
        <v>1</v>
      </c>
      <c r="G24" s="5">
        <v>0.3686718886858002</v>
      </c>
      <c r="H24" s="5">
        <v>0.76490392090955872</v>
      </c>
      <c r="I24" s="5">
        <v>0.24910662918173601</v>
      </c>
      <c r="J24" s="5">
        <v>3.6335836290778101</v>
      </c>
      <c r="K24" s="5">
        <v>0</v>
      </c>
      <c r="L24" s="5">
        <v>14.899429331080601</v>
      </c>
      <c r="M24" s="5">
        <v>122.10526315789474</v>
      </c>
    </row>
    <row r="25" spans="2:45" x14ac:dyDescent="0.25">
      <c r="B25" t="s">
        <v>103</v>
      </c>
      <c r="C25" t="s">
        <v>85</v>
      </c>
      <c r="D25" t="s">
        <v>86</v>
      </c>
      <c r="E25" s="5">
        <v>2.1273994880359743</v>
      </c>
      <c r="F25" s="5">
        <v>1</v>
      </c>
      <c r="G25" s="5">
        <v>0.37745596092631467</v>
      </c>
      <c r="H25" s="5">
        <v>0.78312872053361837</v>
      </c>
      <c r="I25" s="5">
        <v>1.4498913227505501</v>
      </c>
      <c r="J25" s="5">
        <v>4.8344956063072599</v>
      </c>
      <c r="K25" s="5">
        <v>0</v>
      </c>
      <c r="L25" s="5">
        <v>23.229576157810602</v>
      </c>
      <c r="M25" s="5">
        <v>122.31578947368421</v>
      </c>
    </row>
    <row r="26" spans="2:45" x14ac:dyDescent="0.25">
      <c r="C26" t="s">
        <v>87</v>
      </c>
      <c r="D26" t="s">
        <v>86</v>
      </c>
      <c r="E26" s="5">
        <v>1.427042764340821</v>
      </c>
      <c r="F26" s="5">
        <v>1</v>
      </c>
      <c r="G26" s="5">
        <v>7.3310977094843424E-2</v>
      </c>
      <c r="H26" s="5">
        <v>0.15210233149440669</v>
      </c>
      <c r="I26" s="5">
        <v>1.1889341151258599</v>
      </c>
      <c r="J26" s="5">
        <v>1.71891901774247</v>
      </c>
      <c r="K26" s="5">
        <v>0</v>
      </c>
      <c r="L26" s="5">
        <v>13.3285940274107</v>
      </c>
      <c r="M26" s="5">
        <v>122.31578947368421</v>
      </c>
    </row>
    <row r="27" spans="2:45" x14ac:dyDescent="0.25">
      <c r="C27" t="s">
        <v>88</v>
      </c>
      <c r="D27" t="s">
        <v>86</v>
      </c>
      <c r="E27" s="5">
        <v>0.70035672369515334</v>
      </c>
      <c r="F27" s="5">
        <v>1</v>
      </c>
      <c r="G27" s="5">
        <v>0.35342988550342119</v>
      </c>
      <c r="H27" s="5">
        <v>0.73328049543419305</v>
      </c>
      <c r="I27" s="5">
        <v>0.19405440212973199</v>
      </c>
      <c r="J27" s="5">
        <v>3.4332474400478601</v>
      </c>
      <c r="K27" s="5">
        <v>0</v>
      </c>
      <c r="L27" s="5">
        <v>17.656360512085001</v>
      </c>
      <c r="M27" s="5">
        <v>122.31578947368421</v>
      </c>
    </row>
    <row r="28" spans="2:45" x14ac:dyDescent="0.25">
      <c r="B28" t="s">
        <v>104</v>
      </c>
      <c r="C28" t="s">
        <v>90</v>
      </c>
      <c r="D28" t="s">
        <v>91</v>
      </c>
      <c r="E28" s="5">
        <v>0.69352531674172502</v>
      </c>
      <c r="F28" s="5">
        <v>1</v>
      </c>
      <c r="G28" s="5">
        <v>0.33401806893870795</v>
      </c>
      <c r="H28" s="5">
        <v>0.6930057279295283</v>
      </c>
      <c r="I28" s="5">
        <v>0.19675348802568801</v>
      </c>
      <c r="J28" s="5">
        <v>3.2614571838962898</v>
      </c>
      <c r="K28" s="5">
        <v>0</v>
      </c>
      <c r="L28" s="5">
        <v>15.231041134973101</v>
      </c>
      <c r="M28" s="5">
        <v>122.26315789473684</v>
      </c>
    </row>
    <row r="29" spans="2:45" x14ac:dyDescent="0.25">
      <c r="B29" t="s">
        <v>100</v>
      </c>
      <c r="C29" t="s">
        <v>79</v>
      </c>
      <c r="D29" t="s">
        <v>80</v>
      </c>
      <c r="E29" s="5">
        <v>1.0173477957593224</v>
      </c>
      <c r="F29" s="5">
        <v>1</v>
      </c>
      <c r="G29" s="5">
        <v>0.84155443745405745</v>
      </c>
      <c r="H29" s="5">
        <v>1.7460194515021608</v>
      </c>
      <c r="I29" s="5">
        <v>8.3023219101837395E-2</v>
      </c>
      <c r="J29" s="5">
        <v>7.4627874217685699</v>
      </c>
      <c r="K29" s="5">
        <v>8.3023219101837395E-2</v>
      </c>
      <c r="L29" s="5">
        <v>7.4627874217685699</v>
      </c>
      <c r="M29" s="5">
        <v>1</v>
      </c>
    </row>
    <row r="30" spans="2:45" x14ac:dyDescent="0.25">
      <c r="B30" t="s">
        <v>101</v>
      </c>
      <c r="C30" t="s">
        <v>79</v>
      </c>
      <c r="D30" t="s">
        <v>80</v>
      </c>
      <c r="E30" s="5">
        <v>0.73378328081682775</v>
      </c>
      <c r="F30" s="5">
        <v>1</v>
      </c>
      <c r="G30" s="5">
        <v>0.47211648627857267</v>
      </c>
      <c r="H30" s="5">
        <v>0.97952613845285885</v>
      </c>
      <c r="I30" s="5">
        <v>0.13640938023180099</v>
      </c>
      <c r="J30" s="5">
        <v>4.3693363262549898</v>
      </c>
      <c r="K30" s="5">
        <v>0.13640938023180099</v>
      </c>
      <c r="L30" s="5">
        <v>4.3693363262549898</v>
      </c>
      <c r="M30" s="5">
        <v>1</v>
      </c>
    </row>
    <row r="31" spans="2:45" x14ac:dyDescent="0.25">
      <c r="B31" t="s">
        <v>102</v>
      </c>
      <c r="C31" t="s">
        <v>79</v>
      </c>
      <c r="D31" t="s">
        <v>80</v>
      </c>
      <c r="E31" s="5">
        <v>0.69352531674172502</v>
      </c>
      <c r="F31" s="5">
        <v>1</v>
      </c>
      <c r="G31" s="5">
        <v>0.33401806893870795</v>
      </c>
      <c r="H31" s="5">
        <v>0.6930057279295283</v>
      </c>
      <c r="I31" s="5">
        <v>0.19675348802568801</v>
      </c>
      <c r="J31" s="5">
        <v>3.2614571838962898</v>
      </c>
      <c r="K31" s="5">
        <v>0.19675348802568801</v>
      </c>
      <c r="L31" s="5">
        <v>3.2614571838962898</v>
      </c>
      <c r="M31" s="5">
        <v>1</v>
      </c>
    </row>
    <row r="32" spans="2:45" x14ac:dyDescent="0.25">
      <c r="B32" t="s">
        <v>127</v>
      </c>
      <c r="C32" t="s">
        <v>71</v>
      </c>
      <c r="D32" t="s">
        <v>72</v>
      </c>
      <c r="E32" s="5">
        <v>0</v>
      </c>
      <c r="F32" s="5">
        <v>1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3</v>
      </c>
    </row>
    <row r="33" spans="2:13" x14ac:dyDescent="0.25">
      <c r="C33" t="s">
        <v>73</v>
      </c>
      <c r="D33" t="s">
        <v>72</v>
      </c>
      <c r="E33" s="5">
        <v>0</v>
      </c>
      <c r="F33" s="5">
        <v>1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3</v>
      </c>
    </row>
    <row r="34" spans="2:13" x14ac:dyDescent="0.25">
      <c r="C34" t="s">
        <v>74</v>
      </c>
      <c r="D34" t="s">
        <v>72</v>
      </c>
      <c r="E34" s="5">
        <v>0</v>
      </c>
      <c r="F34" s="5">
        <v>1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3</v>
      </c>
    </row>
    <row r="35" spans="2:13" x14ac:dyDescent="0.25">
      <c r="C35" t="s">
        <v>75</v>
      </c>
      <c r="D35" t="s">
        <v>72</v>
      </c>
      <c r="E35" s="5">
        <v>0</v>
      </c>
      <c r="F35" s="5">
        <v>1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3</v>
      </c>
    </row>
    <row r="36" spans="2:13" x14ac:dyDescent="0.25">
      <c r="C36" t="s">
        <v>76</v>
      </c>
      <c r="D36" t="s">
        <v>72</v>
      </c>
      <c r="E36" s="5">
        <v>0</v>
      </c>
      <c r="F36" s="5">
        <v>1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3</v>
      </c>
    </row>
    <row r="37" spans="2:13" x14ac:dyDescent="0.25">
      <c r="C37" t="s">
        <v>77</v>
      </c>
      <c r="D37" t="s">
        <v>72</v>
      </c>
      <c r="E37" s="5">
        <v>0</v>
      </c>
      <c r="F37" s="5">
        <v>1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3</v>
      </c>
    </row>
    <row r="38" spans="2:13" x14ac:dyDescent="0.25">
      <c r="B38" t="s">
        <v>105</v>
      </c>
      <c r="C38" t="s">
        <v>79</v>
      </c>
      <c r="D38" t="s">
        <v>80</v>
      </c>
      <c r="E38" s="5">
        <v>17.714336330412955</v>
      </c>
      <c r="F38" s="5">
        <v>1</v>
      </c>
      <c r="G38" s="5">
        <v>1.4019633908103393</v>
      </c>
      <c r="H38" s="5">
        <v>2.9087308458074794</v>
      </c>
      <c r="I38" s="5">
        <v>13.101063207922801</v>
      </c>
      <c r="J38" s="5">
        <v>22.975696741341299</v>
      </c>
      <c r="K38" s="5">
        <v>0</v>
      </c>
      <c r="L38" s="5">
        <v>47.092378696302802</v>
      </c>
      <c r="M38" s="5">
        <v>16.263157894736842</v>
      </c>
    </row>
    <row r="39" spans="2:13" x14ac:dyDescent="0.25">
      <c r="B39" t="s">
        <v>106</v>
      </c>
      <c r="C39" t="s">
        <v>107</v>
      </c>
      <c r="D39" t="s">
        <v>80</v>
      </c>
      <c r="E39" s="5">
        <v>22.08644356402899</v>
      </c>
      <c r="F39" s="5">
        <v>1</v>
      </c>
      <c r="G39" s="5">
        <v>2.3213299703822154</v>
      </c>
      <c r="H39" s="5">
        <v>4.8161914443752796</v>
      </c>
      <c r="I39" s="5">
        <v>15.7816894791909</v>
      </c>
      <c r="J39" s="5">
        <v>36.863589442352897</v>
      </c>
      <c r="K39" s="5">
        <v>0.60651001428010398</v>
      </c>
      <c r="L39" s="5">
        <v>61.080910283562602</v>
      </c>
      <c r="M39" s="5">
        <v>16.263157894736842</v>
      </c>
    </row>
    <row r="40" spans="2:13" x14ac:dyDescent="0.25">
      <c r="B40" t="s">
        <v>108</v>
      </c>
      <c r="C40" t="s">
        <v>107</v>
      </c>
      <c r="D40" t="s">
        <v>80</v>
      </c>
      <c r="E40" s="5">
        <v>3.6038674660545209</v>
      </c>
      <c r="F40" s="5">
        <v>1</v>
      </c>
      <c r="G40" s="5">
        <v>0.74443960649926322</v>
      </c>
      <c r="H40" s="5">
        <v>1.5445299502532628</v>
      </c>
      <c r="I40" s="5">
        <v>2.2660163882409599</v>
      </c>
      <c r="J40" s="5">
        <v>9.0905139857419304</v>
      </c>
      <c r="K40" s="5">
        <v>0.343771589355995</v>
      </c>
      <c r="L40" s="5">
        <v>32.281581249584399</v>
      </c>
      <c r="M40" s="5">
        <v>106.10526315789474</v>
      </c>
    </row>
    <row r="41" spans="2:13" x14ac:dyDescent="0.25">
      <c r="B41" t="s">
        <v>109</v>
      </c>
      <c r="C41" t="s">
        <v>107</v>
      </c>
      <c r="D41" t="s">
        <v>80</v>
      </c>
      <c r="E41" s="5">
        <v>3.1564420087893303</v>
      </c>
      <c r="F41" s="5">
        <v>1</v>
      </c>
      <c r="G41" s="5">
        <v>0.78276324780868989</v>
      </c>
      <c r="H41" s="5">
        <v>1.6240421246303407</v>
      </c>
      <c r="I41" s="5">
        <v>1.88473174296347</v>
      </c>
      <c r="J41" s="5">
        <v>9.0779071428284901</v>
      </c>
      <c r="K41" s="5">
        <v>0.343771589355995</v>
      </c>
      <c r="L41" s="5">
        <v>23.621620498770401</v>
      </c>
      <c r="M41" s="5">
        <v>67.94736842105263</v>
      </c>
    </row>
    <row r="42" spans="2:13" x14ac:dyDescent="0.25">
      <c r="B42" t="s">
        <v>110</v>
      </c>
      <c r="C42" t="s">
        <v>107</v>
      </c>
      <c r="D42" t="s">
        <v>80</v>
      </c>
      <c r="E42" s="5">
        <v>3.9983565371792786</v>
      </c>
      <c r="F42" s="5">
        <v>1</v>
      </c>
      <c r="G42" s="5">
        <v>0.66125688892142653</v>
      </c>
      <c r="H42" s="5">
        <v>1.3719461737846819</v>
      </c>
      <c r="I42" s="5">
        <v>2.57025351162503</v>
      </c>
      <c r="J42" s="5">
        <v>8.2425388076728598</v>
      </c>
      <c r="K42" s="5">
        <v>0.79107086020877704</v>
      </c>
      <c r="L42" s="5">
        <v>28.676361280594399</v>
      </c>
      <c r="M42" s="5">
        <v>26.421052631578949</v>
      </c>
    </row>
    <row r="43" spans="2:13" x14ac:dyDescent="0.25">
      <c r="B43" t="s">
        <v>111</v>
      </c>
      <c r="C43" t="s">
        <v>107</v>
      </c>
      <c r="D43" t="s">
        <v>80</v>
      </c>
      <c r="E43" s="5">
        <v>4.6916077746929048</v>
      </c>
      <c r="F43" s="5">
        <v>1</v>
      </c>
      <c r="G43" s="5">
        <v>0.81584278645262853</v>
      </c>
      <c r="H43" s="5">
        <v>1.692674069693535</v>
      </c>
      <c r="I43" s="5">
        <v>3.2109546257116102</v>
      </c>
      <c r="J43" s="5">
        <v>10.505033326075599</v>
      </c>
      <c r="K43" s="5">
        <v>0.92811877614322202</v>
      </c>
      <c r="L43" s="5">
        <v>23.748706291307901</v>
      </c>
      <c r="M43" s="5">
        <v>7.2631578947368425</v>
      </c>
    </row>
    <row r="44" spans="2:13" x14ac:dyDescent="0.25">
      <c r="B44" t="s">
        <v>112</v>
      </c>
      <c r="C44" t="s">
        <v>107</v>
      </c>
      <c r="D44" t="s">
        <v>80</v>
      </c>
      <c r="E44" s="5">
        <v>6.0285427713953732</v>
      </c>
      <c r="F44" s="5">
        <v>0</v>
      </c>
      <c r="G44" s="5">
        <v>0.94579620909031992</v>
      </c>
      <c r="H44" s="5">
        <v>1.7749352051247906</v>
      </c>
      <c r="I44" s="5">
        <v>3.6009919886175199</v>
      </c>
      <c r="J44" s="5">
        <v>10.0000175511267</v>
      </c>
      <c r="K44" s="5">
        <v>2.1260873755372098</v>
      </c>
      <c r="L44" s="5">
        <v>18.396198344222</v>
      </c>
      <c r="M44" s="5">
        <v>3.625</v>
      </c>
    </row>
    <row r="45" spans="2:13" x14ac:dyDescent="0.25">
      <c r="B45" t="s">
        <v>113</v>
      </c>
      <c r="C45" t="s">
        <v>107</v>
      </c>
      <c r="D45" t="s">
        <v>80</v>
      </c>
      <c r="E45" s="5">
        <v>7.0194841526840355</v>
      </c>
      <c r="F45" s="5">
        <v>0</v>
      </c>
      <c r="G45" s="5">
        <v>3.5569015203314231</v>
      </c>
      <c r="H45" s="5">
        <v>5.8860452071458917</v>
      </c>
      <c r="I45" s="5">
        <v>2.3433217689368999</v>
      </c>
      <c r="J45" s="5">
        <v>25.148497784008899</v>
      </c>
      <c r="K45" s="5">
        <v>2.3433217689368999</v>
      </c>
      <c r="L45" s="5">
        <v>32.281581249584399</v>
      </c>
      <c r="M45" s="5">
        <v>1.7692307692307692</v>
      </c>
    </row>
    <row r="46" spans="2:13" x14ac:dyDescent="0.25">
      <c r="B46" t="s">
        <v>128</v>
      </c>
      <c r="C46" t="s">
        <v>107</v>
      </c>
      <c r="D46" t="s">
        <v>80</v>
      </c>
      <c r="E46" s="5">
        <v>8.2145919124675348</v>
      </c>
      <c r="F46" s="5">
        <v>0</v>
      </c>
      <c r="G46" s="5">
        <v>4.4000502738810683</v>
      </c>
      <c r="H46" s="5">
        <v>2.7652000076644274</v>
      </c>
      <c r="I46" s="5">
        <v>6.1857392610640201</v>
      </c>
      <c r="J46" s="5">
        <v>12.2973900741707</v>
      </c>
      <c r="K46" s="5">
        <v>6.1857392610640201</v>
      </c>
      <c r="L46" s="5">
        <v>12.2973900741707</v>
      </c>
      <c r="M46" s="5">
        <v>1</v>
      </c>
    </row>
    <row r="47" spans="2:13" x14ac:dyDescent="0.25">
      <c r="B47" t="s">
        <v>114</v>
      </c>
      <c r="C47" t="s">
        <v>107</v>
      </c>
      <c r="D47" t="s">
        <v>80</v>
      </c>
      <c r="E47" s="5">
        <v>6.1004830173875275</v>
      </c>
      <c r="F47" s="5">
        <v>1</v>
      </c>
      <c r="G47" s="5">
        <v>0.92554420923468694</v>
      </c>
      <c r="H47" s="5">
        <v>1.9202776678807203</v>
      </c>
      <c r="I47" s="5">
        <v>4.4316568587741703</v>
      </c>
      <c r="J47" s="5">
        <v>12.691770210246</v>
      </c>
      <c r="K47" s="5">
        <v>0.42710492268932398</v>
      </c>
      <c r="L47" s="5">
        <v>61.164243616895902</v>
      </c>
      <c r="M47" s="5">
        <v>122.36842105263158</v>
      </c>
    </row>
    <row r="48" spans="2:13" x14ac:dyDescent="0.25">
      <c r="B48" t="s">
        <v>115</v>
      </c>
      <c r="C48" t="s">
        <v>79</v>
      </c>
      <c r="D48" t="s">
        <v>80</v>
      </c>
      <c r="E48" s="5">
        <v>0.3256545808151487</v>
      </c>
      <c r="F48" s="5">
        <v>1</v>
      </c>
      <c r="G48" s="5">
        <v>1.4409558525563334E-2</v>
      </c>
      <c r="H48" s="5">
        <v>2.9896306588682073E-2</v>
      </c>
      <c r="I48" s="5">
        <v>0.254905928907871</v>
      </c>
      <c r="J48" s="5">
        <v>0.37952723924807102</v>
      </c>
      <c r="K48" s="5">
        <v>7.7143139311317598E-3</v>
      </c>
      <c r="L48" s="5">
        <v>2.34378124046611</v>
      </c>
      <c r="M48" s="5">
        <v>122.36842105263158</v>
      </c>
    </row>
    <row r="49" spans="2:13" x14ac:dyDescent="0.25">
      <c r="B49" t="s">
        <v>116</v>
      </c>
      <c r="C49" t="s">
        <v>79</v>
      </c>
      <c r="D49" t="s">
        <v>80</v>
      </c>
      <c r="E49" s="5">
        <v>0.30942332048567528</v>
      </c>
      <c r="F49" s="5">
        <v>1</v>
      </c>
      <c r="G49" s="5">
        <v>8.8915519638180264E-3</v>
      </c>
      <c r="H49" s="5">
        <v>1.8447793739684307E-2</v>
      </c>
      <c r="I49" s="5">
        <v>0.27409788076790698</v>
      </c>
      <c r="J49" s="5">
        <v>0.34566100502619002</v>
      </c>
      <c r="K49" s="5">
        <v>2.7295964517620099E-2</v>
      </c>
      <c r="L49" s="5">
        <v>1.3578592622225301</v>
      </c>
      <c r="M49" s="5">
        <v>122.36842105263158</v>
      </c>
    </row>
    <row r="50" spans="2:13" x14ac:dyDescent="0.25">
      <c r="B50" t="s">
        <v>117</v>
      </c>
      <c r="C50" t="s">
        <v>79</v>
      </c>
      <c r="D50" t="s">
        <v>80</v>
      </c>
      <c r="E50" s="5">
        <v>17.206313798024606</v>
      </c>
      <c r="F50" s="5">
        <v>1</v>
      </c>
      <c r="G50" s="5">
        <v>1.826049234208371</v>
      </c>
      <c r="H50" s="5">
        <v>3.7886051578243847</v>
      </c>
      <c r="I50" s="5">
        <v>10.9249913192987</v>
      </c>
      <c r="J50" s="5">
        <v>22.866424489953602</v>
      </c>
      <c r="K50" s="5">
        <v>0</v>
      </c>
      <c r="L50" s="5">
        <v>34.374891013709401</v>
      </c>
      <c r="M50" s="5">
        <v>122.36842105263158</v>
      </c>
    </row>
    <row r="51" spans="2:13" x14ac:dyDescent="0.25">
      <c r="B51" t="s">
        <v>118</v>
      </c>
      <c r="C51" t="s">
        <v>79</v>
      </c>
      <c r="D51" t="s">
        <v>80</v>
      </c>
      <c r="E51" s="5">
        <v>7.21924481490937</v>
      </c>
      <c r="F51" s="5">
        <v>1</v>
      </c>
      <c r="G51" s="5">
        <v>2.2451539176608639</v>
      </c>
      <c r="H51" s="5">
        <v>4.6581447823048947</v>
      </c>
      <c r="I51" s="5">
        <v>3.5254104253296199</v>
      </c>
      <c r="J51" s="5">
        <v>23.5684194805701</v>
      </c>
      <c r="K51" s="5">
        <v>3.5254104253296199</v>
      </c>
      <c r="L51" s="5">
        <v>23.5684194805701</v>
      </c>
      <c r="M51" s="5">
        <v>1</v>
      </c>
    </row>
    <row r="52" spans="2:13" x14ac:dyDescent="0.25">
      <c r="B52" t="s">
        <v>119</v>
      </c>
      <c r="C52" t="s">
        <v>79</v>
      </c>
      <c r="D52" t="s">
        <v>80</v>
      </c>
      <c r="E52" s="5">
        <v>6.2413723329291182</v>
      </c>
      <c r="F52" s="5">
        <v>1</v>
      </c>
      <c r="G52" s="5">
        <v>1.2906735808067136</v>
      </c>
      <c r="H52" s="5">
        <v>2.6778317329608212</v>
      </c>
      <c r="I52" s="5">
        <v>4.0121604978615801</v>
      </c>
      <c r="J52" s="5">
        <v>15.6421643177151</v>
      </c>
      <c r="K52" s="5">
        <v>4.0121604978615801</v>
      </c>
      <c r="L52" s="5">
        <v>15.6421643177151</v>
      </c>
      <c r="M52" s="5">
        <v>1</v>
      </c>
    </row>
    <row r="53" spans="2:13" x14ac:dyDescent="0.25">
      <c r="B53" t="s">
        <v>120</v>
      </c>
      <c r="C53" t="s">
        <v>79</v>
      </c>
      <c r="D53" t="s">
        <v>80</v>
      </c>
      <c r="E53" s="5">
        <v>6.1004830173875275</v>
      </c>
      <c r="F53" s="5">
        <v>1</v>
      </c>
      <c r="G53" s="5">
        <v>0.92554420923468694</v>
      </c>
      <c r="H53" s="5">
        <v>1.9202776678807203</v>
      </c>
      <c r="I53" s="5">
        <v>4.4316568587741703</v>
      </c>
      <c r="J53" s="5">
        <v>12.691770210246</v>
      </c>
      <c r="K53" s="5">
        <v>4.4316568587741703</v>
      </c>
      <c r="L53" s="5">
        <v>12.691770210246</v>
      </c>
      <c r="M53" s="5">
        <v>1</v>
      </c>
    </row>
    <row r="54" spans="2:13" x14ac:dyDescent="0.25">
      <c r="B54" t="s">
        <v>121</v>
      </c>
      <c r="C54" t="s">
        <v>79</v>
      </c>
      <c r="D54" t="s">
        <v>80</v>
      </c>
      <c r="E54" s="5">
        <v>0.84210526315789469</v>
      </c>
      <c r="F54" s="5">
        <v>1</v>
      </c>
      <c r="G54" s="5">
        <v>0.18056796448973789</v>
      </c>
      <c r="H54" s="5">
        <v>0.37463432463267765</v>
      </c>
      <c r="I54" s="5">
        <v>0</v>
      </c>
      <c r="J54" s="5">
        <v>1</v>
      </c>
      <c r="K54" s="5">
        <v>0</v>
      </c>
      <c r="L54" s="5">
        <v>1</v>
      </c>
      <c r="M54" s="5">
        <v>1</v>
      </c>
    </row>
    <row r="55" spans="2:13" x14ac:dyDescent="0.25">
      <c r="B55" t="s">
        <v>122</v>
      </c>
      <c r="C55" t="s">
        <v>79</v>
      </c>
      <c r="D55" t="s">
        <v>80</v>
      </c>
      <c r="E55" s="5">
        <v>0.63157894736842102</v>
      </c>
      <c r="F55" s="5">
        <v>1</v>
      </c>
      <c r="G55" s="5">
        <v>0.23886896439249422</v>
      </c>
      <c r="H55" s="5">
        <v>0.49559462778335212</v>
      </c>
      <c r="I55" s="5">
        <v>0</v>
      </c>
      <c r="J55" s="5">
        <v>1</v>
      </c>
      <c r="K55" s="5">
        <v>0</v>
      </c>
      <c r="L55" s="5">
        <v>1</v>
      </c>
      <c r="M55" s="5">
        <v>1</v>
      </c>
    </row>
    <row r="56" spans="2:13" x14ac:dyDescent="0.25">
      <c r="B56" t="s">
        <v>123</v>
      </c>
      <c r="C56" t="s">
        <v>79</v>
      </c>
      <c r="D56" t="s">
        <v>80</v>
      </c>
      <c r="E56" s="5">
        <v>0.78947368421052633</v>
      </c>
      <c r="F56" s="5">
        <v>1</v>
      </c>
      <c r="G56" s="5">
        <v>0.20188112157891097</v>
      </c>
      <c r="H56" s="5">
        <v>0.41885390829169544</v>
      </c>
      <c r="I56" s="5">
        <v>0</v>
      </c>
      <c r="J56" s="5">
        <v>1</v>
      </c>
      <c r="K56" s="5">
        <v>0</v>
      </c>
      <c r="L56" s="5">
        <v>1</v>
      </c>
      <c r="M56" s="5">
        <v>1</v>
      </c>
    </row>
    <row r="57" spans="2:13" x14ac:dyDescent="0.25">
      <c r="B57" t="s">
        <v>124</v>
      </c>
      <c r="C57" t="s">
        <v>79</v>
      </c>
      <c r="D57" t="s">
        <v>80</v>
      </c>
      <c r="E57" s="5">
        <v>0.70252114313058733</v>
      </c>
      <c r="F57" s="5">
        <v>1</v>
      </c>
      <c r="G57" s="5">
        <v>6.4741079872600651E-2</v>
      </c>
      <c r="H57" s="5">
        <v>0.13432189260482255</v>
      </c>
      <c r="I57" s="5">
        <v>0.47294888831318199</v>
      </c>
      <c r="J57" s="5">
        <v>1</v>
      </c>
      <c r="K57" s="5">
        <v>0.47294888831318199</v>
      </c>
      <c r="L57" s="5">
        <v>1</v>
      </c>
      <c r="M57" s="5">
        <v>1</v>
      </c>
    </row>
    <row r="58" spans="2:13" x14ac:dyDescent="0.25">
      <c r="B58" t="s">
        <v>125</v>
      </c>
      <c r="C58" t="s">
        <v>79</v>
      </c>
      <c r="D58" t="s">
        <v>80</v>
      </c>
      <c r="E58" s="5">
        <v>0.68140291572007905</v>
      </c>
      <c r="F58" s="5">
        <v>1</v>
      </c>
      <c r="G58" s="5">
        <v>3.6235199857210437E-2</v>
      </c>
      <c r="H58" s="5">
        <v>7.5179169598534323E-2</v>
      </c>
      <c r="I58" s="5">
        <v>0.54332107247146499</v>
      </c>
      <c r="J58" s="5">
        <v>0.815482524363215</v>
      </c>
      <c r="K58" s="5">
        <v>0.54332107247146499</v>
      </c>
      <c r="L58" s="5">
        <v>0.815482524363215</v>
      </c>
      <c r="M58" s="5">
        <v>1</v>
      </c>
    </row>
    <row r="59" spans="2:13" x14ac:dyDescent="0.25">
      <c r="B59" t="s">
        <v>126</v>
      </c>
      <c r="C59" t="s">
        <v>79</v>
      </c>
      <c r="D59" t="s">
        <v>80</v>
      </c>
      <c r="E59" s="5">
        <v>0.68474836505339687</v>
      </c>
      <c r="F59" s="5">
        <v>1</v>
      </c>
      <c r="G59" s="5">
        <v>3.0014600137344902E-2</v>
      </c>
      <c r="H59" s="5">
        <v>6.2272947935973065E-2</v>
      </c>
      <c r="I59" s="5">
        <v>0.59592290927233305</v>
      </c>
      <c r="J59" s="5">
        <v>0.82897119936997599</v>
      </c>
      <c r="K59" s="5">
        <v>0.59592290927233305</v>
      </c>
      <c r="L59" s="5">
        <v>0.82897119936997599</v>
      </c>
      <c r="M59" s="5">
        <v>1</v>
      </c>
    </row>
  </sheetData>
  <dataConsolidate/>
  <conditionalFormatting pivot="1" sqref="G3:G59">
    <cfRule type="expression" dxfId="31" priority="14">
      <formula>G3=200000000000000000000</formula>
    </cfRule>
  </conditionalFormatting>
  <conditionalFormatting pivot="1" sqref="T3:T21">
    <cfRule type="expression" dxfId="30" priority="13">
      <formula>T3=200000000000000000000</formula>
    </cfRule>
  </conditionalFormatting>
  <conditionalFormatting pivot="1" sqref="T3:T21">
    <cfRule type="expression" dxfId="29" priority="12">
      <formula>T3=300000000000000000000</formula>
    </cfRule>
  </conditionalFormatting>
  <conditionalFormatting pivot="1" sqref="G3:G59">
    <cfRule type="expression" dxfId="28" priority="11">
      <formula>G3=300000000000000000000</formula>
    </cfRule>
  </conditionalFormatting>
  <conditionalFormatting pivot="1" sqref="F3:F59">
    <cfRule type="expression" dxfId="27" priority="10">
      <formula>F3=0</formula>
    </cfRule>
  </conditionalFormatting>
  <conditionalFormatting pivot="1" sqref="F3:F59">
    <cfRule type="expression" dxfId="26" priority="9">
      <formula>F3=1</formula>
    </cfRule>
  </conditionalFormatting>
  <conditionalFormatting pivot="1" sqref="T3:T21">
    <cfRule type="expression" dxfId="25" priority="8">
      <formula>T3=400000000000000000000</formula>
    </cfRule>
  </conditionalFormatting>
  <conditionalFormatting pivot="1" sqref="AP3:AP23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5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060"/>
  <sheetViews>
    <sheetView workbookViewId="0">
      <selection activeCell="A2" sqref="A2:K61"/>
    </sheetView>
  </sheetViews>
  <sheetFormatPr baseColWidth="10" defaultColWidth="9.140625" defaultRowHeight="15" x14ac:dyDescent="0.25"/>
  <cols>
    <col min="1" max="1" width="54" bestFit="1" customWidth="1"/>
    <col min="2" max="2" width="22.140625" bestFit="1" customWidth="1"/>
    <col min="3" max="3" width="13.28515625" bestFit="1" customWidth="1"/>
    <col min="4" max="4" width="33.85546875" bestFit="1" customWidth="1"/>
    <col min="5" max="5" width="19.42578125" bestFit="1" customWidth="1"/>
    <col min="6" max="6" width="13.7109375" bestFit="1" customWidth="1"/>
    <col min="7" max="7" width="12" bestFit="1" customWidth="1"/>
    <col min="8" max="8" width="23.5703125" bestFit="1" customWidth="1"/>
    <col min="9" max="9" width="12" bestFit="1" customWidth="1"/>
    <col min="10" max="10" width="12.28515625" bestFit="1" customWidth="1"/>
    <col min="11" max="11" width="22.42578125" bestFit="1" customWidth="1"/>
    <col min="12" max="12" width="81.140625" bestFit="1" customWidth="1"/>
    <col min="13" max="13" width="17.140625" bestFit="1" customWidth="1"/>
    <col min="14" max="14" width="20.140625" bestFit="1" customWidth="1"/>
    <col min="15" max="15" width="17.85546875" bestFit="1" customWidth="1"/>
    <col min="16" max="16" width="20.42578125" bestFit="1" customWidth="1"/>
    <col min="17" max="17" width="12.42578125" bestFit="1" customWidth="1"/>
    <col min="18" max="18" width="19.42578125" bestFit="1" customWidth="1"/>
    <col min="19" max="19" width="19.7109375" bestFit="1" customWidth="1"/>
    <col min="20" max="20" width="18.5703125" bestFit="1" customWidth="1"/>
    <col min="21" max="21" width="18.85546875" bestFit="1" customWidth="1"/>
    <col min="22" max="22" width="30" bestFit="1" customWidth="1"/>
    <col min="23" max="23" width="20.85546875" bestFit="1" customWidth="1"/>
    <col min="24" max="24" width="24.28515625" bestFit="1" customWidth="1"/>
    <col min="25" max="25" width="22.570312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150</v>
      </c>
      <c r="L2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19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19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0.67053848365914304</v>
      </c>
      <c r="H3">
        <v>2E+20</v>
      </c>
      <c r="I3">
        <v>0.12798405085091999</v>
      </c>
      <c r="J3">
        <v>2.1795663713254498</v>
      </c>
      <c r="K3">
        <v>150</v>
      </c>
      <c r="L3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19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0.63507790130082442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3.8049773137108653E-2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1.8339403607505776E-2</v>
      </c>
      <c r="R3" cm="1">
        <f t="array" ref="R3">MIN(IF((DiscreteStatsTable[GroupByKey]=DiscreteStatsTable[[#This Row],[GroupByKey]]),(DiscreteStatsTable[GroupByKey]=DiscreteStatsTable[[#This Row],[GroupByKey]])*DiscreteStatsTable[Average]))</f>
        <v>0.55466095318799302</v>
      </c>
      <c r="S3" cm="1">
        <f t="array" ref="S3">MAX(IF((DiscreteStatsTable[GroupByKey]=DiscreteStatsTable[[#This Row],[GroupByKey]]),(DiscreteStatsTable[GroupByKey]=DiscreteStatsTable[[#This Row],[GroupByKey]])*DiscreteStatsTable[Average]))</f>
        <v>0.70846368869380205</v>
      </c>
      <c r="T3" cm="1">
        <f t="array" ref="T3">MIN(IF((DiscreteStatsTable[GroupByKey]=DiscreteStatsTable[[#This Row],[GroupByKey]]),(DiscreteStatsTable[GroupByKey]=DiscreteStatsTable[[#This Row],[GroupByKey]])*DiscreteStatsTable[Minimum]))</f>
        <v>4.6990588824101599E-2</v>
      </c>
      <c r="U3" cm="1">
        <f t="array" ref="U3">MAX(IF((DiscreteStatsTable[GroupByKey]=DiscreteStatsTable[[#This Row],[GroupByKey]]),(DiscreteStatsTable[GroupByKey]=DiscreteStatsTable[[#This Row],[GroupByKey]])*DiscreteStatsTable[Maximum]))</f>
        <v>2.8324325672652599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3">
        <f>IF((DiscreteStatsTable[[#This Row],[RepsRequested]]&gt;1),DiscreteStatsTable[[#This Row],[HalfWidth]],DiscreteStatsTable[[#This Row],[BatchMeansHalfWidth]])</f>
        <v>1.8339403607505776E-2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19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12.691770210246</v>
      </c>
      <c r="H4">
        <v>2E+20</v>
      </c>
      <c r="I4">
        <v>0.70200058212000704</v>
      </c>
      <c r="J4">
        <v>53.985537664855997</v>
      </c>
      <c r="K4">
        <v>150</v>
      </c>
      <c r="L4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19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6.1004830173875275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1.9202776678807203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4" cm="1">
        <f t="array" ref="R4">MIN(IF((DiscreteStatsTable[GroupByKey]=DiscreteStatsTable[[#This Row],[GroupByKey]]),(DiscreteStatsTable[GroupByKey]=DiscreteStatsTable[[#This Row],[GroupByKey]])*DiscreteStatsTable[Average]))</f>
        <v>4.4316568587741703</v>
      </c>
      <c r="S4" cm="1">
        <f t="array" ref="S4">MAX(IF((DiscreteStatsTable[GroupByKey]=DiscreteStatsTable[[#This Row],[GroupByKey]]),(DiscreteStatsTable[GroupByKey]=DiscreteStatsTable[[#This Row],[GroupByKey]])*DiscreteStatsTable[Average]))</f>
        <v>12.691770210246</v>
      </c>
      <c r="T4" cm="1">
        <f t="array" ref="T4">MIN(IF((DiscreteStatsTable[GroupByKey]=DiscreteStatsTable[[#This Row],[GroupByKey]]),(DiscreteStatsTable[GroupByKey]=DiscreteStatsTable[[#This Row],[GroupByKey]])*DiscreteStatsTable[Minimum]))</f>
        <v>0.42710492268932398</v>
      </c>
      <c r="U4" cm="1">
        <f t="array" ref="U4">MAX(IF((DiscreteStatsTable[GroupByKey]=DiscreteStatsTable[[#This Row],[GroupByKey]]),(DiscreteStatsTable[GroupByKey]=DiscreteStatsTable[[#This Row],[GroupByKey]])*DiscreteStatsTable[Maximum]))</f>
        <v>61.164243616895902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4">
        <f>IF((DiscreteStatsTable[[#This Row],[RepsRequested]]&gt;1),DiscreteStatsTable[[#This Row],[HalfWidth]],DiscreteStatsTable[[#This Row],[BatchMeansHalfWidth]])</f>
        <v>0.92554420923468694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19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0.233333333333336</v>
      </c>
      <c r="H5">
        <v>2E+20</v>
      </c>
      <c r="I5">
        <v>0.23333333333331999</v>
      </c>
      <c r="J5">
        <v>0.23333333333334799</v>
      </c>
      <c r="K5">
        <v>150</v>
      </c>
      <c r="L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19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0.23333333333333742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1.1204111467455151E-15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5.4002088665477309E-16</v>
      </c>
      <c r="R5" cm="1">
        <f t="array" ref="R5">MIN(IF((DiscreteStatsTable[GroupByKey]=DiscreteStatsTable[[#This Row],[GroupByKey]]),(DiscreteStatsTable[GroupByKey]=DiscreteStatsTable[[#This Row],[GroupByKey]])*DiscreteStatsTable[Average]))</f>
        <v>0.233333333333336</v>
      </c>
      <c r="S5" cm="1">
        <f t="array" ref="S5">MAX(IF((DiscreteStatsTable[GroupByKey]=DiscreteStatsTable[[#This Row],[GroupByKey]]),(DiscreteStatsTable[GroupByKey]=DiscreteStatsTable[[#This Row],[GroupByKey]])*DiscreteStatsTable[Average]))</f>
        <v>0.23333333333334</v>
      </c>
      <c r="T5" cm="1">
        <f t="array" ref="T5">MIN(IF((DiscreteStatsTable[GroupByKey]=DiscreteStatsTable[[#This Row],[GroupByKey]]),(DiscreteStatsTable[GroupByKey]=DiscreteStatsTable[[#This Row],[GroupByKey]])*DiscreteStatsTable[Minimum]))</f>
        <v>0.23333333333331999</v>
      </c>
      <c r="U5" cm="1">
        <f t="array" ref="U5">MAX(IF((DiscreteStatsTable[GroupByKey]=DiscreteStatsTable[[#This Row],[GroupByKey]]),(DiscreteStatsTable[GroupByKey]=DiscreteStatsTable[[#This Row],[GroupByKey]])*DiscreteStatsTable[Maximum]))</f>
        <v>0.23333333333334799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5">
        <f>IF((DiscreteStatsTable[[#This Row],[RepsRequested]]&gt;1),DiscreteStatsTable[[#This Row],[HalfWidth]],DiscreteStatsTable[[#This Row],[BatchMeansHalfWidth]])</f>
        <v>5.4002088665477309E-16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19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4.0838096025942496</v>
      </c>
      <c r="H6">
        <v>2E+20</v>
      </c>
      <c r="I6">
        <v>2.1902795385045699E-2</v>
      </c>
      <c r="J6">
        <v>35.338172929982498</v>
      </c>
      <c r="K6">
        <v>150</v>
      </c>
      <c r="L6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19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3.7328197351244743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0.46502806282270054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0.22413635167261109</v>
      </c>
      <c r="R6" cm="1">
        <f t="array" ref="R6">MIN(IF((DiscreteStatsTable[GroupByKey]=DiscreteStatsTable[[#This Row],[GroupByKey]]),(DiscreteStatsTable[GroupByKey]=DiscreteStatsTable[[#This Row],[GroupByKey]])*DiscreteStatsTable[Average]))</f>
        <v>2.8861185212318898</v>
      </c>
      <c r="S6" cm="1">
        <f t="array" ref="S6">MAX(IF((DiscreteStatsTable[GroupByKey]=DiscreteStatsTable[[#This Row],[GroupByKey]]),(DiscreteStatsTable[GroupByKey]=DiscreteStatsTable[[#This Row],[GroupByKey]])*DiscreteStatsTable[Average]))</f>
        <v>4.9064162118213703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47.429632233637001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6">
        <f>IF((DiscreteStatsTable[[#This Row],[RepsRequested]]&gt;1),DiscreteStatsTable[[#This Row],[HalfWidth]],DiscreteStatsTable[[#This Row],[BatchMeansHalfWidth]])</f>
        <v>0.22413635167261109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19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12.695697184187701</v>
      </c>
      <c r="H7">
        <v>2E+20</v>
      </c>
      <c r="I7">
        <v>0.193130010616898</v>
      </c>
      <c r="J7">
        <v>48.547399979086499</v>
      </c>
      <c r="K7">
        <v>150</v>
      </c>
      <c r="L7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19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3.6753649815042069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2.457799691981351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1.1846215317822661</v>
      </c>
      <c r="R7" cm="1">
        <f t="array" ref="R7">MIN(IF((DiscreteStatsTable[GroupByKey]=DiscreteStatsTable[[#This Row],[GroupByKey]]),(DiscreteStatsTable[GroupByKey]=DiscreteStatsTable[[#This Row],[GroupByKey]])*DiscreteStatsTable[Average]))</f>
        <v>1.88211764353336</v>
      </c>
      <c r="S7" cm="1">
        <f t="array" ref="S7">MAX(IF((DiscreteStatsTable[GroupByKey]=DiscreteStatsTable[[#This Row],[GroupByKey]]),(DiscreteStatsTable[GroupByKey]=DiscreteStatsTable[[#This Row],[GroupByKey]])*DiscreteStatsTable[Average]))</f>
        <v>12.695697184187701</v>
      </c>
      <c r="T7" cm="1">
        <f t="array" ref="T7">MIN(IF((DiscreteStatsTable[GroupByKey]=DiscreteStatsTable[[#This Row],[GroupByKey]]),(DiscreteStatsTable[GroupByKey]=DiscreteStatsTable[[#This Row],[GroupByKey]])*DiscreteStatsTable[Minimum]))</f>
        <v>3.57397384231746E-2</v>
      </c>
      <c r="U7" cm="1">
        <f t="array" ref="U7">MAX(IF((DiscreteStatsTable[GroupByKey]=DiscreteStatsTable[[#This Row],[GroupByKey]]),(DiscreteStatsTable[GroupByKey]=DiscreteStatsTable[[#This Row],[GroupByKey]])*DiscreteStatsTable[Maximum]))</f>
        <v>48.547399979086499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7">
        <f>IF((DiscreteStatsTable[[#This Row],[RepsRequested]]&gt;1),DiscreteStatsTable[[#This Row],[HalfWidth]],DiscreteStatsTable[[#This Row],[BatchMeansHalfWidth]])</f>
        <v>1.1846215317822661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19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69</v>
      </c>
      <c r="C8">
        <v>2</v>
      </c>
      <c r="D8" t="s">
        <v>70</v>
      </c>
      <c r="E8" t="s">
        <v>71</v>
      </c>
      <c r="F8" t="s">
        <v>72</v>
      </c>
      <c r="G8">
        <v>0</v>
      </c>
      <c r="H8">
        <v>2E+20</v>
      </c>
      <c r="I8">
        <v>0</v>
      </c>
      <c r="J8">
        <v>0</v>
      </c>
      <c r="K8">
        <v>109</v>
      </c>
      <c r="L8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19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19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69</v>
      </c>
      <c r="C9">
        <v>2</v>
      </c>
      <c r="D9" t="s">
        <v>70</v>
      </c>
      <c r="E9" t="s">
        <v>73</v>
      </c>
      <c r="F9" t="s">
        <v>72</v>
      </c>
      <c r="G9">
        <v>0.61450369375272895</v>
      </c>
      <c r="H9">
        <v>2E+20</v>
      </c>
      <c r="I9">
        <v>0.15742117591028701</v>
      </c>
      <c r="J9">
        <v>1.9632920899061601</v>
      </c>
      <c r="K9">
        <v>109</v>
      </c>
      <c r="L9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19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0.63507790130082442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3.8049773137108653E-2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1.8339403607505776E-2</v>
      </c>
      <c r="R9" cm="1">
        <f t="array" ref="R9">MIN(IF((DiscreteStatsTable[GroupByKey]=DiscreteStatsTable[[#This Row],[GroupByKey]]),(DiscreteStatsTable[GroupByKey]=DiscreteStatsTable[[#This Row],[GroupByKey]])*DiscreteStatsTable[Average]))</f>
        <v>0.55466095318799302</v>
      </c>
      <c r="S9" cm="1">
        <f t="array" ref="S9">MAX(IF((DiscreteStatsTable[GroupByKey]=DiscreteStatsTable[[#This Row],[GroupByKey]]),(DiscreteStatsTable[GroupByKey]=DiscreteStatsTable[[#This Row],[GroupByKey]])*DiscreteStatsTable[Average]))</f>
        <v>0.70846368869380205</v>
      </c>
      <c r="T9" cm="1">
        <f t="array" ref="T9">MIN(IF((DiscreteStatsTable[GroupByKey]=DiscreteStatsTable[[#This Row],[GroupByKey]]),(DiscreteStatsTable[GroupByKey]=DiscreteStatsTable[[#This Row],[GroupByKey]])*DiscreteStatsTable[Minimum]))</f>
        <v>4.6990588824101599E-2</v>
      </c>
      <c r="U9" cm="1">
        <f t="array" ref="U9">MAX(IF((DiscreteStatsTable[GroupByKey]=DiscreteStatsTable[[#This Row],[GroupByKey]]),(DiscreteStatsTable[GroupByKey]=DiscreteStatsTable[[#This Row],[GroupByKey]])*DiscreteStatsTable[Maximum]))</f>
        <v>2.8324325672652599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9">
        <f>IF((DiscreteStatsTable[[#This Row],[RepsRequested]]&gt;1),DiscreteStatsTable[[#This Row],[HalfWidth]],DiscreteStatsTable[[#This Row],[BatchMeansHalfWidth]])</f>
        <v>1.8339403607505776E-2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19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69</v>
      </c>
      <c r="C10">
        <v>2</v>
      </c>
      <c r="D10" t="s">
        <v>70</v>
      </c>
      <c r="E10" t="s">
        <v>74</v>
      </c>
      <c r="F10" t="s">
        <v>72</v>
      </c>
      <c r="G10">
        <v>4.4316568587741703</v>
      </c>
      <c r="H10">
        <v>2E+20</v>
      </c>
      <c r="I10">
        <v>0.79935814911601699</v>
      </c>
      <c r="J10">
        <v>31.901306189863199</v>
      </c>
      <c r="K10">
        <v>109</v>
      </c>
      <c r="L10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19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6.1004830173875275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1.9202776678807203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4.4316568587741703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12.691770210246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0.42710492268932398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61.164243616895902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0">
        <f>IF((DiscreteStatsTable[[#This Row],[RepsRequested]]&gt;1),DiscreteStatsTable[[#This Row],[HalfWidth]],DiscreteStatsTable[[#This Row],[BatchMeansHalfWidth]])</f>
        <v>0.92554420923468694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19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69</v>
      </c>
      <c r="C11">
        <v>2</v>
      </c>
      <c r="D11" t="s">
        <v>70</v>
      </c>
      <c r="E11" t="s">
        <v>75</v>
      </c>
      <c r="F11" t="s">
        <v>72</v>
      </c>
      <c r="G11">
        <v>0.233333333333337</v>
      </c>
      <c r="H11">
        <v>2E+20</v>
      </c>
      <c r="I11">
        <v>0.23333333333331999</v>
      </c>
      <c r="J11">
        <v>0.23333333333334799</v>
      </c>
      <c r="K11">
        <v>109</v>
      </c>
      <c r="L11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19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0.23333333333333742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1.1204111467455151E-15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5.4002088665477309E-16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0.233333333333336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0.23333333333334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0.23333333333331999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0.23333333333334799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1">
        <f>IF((DiscreteStatsTable[[#This Row],[RepsRequested]]&gt;1),DiscreteStatsTable[[#This Row],[HalfWidth]],DiscreteStatsTable[[#This Row],[BatchMeansHalfWidth]])</f>
        <v>5.4002088665477309E-16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19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69</v>
      </c>
      <c r="C12">
        <v>2</v>
      </c>
      <c r="D12" t="s">
        <v>70</v>
      </c>
      <c r="E12" t="s">
        <v>76</v>
      </c>
      <c r="F12" t="s">
        <v>72</v>
      </c>
      <c r="G12">
        <v>2.8861185212318898</v>
      </c>
      <c r="H12">
        <v>2E+20</v>
      </c>
      <c r="I12">
        <v>5.9166912246908503E-2</v>
      </c>
      <c r="J12">
        <v>28.439705173117702</v>
      </c>
      <c r="K12">
        <v>109</v>
      </c>
      <c r="L12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19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3.7328197351244743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0.46502806282270054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0.22413635167261109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2.8861185212318898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4.9064162118213703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47.429632233637001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2">
        <f>IF((DiscreteStatsTable[[#This Row],[RepsRequested]]&gt;1),DiscreteStatsTable[[#This Row],[HalfWidth]],DiscreteStatsTable[[#This Row],[BatchMeansHalfWidth]])</f>
        <v>0.22413635167261109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19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67</v>
      </c>
      <c r="B13" t="s">
        <v>69</v>
      </c>
      <c r="C13">
        <v>2</v>
      </c>
      <c r="D13" t="s">
        <v>70</v>
      </c>
      <c r="E13" t="s">
        <v>77</v>
      </c>
      <c r="F13" t="s">
        <v>72</v>
      </c>
      <c r="G13">
        <v>2.5701731923966502</v>
      </c>
      <c r="H13">
        <v>2E+20</v>
      </c>
      <c r="I13">
        <v>4.2500245580242797E-2</v>
      </c>
      <c r="J13">
        <v>13.7788835679125</v>
      </c>
      <c r="K13">
        <v>109</v>
      </c>
      <c r="L13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19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3.6753649815042069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2.457799691981351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1.1846215317822661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1.88211764353336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12.695697184187701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3.57397384231746E-2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48.547399979086499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3">
        <f>IF((DiscreteStatsTable[[#This Row],[RepsRequested]]&gt;1),DiscreteStatsTable[[#This Row],[HalfWidth]],DiscreteStatsTable[[#This Row],[BatchMeansHalfWidth]])</f>
        <v>1.1846215317822661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19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67</v>
      </c>
      <c r="B14" t="s">
        <v>69</v>
      </c>
      <c r="C14">
        <v>3</v>
      </c>
      <c r="D14" t="s">
        <v>70</v>
      </c>
      <c r="E14" t="s">
        <v>71</v>
      </c>
      <c r="F14" t="s">
        <v>72</v>
      </c>
      <c r="G14">
        <v>0</v>
      </c>
      <c r="H14">
        <v>2E+20</v>
      </c>
      <c r="I14">
        <v>0</v>
      </c>
      <c r="J14">
        <v>0</v>
      </c>
      <c r="K14">
        <v>115</v>
      </c>
      <c r="L14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19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19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67</v>
      </c>
      <c r="B15" t="s">
        <v>69</v>
      </c>
      <c r="C15">
        <v>3</v>
      </c>
      <c r="D15" t="s">
        <v>70</v>
      </c>
      <c r="E15" t="s">
        <v>73</v>
      </c>
      <c r="F15" t="s">
        <v>72</v>
      </c>
      <c r="G15">
        <v>0.66883190871881604</v>
      </c>
      <c r="H15">
        <v>2E+20</v>
      </c>
      <c r="I15">
        <v>0.17538752520144399</v>
      </c>
      <c r="J15">
        <v>2.2960464772232898</v>
      </c>
      <c r="K15">
        <v>115</v>
      </c>
      <c r="L1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19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0.63507790130082442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3.8049773137108653E-2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1.8339403607505776E-2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0.55466095318799302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0.70846368869380205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4.6990588824101599E-2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2.8324325672652599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5">
        <f>IF((DiscreteStatsTable[[#This Row],[RepsRequested]]&gt;1),DiscreteStatsTable[[#This Row],[HalfWidth]],DiscreteStatsTable[[#This Row],[BatchMeansHalfWidth]])</f>
        <v>1.8339403607505776E-2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19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67</v>
      </c>
      <c r="B16" t="s">
        <v>69</v>
      </c>
      <c r="C16">
        <v>3</v>
      </c>
      <c r="D16" t="s">
        <v>70</v>
      </c>
      <c r="E16" t="s">
        <v>74</v>
      </c>
      <c r="F16" t="s">
        <v>72</v>
      </c>
      <c r="G16">
        <v>8.7302970526223795</v>
      </c>
      <c r="H16">
        <v>2E+20</v>
      </c>
      <c r="I16">
        <v>0.76842845569436202</v>
      </c>
      <c r="J16">
        <v>61.164243616895902</v>
      </c>
      <c r="K16">
        <v>115</v>
      </c>
      <c r="L16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19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6.1004830173875275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1.9202776678807203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4.4316568587741703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12.691770210246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0.42710492268932398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61.164243616895902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6">
        <f>IF((DiscreteStatsTable[[#This Row],[RepsRequested]]&gt;1),DiscreteStatsTable[[#This Row],[HalfWidth]],DiscreteStatsTable[[#This Row],[BatchMeansHalfWidth]])</f>
        <v>0.92554420923468694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19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67</v>
      </c>
      <c r="B17" t="s">
        <v>69</v>
      </c>
      <c r="C17">
        <v>3</v>
      </c>
      <c r="D17" t="s">
        <v>70</v>
      </c>
      <c r="E17" t="s">
        <v>75</v>
      </c>
      <c r="F17" t="s">
        <v>72</v>
      </c>
      <c r="G17">
        <v>0.233333333333337</v>
      </c>
      <c r="H17">
        <v>2E+20</v>
      </c>
      <c r="I17">
        <v>0.23333333333331999</v>
      </c>
      <c r="J17">
        <v>0.23333333333334799</v>
      </c>
      <c r="K17">
        <v>115</v>
      </c>
      <c r="L17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19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0.23333333333333742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1.1204111467455151E-15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5.4002088665477309E-16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0.233333333333336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0.23333333333334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0.23333333333331999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0.23333333333334799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7">
        <f>IF((DiscreteStatsTable[[#This Row],[RepsRequested]]&gt;1),DiscreteStatsTable[[#This Row],[HalfWidth]],DiscreteStatsTable[[#This Row],[BatchMeansHalfWidth]])</f>
        <v>5.4002088665477309E-16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19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67</v>
      </c>
      <c r="B18" t="s">
        <v>69</v>
      </c>
      <c r="C18">
        <v>3</v>
      </c>
      <c r="D18" t="s">
        <v>70</v>
      </c>
      <c r="E18" t="s">
        <v>76</v>
      </c>
      <c r="F18" t="s">
        <v>72</v>
      </c>
      <c r="G18">
        <v>4.5427516960112797</v>
      </c>
      <c r="H18">
        <v>2E+20</v>
      </c>
      <c r="I18">
        <v>7.2997086184301493E-2</v>
      </c>
      <c r="J18">
        <v>47.429632233637001</v>
      </c>
      <c r="K18">
        <v>115</v>
      </c>
      <c r="L18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19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3.7328197351244743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0.46502806282270054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0.22413635167261109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2.8861185212318898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4.9064162118213703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47.429632233637001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8">
        <f>IF((DiscreteStatsTable[[#This Row],[RepsRequested]]&gt;1),DiscreteStatsTable[[#This Row],[HalfWidth]],DiscreteStatsTable[[#This Row],[BatchMeansHalfWidth]])</f>
        <v>0.22413635167261109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19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67</v>
      </c>
      <c r="B19" t="s">
        <v>69</v>
      </c>
      <c r="C19">
        <v>3</v>
      </c>
      <c r="D19" t="s">
        <v>70</v>
      </c>
      <c r="E19" t="s">
        <v>77</v>
      </c>
      <c r="F19" t="s">
        <v>72</v>
      </c>
      <c r="G19">
        <v>6.5564907865592197</v>
      </c>
      <c r="H19">
        <v>2E+20</v>
      </c>
      <c r="I19">
        <v>0.110791613088338</v>
      </c>
      <c r="J19">
        <v>23.605374594325198</v>
      </c>
      <c r="K19">
        <v>115</v>
      </c>
      <c r="L19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19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3.6753649815042069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2.457799691981351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1.1846215317822661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1.88211764353336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12.695697184187701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3.57397384231746E-2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48.547399979086499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9">
        <f>IF((DiscreteStatsTable[[#This Row],[RepsRequested]]&gt;1),DiscreteStatsTable[[#This Row],[HalfWidth]],DiscreteStatsTable[[#This Row],[BatchMeansHalfWidth]])</f>
        <v>1.1846215317822661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19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67</v>
      </c>
      <c r="B20" t="s">
        <v>69</v>
      </c>
      <c r="C20">
        <v>4</v>
      </c>
      <c r="D20" t="s">
        <v>70</v>
      </c>
      <c r="E20" t="s">
        <v>71</v>
      </c>
      <c r="F20" t="s">
        <v>72</v>
      </c>
      <c r="G20">
        <v>0</v>
      </c>
      <c r="H20">
        <v>2E+20</v>
      </c>
      <c r="I20">
        <v>0</v>
      </c>
      <c r="J20">
        <v>0</v>
      </c>
      <c r="K20">
        <v>116</v>
      </c>
      <c r="L20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19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19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67</v>
      </c>
      <c r="B21" t="s">
        <v>69</v>
      </c>
      <c r="C21">
        <v>4</v>
      </c>
      <c r="D21" t="s">
        <v>70</v>
      </c>
      <c r="E21" t="s">
        <v>73</v>
      </c>
      <c r="F21" t="s">
        <v>72</v>
      </c>
      <c r="G21">
        <v>0.65144639804329796</v>
      </c>
      <c r="H21">
        <v>2E+20</v>
      </c>
      <c r="I21">
        <v>0.101496466271186</v>
      </c>
      <c r="J21">
        <v>2.5086044917996202</v>
      </c>
      <c r="K21">
        <v>116</v>
      </c>
      <c r="L21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19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0.63507790130082442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3.8049773137108653E-2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1.8339403607505776E-2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0.55466095318799302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0.70846368869380205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4.6990588824101599E-2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2.8324325672652599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21">
        <f>IF((DiscreteStatsTable[[#This Row],[RepsRequested]]&gt;1),DiscreteStatsTable[[#This Row],[HalfWidth]],DiscreteStatsTable[[#This Row],[BatchMeansHalfWidth]])</f>
        <v>1.8339403607505776E-2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19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67</v>
      </c>
      <c r="B22" t="s">
        <v>69</v>
      </c>
      <c r="C22">
        <v>4</v>
      </c>
      <c r="D22" t="s">
        <v>70</v>
      </c>
      <c r="E22" t="s">
        <v>74</v>
      </c>
      <c r="F22" t="s">
        <v>72</v>
      </c>
      <c r="G22">
        <v>4.7759336557260301</v>
      </c>
      <c r="H22">
        <v>2E+20</v>
      </c>
      <c r="I22">
        <v>0.66484709423230004</v>
      </c>
      <c r="J22">
        <v>34.468258188937298</v>
      </c>
      <c r="K22">
        <v>116</v>
      </c>
      <c r="L22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19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6.1004830173875275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1.9202776678807203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4.4316568587741703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12.691770210246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0.42710492268932398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61.164243616895902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22">
        <f>IF((DiscreteStatsTable[[#This Row],[RepsRequested]]&gt;1),DiscreteStatsTable[[#This Row],[HalfWidth]],DiscreteStatsTable[[#This Row],[BatchMeansHalfWidth]])</f>
        <v>0.92554420923468694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19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67</v>
      </c>
      <c r="B23" t="s">
        <v>69</v>
      </c>
      <c r="C23">
        <v>4</v>
      </c>
      <c r="D23" t="s">
        <v>70</v>
      </c>
      <c r="E23" t="s">
        <v>75</v>
      </c>
      <c r="F23" t="s">
        <v>72</v>
      </c>
      <c r="G23">
        <v>0.233333333333337</v>
      </c>
      <c r="H23">
        <v>2E+20</v>
      </c>
      <c r="I23">
        <v>0.23333333333331999</v>
      </c>
      <c r="J23">
        <v>0.23333333333334799</v>
      </c>
      <c r="K23">
        <v>116</v>
      </c>
      <c r="L23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19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0.23333333333333742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1.1204111467455151E-15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5.4002088665477309E-16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0.233333333333336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0.23333333333334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0.23333333333331999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0.23333333333334799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23">
        <f>IF((DiscreteStatsTable[[#This Row],[RepsRequested]]&gt;1),DiscreteStatsTable[[#This Row],[HalfWidth]],DiscreteStatsTable[[#This Row],[BatchMeansHalfWidth]])</f>
        <v>5.4002088665477309E-16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19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67</v>
      </c>
      <c r="B24" t="s">
        <v>69</v>
      </c>
      <c r="C24">
        <v>4</v>
      </c>
      <c r="D24" t="s">
        <v>70</v>
      </c>
      <c r="E24" t="s">
        <v>76</v>
      </c>
      <c r="F24" t="s">
        <v>72</v>
      </c>
      <c r="G24">
        <v>3.3855072317409598</v>
      </c>
      <c r="H24">
        <v>2E+20</v>
      </c>
      <c r="I24">
        <v>5.80931384492374E-2</v>
      </c>
      <c r="J24">
        <v>33.972857502853898</v>
      </c>
      <c r="K24">
        <v>116</v>
      </c>
      <c r="L24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19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3.7328197351244743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0.46502806282270054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0.22413635167261109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2.8861185212318898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4.9064162118213703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47.429632233637001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24">
        <f>IF((DiscreteStatsTable[[#This Row],[RepsRequested]]&gt;1),DiscreteStatsTable[[#This Row],[HalfWidth]],DiscreteStatsTable[[#This Row],[BatchMeansHalfWidth]])</f>
        <v>0.22413635167261109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19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67</v>
      </c>
      <c r="B25" t="s">
        <v>69</v>
      </c>
      <c r="C25">
        <v>4</v>
      </c>
      <c r="D25" t="s">
        <v>70</v>
      </c>
      <c r="E25" t="s">
        <v>77</v>
      </c>
      <c r="F25" t="s">
        <v>72</v>
      </c>
      <c r="G25">
        <v>2.27125722991727</v>
      </c>
      <c r="H25">
        <v>2E+20</v>
      </c>
      <c r="I25">
        <v>4.14264717825574E-2</v>
      </c>
      <c r="J25">
        <v>8.4603099182267307</v>
      </c>
      <c r="K25">
        <v>116</v>
      </c>
      <c r="L2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19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3.6753649815042069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2.457799691981351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1.1846215317822661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1.88211764353336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12.695697184187701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3.57397384231746E-2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48.547399979086499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25">
        <f>IF((DiscreteStatsTable[[#This Row],[RepsRequested]]&gt;1),DiscreteStatsTable[[#This Row],[HalfWidth]],DiscreteStatsTable[[#This Row],[BatchMeansHalfWidth]])</f>
        <v>1.1846215317822661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19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67</v>
      </c>
      <c r="B26" t="s">
        <v>69</v>
      </c>
      <c r="C26">
        <v>5</v>
      </c>
      <c r="D26" t="s">
        <v>70</v>
      </c>
      <c r="E26" t="s">
        <v>71</v>
      </c>
      <c r="F26" t="s">
        <v>72</v>
      </c>
      <c r="G26">
        <v>0</v>
      </c>
      <c r="H26">
        <v>2E+20</v>
      </c>
      <c r="I26">
        <v>0</v>
      </c>
      <c r="J26">
        <v>0</v>
      </c>
      <c r="K26">
        <v>129</v>
      </c>
      <c r="L26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19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19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67</v>
      </c>
      <c r="B27" t="s">
        <v>69</v>
      </c>
      <c r="C27">
        <v>5</v>
      </c>
      <c r="D27" t="s">
        <v>70</v>
      </c>
      <c r="E27" t="s">
        <v>73</v>
      </c>
      <c r="F27" t="s">
        <v>72</v>
      </c>
      <c r="G27">
        <v>0.55466095318799302</v>
      </c>
      <c r="H27">
        <v>2E+20</v>
      </c>
      <c r="I27">
        <v>0.10334463267628299</v>
      </c>
      <c r="J27">
        <v>1.3447335193662899</v>
      </c>
      <c r="K27">
        <v>129</v>
      </c>
      <c r="L27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19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0.63507790130082442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3.8049773137108653E-2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1.8339403607505776E-2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0.55466095318799302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0.70846368869380205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4.6990588824101599E-2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2.8324325672652599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27">
        <f>IF((DiscreteStatsTable[[#This Row],[RepsRequested]]&gt;1),DiscreteStatsTable[[#This Row],[HalfWidth]],DiscreteStatsTable[[#This Row],[BatchMeansHalfWidth]])</f>
        <v>1.8339403607505776E-2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19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67</v>
      </c>
      <c r="B28" t="s">
        <v>69</v>
      </c>
      <c r="C28">
        <v>5</v>
      </c>
      <c r="D28" t="s">
        <v>70</v>
      </c>
      <c r="E28" t="s">
        <v>74</v>
      </c>
      <c r="F28" t="s">
        <v>72</v>
      </c>
      <c r="G28">
        <v>4.6095490004320201</v>
      </c>
      <c r="H28">
        <v>2E+20</v>
      </c>
      <c r="I28">
        <v>0.54286746462793201</v>
      </c>
      <c r="J28">
        <v>33.053883639485001</v>
      </c>
      <c r="K28">
        <v>129</v>
      </c>
      <c r="L28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19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6.1004830173875275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1.9202776678807203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4.4316568587741703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12.691770210246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0.42710492268932398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61.164243616895902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28">
        <f>IF((DiscreteStatsTable[[#This Row],[RepsRequested]]&gt;1),DiscreteStatsTable[[#This Row],[HalfWidth]],DiscreteStatsTable[[#This Row],[BatchMeansHalfWidth]])</f>
        <v>0.92554420923468694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19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67</v>
      </c>
      <c r="B29" t="s">
        <v>69</v>
      </c>
      <c r="C29">
        <v>5</v>
      </c>
      <c r="D29" t="s">
        <v>70</v>
      </c>
      <c r="E29" t="s">
        <v>75</v>
      </c>
      <c r="F29" t="s">
        <v>72</v>
      </c>
      <c r="G29">
        <v>0.233333333333337</v>
      </c>
      <c r="H29">
        <v>2E+20</v>
      </c>
      <c r="I29">
        <v>0.23333333333331999</v>
      </c>
      <c r="J29">
        <v>0.23333333333334799</v>
      </c>
      <c r="K29">
        <v>129</v>
      </c>
      <c r="L29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19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0.23333333333333742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1.1204111467455151E-15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5.4002088665477309E-16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0.233333333333336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0.23333333333334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0.23333333333331999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0.23333333333334799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29">
        <f>IF((DiscreteStatsTable[[#This Row],[RepsRequested]]&gt;1),DiscreteStatsTable[[#This Row],[HalfWidth]],DiscreteStatsTable[[#This Row],[BatchMeansHalfWidth]])</f>
        <v>5.4002088665477309E-16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19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67</v>
      </c>
      <c r="B30" t="s">
        <v>69</v>
      </c>
      <c r="C30">
        <v>5</v>
      </c>
      <c r="D30" t="s">
        <v>70</v>
      </c>
      <c r="E30" t="s">
        <v>76</v>
      </c>
      <c r="F30" t="s">
        <v>72</v>
      </c>
      <c r="G30">
        <v>3.36730902819024</v>
      </c>
      <c r="H30">
        <v>2E+20</v>
      </c>
      <c r="I30">
        <v>0</v>
      </c>
      <c r="J30">
        <v>30.799832232728299</v>
      </c>
      <c r="K30">
        <v>129</v>
      </c>
      <c r="L30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19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3.7328197351244743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0.46502806282270054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0.22413635167261109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2.8861185212318898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4.9064162118213703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47.429632233637001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30">
        <f>IF((DiscreteStatsTable[[#This Row],[RepsRequested]]&gt;1),DiscreteStatsTable[[#This Row],[HalfWidth]],DiscreteStatsTable[[#This Row],[BatchMeansHalfWidth]])</f>
        <v>0.22413635167261109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19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67</v>
      </c>
      <c r="B31" t="s">
        <v>69</v>
      </c>
      <c r="C31">
        <v>5</v>
      </c>
      <c r="D31" t="s">
        <v>70</v>
      </c>
      <c r="E31" t="s">
        <v>77</v>
      </c>
      <c r="F31" t="s">
        <v>72</v>
      </c>
      <c r="G31">
        <v>1.8944735060021001</v>
      </c>
      <c r="H31">
        <v>2E+20</v>
      </c>
      <c r="I31">
        <v>3.57397384231746E-2</v>
      </c>
      <c r="J31">
        <v>9.2465099046840198</v>
      </c>
      <c r="K31">
        <v>129</v>
      </c>
      <c r="L31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19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3.6753649815042069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2.457799691981351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1.1846215317822661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1.88211764353336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12.695697184187701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3.57397384231746E-2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48.547399979086499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31">
        <f>IF((DiscreteStatsTable[[#This Row],[RepsRequested]]&gt;1),DiscreteStatsTable[[#This Row],[HalfWidth]],DiscreteStatsTable[[#This Row],[BatchMeansHalfWidth]])</f>
        <v>1.1846215317822661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19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67</v>
      </c>
      <c r="B32" t="s">
        <v>69</v>
      </c>
      <c r="C32">
        <v>6</v>
      </c>
      <c r="D32" t="s">
        <v>70</v>
      </c>
      <c r="E32" t="s">
        <v>71</v>
      </c>
      <c r="F32" t="s">
        <v>72</v>
      </c>
      <c r="G32">
        <v>0</v>
      </c>
      <c r="H32">
        <v>2E+20</v>
      </c>
      <c r="I32">
        <v>0</v>
      </c>
      <c r="J32">
        <v>0</v>
      </c>
      <c r="K32">
        <v>117</v>
      </c>
      <c r="L32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19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19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67</v>
      </c>
      <c r="B33" t="s">
        <v>69</v>
      </c>
      <c r="C33">
        <v>6</v>
      </c>
      <c r="D33" t="s">
        <v>70</v>
      </c>
      <c r="E33" t="s">
        <v>73</v>
      </c>
      <c r="F33" t="s">
        <v>72</v>
      </c>
      <c r="G33">
        <v>0.64705108668133704</v>
      </c>
      <c r="H33">
        <v>2E+20</v>
      </c>
      <c r="I33">
        <v>0.107266051900098</v>
      </c>
      <c r="J33">
        <v>2.0981053168305301</v>
      </c>
      <c r="K33">
        <v>117</v>
      </c>
      <c r="L33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19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0.63507790130082442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3.8049773137108653E-2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1.8339403607505776E-2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0.55466095318799302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0.70846368869380205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4.6990588824101599E-2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2.8324325672652599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33">
        <f>IF((DiscreteStatsTable[[#This Row],[RepsRequested]]&gt;1),DiscreteStatsTable[[#This Row],[HalfWidth]],DiscreteStatsTable[[#This Row],[BatchMeansHalfWidth]])</f>
        <v>1.8339403607505776E-2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19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67</v>
      </c>
      <c r="B34" t="s">
        <v>69</v>
      </c>
      <c r="C34">
        <v>6</v>
      </c>
      <c r="D34" t="s">
        <v>70</v>
      </c>
      <c r="E34" t="s">
        <v>74</v>
      </c>
      <c r="F34" t="s">
        <v>72</v>
      </c>
      <c r="G34">
        <v>4.85694996673445</v>
      </c>
      <c r="H34">
        <v>2E+20</v>
      </c>
      <c r="I34">
        <v>0.53277804786901595</v>
      </c>
      <c r="J34">
        <v>31.333361577483</v>
      </c>
      <c r="K34">
        <v>117</v>
      </c>
      <c r="L34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19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6.1004830173875275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1.9202776678807203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4.4316568587741703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12.691770210246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0.42710492268932398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61.164243616895902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34">
        <f>IF((DiscreteStatsTable[[#This Row],[RepsRequested]]&gt;1),DiscreteStatsTable[[#This Row],[HalfWidth]],DiscreteStatsTable[[#This Row],[BatchMeansHalfWidth]])</f>
        <v>0.92554420923468694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19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67</v>
      </c>
      <c r="B35" t="s">
        <v>69</v>
      </c>
      <c r="C35">
        <v>6</v>
      </c>
      <c r="D35" t="s">
        <v>70</v>
      </c>
      <c r="E35" t="s">
        <v>75</v>
      </c>
      <c r="F35" t="s">
        <v>72</v>
      </c>
      <c r="G35">
        <v>0.233333333333338</v>
      </c>
      <c r="H35">
        <v>2E+20</v>
      </c>
      <c r="I35">
        <v>0.23333333333331999</v>
      </c>
      <c r="J35">
        <v>0.23333333333334799</v>
      </c>
      <c r="K35">
        <v>117</v>
      </c>
      <c r="L3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19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0.23333333333333742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1.1204111467455151E-15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5.4002088665477309E-16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0.233333333333336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0.23333333333334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0.23333333333331999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0.23333333333334799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35">
        <f>IF((DiscreteStatsTable[[#This Row],[RepsRequested]]&gt;1),DiscreteStatsTable[[#This Row],[HalfWidth]],DiscreteStatsTable[[#This Row],[BatchMeansHalfWidth]])</f>
        <v>5.4002088665477309E-16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19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67</v>
      </c>
      <c r="B36" t="s">
        <v>69</v>
      </c>
      <c r="C36">
        <v>6</v>
      </c>
      <c r="D36" t="s">
        <v>70</v>
      </c>
      <c r="E36" t="s">
        <v>76</v>
      </c>
      <c r="F36" t="s">
        <v>72</v>
      </c>
      <c r="G36">
        <v>3.5934241411698302</v>
      </c>
      <c r="H36">
        <v>2E+20</v>
      </c>
      <c r="I36">
        <v>0.105802840230524</v>
      </c>
      <c r="J36">
        <v>30.3487283765736</v>
      </c>
      <c r="K36">
        <v>117</v>
      </c>
      <c r="L36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19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3.7328197351244743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0.46502806282270054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0.22413635167261109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2.8861185212318898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4.9064162118213703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47.429632233637001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36">
        <f>IF((DiscreteStatsTable[[#This Row],[RepsRequested]]&gt;1),DiscreteStatsTable[[#This Row],[HalfWidth]],DiscreteStatsTable[[#This Row],[BatchMeansHalfWidth]])</f>
        <v>0.22413635167261109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19</v>
      </c>
      <c r="Y36">
        <f>IF(DiscreteStatsTable[[#This Row],[RepsRequested]]=DiscreteStatsTable[[#This Row],[RepsWithStatObserved]],1,0)</f>
        <v>1</v>
      </c>
    </row>
    <row r="37" spans="1:25" x14ac:dyDescent="0.25">
      <c r="A37" t="s">
        <v>67</v>
      </c>
      <c r="B37" t="s">
        <v>69</v>
      </c>
      <c r="C37">
        <v>6</v>
      </c>
      <c r="D37" t="s">
        <v>70</v>
      </c>
      <c r="E37" t="s">
        <v>77</v>
      </c>
      <c r="F37" t="s">
        <v>72</v>
      </c>
      <c r="G37">
        <v>1.88211764353336</v>
      </c>
      <c r="H37">
        <v>2E+20</v>
      </c>
      <c r="I37">
        <v>8.9136173563844096E-2</v>
      </c>
      <c r="J37">
        <v>7.8394079790976301</v>
      </c>
      <c r="K37">
        <v>117</v>
      </c>
      <c r="L37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19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3.6753649815042069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2.457799691981351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1.1846215317822661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1.88211764353336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12.695697184187701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3.57397384231746E-2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48.547399979086499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37">
        <f>IF((DiscreteStatsTable[[#This Row],[RepsRequested]]&gt;1),DiscreteStatsTable[[#This Row],[HalfWidth]],DiscreteStatsTable[[#This Row],[BatchMeansHalfWidth]])</f>
        <v>1.1846215317822661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19</v>
      </c>
      <c r="Y37">
        <f>IF(DiscreteStatsTable[[#This Row],[RepsRequested]]=DiscreteStatsTable[[#This Row],[RepsWithStatObserved]],1,0)</f>
        <v>1</v>
      </c>
    </row>
    <row r="38" spans="1:25" x14ac:dyDescent="0.25">
      <c r="A38" t="s">
        <v>67</v>
      </c>
      <c r="B38" t="s">
        <v>69</v>
      </c>
      <c r="C38">
        <v>7</v>
      </c>
      <c r="D38" t="s">
        <v>70</v>
      </c>
      <c r="E38" t="s">
        <v>71</v>
      </c>
      <c r="F38" t="s">
        <v>72</v>
      </c>
      <c r="G38">
        <v>0</v>
      </c>
      <c r="H38">
        <v>2E+20</v>
      </c>
      <c r="I38">
        <v>0</v>
      </c>
      <c r="J38">
        <v>0</v>
      </c>
      <c r="K38">
        <v>112</v>
      </c>
      <c r="L38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19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19</v>
      </c>
      <c r="Y38">
        <f>IF(DiscreteStatsTable[[#This Row],[RepsRequested]]=DiscreteStatsTable[[#This Row],[RepsWithStatObserved]],1,0)</f>
        <v>1</v>
      </c>
    </row>
    <row r="39" spans="1:25" x14ac:dyDescent="0.25">
      <c r="A39" t="s">
        <v>67</v>
      </c>
      <c r="B39" t="s">
        <v>69</v>
      </c>
      <c r="C39">
        <v>7</v>
      </c>
      <c r="D39" t="s">
        <v>70</v>
      </c>
      <c r="E39" t="s">
        <v>73</v>
      </c>
      <c r="F39" t="s">
        <v>72</v>
      </c>
      <c r="G39">
        <v>0.70846368869380205</v>
      </c>
      <c r="H39">
        <v>2E+20</v>
      </c>
      <c r="I39">
        <v>8.4619390095525701E-2</v>
      </c>
      <c r="J39">
        <v>2.5828754912182501</v>
      </c>
      <c r="K39">
        <v>112</v>
      </c>
      <c r="L39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19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0.63507790130082442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3.8049773137108653E-2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1.8339403607505776E-2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0.55466095318799302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0.70846368869380205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4.6990588824101599E-2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2.8324325672652599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39">
        <f>IF((DiscreteStatsTable[[#This Row],[RepsRequested]]&gt;1),DiscreteStatsTable[[#This Row],[HalfWidth]],DiscreteStatsTable[[#This Row],[BatchMeansHalfWidth]])</f>
        <v>1.8339403607505776E-2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19</v>
      </c>
      <c r="Y39">
        <f>IF(DiscreteStatsTable[[#This Row],[RepsRequested]]=DiscreteStatsTable[[#This Row],[RepsWithStatObserved]],1,0)</f>
        <v>1</v>
      </c>
    </row>
    <row r="40" spans="1:25" x14ac:dyDescent="0.25">
      <c r="A40" t="s">
        <v>67</v>
      </c>
      <c r="B40" t="s">
        <v>69</v>
      </c>
      <c r="C40">
        <v>7</v>
      </c>
      <c r="D40" t="s">
        <v>70</v>
      </c>
      <c r="E40" t="s">
        <v>74</v>
      </c>
      <c r="F40" t="s">
        <v>72</v>
      </c>
      <c r="G40">
        <v>5.4218972748640004</v>
      </c>
      <c r="H40">
        <v>2E+20</v>
      </c>
      <c r="I40">
        <v>0.53262100124479195</v>
      </c>
      <c r="J40">
        <v>31.217607833439502</v>
      </c>
      <c r="K40">
        <v>112</v>
      </c>
      <c r="L40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19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6.1004830173875275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1.9202776678807203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4.4316568587741703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12.691770210246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0.42710492268932398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61.164243616895902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40">
        <f>IF((DiscreteStatsTable[[#This Row],[RepsRequested]]&gt;1),DiscreteStatsTable[[#This Row],[HalfWidth]],DiscreteStatsTable[[#This Row],[BatchMeansHalfWidth]])</f>
        <v>0.92554420923468694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19</v>
      </c>
      <c r="Y40">
        <f>IF(DiscreteStatsTable[[#This Row],[RepsRequested]]=DiscreteStatsTable[[#This Row],[RepsWithStatObserved]],1,0)</f>
        <v>1</v>
      </c>
    </row>
    <row r="41" spans="1:25" x14ac:dyDescent="0.25">
      <c r="A41" t="s">
        <v>67</v>
      </c>
      <c r="B41" t="s">
        <v>69</v>
      </c>
      <c r="C41">
        <v>7</v>
      </c>
      <c r="D41" t="s">
        <v>70</v>
      </c>
      <c r="E41" t="s">
        <v>75</v>
      </c>
      <c r="F41" t="s">
        <v>72</v>
      </c>
      <c r="G41">
        <v>0.233333333333338</v>
      </c>
      <c r="H41">
        <v>2E+20</v>
      </c>
      <c r="I41">
        <v>0.23333333333331999</v>
      </c>
      <c r="J41">
        <v>0.23333333333334799</v>
      </c>
      <c r="K41">
        <v>112</v>
      </c>
      <c r="L41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19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0.23333333333333742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1.1204111467455151E-15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5.4002088665477309E-16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0.233333333333336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0.23333333333334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0.23333333333331999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0.23333333333334799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41">
        <f>IF((DiscreteStatsTable[[#This Row],[RepsRequested]]&gt;1),DiscreteStatsTable[[#This Row],[HalfWidth]],DiscreteStatsTable[[#This Row],[BatchMeansHalfWidth]])</f>
        <v>5.4002088665477309E-16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19</v>
      </c>
      <c r="Y41">
        <f>IF(DiscreteStatsTable[[#This Row],[RepsRequested]]=DiscreteStatsTable[[#This Row],[RepsWithStatObserved]],1,0)</f>
        <v>1</v>
      </c>
    </row>
    <row r="42" spans="1:25" x14ac:dyDescent="0.25">
      <c r="A42" t="s">
        <v>67</v>
      </c>
      <c r="B42" t="s">
        <v>69</v>
      </c>
      <c r="C42">
        <v>7</v>
      </c>
      <c r="D42" t="s">
        <v>70</v>
      </c>
      <c r="E42" t="s">
        <v>76</v>
      </c>
      <c r="F42" t="s">
        <v>72</v>
      </c>
      <c r="G42">
        <v>3.5902993690901499</v>
      </c>
      <c r="H42">
        <v>2E+20</v>
      </c>
      <c r="I42">
        <v>7.0064682067112499E-2</v>
      </c>
      <c r="J42">
        <v>29.794506687003398</v>
      </c>
      <c r="K42">
        <v>112</v>
      </c>
      <c r="L42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19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3.7328197351244743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0.46502806282270054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0.22413635167261109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2.8861185212318898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4.9064162118213703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47.429632233637001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42">
        <f>IF((DiscreteStatsTable[[#This Row],[RepsRequested]]&gt;1),DiscreteStatsTable[[#This Row],[HalfWidth]],DiscreteStatsTable[[#This Row],[BatchMeansHalfWidth]])</f>
        <v>0.22413635167261109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19</v>
      </c>
      <c r="Y42">
        <f>IF(DiscreteStatsTable[[#This Row],[RepsRequested]]=DiscreteStatsTable[[#This Row],[RepsWithStatObserved]],1,0)</f>
        <v>1</v>
      </c>
    </row>
    <row r="43" spans="1:25" x14ac:dyDescent="0.25">
      <c r="A43" t="s">
        <v>67</v>
      </c>
      <c r="B43" t="s">
        <v>69</v>
      </c>
      <c r="C43">
        <v>7</v>
      </c>
      <c r="D43" t="s">
        <v>70</v>
      </c>
      <c r="E43" t="s">
        <v>77</v>
      </c>
      <c r="F43" t="s">
        <v>72</v>
      </c>
      <c r="G43">
        <v>2.5441095693860798</v>
      </c>
      <c r="H43">
        <v>2E+20</v>
      </c>
      <c r="I43">
        <v>5.33980154004325E-2</v>
      </c>
      <c r="J43">
        <v>8.8170646661564795</v>
      </c>
      <c r="K43">
        <v>112</v>
      </c>
      <c r="L43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19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3.6753649815042069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2.457799691981351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1.1846215317822661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1.88211764353336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12.695697184187701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3.57397384231746E-2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48.547399979086499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43">
        <f>IF((DiscreteStatsTable[[#This Row],[RepsRequested]]&gt;1),DiscreteStatsTable[[#This Row],[HalfWidth]],DiscreteStatsTable[[#This Row],[BatchMeansHalfWidth]])</f>
        <v>1.1846215317822661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19</v>
      </c>
      <c r="Y43">
        <f>IF(DiscreteStatsTable[[#This Row],[RepsRequested]]=DiscreteStatsTable[[#This Row],[RepsWithStatObserved]],1,0)</f>
        <v>1</v>
      </c>
    </row>
    <row r="44" spans="1:25" x14ac:dyDescent="0.25">
      <c r="A44" t="s">
        <v>67</v>
      </c>
      <c r="B44" t="s">
        <v>69</v>
      </c>
      <c r="C44">
        <v>8</v>
      </c>
      <c r="D44" t="s">
        <v>70</v>
      </c>
      <c r="E44" t="s">
        <v>71</v>
      </c>
      <c r="F44" t="s">
        <v>72</v>
      </c>
      <c r="G44">
        <v>0</v>
      </c>
      <c r="H44">
        <v>2E+20</v>
      </c>
      <c r="I44">
        <v>0</v>
      </c>
      <c r="J44">
        <v>0</v>
      </c>
      <c r="K44">
        <v>135</v>
      </c>
      <c r="L44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19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19</v>
      </c>
      <c r="Y44">
        <f>IF(DiscreteStatsTable[[#This Row],[RepsRequested]]=DiscreteStatsTable[[#This Row],[RepsWithStatObserved]],1,0)</f>
        <v>1</v>
      </c>
    </row>
    <row r="45" spans="1:25" x14ac:dyDescent="0.25">
      <c r="A45" t="s">
        <v>67</v>
      </c>
      <c r="B45" t="s">
        <v>69</v>
      </c>
      <c r="C45">
        <v>8</v>
      </c>
      <c r="D45" t="s">
        <v>70</v>
      </c>
      <c r="E45" t="s">
        <v>73</v>
      </c>
      <c r="F45" t="s">
        <v>72</v>
      </c>
      <c r="G45">
        <v>0.66541236087301603</v>
      </c>
      <c r="H45">
        <v>2E+20</v>
      </c>
      <c r="I45">
        <v>4.6990588824101599E-2</v>
      </c>
      <c r="J45">
        <v>2.7142094743074701</v>
      </c>
      <c r="K45">
        <v>135</v>
      </c>
      <c r="L4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19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0.63507790130082442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3.8049773137108653E-2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1.8339403607505776E-2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0.55466095318799302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0.70846368869380205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4.6990588824101599E-2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2.8324325672652599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45">
        <f>IF((DiscreteStatsTable[[#This Row],[RepsRequested]]&gt;1),DiscreteStatsTable[[#This Row],[HalfWidth]],DiscreteStatsTable[[#This Row],[BatchMeansHalfWidth]])</f>
        <v>1.8339403607505776E-2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19</v>
      </c>
      <c r="Y45">
        <f>IF(DiscreteStatsTable[[#This Row],[RepsRequested]]=DiscreteStatsTable[[#This Row],[RepsWithStatObserved]],1,0)</f>
        <v>1</v>
      </c>
    </row>
    <row r="46" spans="1:25" x14ac:dyDescent="0.25">
      <c r="A46" t="s">
        <v>67</v>
      </c>
      <c r="B46" t="s">
        <v>69</v>
      </c>
      <c r="C46">
        <v>8</v>
      </c>
      <c r="D46" t="s">
        <v>70</v>
      </c>
      <c r="E46" t="s">
        <v>74</v>
      </c>
      <c r="F46" t="s">
        <v>72</v>
      </c>
      <c r="G46">
        <v>5.8965473384769904</v>
      </c>
      <c r="H46">
        <v>2E+20</v>
      </c>
      <c r="I46">
        <v>0.68529338576375698</v>
      </c>
      <c r="J46">
        <v>32.632046658621903</v>
      </c>
      <c r="K46">
        <v>135</v>
      </c>
      <c r="L46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19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6.1004830173875275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1.9202776678807203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4.4316568587741703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12.691770210246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0.42710492268932398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61.164243616895902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46">
        <f>IF((DiscreteStatsTable[[#This Row],[RepsRequested]]&gt;1),DiscreteStatsTable[[#This Row],[HalfWidth]],DiscreteStatsTable[[#This Row],[BatchMeansHalfWidth]])</f>
        <v>0.92554420923468694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19</v>
      </c>
      <c r="Y46">
        <f>IF(DiscreteStatsTable[[#This Row],[RepsRequested]]=DiscreteStatsTable[[#This Row],[RepsWithStatObserved]],1,0)</f>
        <v>1</v>
      </c>
    </row>
    <row r="47" spans="1:25" x14ac:dyDescent="0.25">
      <c r="A47" t="s">
        <v>67</v>
      </c>
      <c r="B47" t="s">
        <v>69</v>
      </c>
      <c r="C47">
        <v>8</v>
      </c>
      <c r="D47" t="s">
        <v>70</v>
      </c>
      <c r="E47" t="s">
        <v>75</v>
      </c>
      <c r="F47" t="s">
        <v>72</v>
      </c>
      <c r="G47">
        <v>0.233333333333338</v>
      </c>
      <c r="H47">
        <v>2E+20</v>
      </c>
      <c r="I47">
        <v>0.23333333333331999</v>
      </c>
      <c r="J47">
        <v>0.23333333333334799</v>
      </c>
      <c r="K47">
        <v>135</v>
      </c>
      <c r="L47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19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0.23333333333333742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1.1204111467455151E-15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5.4002088665477309E-16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0.233333333333336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0.23333333333334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0.23333333333331999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0.23333333333334799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47">
        <f>IF((DiscreteStatsTable[[#This Row],[RepsRequested]]&gt;1),DiscreteStatsTable[[#This Row],[HalfWidth]],DiscreteStatsTable[[#This Row],[BatchMeansHalfWidth]])</f>
        <v>5.4002088665477309E-16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19</v>
      </c>
      <c r="Y47">
        <f>IF(DiscreteStatsTable[[#This Row],[RepsRequested]]=DiscreteStatsTable[[#This Row],[RepsWithStatObserved]],1,0)</f>
        <v>1</v>
      </c>
    </row>
    <row r="48" spans="1:25" x14ac:dyDescent="0.25">
      <c r="A48" t="s">
        <v>67</v>
      </c>
      <c r="B48" t="s">
        <v>69</v>
      </c>
      <c r="C48">
        <v>8</v>
      </c>
      <c r="D48" t="s">
        <v>70</v>
      </c>
      <c r="E48" t="s">
        <v>76</v>
      </c>
      <c r="F48" t="s">
        <v>72</v>
      </c>
      <c r="G48">
        <v>3.5617571477257801</v>
      </c>
      <c r="H48">
        <v>2E+20</v>
      </c>
      <c r="I48">
        <v>0.125718801369786</v>
      </c>
      <c r="J48">
        <v>30.206467506714699</v>
      </c>
      <c r="K48">
        <v>135</v>
      </c>
      <c r="L48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19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3.7328197351244743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0.46502806282270054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0.22413635167261109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2.8861185212318898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4.9064162118213703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47.429632233637001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48">
        <f>IF((DiscreteStatsTable[[#This Row],[RepsRequested]]&gt;1),DiscreteStatsTable[[#This Row],[HalfWidth]],DiscreteStatsTable[[#This Row],[BatchMeansHalfWidth]])</f>
        <v>0.22413635167261109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19</v>
      </c>
      <c r="Y48">
        <f>IF(DiscreteStatsTable[[#This Row],[RepsRequested]]=DiscreteStatsTable[[#This Row],[RepsWithStatObserved]],1,0)</f>
        <v>1</v>
      </c>
    </row>
    <row r="49" spans="1:25" x14ac:dyDescent="0.25">
      <c r="A49" t="s">
        <v>67</v>
      </c>
      <c r="B49" t="s">
        <v>69</v>
      </c>
      <c r="C49">
        <v>8</v>
      </c>
      <c r="D49" t="s">
        <v>70</v>
      </c>
      <c r="E49" t="s">
        <v>77</v>
      </c>
      <c r="F49" t="s">
        <v>72</v>
      </c>
      <c r="G49">
        <v>3.6364410316570202</v>
      </c>
      <c r="H49">
        <v>2E+20</v>
      </c>
      <c r="I49">
        <v>0.138635605950128</v>
      </c>
      <c r="J49">
        <v>11.903259514154</v>
      </c>
      <c r="K49">
        <v>135</v>
      </c>
      <c r="L49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19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3.6753649815042069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2.457799691981351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1.1846215317822661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1.88211764353336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12.695697184187701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3.57397384231746E-2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48.547399979086499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49">
        <f>IF((DiscreteStatsTable[[#This Row],[RepsRequested]]&gt;1),DiscreteStatsTable[[#This Row],[HalfWidth]],DiscreteStatsTable[[#This Row],[BatchMeansHalfWidth]])</f>
        <v>1.1846215317822661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19</v>
      </c>
      <c r="Y49">
        <f>IF(DiscreteStatsTable[[#This Row],[RepsRequested]]=DiscreteStatsTable[[#This Row],[RepsWithStatObserved]],1,0)</f>
        <v>1</v>
      </c>
    </row>
    <row r="50" spans="1:25" x14ac:dyDescent="0.25">
      <c r="A50" t="s">
        <v>67</v>
      </c>
      <c r="B50" t="s">
        <v>69</v>
      </c>
      <c r="C50">
        <v>9</v>
      </c>
      <c r="D50" t="s">
        <v>70</v>
      </c>
      <c r="E50" t="s">
        <v>71</v>
      </c>
      <c r="F50" t="s">
        <v>72</v>
      </c>
      <c r="G50">
        <v>0</v>
      </c>
      <c r="H50">
        <v>2E+20</v>
      </c>
      <c r="I50">
        <v>0</v>
      </c>
      <c r="J50">
        <v>0</v>
      </c>
      <c r="K50">
        <v>114</v>
      </c>
      <c r="L50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19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19</v>
      </c>
      <c r="Y50">
        <f>IF(DiscreteStatsTable[[#This Row],[RepsRequested]]=DiscreteStatsTable[[#This Row],[RepsWithStatObserved]],1,0)</f>
        <v>1</v>
      </c>
    </row>
    <row r="51" spans="1:25" x14ac:dyDescent="0.25">
      <c r="A51" t="s">
        <v>67</v>
      </c>
      <c r="B51" t="s">
        <v>69</v>
      </c>
      <c r="C51">
        <v>9</v>
      </c>
      <c r="D51" t="s">
        <v>70</v>
      </c>
      <c r="E51" t="s">
        <v>73</v>
      </c>
      <c r="F51" t="s">
        <v>72</v>
      </c>
      <c r="G51">
        <v>0.62865372653808405</v>
      </c>
      <c r="H51">
        <v>2E+20</v>
      </c>
      <c r="I51">
        <v>0.14633779548827899</v>
      </c>
      <c r="J51">
        <v>1.4612908921002501</v>
      </c>
      <c r="K51">
        <v>114</v>
      </c>
      <c r="L51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19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0.63507790130082442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3.8049773137108653E-2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1.8339403607505776E-2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0.55466095318799302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0.70846368869380205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4.6990588824101599E-2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2.8324325672652599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51">
        <f>IF((DiscreteStatsTable[[#This Row],[RepsRequested]]&gt;1),DiscreteStatsTable[[#This Row],[HalfWidth]],DiscreteStatsTable[[#This Row],[BatchMeansHalfWidth]])</f>
        <v>1.8339403607505776E-2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19</v>
      </c>
      <c r="Y51">
        <f>IF(DiscreteStatsTable[[#This Row],[RepsRequested]]=DiscreteStatsTable[[#This Row],[RepsWithStatObserved]],1,0)</f>
        <v>1</v>
      </c>
    </row>
    <row r="52" spans="1:25" x14ac:dyDescent="0.25">
      <c r="A52" t="s">
        <v>67</v>
      </c>
      <c r="B52" t="s">
        <v>69</v>
      </c>
      <c r="C52">
        <v>9</v>
      </c>
      <c r="D52" t="s">
        <v>70</v>
      </c>
      <c r="E52" t="s">
        <v>74</v>
      </c>
      <c r="F52" t="s">
        <v>72</v>
      </c>
      <c r="G52">
        <v>5.63039811192073</v>
      </c>
      <c r="H52">
        <v>2E+20</v>
      </c>
      <c r="I52">
        <v>0.74864526886420901</v>
      </c>
      <c r="J52">
        <v>33.450755225246603</v>
      </c>
      <c r="K52">
        <v>114</v>
      </c>
      <c r="L52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19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6.1004830173875275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1.9202776678807203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4.4316568587741703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12.691770210246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0.42710492268932398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61.164243616895902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52">
        <f>IF((DiscreteStatsTable[[#This Row],[RepsRequested]]&gt;1),DiscreteStatsTable[[#This Row],[HalfWidth]],DiscreteStatsTable[[#This Row],[BatchMeansHalfWidth]])</f>
        <v>0.92554420923468694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19</v>
      </c>
      <c r="Y52">
        <f>IF(DiscreteStatsTable[[#This Row],[RepsRequested]]=DiscreteStatsTable[[#This Row],[RepsWithStatObserved]],1,0)</f>
        <v>1</v>
      </c>
    </row>
    <row r="53" spans="1:25" x14ac:dyDescent="0.25">
      <c r="A53" t="s">
        <v>67</v>
      </c>
      <c r="B53" t="s">
        <v>69</v>
      </c>
      <c r="C53">
        <v>9</v>
      </c>
      <c r="D53" t="s">
        <v>70</v>
      </c>
      <c r="E53" t="s">
        <v>75</v>
      </c>
      <c r="F53" t="s">
        <v>72</v>
      </c>
      <c r="G53">
        <v>0.233333333333336</v>
      </c>
      <c r="H53">
        <v>2E+20</v>
      </c>
      <c r="I53">
        <v>0.23333333333331999</v>
      </c>
      <c r="J53">
        <v>0.23333333333334799</v>
      </c>
      <c r="K53">
        <v>114</v>
      </c>
      <c r="L53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19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0.23333333333333742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1.1204111467455151E-15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5.4002088665477309E-16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0.233333333333336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0.23333333333334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0.23333333333331999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0.23333333333334799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53">
        <f>IF((DiscreteStatsTable[[#This Row],[RepsRequested]]&gt;1),DiscreteStatsTable[[#This Row],[HalfWidth]],DiscreteStatsTable[[#This Row],[BatchMeansHalfWidth]])</f>
        <v>5.4002088665477309E-16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19</v>
      </c>
      <c r="Y53">
        <f>IF(DiscreteStatsTable[[#This Row],[RepsRequested]]=DiscreteStatsTable[[#This Row],[RepsWithStatObserved]],1,0)</f>
        <v>1</v>
      </c>
    </row>
    <row r="54" spans="1:25" x14ac:dyDescent="0.25">
      <c r="A54" t="s">
        <v>67</v>
      </c>
      <c r="B54" t="s">
        <v>69</v>
      </c>
      <c r="C54">
        <v>9</v>
      </c>
      <c r="D54" t="s">
        <v>70</v>
      </c>
      <c r="E54" t="s">
        <v>76</v>
      </c>
      <c r="F54" t="s">
        <v>72</v>
      </c>
      <c r="G54">
        <v>4.0731203531077398</v>
      </c>
      <c r="H54">
        <v>2E+20</v>
      </c>
      <c r="I54">
        <v>7.0999501424836395E-2</v>
      </c>
      <c r="J54">
        <v>33.028159386983397</v>
      </c>
      <c r="K54">
        <v>114</v>
      </c>
      <c r="L54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19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3.7328197351244743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0.46502806282270054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0.22413635167261109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2.8861185212318898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4.9064162118213703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47.429632233637001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54">
        <f>IF((DiscreteStatsTable[[#This Row],[RepsRequested]]&gt;1),DiscreteStatsTable[[#This Row],[HalfWidth]],DiscreteStatsTable[[#This Row],[BatchMeansHalfWidth]])</f>
        <v>0.22413635167261109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19</v>
      </c>
      <c r="Y54">
        <f>IF(DiscreteStatsTable[[#This Row],[RepsRequested]]=DiscreteStatsTable[[#This Row],[RepsWithStatObserved]],1,0)</f>
        <v>1</v>
      </c>
    </row>
    <row r="55" spans="1:25" x14ac:dyDescent="0.25">
      <c r="A55" t="s">
        <v>67</v>
      </c>
      <c r="B55" t="s">
        <v>69</v>
      </c>
      <c r="C55">
        <v>9</v>
      </c>
      <c r="D55" t="s">
        <v>70</v>
      </c>
      <c r="E55" t="s">
        <v>77</v>
      </c>
      <c r="F55" t="s">
        <v>72</v>
      </c>
      <c r="G55">
        <v>2.62806866754668</v>
      </c>
      <c r="H55">
        <v>2E+20</v>
      </c>
      <c r="I55">
        <v>5.4332834758156402E-2</v>
      </c>
      <c r="J55">
        <v>9.6882014805709407</v>
      </c>
      <c r="K55">
        <v>114</v>
      </c>
      <c r="L5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19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3.6753649815042069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2.457799691981351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1.1846215317822661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1.88211764353336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12.695697184187701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3.57397384231746E-2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48.547399979086499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55">
        <f>IF((DiscreteStatsTable[[#This Row],[RepsRequested]]&gt;1),DiscreteStatsTable[[#This Row],[HalfWidth]],DiscreteStatsTable[[#This Row],[BatchMeansHalfWidth]])</f>
        <v>1.1846215317822661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19</v>
      </c>
      <c r="Y55">
        <f>IF(DiscreteStatsTable[[#This Row],[RepsRequested]]=DiscreteStatsTable[[#This Row],[RepsWithStatObserved]],1,0)</f>
        <v>1</v>
      </c>
    </row>
    <row r="56" spans="1:25" x14ac:dyDescent="0.25">
      <c r="A56" t="s">
        <v>67</v>
      </c>
      <c r="B56" t="s">
        <v>69</v>
      </c>
      <c r="C56">
        <v>10</v>
      </c>
      <c r="D56" t="s">
        <v>70</v>
      </c>
      <c r="E56" t="s">
        <v>71</v>
      </c>
      <c r="F56" t="s">
        <v>72</v>
      </c>
      <c r="G56">
        <v>0</v>
      </c>
      <c r="H56">
        <v>2E+20</v>
      </c>
      <c r="I56">
        <v>0</v>
      </c>
      <c r="J56">
        <v>0</v>
      </c>
      <c r="K56">
        <v>116</v>
      </c>
      <c r="L56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19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19</v>
      </c>
      <c r="Y56">
        <f>IF(DiscreteStatsTable[[#This Row],[RepsRequested]]=DiscreteStatsTable[[#This Row],[RepsWithStatObserved]],1,0)</f>
        <v>1</v>
      </c>
    </row>
    <row r="57" spans="1:25" x14ac:dyDescent="0.25">
      <c r="A57" t="s">
        <v>67</v>
      </c>
      <c r="B57" t="s">
        <v>69</v>
      </c>
      <c r="C57">
        <v>10</v>
      </c>
      <c r="D57" t="s">
        <v>70</v>
      </c>
      <c r="E57" t="s">
        <v>73</v>
      </c>
      <c r="F57" t="s">
        <v>72</v>
      </c>
      <c r="G57">
        <v>0.68273728357153796</v>
      </c>
      <c r="H57">
        <v>2E+20</v>
      </c>
      <c r="I57">
        <v>0.157739310061459</v>
      </c>
      <c r="J57">
        <v>2.2698164115991801</v>
      </c>
      <c r="K57">
        <v>116</v>
      </c>
      <c r="L57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19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0.63507790130082442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3.8049773137108653E-2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1.8339403607505776E-2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0.55466095318799302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0.70846368869380205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4.6990588824101599E-2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2.8324325672652599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57">
        <f>IF((DiscreteStatsTable[[#This Row],[RepsRequested]]&gt;1),DiscreteStatsTable[[#This Row],[HalfWidth]],DiscreteStatsTable[[#This Row],[BatchMeansHalfWidth]])</f>
        <v>1.8339403607505776E-2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19</v>
      </c>
      <c r="Y57">
        <f>IF(DiscreteStatsTable[[#This Row],[RepsRequested]]=DiscreteStatsTable[[#This Row],[RepsWithStatObserved]],1,0)</f>
        <v>1</v>
      </c>
    </row>
    <row r="58" spans="1:25" x14ac:dyDescent="0.25">
      <c r="A58" t="s">
        <v>67</v>
      </c>
      <c r="B58" t="s">
        <v>69</v>
      </c>
      <c r="C58">
        <v>10</v>
      </c>
      <c r="D58" t="s">
        <v>70</v>
      </c>
      <c r="E58" t="s">
        <v>74</v>
      </c>
      <c r="F58" t="s">
        <v>72</v>
      </c>
      <c r="G58">
        <v>7.7213538413687797</v>
      </c>
      <c r="H58">
        <v>2E+20</v>
      </c>
      <c r="I58">
        <v>0.59592264307153198</v>
      </c>
      <c r="J58">
        <v>35.522485212755001</v>
      </c>
      <c r="K58">
        <v>116</v>
      </c>
      <c r="L58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19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6.1004830173875275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1.9202776678807203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4.4316568587741703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12.691770210246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0.42710492268932398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61.164243616895902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58">
        <f>IF((DiscreteStatsTable[[#This Row],[RepsRequested]]&gt;1),DiscreteStatsTable[[#This Row],[HalfWidth]],DiscreteStatsTable[[#This Row],[BatchMeansHalfWidth]])</f>
        <v>0.92554420923468694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19</v>
      </c>
      <c r="Y58">
        <f>IF(DiscreteStatsTable[[#This Row],[RepsRequested]]=DiscreteStatsTable[[#This Row],[RepsWithStatObserved]],1,0)</f>
        <v>1</v>
      </c>
    </row>
    <row r="59" spans="1:25" x14ac:dyDescent="0.25">
      <c r="A59" t="s">
        <v>67</v>
      </c>
      <c r="B59" t="s">
        <v>69</v>
      </c>
      <c r="C59">
        <v>10</v>
      </c>
      <c r="D59" t="s">
        <v>70</v>
      </c>
      <c r="E59" t="s">
        <v>75</v>
      </c>
      <c r="F59" t="s">
        <v>72</v>
      </c>
      <c r="G59">
        <v>0.233333333333339</v>
      </c>
      <c r="H59">
        <v>2E+20</v>
      </c>
      <c r="I59">
        <v>0.23333333333331999</v>
      </c>
      <c r="J59">
        <v>0.23333333333334799</v>
      </c>
      <c r="K59">
        <v>116</v>
      </c>
      <c r="L59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19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0.23333333333333742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1.1204111467455151E-15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5.4002088665477309E-16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0.233333333333336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0.23333333333334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0.23333333333331999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0.23333333333334799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59">
        <f>IF((DiscreteStatsTable[[#This Row],[RepsRequested]]&gt;1),DiscreteStatsTable[[#This Row],[HalfWidth]],DiscreteStatsTable[[#This Row],[BatchMeansHalfWidth]])</f>
        <v>5.4002088665477309E-16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19</v>
      </c>
      <c r="Y59">
        <f>IF(DiscreteStatsTable[[#This Row],[RepsRequested]]=DiscreteStatsTable[[#This Row],[RepsWithStatObserved]],1,0)</f>
        <v>1</v>
      </c>
    </row>
    <row r="60" spans="1:25" x14ac:dyDescent="0.25">
      <c r="A60" t="s">
        <v>67</v>
      </c>
      <c r="B60" t="s">
        <v>69</v>
      </c>
      <c r="C60">
        <v>10</v>
      </c>
      <c r="D60" t="s">
        <v>70</v>
      </c>
      <c r="E60" t="s">
        <v>76</v>
      </c>
      <c r="F60" t="s">
        <v>72</v>
      </c>
      <c r="G60">
        <v>4.9064162118213703</v>
      </c>
      <c r="H60">
        <v>2E+20</v>
      </c>
      <c r="I60">
        <v>0.14115056122463401</v>
      </c>
      <c r="J60">
        <v>33.111186942994898</v>
      </c>
      <c r="K60">
        <v>116</v>
      </c>
      <c r="L60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19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3.7328197351244743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0.46502806282270054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0.22413635167261109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2.8861185212318898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4.9064162118213703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47.429632233637001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60">
        <f>IF((DiscreteStatsTable[[#This Row],[RepsRequested]]&gt;1),DiscreteStatsTable[[#This Row],[HalfWidth]],DiscreteStatsTable[[#This Row],[BatchMeansHalfWidth]])</f>
        <v>0.22413635167261109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19</v>
      </c>
      <c r="Y60">
        <f>IF(DiscreteStatsTable[[#This Row],[RepsRequested]]=DiscreteStatsTable[[#This Row],[RepsWithStatObserved]],1,0)</f>
        <v>1</v>
      </c>
    </row>
    <row r="61" spans="1:25" x14ac:dyDescent="0.25">
      <c r="A61" t="s">
        <v>67</v>
      </c>
      <c r="B61" t="s">
        <v>69</v>
      </c>
      <c r="C61">
        <v>10</v>
      </c>
      <c r="D61" t="s">
        <v>70</v>
      </c>
      <c r="E61" t="s">
        <v>77</v>
      </c>
      <c r="F61" t="s">
        <v>72</v>
      </c>
      <c r="G61">
        <v>4.4415565672966304</v>
      </c>
      <c r="H61">
        <v>2E+20</v>
      </c>
      <c r="I61">
        <v>0.215462939572859</v>
      </c>
      <c r="J61">
        <v>13.7649921149502</v>
      </c>
      <c r="K61">
        <v>116</v>
      </c>
      <c r="L61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19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3.6753649815042069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2.457799691981351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1.1846215317822661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1.88211764353336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12.695697184187701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3.57397384231746E-2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48.547399979086499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61">
        <f>IF((DiscreteStatsTable[[#This Row],[RepsRequested]]&gt;1),DiscreteStatsTable[[#This Row],[HalfWidth]],DiscreteStatsTable[[#This Row],[BatchMeansHalfWidth]])</f>
        <v>1.1846215317822661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19</v>
      </c>
      <c r="Y61">
        <f>IF(DiscreteStatsTable[[#This Row],[RepsRequested]]=DiscreteStatsTable[[#This Row],[RepsWithStatObserved]],1,0)</f>
        <v>1</v>
      </c>
    </row>
    <row r="62" spans="1:25" x14ac:dyDescent="0.25">
      <c r="A62" t="s">
        <v>67</v>
      </c>
      <c r="B62" t="s">
        <v>69</v>
      </c>
      <c r="C62">
        <v>11</v>
      </c>
      <c r="D62" t="s">
        <v>70</v>
      </c>
      <c r="E62" t="s">
        <v>71</v>
      </c>
      <c r="F62" t="s">
        <v>72</v>
      </c>
      <c r="G62">
        <v>0</v>
      </c>
      <c r="H62">
        <v>2E+20</v>
      </c>
      <c r="I62">
        <v>0</v>
      </c>
      <c r="J62">
        <v>0</v>
      </c>
      <c r="K62">
        <v>115</v>
      </c>
      <c r="L6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compartida)ClienteNVA TimeEntity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19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62" s="5">
        <f>IF((DiscreteStatsTable[[#This Row],[RepsRequested]]&gt;1),DiscreteStatsTable[[#This Row],[HalfWidth]],DiscreteStatsTable[[#This Row],[BatchMeansHalfWidth]])</f>
        <v>0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19</v>
      </c>
      <c r="Y62" s="5">
        <f>IF(DiscreteStatsTable[[#This Row],[RepsRequested]]=DiscreteStatsTable[[#This Row],[RepsWithStatObserved]],1,0)</f>
        <v>1</v>
      </c>
    </row>
    <row r="63" spans="1:25" x14ac:dyDescent="0.25">
      <c r="A63" t="s">
        <v>67</v>
      </c>
      <c r="B63" t="s">
        <v>69</v>
      </c>
      <c r="C63">
        <v>11</v>
      </c>
      <c r="D63" t="s">
        <v>70</v>
      </c>
      <c r="E63" t="s">
        <v>73</v>
      </c>
      <c r="F63" t="s">
        <v>72</v>
      </c>
      <c r="G63">
        <v>0.64569713927184502</v>
      </c>
      <c r="H63">
        <v>2E+20</v>
      </c>
      <c r="I63">
        <v>0.17554561764273999</v>
      </c>
      <c r="J63">
        <v>2.7755876432214301</v>
      </c>
      <c r="K63">
        <v>115</v>
      </c>
      <c r="L6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compartida)ClienteOther TimeEntity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19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0.63507790130082442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3.8049773137108653E-2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1.8339403607505776E-2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0.55466095318799302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0.70846368869380205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4.6990588824101599E-2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2.8324325672652599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63" s="5">
        <f>IF((DiscreteStatsTable[[#This Row],[RepsRequested]]&gt;1),DiscreteStatsTable[[#This Row],[HalfWidth]],DiscreteStatsTable[[#This Row],[BatchMeansHalfWidth]])</f>
        <v>1.8339403607505776E-2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19</v>
      </c>
      <c r="Y63" s="5">
        <f>IF(DiscreteStatsTable[[#This Row],[RepsRequested]]=DiscreteStatsTable[[#This Row],[RepsWithStatObserved]],1,0)</f>
        <v>1</v>
      </c>
    </row>
    <row r="64" spans="1:25" x14ac:dyDescent="0.25">
      <c r="A64" t="s">
        <v>67</v>
      </c>
      <c r="B64" t="s">
        <v>69</v>
      </c>
      <c r="C64">
        <v>11</v>
      </c>
      <c r="D64" t="s">
        <v>70</v>
      </c>
      <c r="E64" t="s">
        <v>74</v>
      </c>
      <c r="F64" t="s">
        <v>72</v>
      </c>
      <c r="G64">
        <v>5.9000606491422101</v>
      </c>
      <c r="H64">
        <v>2E+20</v>
      </c>
      <c r="I64">
        <v>0.79935237358711198</v>
      </c>
      <c r="J64">
        <v>42.017600569038599</v>
      </c>
      <c r="K64">
        <v>115</v>
      </c>
      <c r="L6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compartida)ClienteTotal TimeEntity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19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6.1004830173875275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1.9202776678807203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4.4316568587741703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12.691770210246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0.42710492268932398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61.164243616895902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64" s="5">
        <f>IF((DiscreteStatsTable[[#This Row],[RepsRequested]]&gt;1),DiscreteStatsTable[[#This Row],[HalfWidth]],DiscreteStatsTable[[#This Row],[BatchMeansHalfWidth]])</f>
        <v>0.92554420923468694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19</v>
      </c>
      <c r="Y64" s="5">
        <f>IF(DiscreteStatsTable[[#This Row],[RepsRequested]]=DiscreteStatsTable[[#This Row],[RepsWithStatObserved]],1,0)</f>
        <v>1</v>
      </c>
    </row>
    <row r="65" spans="1:25" x14ac:dyDescent="0.25">
      <c r="A65" t="s">
        <v>67</v>
      </c>
      <c r="B65" t="s">
        <v>69</v>
      </c>
      <c r="C65">
        <v>11</v>
      </c>
      <c r="D65" t="s">
        <v>70</v>
      </c>
      <c r="E65" t="s">
        <v>75</v>
      </c>
      <c r="F65" t="s">
        <v>72</v>
      </c>
      <c r="G65">
        <v>0.233333333333339</v>
      </c>
      <c r="H65">
        <v>2E+20</v>
      </c>
      <c r="I65">
        <v>0.23333333333331999</v>
      </c>
      <c r="J65">
        <v>0.23333333333334799</v>
      </c>
      <c r="K65">
        <v>115</v>
      </c>
      <c r="L6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compartida)ClienteTransfer TimeEntity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19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0.23333333333333742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1.1204111467455151E-15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5.4002088665477309E-16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0.233333333333336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0.23333333333334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0.23333333333331999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0.23333333333334799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65" s="5">
        <f>IF((DiscreteStatsTable[[#This Row],[RepsRequested]]&gt;1),DiscreteStatsTable[[#This Row],[HalfWidth]],DiscreteStatsTable[[#This Row],[BatchMeansHalfWidth]])</f>
        <v>5.4002088665477309E-16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19</v>
      </c>
      <c r="Y65" s="5">
        <f>IF(DiscreteStatsTable[[#This Row],[RepsRequested]]=DiscreteStatsTable[[#This Row],[RepsWithStatObserved]],1,0)</f>
        <v>1</v>
      </c>
    </row>
    <row r="66" spans="1:25" x14ac:dyDescent="0.25">
      <c r="A66" t="s">
        <v>67</v>
      </c>
      <c r="B66" t="s">
        <v>69</v>
      </c>
      <c r="C66">
        <v>11</v>
      </c>
      <c r="D66" t="s">
        <v>70</v>
      </c>
      <c r="E66" t="s">
        <v>76</v>
      </c>
      <c r="F66" t="s">
        <v>72</v>
      </c>
      <c r="G66">
        <v>3.8101514063439601</v>
      </c>
      <c r="H66">
        <v>2E+20</v>
      </c>
      <c r="I66">
        <v>6.3257868254424907E-2</v>
      </c>
      <c r="J66">
        <v>29.796098431456201</v>
      </c>
      <c r="K66">
        <v>115</v>
      </c>
      <c r="L6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compartida)ClienteVA TimeEntity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19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3.7328197351244743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0.46502806282270054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0.22413635167261109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2.8861185212318898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4.9064162118213703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47.429632233637001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66" s="5">
        <f>IF((DiscreteStatsTable[[#This Row],[RepsRequested]]&gt;1),DiscreteStatsTable[[#This Row],[HalfWidth]],DiscreteStatsTable[[#This Row],[BatchMeansHalfWidth]])</f>
        <v>0.22413635167261109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19</v>
      </c>
      <c r="Y66" s="5">
        <f>IF(DiscreteStatsTable[[#This Row],[RepsRequested]]=DiscreteStatsTable[[#This Row],[RepsWithStatObserved]],1,0)</f>
        <v>1</v>
      </c>
    </row>
    <row r="67" spans="1:25" x14ac:dyDescent="0.25">
      <c r="A67" t="s">
        <v>67</v>
      </c>
      <c r="B67" t="s">
        <v>69</v>
      </c>
      <c r="C67">
        <v>11</v>
      </c>
      <c r="D67" t="s">
        <v>70</v>
      </c>
      <c r="E67" t="s">
        <v>77</v>
      </c>
      <c r="F67" t="s">
        <v>72</v>
      </c>
      <c r="G67">
        <v>3.30680262921345</v>
      </c>
      <c r="H67">
        <v>2E+20</v>
      </c>
      <c r="I67">
        <v>0.115782029226267</v>
      </c>
      <c r="J67">
        <v>19.075191099762701</v>
      </c>
      <c r="K67">
        <v>115</v>
      </c>
      <c r="L6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compartida)ClienteWait TimeEntity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19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3.6753649815042069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2.457799691981351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1.1846215317822661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1.88211764353336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12.695697184187701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3.57397384231746E-2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48.547399979086499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67" s="5">
        <f>IF((DiscreteStatsTable[[#This Row],[RepsRequested]]&gt;1),DiscreteStatsTable[[#This Row],[HalfWidth]],DiscreteStatsTable[[#This Row],[BatchMeansHalfWidth]])</f>
        <v>1.1846215317822661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19</v>
      </c>
      <c r="Y67" s="5">
        <f>IF(DiscreteStatsTable[[#This Row],[RepsRequested]]=DiscreteStatsTable[[#This Row],[RepsWithStatObserved]],1,0)</f>
        <v>1</v>
      </c>
    </row>
    <row r="68" spans="1:25" x14ac:dyDescent="0.25">
      <c r="A68" t="s">
        <v>67</v>
      </c>
      <c r="B68" t="s">
        <v>69</v>
      </c>
      <c r="C68">
        <v>12</v>
      </c>
      <c r="D68" t="s">
        <v>70</v>
      </c>
      <c r="E68" t="s">
        <v>71</v>
      </c>
      <c r="F68" t="s">
        <v>72</v>
      </c>
      <c r="G68">
        <v>0</v>
      </c>
      <c r="H68">
        <v>2E+20</v>
      </c>
      <c r="I68">
        <v>0</v>
      </c>
      <c r="J68">
        <v>0</v>
      </c>
      <c r="K68">
        <v>120</v>
      </c>
      <c r="L6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compartida)ClienteNVA TimeEntity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19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68" s="5">
        <f>IF((DiscreteStatsTable[[#This Row],[RepsRequested]]&gt;1),DiscreteStatsTable[[#This Row],[HalfWidth]],DiscreteStatsTable[[#This Row],[BatchMeansHalfWidth]])</f>
        <v>0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19</v>
      </c>
      <c r="Y68" s="5">
        <f>IF(DiscreteStatsTable[[#This Row],[RepsRequested]]=DiscreteStatsTable[[#This Row],[RepsWithStatObserved]],1,0)</f>
        <v>1</v>
      </c>
    </row>
    <row r="69" spans="1:25" x14ac:dyDescent="0.25">
      <c r="A69" t="s">
        <v>67</v>
      </c>
      <c r="B69" t="s">
        <v>69</v>
      </c>
      <c r="C69">
        <v>12</v>
      </c>
      <c r="D69" t="s">
        <v>70</v>
      </c>
      <c r="E69" t="s">
        <v>73</v>
      </c>
      <c r="F69" t="s">
        <v>72</v>
      </c>
      <c r="G69">
        <v>0.64412104589499897</v>
      </c>
      <c r="H69">
        <v>2E+20</v>
      </c>
      <c r="I69">
        <v>0.11159644046412601</v>
      </c>
      <c r="J69">
        <v>2.3512760511938802</v>
      </c>
      <c r="K69">
        <v>120</v>
      </c>
      <c r="L6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compartida)ClienteOther TimeEntity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19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0.63507790130082442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3.8049773137108653E-2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1.8339403607505776E-2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0.55466095318799302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0.70846368869380205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4.6990588824101599E-2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2.8324325672652599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69" s="5">
        <f>IF((DiscreteStatsTable[[#This Row],[RepsRequested]]&gt;1),DiscreteStatsTable[[#This Row],[HalfWidth]],DiscreteStatsTable[[#This Row],[BatchMeansHalfWidth]])</f>
        <v>1.8339403607505776E-2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19</v>
      </c>
      <c r="Y69" s="5">
        <f>IF(DiscreteStatsTable[[#This Row],[RepsRequested]]=DiscreteStatsTable[[#This Row],[RepsWithStatObserved]],1,0)</f>
        <v>1</v>
      </c>
    </row>
    <row r="70" spans="1:25" x14ac:dyDescent="0.25">
      <c r="A70" t="s">
        <v>67</v>
      </c>
      <c r="B70" t="s">
        <v>69</v>
      </c>
      <c r="C70">
        <v>12</v>
      </c>
      <c r="D70" t="s">
        <v>70</v>
      </c>
      <c r="E70" t="s">
        <v>74</v>
      </c>
      <c r="F70" t="s">
        <v>72</v>
      </c>
      <c r="G70">
        <v>6.3747796947994502</v>
      </c>
      <c r="H70">
        <v>2E+20</v>
      </c>
      <c r="I70">
        <v>0.66391758995999295</v>
      </c>
      <c r="J70">
        <v>44.043793385560598</v>
      </c>
      <c r="K70">
        <v>120</v>
      </c>
      <c r="L7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compartida)ClienteTotal TimeEntity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19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6.1004830173875275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1.9202776678807203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4.4316568587741703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12.691770210246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0.42710492268932398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61.164243616895902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70" s="5">
        <f>IF((DiscreteStatsTable[[#This Row],[RepsRequested]]&gt;1),DiscreteStatsTable[[#This Row],[HalfWidth]],DiscreteStatsTable[[#This Row],[BatchMeansHalfWidth]])</f>
        <v>0.92554420923468694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19</v>
      </c>
      <c r="Y70" s="5">
        <f>IF(DiscreteStatsTable[[#This Row],[RepsRequested]]=DiscreteStatsTable[[#This Row],[RepsWithStatObserved]],1,0)</f>
        <v>1</v>
      </c>
    </row>
    <row r="71" spans="1:25" x14ac:dyDescent="0.25">
      <c r="A71" t="s">
        <v>67</v>
      </c>
      <c r="B71" t="s">
        <v>69</v>
      </c>
      <c r="C71">
        <v>12</v>
      </c>
      <c r="D71" t="s">
        <v>70</v>
      </c>
      <c r="E71" t="s">
        <v>75</v>
      </c>
      <c r="F71" t="s">
        <v>72</v>
      </c>
      <c r="G71">
        <v>0.233333333333337</v>
      </c>
      <c r="H71">
        <v>2E+20</v>
      </c>
      <c r="I71">
        <v>0.23333333333331999</v>
      </c>
      <c r="J71">
        <v>0.23333333333334799</v>
      </c>
      <c r="K71">
        <v>120</v>
      </c>
      <c r="L7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compartida)ClienteTransfer TimeEntity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19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0.23333333333333742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1.1204111467455151E-15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5.4002088665477309E-16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0.233333333333336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0.23333333333334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0.23333333333331999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0.23333333333334799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71" s="5">
        <f>IF((DiscreteStatsTable[[#This Row],[RepsRequested]]&gt;1),DiscreteStatsTable[[#This Row],[HalfWidth]],DiscreteStatsTable[[#This Row],[BatchMeansHalfWidth]])</f>
        <v>5.4002088665477309E-16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19</v>
      </c>
      <c r="Y71" s="5">
        <f>IF(DiscreteStatsTable[[#This Row],[RepsRequested]]=DiscreteStatsTable[[#This Row],[RepsWithStatObserved]],1,0)</f>
        <v>1</v>
      </c>
    </row>
    <row r="72" spans="1:25" x14ac:dyDescent="0.25">
      <c r="A72" t="s">
        <v>67</v>
      </c>
      <c r="B72" t="s">
        <v>69</v>
      </c>
      <c r="C72">
        <v>12</v>
      </c>
      <c r="D72" t="s">
        <v>70</v>
      </c>
      <c r="E72" t="s">
        <v>76</v>
      </c>
      <c r="F72" t="s">
        <v>72</v>
      </c>
      <c r="G72">
        <v>3.7103463676395601</v>
      </c>
      <c r="H72">
        <v>2E+20</v>
      </c>
      <c r="I72">
        <v>0.104467793621836</v>
      </c>
      <c r="J72">
        <v>34.616671895585498</v>
      </c>
      <c r="K72">
        <v>120</v>
      </c>
      <c r="L7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compartida)ClienteVA TimeEntity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19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3.7328197351244743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0.46502806282270054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0.22413635167261109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2.8861185212318898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4.9064162118213703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47.429632233637001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72" s="5">
        <f>IF((DiscreteStatsTable[[#This Row],[RepsRequested]]&gt;1),DiscreteStatsTable[[#This Row],[HalfWidth]],DiscreteStatsTable[[#This Row],[BatchMeansHalfWidth]])</f>
        <v>0.22413635167261109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19</v>
      </c>
      <c r="Y72" s="5">
        <f>IF(DiscreteStatsTable[[#This Row],[RepsRequested]]=DiscreteStatsTable[[#This Row],[RepsWithStatObserved]],1,0)</f>
        <v>1</v>
      </c>
    </row>
    <row r="73" spans="1:25" x14ac:dyDescent="0.25">
      <c r="A73" t="s">
        <v>67</v>
      </c>
      <c r="B73" t="s">
        <v>69</v>
      </c>
      <c r="C73">
        <v>12</v>
      </c>
      <c r="D73" t="s">
        <v>70</v>
      </c>
      <c r="E73" t="s">
        <v>77</v>
      </c>
      <c r="F73" t="s">
        <v>72</v>
      </c>
      <c r="G73">
        <v>4.1705086825097801</v>
      </c>
      <c r="H73">
        <v>2E+20</v>
      </c>
      <c r="I73">
        <v>0.10500002708931799</v>
      </c>
      <c r="J73">
        <v>24.557785256089801</v>
      </c>
      <c r="K73">
        <v>120</v>
      </c>
      <c r="L7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compartida)ClienteWait TimeEntity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19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3.6753649815042069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2.457799691981351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1.1846215317822661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1.88211764353336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12.695697184187701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3.57397384231746E-2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48.547399979086499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73" s="5">
        <f>IF((DiscreteStatsTable[[#This Row],[RepsRequested]]&gt;1),DiscreteStatsTable[[#This Row],[HalfWidth]],DiscreteStatsTable[[#This Row],[BatchMeansHalfWidth]])</f>
        <v>1.1846215317822661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19</v>
      </c>
      <c r="Y73" s="5">
        <f>IF(DiscreteStatsTable[[#This Row],[RepsRequested]]=DiscreteStatsTable[[#This Row],[RepsWithStatObserved]],1,0)</f>
        <v>1</v>
      </c>
    </row>
    <row r="74" spans="1:25" x14ac:dyDescent="0.25">
      <c r="A74" t="s">
        <v>67</v>
      </c>
      <c r="B74" t="s">
        <v>69</v>
      </c>
      <c r="C74">
        <v>13</v>
      </c>
      <c r="D74" t="s">
        <v>70</v>
      </c>
      <c r="E74" t="s">
        <v>71</v>
      </c>
      <c r="F74" t="s">
        <v>72</v>
      </c>
      <c r="G74">
        <v>0</v>
      </c>
      <c r="H74">
        <v>2E+20</v>
      </c>
      <c r="I74">
        <v>0</v>
      </c>
      <c r="J74">
        <v>0</v>
      </c>
      <c r="K74">
        <v>116</v>
      </c>
      <c r="L7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compartida)ClienteNVA TimeEntity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19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74" s="5">
        <f>IF((DiscreteStatsTable[[#This Row],[RepsRequested]]&gt;1),DiscreteStatsTable[[#This Row],[HalfWidth]],DiscreteStatsTable[[#This Row],[BatchMeansHalfWidth]])</f>
        <v>0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19</v>
      </c>
      <c r="Y74" s="5">
        <f>IF(DiscreteStatsTable[[#This Row],[RepsRequested]]=DiscreteStatsTable[[#This Row],[RepsWithStatObserved]],1,0)</f>
        <v>1</v>
      </c>
    </row>
    <row r="75" spans="1:25" x14ac:dyDescent="0.25">
      <c r="A75" t="s">
        <v>67</v>
      </c>
      <c r="B75" t="s">
        <v>69</v>
      </c>
      <c r="C75">
        <v>13</v>
      </c>
      <c r="D75" t="s">
        <v>70</v>
      </c>
      <c r="E75" t="s">
        <v>73</v>
      </c>
      <c r="F75" t="s">
        <v>72</v>
      </c>
      <c r="G75">
        <v>0.60751052950344997</v>
      </c>
      <c r="H75">
        <v>2E+20</v>
      </c>
      <c r="I75">
        <v>0.11356873536371399</v>
      </c>
      <c r="J75">
        <v>1.8452150657742401</v>
      </c>
      <c r="K75">
        <v>116</v>
      </c>
      <c r="L7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compartida)ClienteOther TimeEntity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19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0.63507790130082442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3.8049773137108653E-2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1.8339403607505776E-2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0.55466095318799302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0.70846368869380205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4.6990588824101599E-2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2.8324325672652599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75" s="5">
        <f>IF((DiscreteStatsTable[[#This Row],[RepsRequested]]&gt;1),DiscreteStatsTable[[#This Row],[HalfWidth]],DiscreteStatsTable[[#This Row],[BatchMeansHalfWidth]])</f>
        <v>1.8339403607505776E-2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19</v>
      </c>
      <c r="Y75" s="5">
        <f>IF(DiscreteStatsTable[[#This Row],[RepsRequested]]=DiscreteStatsTable[[#This Row],[RepsWithStatObserved]],1,0)</f>
        <v>1</v>
      </c>
    </row>
    <row r="76" spans="1:25" x14ac:dyDescent="0.25">
      <c r="A76" t="s">
        <v>67</v>
      </c>
      <c r="B76" t="s">
        <v>69</v>
      </c>
      <c r="C76">
        <v>13</v>
      </c>
      <c r="D76" t="s">
        <v>70</v>
      </c>
      <c r="E76" t="s">
        <v>74</v>
      </c>
      <c r="F76" t="s">
        <v>72</v>
      </c>
      <c r="G76">
        <v>5.7263554213937002</v>
      </c>
      <c r="H76">
        <v>2E+20</v>
      </c>
      <c r="I76">
        <v>0.66732471695547702</v>
      </c>
      <c r="J76">
        <v>42.764047605892102</v>
      </c>
      <c r="K76">
        <v>116</v>
      </c>
      <c r="L7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compartida)ClienteTotal TimeEntity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19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6.1004830173875275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1.9202776678807203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4.4316568587741703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12.691770210246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0.42710492268932398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61.164243616895902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76" s="5">
        <f>IF((DiscreteStatsTable[[#This Row],[RepsRequested]]&gt;1),DiscreteStatsTable[[#This Row],[HalfWidth]],DiscreteStatsTable[[#This Row],[BatchMeansHalfWidth]])</f>
        <v>0.92554420923468694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19</v>
      </c>
      <c r="Y76" s="5">
        <f>IF(DiscreteStatsTable[[#This Row],[RepsRequested]]=DiscreteStatsTable[[#This Row],[RepsWithStatObserved]],1,0)</f>
        <v>1</v>
      </c>
    </row>
    <row r="77" spans="1:25" x14ac:dyDescent="0.25">
      <c r="A77" t="s">
        <v>67</v>
      </c>
      <c r="B77" t="s">
        <v>69</v>
      </c>
      <c r="C77">
        <v>13</v>
      </c>
      <c r="D77" t="s">
        <v>70</v>
      </c>
      <c r="E77" t="s">
        <v>75</v>
      </c>
      <c r="F77" t="s">
        <v>72</v>
      </c>
      <c r="G77">
        <v>0.233333333333338</v>
      </c>
      <c r="H77">
        <v>2E+20</v>
      </c>
      <c r="I77">
        <v>0.23333333333331999</v>
      </c>
      <c r="J77">
        <v>0.23333333333334799</v>
      </c>
      <c r="K77">
        <v>116</v>
      </c>
      <c r="L7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compartida)ClienteTransfer TimeEntity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19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0.23333333333333742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1.1204111467455151E-15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5.4002088665477309E-16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0.233333333333336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0.23333333333334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0.23333333333331999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0.23333333333334799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77" s="5">
        <f>IF((DiscreteStatsTable[[#This Row],[RepsRequested]]&gt;1),DiscreteStatsTable[[#This Row],[HalfWidth]],DiscreteStatsTable[[#This Row],[BatchMeansHalfWidth]])</f>
        <v>5.4002088665477309E-16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19</v>
      </c>
      <c r="Y77" s="5">
        <f>IF(DiscreteStatsTable[[#This Row],[RepsRequested]]=DiscreteStatsTable[[#This Row],[RepsWithStatObserved]],1,0)</f>
        <v>1</v>
      </c>
    </row>
    <row r="78" spans="1:25" x14ac:dyDescent="0.25">
      <c r="A78" t="s">
        <v>67</v>
      </c>
      <c r="B78" t="s">
        <v>69</v>
      </c>
      <c r="C78">
        <v>13</v>
      </c>
      <c r="D78" t="s">
        <v>70</v>
      </c>
      <c r="E78" t="s">
        <v>76</v>
      </c>
      <c r="F78" t="s">
        <v>72</v>
      </c>
      <c r="G78">
        <v>3.84092276875373</v>
      </c>
      <c r="H78">
        <v>2E+20</v>
      </c>
      <c r="I78">
        <v>0.10867029340060699</v>
      </c>
      <c r="J78">
        <v>41.105392082412301</v>
      </c>
      <c r="K78">
        <v>116</v>
      </c>
      <c r="L7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compartida)ClienteVA TimeEntity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19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3.7328197351244743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0.46502806282270054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0.22413635167261109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2.8861185212318898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4.9064162118213703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47.429632233637001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78" s="5">
        <f>IF((DiscreteStatsTable[[#This Row],[RepsRequested]]&gt;1),DiscreteStatsTable[[#This Row],[HalfWidth]],DiscreteStatsTable[[#This Row],[BatchMeansHalfWidth]])</f>
        <v>0.22413635167261109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19</v>
      </c>
      <c r="Y78" s="5">
        <f>IF(DiscreteStatsTable[[#This Row],[RepsRequested]]=DiscreteStatsTable[[#This Row],[RepsWithStatObserved]],1,0)</f>
        <v>1</v>
      </c>
    </row>
    <row r="79" spans="1:25" x14ac:dyDescent="0.25">
      <c r="A79" t="s">
        <v>67</v>
      </c>
      <c r="B79" t="s">
        <v>69</v>
      </c>
      <c r="C79">
        <v>13</v>
      </c>
      <c r="D79" t="s">
        <v>70</v>
      </c>
      <c r="E79" t="s">
        <v>77</v>
      </c>
      <c r="F79" t="s">
        <v>72</v>
      </c>
      <c r="G79">
        <v>2.9934017628999299</v>
      </c>
      <c r="H79">
        <v>2E+20</v>
      </c>
      <c r="I79">
        <v>0.12907321529539201</v>
      </c>
      <c r="J79">
        <v>10.5187271447118</v>
      </c>
      <c r="K79">
        <v>116</v>
      </c>
      <c r="L7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compartida)ClienteWait TimeEntity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19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3.6753649815042069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2.457799691981351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1.1846215317822661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1.88211764353336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12.695697184187701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3.57397384231746E-2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48.547399979086499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79" s="5">
        <f>IF((DiscreteStatsTable[[#This Row],[RepsRequested]]&gt;1),DiscreteStatsTable[[#This Row],[HalfWidth]],DiscreteStatsTable[[#This Row],[BatchMeansHalfWidth]])</f>
        <v>1.1846215317822661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19</v>
      </c>
      <c r="Y79" s="5">
        <f>IF(DiscreteStatsTable[[#This Row],[RepsRequested]]=DiscreteStatsTable[[#This Row],[RepsWithStatObserved]],1,0)</f>
        <v>1</v>
      </c>
    </row>
    <row r="80" spans="1:25" x14ac:dyDescent="0.25">
      <c r="A80" t="s">
        <v>67</v>
      </c>
      <c r="B80" t="s">
        <v>69</v>
      </c>
      <c r="C80">
        <v>14</v>
      </c>
      <c r="D80" t="s">
        <v>70</v>
      </c>
      <c r="E80" t="s">
        <v>71</v>
      </c>
      <c r="F80" t="s">
        <v>72</v>
      </c>
      <c r="G80">
        <v>0</v>
      </c>
      <c r="H80">
        <v>2E+20</v>
      </c>
      <c r="I80">
        <v>0</v>
      </c>
      <c r="J80">
        <v>0</v>
      </c>
      <c r="K80">
        <v>135</v>
      </c>
      <c r="L8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compartida)ClienteNVA TimeEntity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19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0" s="5">
        <f>IF((DiscreteStatsTable[[#This Row],[RepsRequested]]&gt;1),DiscreteStatsTable[[#This Row],[HalfWidth]],DiscreteStatsTable[[#This Row],[BatchMeansHalfWidth]])</f>
        <v>0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19</v>
      </c>
      <c r="Y80" s="5">
        <f>IF(DiscreteStatsTable[[#This Row],[RepsRequested]]=DiscreteStatsTable[[#This Row],[RepsWithStatObserved]],1,0)</f>
        <v>1</v>
      </c>
    </row>
    <row r="81" spans="1:25" x14ac:dyDescent="0.25">
      <c r="A81" t="s">
        <v>67</v>
      </c>
      <c r="B81" t="s">
        <v>69</v>
      </c>
      <c r="C81">
        <v>14</v>
      </c>
      <c r="D81" t="s">
        <v>70</v>
      </c>
      <c r="E81" t="s">
        <v>73</v>
      </c>
      <c r="F81" t="s">
        <v>72</v>
      </c>
      <c r="G81">
        <v>0.63767452361924704</v>
      </c>
      <c r="H81">
        <v>2E+20</v>
      </c>
      <c r="I81">
        <v>0.15906741871862101</v>
      </c>
      <c r="J81">
        <v>2.31473104759531</v>
      </c>
      <c r="K81">
        <v>135</v>
      </c>
      <c r="L8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compartida)ClienteOther TimeEntity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19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0.63507790130082442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3.8049773137108653E-2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1.8339403607505776E-2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0.55466095318799302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0.70846368869380205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4.6990588824101599E-2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2.8324325672652599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1" s="5">
        <f>IF((DiscreteStatsTable[[#This Row],[RepsRequested]]&gt;1),DiscreteStatsTable[[#This Row],[HalfWidth]],DiscreteStatsTable[[#This Row],[BatchMeansHalfWidth]])</f>
        <v>1.8339403607505776E-2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19</v>
      </c>
      <c r="Y81" s="5">
        <f>IF(DiscreteStatsTable[[#This Row],[RepsRequested]]=DiscreteStatsTable[[#This Row],[RepsWithStatObserved]],1,0)</f>
        <v>1</v>
      </c>
    </row>
    <row r="82" spans="1:25" x14ac:dyDescent="0.25">
      <c r="A82" t="s">
        <v>67</v>
      </c>
      <c r="B82" t="s">
        <v>69</v>
      </c>
      <c r="C82">
        <v>14</v>
      </c>
      <c r="D82" t="s">
        <v>70</v>
      </c>
      <c r="E82" t="s">
        <v>74</v>
      </c>
      <c r="F82" t="s">
        <v>72</v>
      </c>
      <c r="G82">
        <v>6.0688050211007702</v>
      </c>
      <c r="H82">
        <v>2E+20</v>
      </c>
      <c r="I82">
        <v>0.54564677089423697</v>
      </c>
      <c r="J82">
        <v>34.472039274439503</v>
      </c>
      <c r="K82">
        <v>135</v>
      </c>
      <c r="L8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compartida)ClienteTotal TimeEntity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19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6.1004830173875275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1.9202776678807203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4.4316568587741703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12.691770210246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0.42710492268932398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61.164243616895902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2" s="5">
        <f>IF((DiscreteStatsTable[[#This Row],[RepsRequested]]&gt;1),DiscreteStatsTable[[#This Row],[HalfWidth]],DiscreteStatsTable[[#This Row],[BatchMeansHalfWidth]])</f>
        <v>0.92554420923468694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19</v>
      </c>
      <c r="Y82" s="5">
        <f>IF(DiscreteStatsTable[[#This Row],[RepsRequested]]=DiscreteStatsTable[[#This Row],[RepsWithStatObserved]],1,0)</f>
        <v>1</v>
      </c>
    </row>
    <row r="83" spans="1:25" x14ac:dyDescent="0.25">
      <c r="A83" t="s">
        <v>67</v>
      </c>
      <c r="B83" t="s">
        <v>69</v>
      </c>
      <c r="C83">
        <v>14</v>
      </c>
      <c r="D83" t="s">
        <v>70</v>
      </c>
      <c r="E83" t="s">
        <v>75</v>
      </c>
      <c r="F83" t="s">
        <v>72</v>
      </c>
      <c r="G83">
        <v>0.233333333333338</v>
      </c>
      <c r="H83">
        <v>2E+20</v>
      </c>
      <c r="I83">
        <v>0.23333333333331999</v>
      </c>
      <c r="J83">
        <v>0.23333333333334799</v>
      </c>
      <c r="K83">
        <v>135</v>
      </c>
      <c r="L8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compartida)ClienteTransfer TimeEntity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19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0.23333333333333742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1.1204111467455151E-15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5.4002088665477309E-16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0.233333333333336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0.23333333333334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0.23333333333331999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0.23333333333334799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3" s="5">
        <f>IF((DiscreteStatsTable[[#This Row],[RepsRequested]]&gt;1),DiscreteStatsTable[[#This Row],[HalfWidth]],DiscreteStatsTable[[#This Row],[BatchMeansHalfWidth]])</f>
        <v>5.4002088665477309E-16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19</v>
      </c>
      <c r="Y83" s="5">
        <f>IF(DiscreteStatsTable[[#This Row],[RepsRequested]]=DiscreteStatsTable[[#This Row],[RepsWithStatObserved]],1,0)</f>
        <v>1</v>
      </c>
    </row>
    <row r="84" spans="1:25" x14ac:dyDescent="0.25">
      <c r="A84" t="s">
        <v>67</v>
      </c>
      <c r="B84" t="s">
        <v>69</v>
      </c>
      <c r="C84">
        <v>14</v>
      </c>
      <c r="D84" t="s">
        <v>70</v>
      </c>
      <c r="E84" t="s">
        <v>76</v>
      </c>
      <c r="F84" t="s">
        <v>72</v>
      </c>
      <c r="G84">
        <v>3.6657654676815299</v>
      </c>
      <c r="H84">
        <v>2E+20</v>
      </c>
      <c r="I84">
        <v>8.1707279932245996E-2</v>
      </c>
      <c r="J84">
        <v>33.584233587201197</v>
      </c>
      <c r="K84">
        <v>135</v>
      </c>
      <c r="L8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compartida)ClienteVA TimeEntity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19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3.7328197351244743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0.46502806282270054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0.22413635167261109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2.8861185212318898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4.9064162118213703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47.429632233637001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4" s="5">
        <f>IF((DiscreteStatsTable[[#This Row],[RepsRequested]]&gt;1),DiscreteStatsTable[[#This Row],[HalfWidth]],DiscreteStatsTable[[#This Row],[BatchMeansHalfWidth]])</f>
        <v>0.22413635167261109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19</v>
      </c>
      <c r="Y84" s="5">
        <f>IF(DiscreteStatsTable[[#This Row],[RepsRequested]]=DiscreteStatsTable[[#This Row],[RepsWithStatObserved]],1,0)</f>
        <v>1</v>
      </c>
    </row>
    <row r="85" spans="1:25" x14ac:dyDescent="0.25">
      <c r="A85" t="s">
        <v>67</v>
      </c>
      <c r="B85" t="s">
        <v>69</v>
      </c>
      <c r="C85">
        <v>14</v>
      </c>
      <c r="D85" t="s">
        <v>70</v>
      </c>
      <c r="E85" t="s">
        <v>77</v>
      </c>
      <c r="F85" t="s">
        <v>72</v>
      </c>
      <c r="G85">
        <v>3.6954576758486399</v>
      </c>
      <c r="H85">
        <v>2E+20</v>
      </c>
      <c r="I85">
        <v>9.3761640585682898E-2</v>
      </c>
      <c r="J85">
        <v>13.82375757316</v>
      </c>
      <c r="K85">
        <v>135</v>
      </c>
      <c r="L8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compartida)ClienteWait TimeEntity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19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3.6753649815042069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2.457799691981351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1.1846215317822661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1.88211764353336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12.695697184187701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3.57397384231746E-2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48.547399979086499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5" s="5">
        <f>IF((DiscreteStatsTable[[#This Row],[RepsRequested]]&gt;1),DiscreteStatsTable[[#This Row],[HalfWidth]],DiscreteStatsTable[[#This Row],[BatchMeansHalfWidth]])</f>
        <v>1.1846215317822661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19</v>
      </c>
      <c r="Y85" s="5">
        <f>IF(DiscreteStatsTable[[#This Row],[RepsRequested]]=DiscreteStatsTable[[#This Row],[RepsWithStatObserved]],1,0)</f>
        <v>1</v>
      </c>
    </row>
    <row r="86" spans="1:25" x14ac:dyDescent="0.25">
      <c r="A86" t="s">
        <v>67</v>
      </c>
      <c r="B86" t="s">
        <v>69</v>
      </c>
      <c r="C86">
        <v>15</v>
      </c>
      <c r="D86" t="s">
        <v>70</v>
      </c>
      <c r="E86" t="s">
        <v>71</v>
      </c>
      <c r="F86" t="s">
        <v>72</v>
      </c>
      <c r="G86">
        <v>0</v>
      </c>
      <c r="H86">
        <v>2E+20</v>
      </c>
      <c r="I86">
        <v>0</v>
      </c>
      <c r="J86">
        <v>0</v>
      </c>
      <c r="K86">
        <v>128</v>
      </c>
      <c r="L8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compartida)ClienteNVA TimeEntity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19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6" s="5">
        <f>IF((DiscreteStatsTable[[#This Row],[RepsRequested]]&gt;1),DiscreteStatsTable[[#This Row],[HalfWidth]],DiscreteStatsTable[[#This Row],[BatchMeansHalfWidth]])</f>
        <v>0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19</v>
      </c>
      <c r="Y86" s="5">
        <f>IF(DiscreteStatsTable[[#This Row],[RepsRequested]]=DiscreteStatsTable[[#This Row],[RepsWithStatObserved]],1,0)</f>
        <v>1</v>
      </c>
    </row>
    <row r="87" spans="1:25" x14ac:dyDescent="0.25">
      <c r="A87" t="s">
        <v>67</v>
      </c>
      <c r="B87" t="s">
        <v>69</v>
      </c>
      <c r="C87">
        <v>15</v>
      </c>
      <c r="D87" t="s">
        <v>70</v>
      </c>
      <c r="E87" t="s">
        <v>73</v>
      </c>
      <c r="F87" t="s">
        <v>72</v>
      </c>
      <c r="G87">
        <v>0.63445713285014305</v>
      </c>
      <c r="H87">
        <v>2E+20</v>
      </c>
      <c r="I87">
        <v>0.143991735142151</v>
      </c>
      <c r="J87">
        <v>2.447024445127</v>
      </c>
      <c r="K87">
        <v>128</v>
      </c>
      <c r="L8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compartida)ClienteOther TimeEntity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19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0.63507790130082442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3.8049773137108653E-2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1.8339403607505776E-2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0.55466095318799302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0.70846368869380205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4.6990588824101599E-2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2.8324325672652599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7" s="5">
        <f>IF((DiscreteStatsTable[[#This Row],[RepsRequested]]&gt;1),DiscreteStatsTable[[#This Row],[HalfWidth]],DiscreteStatsTable[[#This Row],[BatchMeansHalfWidth]])</f>
        <v>1.8339403607505776E-2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19</v>
      </c>
      <c r="Y87" s="5">
        <f>IF(DiscreteStatsTable[[#This Row],[RepsRequested]]=DiscreteStatsTable[[#This Row],[RepsWithStatObserved]],1,0)</f>
        <v>1</v>
      </c>
    </row>
    <row r="88" spans="1:25" x14ac:dyDescent="0.25">
      <c r="A88" t="s">
        <v>67</v>
      </c>
      <c r="B88" t="s">
        <v>69</v>
      </c>
      <c r="C88">
        <v>15</v>
      </c>
      <c r="D88" t="s">
        <v>70</v>
      </c>
      <c r="E88" t="s">
        <v>74</v>
      </c>
      <c r="F88" t="s">
        <v>72</v>
      </c>
      <c r="G88">
        <v>5.2918619779328004</v>
      </c>
      <c r="H88">
        <v>2E+20</v>
      </c>
      <c r="I88">
        <v>0.42710492268932398</v>
      </c>
      <c r="J88">
        <v>38.964637179729202</v>
      </c>
      <c r="K88">
        <v>128</v>
      </c>
      <c r="L8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compartida)ClienteTotal TimeEntity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19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6.1004830173875275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1.9202776678807203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4.4316568587741703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12.691770210246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0.42710492268932398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61.164243616895902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8" s="5">
        <f>IF((DiscreteStatsTable[[#This Row],[RepsRequested]]&gt;1),DiscreteStatsTable[[#This Row],[HalfWidth]],DiscreteStatsTable[[#This Row],[BatchMeansHalfWidth]])</f>
        <v>0.92554420923468694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19</v>
      </c>
      <c r="Y88" s="5">
        <f>IF(DiscreteStatsTable[[#This Row],[RepsRequested]]=DiscreteStatsTable[[#This Row],[RepsWithStatObserved]],1,0)</f>
        <v>1</v>
      </c>
    </row>
    <row r="89" spans="1:25" x14ac:dyDescent="0.25">
      <c r="A89" t="s">
        <v>67</v>
      </c>
      <c r="B89" t="s">
        <v>69</v>
      </c>
      <c r="C89">
        <v>15</v>
      </c>
      <c r="D89" t="s">
        <v>70</v>
      </c>
      <c r="E89" t="s">
        <v>75</v>
      </c>
      <c r="F89" t="s">
        <v>72</v>
      </c>
      <c r="G89">
        <v>0.233333333333337</v>
      </c>
      <c r="H89">
        <v>2E+20</v>
      </c>
      <c r="I89">
        <v>0.23333333333331999</v>
      </c>
      <c r="J89">
        <v>0.23333333333334799</v>
      </c>
      <c r="K89">
        <v>128</v>
      </c>
      <c r="L8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compartida)ClienteTransfer TimeEntity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19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0.23333333333333742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1.1204111467455151E-15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5.4002088665477309E-16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0.233333333333336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0.23333333333334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0.23333333333331999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0.23333333333334799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9" s="5">
        <f>IF((DiscreteStatsTable[[#This Row],[RepsRequested]]&gt;1),DiscreteStatsTable[[#This Row],[HalfWidth]],DiscreteStatsTable[[#This Row],[BatchMeansHalfWidth]])</f>
        <v>5.4002088665477309E-16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19</v>
      </c>
      <c r="Y89" s="5">
        <f>IF(DiscreteStatsTable[[#This Row],[RepsRequested]]=DiscreteStatsTable[[#This Row],[RepsWithStatObserved]],1,0)</f>
        <v>1</v>
      </c>
    </row>
    <row r="90" spans="1:25" x14ac:dyDescent="0.25">
      <c r="A90" t="s">
        <v>67</v>
      </c>
      <c r="B90" t="s">
        <v>69</v>
      </c>
      <c r="C90">
        <v>15</v>
      </c>
      <c r="D90" t="s">
        <v>70</v>
      </c>
      <c r="E90" t="s">
        <v>76</v>
      </c>
      <c r="F90" t="s">
        <v>72</v>
      </c>
      <c r="G90">
        <v>3.4197821698659299</v>
      </c>
      <c r="H90">
        <v>2E+20</v>
      </c>
      <c r="I90">
        <v>9.3403613298860905E-2</v>
      </c>
      <c r="J90">
        <v>37.648155179221398</v>
      </c>
      <c r="K90">
        <v>128</v>
      </c>
      <c r="L9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compartida)ClienteVA TimeEntity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19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3.7328197351244743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0.46502806282270054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0.22413635167261109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2.8861185212318898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4.9064162118213703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47.429632233637001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90" s="5">
        <f>IF((DiscreteStatsTable[[#This Row],[RepsRequested]]&gt;1),DiscreteStatsTable[[#This Row],[HalfWidth]],DiscreteStatsTable[[#This Row],[BatchMeansHalfWidth]])</f>
        <v>0.22413635167261109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19</v>
      </c>
      <c r="Y90" s="5">
        <f>IF(DiscreteStatsTable[[#This Row],[RepsRequested]]=DiscreteStatsTable[[#This Row],[RepsWithStatObserved]],1,0)</f>
        <v>1</v>
      </c>
    </row>
    <row r="91" spans="1:25" x14ac:dyDescent="0.25">
      <c r="A91" t="s">
        <v>67</v>
      </c>
      <c r="B91" t="s">
        <v>69</v>
      </c>
      <c r="C91">
        <v>15</v>
      </c>
      <c r="D91" t="s">
        <v>70</v>
      </c>
      <c r="E91" t="s">
        <v>77</v>
      </c>
      <c r="F91" t="s">
        <v>72</v>
      </c>
      <c r="G91">
        <v>2.9667733339648099</v>
      </c>
      <c r="H91">
        <v>2E+20</v>
      </c>
      <c r="I91">
        <v>5.9856115289051097E-2</v>
      </c>
      <c r="J91">
        <v>12.4559071320712</v>
      </c>
      <c r="K91">
        <v>128</v>
      </c>
      <c r="L9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compartida)ClienteWait TimeEntity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19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3.6753649815042069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2.457799691981351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1.1846215317822661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1.88211764353336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12.695697184187701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3.57397384231746E-2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48.547399979086499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91" s="5">
        <f>IF((DiscreteStatsTable[[#This Row],[RepsRequested]]&gt;1),DiscreteStatsTable[[#This Row],[HalfWidth]],DiscreteStatsTable[[#This Row],[BatchMeansHalfWidth]])</f>
        <v>1.1846215317822661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19</v>
      </c>
      <c r="Y91" s="5">
        <f>IF(DiscreteStatsTable[[#This Row],[RepsRequested]]=DiscreteStatsTable[[#This Row],[RepsWithStatObserved]],1,0)</f>
        <v>1</v>
      </c>
    </row>
    <row r="92" spans="1:25" x14ac:dyDescent="0.25">
      <c r="A92" t="s">
        <v>67</v>
      </c>
      <c r="B92" t="s">
        <v>69</v>
      </c>
      <c r="C92">
        <v>16</v>
      </c>
      <c r="D92" t="s">
        <v>70</v>
      </c>
      <c r="E92" t="s">
        <v>71</v>
      </c>
      <c r="F92" t="s">
        <v>72</v>
      </c>
      <c r="G92">
        <v>0</v>
      </c>
      <c r="H92">
        <v>2E+20</v>
      </c>
      <c r="I92">
        <v>0</v>
      </c>
      <c r="J92">
        <v>0</v>
      </c>
      <c r="K92">
        <v>131</v>
      </c>
      <c r="L9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compartida)ClienteNVA TimeEntity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19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92" s="5">
        <f>IF((DiscreteStatsTable[[#This Row],[RepsRequested]]&gt;1),DiscreteStatsTable[[#This Row],[HalfWidth]],DiscreteStatsTable[[#This Row],[BatchMeansHalfWidth]])</f>
        <v>0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19</v>
      </c>
      <c r="Y92" s="5">
        <f>IF(DiscreteStatsTable[[#This Row],[RepsRequested]]=DiscreteStatsTable[[#This Row],[RepsWithStatObserved]],1,0)</f>
        <v>1</v>
      </c>
    </row>
    <row r="93" spans="1:25" x14ac:dyDescent="0.25">
      <c r="A93" t="s">
        <v>67</v>
      </c>
      <c r="B93" t="s">
        <v>69</v>
      </c>
      <c r="C93">
        <v>16</v>
      </c>
      <c r="D93" t="s">
        <v>70</v>
      </c>
      <c r="E93" t="s">
        <v>73</v>
      </c>
      <c r="F93" t="s">
        <v>72</v>
      </c>
      <c r="G93">
        <v>0.58221134053425505</v>
      </c>
      <c r="H93">
        <v>2E+20</v>
      </c>
      <c r="I93">
        <v>0.132655615476239</v>
      </c>
      <c r="J93">
        <v>1.22078424092084</v>
      </c>
      <c r="K93">
        <v>131</v>
      </c>
      <c r="L9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compartida)ClienteOther TimeEntity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19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0.63507790130082442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3.8049773137108653E-2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1.8339403607505776E-2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0.55466095318799302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0.70846368869380205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4.6990588824101599E-2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2.8324325672652599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93" s="5">
        <f>IF((DiscreteStatsTable[[#This Row],[RepsRequested]]&gt;1),DiscreteStatsTable[[#This Row],[HalfWidth]],DiscreteStatsTable[[#This Row],[BatchMeansHalfWidth]])</f>
        <v>1.8339403607505776E-2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19</v>
      </c>
      <c r="Y93" s="5">
        <f>IF(DiscreteStatsTable[[#This Row],[RepsRequested]]=DiscreteStatsTable[[#This Row],[RepsWithStatObserved]],1,0)</f>
        <v>1</v>
      </c>
    </row>
    <row r="94" spans="1:25" x14ac:dyDescent="0.25">
      <c r="A94" t="s">
        <v>67</v>
      </c>
      <c r="B94" t="s">
        <v>69</v>
      </c>
      <c r="C94">
        <v>16</v>
      </c>
      <c r="D94" t="s">
        <v>70</v>
      </c>
      <c r="E94" t="s">
        <v>74</v>
      </c>
      <c r="F94" t="s">
        <v>72</v>
      </c>
      <c r="G94">
        <v>5.1069599568864099</v>
      </c>
      <c r="H94">
        <v>2E+20</v>
      </c>
      <c r="I94">
        <v>0.50900606419733696</v>
      </c>
      <c r="J94">
        <v>40.377024852532202</v>
      </c>
      <c r="K94">
        <v>131</v>
      </c>
      <c r="L9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compartida)ClienteTotal TimeEntity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19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6.1004830173875275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1.9202776678807203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4.4316568587741703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12.691770210246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0.42710492268932398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61.164243616895902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94" s="5">
        <f>IF((DiscreteStatsTable[[#This Row],[RepsRequested]]&gt;1),DiscreteStatsTable[[#This Row],[HalfWidth]],DiscreteStatsTable[[#This Row],[BatchMeansHalfWidth]])</f>
        <v>0.92554420923468694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19</v>
      </c>
      <c r="Y94" s="5">
        <f>IF(DiscreteStatsTable[[#This Row],[RepsRequested]]=DiscreteStatsTable[[#This Row],[RepsWithStatObserved]],1,0)</f>
        <v>1</v>
      </c>
    </row>
    <row r="95" spans="1:25" x14ac:dyDescent="0.25">
      <c r="A95" t="s">
        <v>67</v>
      </c>
      <c r="B95" t="s">
        <v>69</v>
      </c>
      <c r="C95">
        <v>16</v>
      </c>
      <c r="D95" t="s">
        <v>70</v>
      </c>
      <c r="E95" t="s">
        <v>75</v>
      </c>
      <c r="F95" t="s">
        <v>72</v>
      </c>
      <c r="G95">
        <v>0.233333333333336</v>
      </c>
      <c r="H95">
        <v>2E+20</v>
      </c>
      <c r="I95">
        <v>0.23333333333331999</v>
      </c>
      <c r="J95">
        <v>0.23333333333334799</v>
      </c>
      <c r="K95">
        <v>131</v>
      </c>
      <c r="L9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compartida)ClienteTransfer TimeEntity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19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0.23333333333333742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1.1204111467455151E-15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5.4002088665477309E-16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0.233333333333336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0.23333333333334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0.23333333333331999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0.23333333333334799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95" s="5">
        <f>IF((DiscreteStatsTable[[#This Row],[RepsRequested]]&gt;1),DiscreteStatsTable[[#This Row],[HalfWidth]],DiscreteStatsTable[[#This Row],[BatchMeansHalfWidth]])</f>
        <v>5.4002088665477309E-16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19</v>
      </c>
      <c r="Y95" s="5">
        <f>IF(DiscreteStatsTable[[#This Row],[RepsRequested]]=DiscreteStatsTable[[#This Row],[RepsWithStatObserved]],1,0)</f>
        <v>1</v>
      </c>
    </row>
    <row r="96" spans="1:25" x14ac:dyDescent="0.25">
      <c r="A96" t="s">
        <v>67</v>
      </c>
      <c r="B96" t="s">
        <v>69</v>
      </c>
      <c r="C96">
        <v>16</v>
      </c>
      <c r="D96" t="s">
        <v>70</v>
      </c>
      <c r="E96" t="s">
        <v>76</v>
      </c>
      <c r="F96" t="s">
        <v>72</v>
      </c>
      <c r="G96">
        <v>3.6501127501799702</v>
      </c>
      <c r="H96">
        <v>2E+20</v>
      </c>
      <c r="I96">
        <v>6.2892149244035495E-2</v>
      </c>
      <c r="J96">
        <v>35.160771217275901</v>
      </c>
      <c r="K96">
        <v>131</v>
      </c>
      <c r="L9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compartida)ClienteVA TimeEntity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19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3.7328197351244743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0.46502806282270054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0.22413635167261109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2.8861185212318898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4.9064162118213703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47.429632233637001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96" s="5">
        <f>IF((DiscreteStatsTable[[#This Row],[RepsRequested]]&gt;1),DiscreteStatsTable[[#This Row],[HalfWidth]],DiscreteStatsTable[[#This Row],[BatchMeansHalfWidth]])</f>
        <v>0.22413635167261109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19</v>
      </c>
      <c r="Y96" s="5">
        <f>IF(DiscreteStatsTable[[#This Row],[RepsRequested]]=DiscreteStatsTable[[#This Row],[RepsWithStatObserved]],1,0)</f>
        <v>1</v>
      </c>
    </row>
    <row r="97" spans="1:25" x14ac:dyDescent="0.25">
      <c r="A97" t="s">
        <v>67</v>
      </c>
      <c r="B97" t="s">
        <v>69</v>
      </c>
      <c r="C97">
        <v>16</v>
      </c>
      <c r="D97" t="s">
        <v>70</v>
      </c>
      <c r="E97" t="s">
        <v>77</v>
      </c>
      <c r="F97" t="s">
        <v>72</v>
      </c>
      <c r="G97">
        <v>2.2060195919311401</v>
      </c>
      <c r="H97">
        <v>2E+20</v>
      </c>
      <c r="I97">
        <v>4.6225482577369803E-2</v>
      </c>
      <c r="J97">
        <v>24.993572399149901</v>
      </c>
      <c r="K97">
        <v>131</v>
      </c>
      <c r="L9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compartida)ClienteWait TimeEntity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19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3.6753649815042069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2.457799691981351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1.1846215317822661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1.88211764353336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12.695697184187701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3.57397384231746E-2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48.547399979086499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97" s="5">
        <f>IF((DiscreteStatsTable[[#This Row],[RepsRequested]]&gt;1),DiscreteStatsTable[[#This Row],[HalfWidth]],DiscreteStatsTable[[#This Row],[BatchMeansHalfWidth]])</f>
        <v>1.1846215317822661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19</v>
      </c>
      <c r="Y97" s="5">
        <f>IF(DiscreteStatsTable[[#This Row],[RepsRequested]]=DiscreteStatsTable[[#This Row],[RepsWithStatObserved]],1,0)</f>
        <v>1</v>
      </c>
    </row>
    <row r="98" spans="1:25" x14ac:dyDescent="0.25">
      <c r="A98" t="s">
        <v>67</v>
      </c>
      <c r="B98" t="s">
        <v>69</v>
      </c>
      <c r="C98">
        <v>17</v>
      </c>
      <c r="D98" t="s">
        <v>70</v>
      </c>
      <c r="E98" t="s">
        <v>71</v>
      </c>
      <c r="F98" t="s">
        <v>72</v>
      </c>
      <c r="G98">
        <v>0</v>
      </c>
      <c r="H98">
        <v>2E+20</v>
      </c>
      <c r="I98">
        <v>0</v>
      </c>
      <c r="J98">
        <v>0</v>
      </c>
      <c r="K98">
        <v>124</v>
      </c>
      <c r="L9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compartida)ClienteNVA TimeEntity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19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98" s="5">
        <f>IF((DiscreteStatsTable[[#This Row],[RepsRequested]]&gt;1),DiscreteStatsTable[[#This Row],[HalfWidth]],DiscreteStatsTable[[#This Row],[BatchMeansHalfWidth]])</f>
        <v>0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19</v>
      </c>
      <c r="Y98" s="5">
        <f>IF(DiscreteStatsTable[[#This Row],[RepsRequested]]=DiscreteStatsTable[[#This Row],[RepsWithStatObserved]],1,0)</f>
        <v>1</v>
      </c>
    </row>
    <row r="99" spans="1:25" x14ac:dyDescent="0.25">
      <c r="A99" t="s">
        <v>67</v>
      </c>
      <c r="B99" t="s">
        <v>69</v>
      </c>
      <c r="C99">
        <v>17</v>
      </c>
      <c r="D99" t="s">
        <v>70</v>
      </c>
      <c r="E99" t="s">
        <v>73</v>
      </c>
      <c r="F99" t="s">
        <v>72</v>
      </c>
      <c r="G99">
        <v>0.59793872571471995</v>
      </c>
      <c r="H99">
        <v>2E+20</v>
      </c>
      <c r="I99">
        <v>0.14249025763181999</v>
      </c>
      <c r="J99">
        <v>2.8324325672652599</v>
      </c>
      <c r="K99">
        <v>124</v>
      </c>
      <c r="L9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compartida)ClienteOther TimeEntity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19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0.63507790130082442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3.8049773137108653E-2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1.8339403607505776E-2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0.55466095318799302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0.70846368869380205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4.6990588824101599E-2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2.8324325672652599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99" s="5">
        <f>IF((DiscreteStatsTable[[#This Row],[RepsRequested]]&gt;1),DiscreteStatsTable[[#This Row],[HalfWidth]],DiscreteStatsTable[[#This Row],[BatchMeansHalfWidth]])</f>
        <v>1.8339403607505776E-2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19</v>
      </c>
      <c r="Y99" s="5">
        <f>IF(DiscreteStatsTable[[#This Row],[RepsRequested]]=DiscreteStatsTable[[#This Row],[RepsWithStatObserved]],1,0)</f>
        <v>1</v>
      </c>
    </row>
    <row r="100" spans="1:25" x14ac:dyDescent="0.25">
      <c r="A100" t="s">
        <v>67</v>
      </c>
      <c r="B100" t="s">
        <v>69</v>
      </c>
      <c r="C100">
        <v>17</v>
      </c>
      <c r="D100" t="s">
        <v>70</v>
      </c>
      <c r="E100" t="s">
        <v>74</v>
      </c>
      <c r="F100" t="s">
        <v>72</v>
      </c>
      <c r="G100">
        <v>5.7418252784821497</v>
      </c>
      <c r="H100">
        <v>2E+20</v>
      </c>
      <c r="I100">
        <v>0.57202204234091902</v>
      </c>
      <c r="J100">
        <v>42.919398101907198</v>
      </c>
      <c r="K100">
        <v>124</v>
      </c>
      <c r="L10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compartida)ClienteTotal TimeEntity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19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6.1004830173875275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1.9202776678807203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4.4316568587741703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12.691770210246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0.42710492268932398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61.164243616895902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00" s="5">
        <f>IF((DiscreteStatsTable[[#This Row],[RepsRequested]]&gt;1),DiscreteStatsTable[[#This Row],[HalfWidth]],DiscreteStatsTable[[#This Row],[BatchMeansHalfWidth]])</f>
        <v>0.92554420923468694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19</v>
      </c>
      <c r="Y100" s="5">
        <f>IF(DiscreteStatsTable[[#This Row],[RepsRequested]]=DiscreteStatsTable[[#This Row],[RepsWithStatObserved]],1,0)</f>
        <v>1</v>
      </c>
    </row>
    <row r="101" spans="1:25" x14ac:dyDescent="0.25">
      <c r="A101" t="s">
        <v>67</v>
      </c>
      <c r="B101" t="s">
        <v>69</v>
      </c>
      <c r="C101">
        <v>17</v>
      </c>
      <c r="D101" t="s">
        <v>70</v>
      </c>
      <c r="E101" t="s">
        <v>75</v>
      </c>
      <c r="F101" t="s">
        <v>72</v>
      </c>
      <c r="G101">
        <v>0.233333333333336</v>
      </c>
      <c r="H101">
        <v>2E+20</v>
      </c>
      <c r="I101">
        <v>0.23333333333331999</v>
      </c>
      <c r="J101">
        <v>0.23333333333334799</v>
      </c>
      <c r="K101">
        <v>124</v>
      </c>
      <c r="L10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compartida)ClienteTransfer TimeEntity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19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0.23333333333333742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1.1204111467455151E-15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5.4002088665477309E-16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0.233333333333336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0.23333333333334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0.23333333333331999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0.23333333333334799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01" s="5">
        <f>IF((DiscreteStatsTable[[#This Row],[RepsRequested]]&gt;1),DiscreteStatsTable[[#This Row],[HalfWidth]],DiscreteStatsTable[[#This Row],[BatchMeansHalfWidth]])</f>
        <v>5.4002088665477309E-16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19</v>
      </c>
      <c r="Y101" s="5">
        <f>IF(DiscreteStatsTable[[#This Row],[RepsRequested]]=DiscreteStatsTable[[#This Row],[RepsWithStatObserved]],1,0)</f>
        <v>1</v>
      </c>
    </row>
    <row r="102" spans="1:25" x14ac:dyDescent="0.25">
      <c r="A102" t="s">
        <v>67</v>
      </c>
      <c r="B102" t="s">
        <v>69</v>
      </c>
      <c r="C102">
        <v>17</v>
      </c>
      <c r="D102" t="s">
        <v>70</v>
      </c>
      <c r="E102" t="s">
        <v>76</v>
      </c>
      <c r="F102" t="s">
        <v>72</v>
      </c>
      <c r="G102">
        <v>3.91629592665906</v>
      </c>
      <c r="H102">
        <v>2E+20</v>
      </c>
      <c r="I102">
        <v>8.6922262650745097E-2</v>
      </c>
      <c r="J102">
        <v>41.368211003183198</v>
      </c>
      <c r="K102">
        <v>124</v>
      </c>
      <c r="L10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compartida)ClienteVA TimeEntity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19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3.7328197351244743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0.46502806282270054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0.22413635167261109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2.8861185212318898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4.9064162118213703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47.429632233637001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02" s="5">
        <f>IF((DiscreteStatsTable[[#This Row],[RepsRequested]]&gt;1),DiscreteStatsTable[[#This Row],[HalfWidth]],DiscreteStatsTable[[#This Row],[BatchMeansHalfWidth]])</f>
        <v>0.22413635167261109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19</v>
      </c>
      <c r="Y102" s="5">
        <f>IF(DiscreteStatsTable[[#This Row],[RepsRequested]]=DiscreteStatsTable[[#This Row],[RepsWithStatObserved]],1,0)</f>
        <v>1</v>
      </c>
    </row>
    <row r="103" spans="1:25" x14ac:dyDescent="0.25">
      <c r="A103" t="s">
        <v>67</v>
      </c>
      <c r="B103" t="s">
        <v>69</v>
      </c>
      <c r="C103">
        <v>17</v>
      </c>
      <c r="D103" t="s">
        <v>70</v>
      </c>
      <c r="E103" t="s">
        <v>77</v>
      </c>
      <c r="F103" t="s">
        <v>72</v>
      </c>
      <c r="G103">
        <v>2.9170095439191099</v>
      </c>
      <c r="H103">
        <v>2E+20</v>
      </c>
      <c r="I103">
        <v>5.4088308983693899E-2</v>
      </c>
      <c r="J103">
        <v>12.260143401516</v>
      </c>
      <c r="K103">
        <v>124</v>
      </c>
      <c r="L10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compartida)ClienteWait TimeEntity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19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3.6753649815042069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2.457799691981351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1.1846215317822661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1.88211764353336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12.695697184187701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3.57397384231746E-2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48.547399979086499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03" s="5">
        <f>IF((DiscreteStatsTable[[#This Row],[RepsRequested]]&gt;1),DiscreteStatsTable[[#This Row],[HalfWidth]],DiscreteStatsTable[[#This Row],[BatchMeansHalfWidth]])</f>
        <v>1.1846215317822661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19</v>
      </c>
      <c r="Y103" s="5">
        <f>IF(DiscreteStatsTable[[#This Row],[RepsRequested]]=DiscreteStatsTable[[#This Row],[RepsWithStatObserved]],1,0)</f>
        <v>1</v>
      </c>
    </row>
    <row r="104" spans="1:25" x14ac:dyDescent="0.25">
      <c r="A104" t="s">
        <v>67</v>
      </c>
      <c r="B104" t="s">
        <v>69</v>
      </c>
      <c r="C104">
        <v>18</v>
      </c>
      <c r="D104" t="s">
        <v>70</v>
      </c>
      <c r="E104" t="s">
        <v>71</v>
      </c>
      <c r="F104" t="s">
        <v>72</v>
      </c>
      <c r="G104">
        <v>0</v>
      </c>
      <c r="H104">
        <v>2E+20</v>
      </c>
      <c r="I104">
        <v>0</v>
      </c>
      <c r="J104">
        <v>0</v>
      </c>
      <c r="K104">
        <v>122</v>
      </c>
      <c r="L10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compartida)ClienteNVA TimeEntity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19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04" s="5">
        <f>IF((DiscreteStatsTable[[#This Row],[RepsRequested]]&gt;1),DiscreteStatsTable[[#This Row],[HalfWidth]],DiscreteStatsTable[[#This Row],[BatchMeansHalfWidth]])</f>
        <v>0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19</v>
      </c>
      <c r="Y104" s="5">
        <f>IF(DiscreteStatsTable[[#This Row],[RepsRequested]]=DiscreteStatsTable[[#This Row],[RepsWithStatObserved]],1,0)</f>
        <v>1</v>
      </c>
    </row>
    <row r="105" spans="1:25" x14ac:dyDescent="0.25">
      <c r="A105" t="s">
        <v>67</v>
      </c>
      <c r="B105" t="s">
        <v>69</v>
      </c>
      <c r="C105">
        <v>18</v>
      </c>
      <c r="D105" t="s">
        <v>70</v>
      </c>
      <c r="E105" t="s">
        <v>73</v>
      </c>
      <c r="F105" t="s">
        <v>72</v>
      </c>
      <c r="G105">
        <v>0.58427892846539498</v>
      </c>
      <c r="H105">
        <v>2E+20</v>
      </c>
      <c r="I105">
        <v>9.2656848499188996E-2</v>
      </c>
      <c r="J105">
        <v>1.3365096395420699</v>
      </c>
      <c r="K105">
        <v>122</v>
      </c>
      <c r="L10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compartida)ClienteOther TimeEntity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19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0.63507790130082442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3.8049773137108653E-2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1.8339403607505776E-2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0.55466095318799302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0.70846368869380205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4.6990588824101599E-2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2.8324325672652599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05" s="5">
        <f>IF((DiscreteStatsTable[[#This Row],[RepsRequested]]&gt;1),DiscreteStatsTable[[#This Row],[HalfWidth]],DiscreteStatsTable[[#This Row],[BatchMeansHalfWidth]])</f>
        <v>1.8339403607505776E-2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19</v>
      </c>
      <c r="Y105" s="5">
        <f>IF(DiscreteStatsTable[[#This Row],[RepsRequested]]=DiscreteStatsTable[[#This Row],[RepsWithStatObserved]],1,0)</f>
        <v>1</v>
      </c>
    </row>
    <row r="106" spans="1:25" x14ac:dyDescent="0.25">
      <c r="A106" t="s">
        <v>67</v>
      </c>
      <c r="B106" t="s">
        <v>69</v>
      </c>
      <c r="C106">
        <v>18</v>
      </c>
      <c r="D106" t="s">
        <v>70</v>
      </c>
      <c r="E106" t="s">
        <v>74</v>
      </c>
      <c r="F106" t="s">
        <v>72</v>
      </c>
      <c r="G106">
        <v>6.3388926776326597</v>
      </c>
      <c r="H106">
        <v>2E+20</v>
      </c>
      <c r="I106">
        <v>0.45382681950752601</v>
      </c>
      <c r="J106">
        <v>54.081238089079903</v>
      </c>
      <c r="K106">
        <v>122</v>
      </c>
      <c r="L10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compartida)ClienteTotal TimeEntity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19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6.1004830173875275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1.9202776678807203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4.4316568587741703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12.691770210246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0.42710492268932398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61.164243616895902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06" s="5">
        <f>IF((DiscreteStatsTable[[#This Row],[RepsRequested]]&gt;1),DiscreteStatsTable[[#This Row],[HalfWidth]],DiscreteStatsTable[[#This Row],[BatchMeansHalfWidth]])</f>
        <v>0.92554420923468694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19</v>
      </c>
      <c r="Y106" s="5">
        <f>IF(DiscreteStatsTable[[#This Row],[RepsRequested]]=DiscreteStatsTable[[#This Row],[RepsWithStatObserved]],1,0)</f>
        <v>1</v>
      </c>
    </row>
    <row r="107" spans="1:25" x14ac:dyDescent="0.25">
      <c r="A107" t="s">
        <v>67</v>
      </c>
      <c r="B107" t="s">
        <v>69</v>
      </c>
      <c r="C107">
        <v>18</v>
      </c>
      <c r="D107" t="s">
        <v>70</v>
      </c>
      <c r="E107" t="s">
        <v>75</v>
      </c>
      <c r="F107" t="s">
        <v>72</v>
      </c>
      <c r="G107">
        <v>0.233333333333337</v>
      </c>
      <c r="H107">
        <v>2E+20</v>
      </c>
      <c r="I107">
        <v>0.23333333333331999</v>
      </c>
      <c r="J107">
        <v>0.23333333333334799</v>
      </c>
      <c r="K107">
        <v>122</v>
      </c>
      <c r="L10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compartida)ClienteTransfer TimeEntity</v>
      </c>
      <c r="M107" s="5" cm="1">
        <f t="array" ref="M107">MAX(IF((ProjectInfoTable[ProjectName]=DiscreteStatsTable[[#This Row],[ProjectName]]),(ProjectInfoTable[ProjectName]=DiscreteStatsTable[[#This Row],[ProjectName]])*ProjectInfoTable[NumberOfReplications]))</f>
        <v>19</v>
      </c>
      <c r="N107" s="5" cm="1">
        <f t="array" ref="N107">IFERROR(AVERAGE(IF((DiscreteStatsTable[GroupByKey]=DiscreteStatsTable[[#This Row],[GroupByKey]]),(DiscreteStatsTable[GroupByKey]=DiscreteStatsTable[[#This Row],[GroupByKey]])*DiscreteStatsTable[Average])),0)</f>
        <v>0.23333333333333742</v>
      </c>
      <c r="O107" s="5" cm="1">
        <f t="array" ref="O107">IFERROR(_xlfn.STDEV.S(IF((DiscreteStatsTable[GroupByKey]=DiscreteStatsTable[[#This Row],[GroupByKey]]),(DiscreteStatsTable[GroupByKey]=DiscreteStatsTable[[#This Row],[GroupByKey]])*DiscreteStatsTable[Average])),0)</f>
        <v>1.1204111467455151E-15</v>
      </c>
      <c r="P107" s="5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5.4002088665477309E-16</v>
      </c>
      <c r="R107" s="5" cm="1">
        <f t="array" ref="R107">MIN(IF((DiscreteStatsTable[GroupByKey]=DiscreteStatsTable[[#This Row],[GroupByKey]]),(DiscreteStatsTable[GroupByKey]=DiscreteStatsTable[[#This Row],[GroupByKey]])*DiscreteStatsTable[Average]))</f>
        <v>0.233333333333336</v>
      </c>
      <c r="S107" s="5" cm="1">
        <f t="array" ref="S107">MAX(IF((DiscreteStatsTable[GroupByKey]=DiscreteStatsTable[[#This Row],[GroupByKey]]),(DiscreteStatsTable[GroupByKey]=DiscreteStatsTable[[#This Row],[GroupByKey]])*DiscreteStatsTable[Average]))</f>
        <v>0.23333333333334</v>
      </c>
      <c r="T107" s="5" cm="1">
        <f t="array" ref="T107">MIN(IF((DiscreteStatsTable[GroupByKey]=DiscreteStatsTable[[#This Row],[GroupByKey]]),(DiscreteStatsTable[GroupByKey]=DiscreteStatsTable[[#This Row],[GroupByKey]])*DiscreteStatsTable[Minimum]))</f>
        <v>0.23333333333331999</v>
      </c>
      <c r="U107" s="5" cm="1">
        <f t="array" ref="U107">MAX(IF((DiscreteStatsTable[GroupByKey]=DiscreteStatsTable[[#This Row],[GroupByKey]]),(DiscreteStatsTable[GroupByKey]=DiscreteStatsTable[[#This Row],[GroupByKey]])*DiscreteStatsTable[Maximum]))</f>
        <v>0.23333333333334799</v>
      </c>
      <c r="V107" s="5" cm="1">
        <f t="array" ref="V107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07" s="5">
        <f>IF((DiscreteStatsTable[[#This Row],[RepsRequested]]&gt;1),DiscreteStatsTable[[#This Row],[HalfWidth]],DiscreteStatsTable[[#This Row],[BatchMeansHalfWidth]])</f>
        <v>5.4002088665477309E-16</v>
      </c>
      <c r="X107" s="5" cm="1">
        <f t="array" ref="X107">COUNT(IF((DiscreteStatsTable[GroupByKey]=DiscreteStatsTable[[#This Row],[GroupByKey]]),(DiscreteStatsTable[GroupByKey]=DiscreteStatsTable[[#This Row],[GroupByKey]])*DiscreteStatsTable[Replication]))</f>
        <v>19</v>
      </c>
      <c r="Y107" s="5">
        <f>IF(DiscreteStatsTable[[#This Row],[RepsRequested]]=DiscreteStatsTable[[#This Row],[RepsWithStatObserved]],1,0)</f>
        <v>1</v>
      </c>
    </row>
    <row r="108" spans="1:25" x14ac:dyDescent="0.25">
      <c r="A108" t="s">
        <v>67</v>
      </c>
      <c r="B108" t="s">
        <v>69</v>
      </c>
      <c r="C108">
        <v>18</v>
      </c>
      <c r="D108" t="s">
        <v>70</v>
      </c>
      <c r="E108" t="s">
        <v>76</v>
      </c>
      <c r="F108" t="s">
        <v>72</v>
      </c>
      <c r="G108">
        <v>3.8271793209992899</v>
      </c>
      <c r="H108">
        <v>2E+20</v>
      </c>
      <c r="I108">
        <v>0</v>
      </c>
      <c r="J108">
        <v>41.189798803136199</v>
      </c>
      <c r="K108">
        <v>122</v>
      </c>
      <c r="L10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compartida)ClienteVA TimeEntity</v>
      </c>
      <c r="M108" s="5" cm="1">
        <f t="array" ref="M108">MAX(IF((ProjectInfoTable[ProjectName]=DiscreteStatsTable[[#This Row],[ProjectName]]),(ProjectInfoTable[ProjectName]=DiscreteStatsTable[[#This Row],[ProjectName]])*ProjectInfoTable[NumberOfReplications]))</f>
        <v>19</v>
      </c>
      <c r="N108" s="5" cm="1">
        <f t="array" ref="N108">IFERROR(AVERAGE(IF((DiscreteStatsTable[GroupByKey]=DiscreteStatsTable[[#This Row],[GroupByKey]]),(DiscreteStatsTable[GroupByKey]=DiscreteStatsTable[[#This Row],[GroupByKey]])*DiscreteStatsTable[Average])),0)</f>
        <v>3.7328197351244743</v>
      </c>
      <c r="O108" s="5" cm="1">
        <f t="array" ref="O108">IFERROR(_xlfn.STDEV.S(IF((DiscreteStatsTable[GroupByKey]=DiscreteStatsTable[[#This Row],[GroupByKey]]),(DiscreteStatsTable[GroupByKey]=DiscreteStatsTable[[#This Row],[GroupByKey]])*DiscreteStatsTable[Average])),0)</f>
        <v>0.46502806282270054</v>
      </c>
      <c r="P108" s="5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0.22413635167261109</v>
      </c>
      <c r="R108" s="5" cm="1">
        <f t="array" ref="R108">MIN(IF((DiscreteStatsTable[GroupByKey]=DiscreteStatsTable[[#This Row],[GroupByKey]]),(DiscreteStatsTable[GroupByKey]=DiscreteStatsTable[[#This Row],[GroupByKey]])*DiscreteStatsTable[Average]))</f>
        <v>2.8861185212318898</v>
      </c>
      <c r="S108" s="5" cm="1">
        <f t="array" ref="S108">MAX(IF((DiscreteStatsTable[GroupByKey]=DiscreteStatsTable[[#This Row],[GroupByKey]]),(DiscreteStatsTable[GroupByKey]=DiscreteStatsTable[[#This Row],[GroupByKey]])*DiscreteStatsTable[Average]))</f>
        <v>4.9064162118213703</v>
      </c>
      <c r="T108" s="5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s="5" cm="1">
        <f t="array" ref="U108">MAX(IF((DiscreteStatsTable[GroupByKey]=DiscreteStatsTable[[#This Row],[GroupByKey]]),(DiscreteStatsTable[GroupByKey]=DiscreteStatsTable[[#This Row],[GroupByKey]])*DiscreteStatsTable[Maximum]))</f>
        <v>47.429632233637001</v>
      </c>
      <c r="V108" s="5" cm="1">
        <f t="array" ref="V108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08" s="5">
        <f>IF((DiscreteStatsTable[[#This Row],[RepsRequested]]&gt;1),DiscreteStatsTable[[#This Row],[HalfWidth]],DiscreteStatsTable[[#This Row],[BatchMeansHalfWidth]])</f>
        <v>0.22413635167261109</v>
      </c>
      <c r="X108" s="5" cm="1">
        <f t="array" ref="X108">COUNT(IF((DiscreteStatsTable[GroupByKey]=DiscreteStatsTable[[#This Row],[GroupByKey]]),(DiscreteStatsTable[GroupByKey]=DiscreteStatsTable[[#This Row],[GroupByKey]])*DiscreteStatsTable[Replication]))</f>
        <v>19</v>
      </c>
      <c r="Y108" s="5">
        <f>IF(DiscreteStatsTable[[#This Row],[RepsRequested]]=DiscreteStatsTable[[#This Row],[RepsWithStatObserved]],1,0)</f>
        <v>1</v>
      </c>
    </row>
    <row r="109" spans="1:25" x14ac:dyDescent="0.25">
      <c r="A109" t="s">
        <v>67</v>
      </c>
      <c r="B109" t="s">
        <v>69</v>
      </c>
      <c r="C109">
        <v>18</v>
      </c>
      <c r="D109" t="s">
        <v>70</v>
      </c>
      <c r="E109" t="s">
        <v>77</v>
      </c>
      <c r="F109" t="s">
        <v>72</v>
      </c>
      <c r="G109">
        <v>4.2372491970318</v>
      </c>
      <c r="H109">
        <v>2E+20</v>
      </c>
      <c r="I109">
        <v>0.119695351013746</v>
      </c>
      <c r="J109">
        <v>21.734155580950599</v>
      </c>
      <c r="K109">
        <v>122</v>
      </c>
      <c r="L10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compartida)ClienteWait TimeEntity</v>
      </c>
      <c r="M109" s="5" cm="1">
        <f t="array" ref="M109">MAX(IF((ProjectInfoTable[ProjectName]=DiscreteStatsTable[[#This Row],[ProjectName]]),(ProjectInfoTable[ProjectName]=DiscreteStatsTable[[#This Row],[ProjectName]])*ProjectInfoTable[NumberOfReplications]))</f>
        <v>19</v>
      </c>
      <c r="N109" s="5" cm="1">
        <f t="array" ref="N109">IFERROR(AVERAGE(IF((DiscreteStatsTable[GroupByKey]=DiscreteStatsTable[[#This Row],[GroupByKey]]),(DiscreteStatsTable[GroupByKey]=DiscreteStatsTable[[#This Row],[GroupByKey]])*DiscreteStatsTable[Average])),0)</f>
        <v>3.6753649815042069</v>
      </c>
      <c r="O109" s="5" cm="1">
        <f t="array" ref="O109">IFERROR(_xlfn.STDEV.S(IF((DiscreteStatsTable[GroupByKey]=DiscreteStatsTable[[#This Row],[GroupByKey]]),(DiscreteStatsTable[GroupByKey]=DiscreteStatsTable[[#This Row],[GroupByKey]])*DiscreteStatsTable[Average])),0)</f>
        <v>2.457799691981351</v>
      </c>
      <c r="P109" s="5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1.1846215317822661</v>
      </c>
      <c r="R109" s="5" cm="1">
        <f t="array" ref="R109">MIN(IF((DiscreteStatsTable[GroupByKey]=DiscreteStatsTable[[#This Row],[GroupByKey]]),(DiscreteStatsTable[GroupByKey]=DiscreteStatsTable[[#This Row],[GroupByKey]])*DiscreteStatsTable[Average]))</f>
        <v>1.88211764353336</v>
      </c>
      <c r="S109" s="5" cm="1">
        <f t="array" ref="S109">MAX(IF((DiscreteStatsTable[GroupByKey]=DiscreteStatsTable[[#This Row],[GroupByKey]]),(DiscreteStatsTable[GroupByKey]=DiscreteStatsTable[[#This Row],[GroupByKey]])*DiscreteStatsTable[Average]))</f>
        <v>12.695697184187701</v>
      </c>
      <c r="T109" s="5" cm="1">
        <f t="array" ref="T109">MIN(IF((DiscreteStatsTable[GroupByKey]=DiscreteStatsTable[[#This Row],[GroupByKey]]),(DiscreteStatsTable[GroupByKey]=DiscreteStatsTable[[#This Row],[GroupByKey]])*DiscreteStatsTable[Minimum]))</f>
        <v>3.57397384231746E-2</v>
      </c>
      <c r="U109" s="5" cm="1">
        <f t="array" ref="U109">MAX(IF((DiscreteStatsTable[GroupByKey]=DiscreteStatsTable[[#This Row],[GroupByKey]]),(DiscreteStatsTable[GroupByKey]=DiscreteStatsTable[[#This Row],[GroupByKey]])*DiscreteStatsTable[Maximum]))</f>
        <v>48.547399979086499</v>
      </c>
      <c r="V109" s="5" cm="1">
        <f t="array" ref="V109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09" s="5">
        <f>IF((DiscreteStatsTable[[#This Row],[RepsRequested]]&gt;1),DiscreteStatsTable[[#This Row],[HalfWidth]],DiscreteStatsTable[[#This Row],[BatchMeansHalfWidth]])</f>
        <v>1.1846215317822661</v>
      </c>
      <c r="X109" s="5" cm="1">
        <f t="array" ref="X109">COUNT(IF((DiscreteStatsTable[GroupByKey]=DiscreteStatsTable[[#This Row],[GroupByKey]]),(DiscreteStatsTable[GroupByKey]=DiscreteStatsTable[[#This Row],[GroupByKey]])*DiscreteStatsTable[Replication]))</f>
        <v>19</v>
      </c>
      <c r="Y109" s="5">
        <f>IF(DiscreteStatsTable[[#This Row],[RepsRequested]]=DiscreteStatsTable[[#This Row],[RepsWithStatObserved]],1,0)</f>
        <v>1</v>
      </c>
    </row>
    <row r="110" spans="1:25" x14ac:dyDescent="0.25">
      <c r="A110" t="s">
        <v>67</v>
      </c>
      <c r="B110" t="s">
        <v>69</v>
      </c>
      <c r="C110">
        <v>19</v>
      </c>
      <c r="D110" t="s">
        <v>70</v>
      </c>
      <c r="E110" t="s">
        <v>71</v>
      </c>
      <c r="F110" t="s">
        <v>72</v>
      </c>
      <c r="G110">
        <v>0</v>
      </c>
      <c r="H110">
        <v>2E+20</v>
      </c>
      <c r="I110">
        <v>0</v>
      </c>
      <c r="J110">
        <v>0</v>
      </c>
      <c r="K110">
        <v>121</v>
      </c>
      <c r="L11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compartida)ClienteNVA TimeEntity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19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10" s="5">
        <f>IF((DiscreteStatsTable[[#This Row],[RepsRequested]]&gt;1),DiscreteStatsTable[[#This Row],[HalfWidth]],DiscreteStatsTable[[#This Row],[BatchMeansHalfWidth]])</f>
        <v>0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19</v>
      </c>
      <c r="Y110" s="5">
        <f>IF(DiscreteStatsTable[[#This Row],[RepsRequested]]=DiscreteStatsTable[[#This Row],[RepsWithStatObserved]],1,0)</f>
        <v>1</v>
      </c>
    </row>
    <row r="111" spans="1:25" x14ac:dyDescent="0.25">
      <c r="A111" t="s">
        <v>67</v>
      </c>
      <c r="B111" t="s">
        <v>69</v>
      </c>
      <c r="C111">
        <v>19</v>
      </c>
      <c r="D111" t="s">
        <v>70</v>
      </c>
      <c r="E111" t="s">
        <v>73</v>
      </c>
      <c r="F111" t="s">
        <v>72</v>
      </c>
      <c r="G111">
        <v>0.64029117514185396</v>
      </c>
      <c r="H111">
        <v>2E+20</v>
      </c>
      <c r="I111">
        <v>0.205522682088144</v>
      </c>
      <c r="J111">
        <v>1.9005556152863201</v>
      </c>
      <c r="K111">
        <v>121</v>
      </c>
      <c r="L11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compartida)ClienteOther TimeEntity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19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0.63507790130082442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3.8049773137108653E-2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1.8339403607505776E-2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0.55466095318799302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0.70846368869380205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4.6990588824101599E-2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2.8324325672652599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11" s="5">
        <f>IF((DiscreteStatsTable[[#This Row],[RepsRequested]]&gt;1),DiscreteStatsTable[[#This Row],[HalfWidth]],DiscreteStatsTable[[#This Row],[BatchMeansHalfWidth]])</f>
        <v>1.8339403607505776E-2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19</v>
      </c>
      <c r="Y111" s="5">
        <f>IF(DiscreteStatsTable[[#This Row],[RepsRequested]]=DiscreteStatsTable[[#This Row],[RepsWithStatObserved]],1,0)</f>
        <v>1</v>
      </c>
    </row>
    <row r="112" spans="1:25" x14ac:dyDescent="0.25">
      <c r="A112" t="s">
        <v>67</v>
      </c>
      <c r="B112" t="s">
        <v>69</v>
      </c>
      <c r="C112">
        <v>19</v>
      </c>
      <c r="D112" t="s">
        <v>70</v>
      </c>
      <c r="E112" t="s">
        <v>74</v>
      </c>
      <c r="F112" t="s">
        <v>72</v>
      </c>
      <c r="G112">
        <v>4.59328334182731</v>
      </c>
      <c r="H112">
        <v>2E+20</v>
      </c>
      <c r="I112">
        <v>0.63745372587239002</v>
      </c>
      <c r="J112">
        <v>28.7626893681803</v>
      </c>
      <c r="K112">
        <v>121</v>
      </c>
      <c r="L11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compartida)ClienteTotal TimeEntity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19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6.1004830173875275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1.9202776678807203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4.4316568587741703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12.691770210246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0.42710492268932398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61.164243616895902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12" s="5">
        <f>IF((DiscreteStatsTable[[#This Row],[RepsRequested]]&gt;1),DiscreteStatsTable[[#This Row],[HalfWidth]],DiscreteStatsTable[[#This Row],[BatchMeansHalfWidth]])</f>
        <v>0.92554420923468694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19</v>
      </c>
      <c r="Y112" s="5">
        <f>IF(DiscreteStatsTable[[#This Row],[RepsRequested]]=DiscreteStatsTable[[#This Row],[RepsWithStatObserved]],1,0)</f>
        <v>1</v>
      </c>
    </row>
    <row r="113" spans="1:25" x14ac:dyDescent="0.25">
      <c r="A113" t="s">
        <v>67</v>
      </c>
      <c r="B113" t="s">
        <v>69</v>
      </c>
      <c r="C113">
        <v>19</v>
      </c>
      <c r="D113" t="s">
        <v>70</v>
      </c>
      <c r="E113" t="s">
        <v>75</v>
      </c>
      <c r="F113" t="s">
        <v>72</v>
      </c>
      <c r="G113">
        <v>0.23333333333334</v>
      </c>
      <c r="H113">
        <v>2E+20</v>
      </c>
      <c r="I113">
        <v>0.23333333333331999</v>
      </c>
      <c r="J113">
        <v>0.23333333333334799</v>
      </c>
      <c r="K113">
        <v>121</v>
      </c>
      <c r="L11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compartida)ClienteTransfer TimeEntity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19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0.23333333333333742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1.1204111467455151E-15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5.4002088665477309E-16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0.233333333333336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0.23333333333334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0.23333333333331999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0.23333333333334799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13" s="5">
        <f>IF((DiscreteStatsTable[[#This Row],[RepsRequested]]&gt;1),DiscreteStatsTable[[#This Row],[HalfWidth]],DiscreteStatsTable[[#This Row],[BatchMeansHalfWidth]])</f>
        <v>5.4002088665477309E-16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19</v>
      </c>
      <c r="Y113" s="5">
        <f>IF(DiscreteStatsTable[[#This Row],[RepsRequested]]=DiscreteStatsTable[[#This Row],[RepsWithStatObserved]],1,0)</f>
        <v>1</v>
      </c>
    </row>
    <row r="114" spans="1:25" x14ac:dyDescent="0.25">
      <c r="A114" t="s">
        <v>67</v>
      </c>
      <c r="B114" t="s">
        <v>69</v>
      </c>
      <c r="C114">
        <v>19</v>
      </c>
      <c r="D114" t="s">
        <v>70</v>
      </c>
      <c r="E114" t="s">
        <v>76</v>
      </c>
      <c r="F114" t="s">
        <v>72</v>
      </c>
      <c r="G114">
        <v>3.09250548655849</v>
      </c>
      <c r="H114">
        <v>2E+20</v>
      </c>
      <c r="I114">
        <v>7.7292610103711495E-2</v>
      </c>
      <c r="J114">
        <v>26.9854560285739</v>
      </c>
      <c r="K114">
        <v>121</v>
      </c>
      <c r="L11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compartida)ClienteVA TimeEntity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19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3.7328197351244743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0.46502806282270054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0.22413635167261109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2.8861185212318898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4.9064162118213703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47.429632233637001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14" s="5">
        <f>IF((DiscreteStatsTable[[#This Row],[RepsRequested]]&gt;1),DiscreteStatsTable[[#This Row],[HalfWidth]],DiscreteStatsTable[[#This Row],[BatchMeansHalfWidth]])</f>
        <v>0.22413635167261109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19</v>
      </c>
      <c r="Y114" s="5">
        <f>IF(DiscreteStatsTable[[#This Row],[RepsRequested]]=DiscreteStatsTable[[#This Row],[RepsWithStatObserved]],1,0)</f>
        <v>1</v>
      </c>
    </row>
    <row r="115" spans="1:25" x14ac:dyDescent="0.25">
      <c r="A115" t="s">
        <v>67</v>
      </c>
      <c r="B115" t="s">
        <v>69</v>
      </c>
      <c r="C115">
        <v>19</v>
      </c>
      <c r="D115" t="s">
        <v>70</v>
      </c>
      <c r="E115" t="s">
        <v>77</v>
      </c>
      <c r="F115" t="s">
        <v>72</v>
      </c>
      <c r="G115">
        <v>2.21832685277858</v>
      </c>
      <c r="H115">
        <v>2E+20</v>
      </c>
      <c r="I115">
        <v>9.2421561884947295E-2</v>
      </c>
      <c r="J115">
        <v>11.1216888423196</v>
      </c>
      <c r="K115">
        <v>121</v>
      </c>
      <c r="L11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compartida)ClienteWait TimeEntity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19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3.6753649815042069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2.457799691981351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1.1846215317822661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1.88211764353336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12.695697184187701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3.57397384231746E-2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48.547399979086499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15" s="5">
        <f>IF((DiscreteStatsTable[[#This Row],[RepsRequested]]&gt;1),DiscreteStatsTable[[#This Row],[HalfWidth]],DiscreteStatsTable[[#This Row],[BatchMeansHalfWidth]])</f>
        <v>1.1846215317822661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19</v>
      </c>
      <c r="Y115" s="5">
        <f>IF(DiscreteStatsTable[[#This Row],[RepsRequested]]=DiscreteStatsTable[[#This Row],[RepsWithStatObserved]],1,0)</f>
        <v>1</v>
      </c>
    </row>
    <row r="116" spans="1:25" x14ac:dyDescent="0.25">
      <c r="A116" t="s">
        <v>67</v>
      </c>
      <c r="B116" t="s">
        <v>69</v>
      </c>
      <c r="C116">
        <v>1</v>
      </c>
      <c r="D116" t="s">
        <v>78</v>
      </c>
      <c r="E116" t="s">
        <v>79</v>
      </c>
      <c r="F116" t="s">
        <v>80</v>
      </c>
      <c r="G116">
        <v>8.86</v>
      </c>
      <c r="H116">
        <v>2E+20</v>
      </c>
      <c r="I116">
        <v>0</v>
      </c>
      <c r="J116">
        <v>22</v>
      </c>
      <c r="K116">
        <v>150</v>
      </c>
      <c r="L11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compartida)ClientesEnSistemaExpressionUser Specified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19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3.8510772186580167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1.3964350237206895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2.6330275229357798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8.86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22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16" s="5">
        <f>IF((DiscreteStatsTable[[#This Row],[RepsRequested]]&gt;1),DiscreteStatsTable[[#This Row],[HalfWidth]],DiscreteStatsTable[[#This Row],[BatchMeansHalfWidth]])</f>
        <v>0.67306013676844423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19</v>
      </c>
      <c r="Y116" s="5">
        <f>IF(DiscreteStatsTable[[#This Row],[RepsRequested]]=DiscreteStatsTable[[#This Row],[RepsWithStatObserved]],1,0)</f>
        <v>1</v>
      </c>
    </row>
    <row r="117" spans="1:25" x14ac:dyDescent="0.25">
      <c r="A117" t="s">
        <v>67</v>
      </c>
      <c r="B117" t="s">
        <v>69</v>
      </c>
      <c r="C117">
        <v>2</v>
      </c>
      <c r="D117" t="s">
        <v>78</v>
      </c>
      <c r="E117" t="s">
        <v>79</v>
      </c>
      <c r="F117" t="s">
        <v>80</v>
      </c>
      <c r="G117">
        <v>2.6330275229357798</v>
      </c>
      <c r="H117">
        <v>2E+20</v>
      </c>
      <c r="I117">
        <v>0</v>
      </c>
      <c r="J117">
        <v>8</v>
      </c>
      <c r="K117">
        <v>109</v>
      </c>
      <c r="L11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compartida)ClientesEnSistemaExpressionUser Specified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19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3.8510772186580167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1.3964350237206895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2.6330275229357798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8.86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22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17" s="5">
        <f>IF((DiscreteStatsTable[[#This Row],[RepsRequested]]&gt;1),DiscreteStatsTable[[#This Row],[HalfWidth]],DiscreteStatsTable[[#This Row],[BatchMeansHalfWidth]])</f>
        <v>0.67306013676844423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19</v>
      </c>
      <c r="Y117" s="5">
        <f>IF(DiscreteStatsTable[[#This Row],[RepsRequested]]=DiscreteStatsTable[[#This Row],[RepsWithStatObserved]],1,0)</f>
        <v>1</v>
      </c>
    </row>
    <row r="118" spans="1:25" x14ac:dyDescent="0.25">
      <c r="A118" t="s">
        <v>67</v>
      </c>
      <c r="B118" t="s">
        <v>69</v>
      </c>
      <c r="C118">
        <v>3</v>
      </c>
      <c r="D118" t="s">
        <v>78</v>
      </c>
      <c r="E118" t="s">
        <v>79</v>
      </c>
      <c r="F118" t="s">
        <v>80</v>
      </c>
      <c r="G118">
        <v>4.9913043478260901</v>
      </c>
      <c r="H118">
        <v>2E+20</v>
      </c>
      <c r="I118">
        <v>0</v>
      </c>
      <c r="J118">
        <v>14</v>
      </c>
      <c r="K118">
        <v>115</v>
      </c>
      <c r="L11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compartida)ClientesEnSistemaExpressionUser Specified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19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3.8510772186580167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1.3964350237206895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2.6330275229357798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8.86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22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18" s="5">
        <f>IF((DiscreteStatsTable[[#This Row],[RepsRequested]]&gt;1),DiscreteStatsTable[[#This Row],[HalfWidth]],DiscreteStatsTable[[#This Row],[BatchMeansHalfWidth]])</f>
        <v>0.67306013676844423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19</v>
      </c>
      <c r="Y118" s="5">
        <f>IF(DiscreteStatsTable[[#This Row],[RepsRequested]]=DiscreteStatsTable[[#This Row],[RepsWithStatObserved]],1,0)</f>
        <v>1</v>
      </c>
    </row>
    <row r="119" spans="1:25" x14ac:dyDescent="0.25">
      <c r="A119" t="s">
        <v>67</v>
      </c>
      <c r="B119" t="s">
        <v>69</v>
      </c>
      <c r="C119">
        <v>4</v>
      </c>
      <c r="D119" t="s">
        <v>78</v>
      </c>
      <c r="E119" t="s">
        <v>79</v>
      </c>
      <c r="F119" t="s">
        <v>80</v>
      </c>
      <c r="G119">
        <v>2.8534482758620698</v>
      </c>
      <c r="H119">
        <v>2E+20</v>
      </c>
      <c r="I119">
        <v>1</v>
      </c>
      <c r="J119">
        <v>6</v>
      </c>
      <c r="K119">
        <v>116</v>
      </c>
      <c r="L11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compartida)ClientesEnSistemaExpressionUser Specified</v>
      </c>
      <c r="M119" s="5" cm="1">
        <f t="array" ref="M119">MAX(IF((ProjectInfoTable[ProjectName]=DiscreteStatsTable[[#This Row],[ProjectName]]),(ProjectInfoTable[ProjectName]=DiscreteStatsTable[[#This Row],[ProjectName]])*ProjectInfoTable[NumberOfReplications]))</f>
        <v>19</v>
      </c>
      <c r="N119" s="5" cm="1">
        <f t="array" ref="N119">IFERROR(AVERAGE(IF((DiscreteStatsTable[GroupByKey]=DiscreteStatsTable[[#This Row],[GroupByKey]]),(DiscreteStatsTable[GroupByKey]=DiscreteStatsTable[[#This Row],[GroupByKey]])*DiscreteStatsTable[Average])),0)</f>
        <v>3.8510772186580167</v>
      </c>
      <c r="O119" s="5" cm="1">
        <f t="array" ref="O119">IFERROR(_xlfn.STDEV.S(IF((DiscreteStatsTable[GroupByKey]=DiscreteStatsTable[[#This Row],[GroupByKey]]),(DiscreteStatsTable[GroupByKey]=DiscreteStatsTable[[#This Row],[GroupByKey]])*DiscreteStatsTable[Average])),0)</f>
        <v>1.3964350237206895</v>
      </c>
      <c r="P119" s="5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19" s="5" cm="1">
        <f t="array" ref="R119">MIN(IF((DiscreteStatsTable[GroupByKey]=DiscreteStatsTable[[#This Row],[GroupByKey]]),(DiscreteStatsTable[GroupByKey]=DiscreteStatsTable[[#This Row],[GroupByKey]])*DiscreteStatsTable[Average]))</f>
        <v>2.6330275229357798</v>
      </c>
      <c r="S119" s="5" cm="1">
        <f t="array" ref="S119">MAX(IF((DiscreteStatsTable[GroupByKey]=DiscreteStatsTable[[#This Row],[GroupByKey]]),(DiscreteStatsTable[GroupByKey]=DiscreteStatsTable[[#This Row],[GroupByKey]])*DiscreteStatsTable[Average]))</f>
        <v>8.86</v>
      </c>
      <c r="T119" s="5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s="5" cm="1">
        <f t="array" ref="U119">MAX(IF((DiscreteStatsTable[GroupByKey]=DiscreteStatsTable[[#This Row],[GroupByKey]]),(DiscreteStatsTable[GroupByKey]=DiscreteStatsTable[[#This Row],[GroupByKey]])*DiscreteStatsTable[Maximum]))</f>
        <v>22</v>
      </c>
      <c r="V119" s="5" cm="1">
        <f t="array" ref="V119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19" s="5">
        <f>IF((DiscreteStatsTable[[#This Row],[RepsRequested]]&gt;1),DiscreteStatsTable[[#This Row],[HalfWidth]],DiscreteStatsTable[[#This Row],[BatchMeansHalfWidth]])</f>
        <v>0.67306013676844423</v>
      </c>
      <c r="X119" s="5" cm="1">
        <f t="array" ref="X119">COUNT(IF((DiscreteStatsTable[GroupByKey]=DiscreteStatsTable[[#This Row],[GroupByKey]]),(DiscreteStatsTable[GroupByKey]=DiscreteStatsTable[[#This Row],[GroupByKey]])*DiscreteStatsTable[Replication]))</f>
        <v>19</v>
      </c>
      <c r="Y119" s="5">
        <f>IF(DiscreteStatsTable[[#This Row],[RepsRequested]]=DiscreteStatsTable[[#This Row],[RepsWithStatObserved]],1,0)</f>
        <v>1</v>
      </c>
    </row>
    <row r="120" spans="1:25" x14ac:dyDescent="0.25">
      <c r="A120" t="s">
        <v>67</v>
      </c>
      <c r="B120" t="s">
        <v>69</v>
      </c>
      <c r="C120">
        <v>5</v>
      </c>
      <c r="D120" t="s">
        <v>78</v>
      </c>
      <c r="E120" t="s">
        <v>79</v>
      </c>
      <c r="F120" t="s">
        <v>80</v>
      </c>
      <c r="G120">
        <v>3.2170542635658901</v>
      </c>
      <c r="H120">
        <v>2E+20</v>
      </c>
      <c r="I120">
        <v>0</v>
      </c>
      <c r="J120">
        <v>7</v>
      </c>
      <c r="K120">
        <v>129</v>
      </c>
      <c r="L12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compartida)ClientesEnSistemaExpressionUser Specified</v>
      </c>
      <c r="M120" s="5" cm="1">
        <f t="array" ref="M120">MAX(IF((ProjectInfoTable[ProjectName]=DiscreteStatsTable[[#This Row],[ProjectName]]),(ProjectInfoTable[ProjectName]=DiscreteStatsTable[[#This Row],[ProjectName]])*ProjectInfoTable[NumberOfReplications]))</f>
        <v>19</v>
      </c>
      <c r="N120" s="5" cm="1">
        <f t="array" ref="N120">IFERROR(AVERAGE(IF((DiscreteStatsTable[GroupByKey]=DiscreteStatsTable[[#This Row],[GroupByKey]]),(DiscreteStatsTable[GroupByKey]=DiscreteStatsTable[[#This Row],[GroupByKey]])*DiscreteStatsTable[Average])),0)</f>
        <v>3.8510772186580167</v>
      </c>
      <c r="O120" s="5" cm="1">
        <f t="array" ref="O120">IFERROR(_xlfn.STDEV.S(IF((DiscreteStatsTable[GroupByKey]=DiscreteStatsTable[[#This Row],[GroupByKey]]),(DiscreteStatsTable[GroupByKey]=DiscreteStatsTable[[#This Row],[GroupByKey]])*DiscreteStatsTable[Average])),0)</f>
        <v>1.3964350237206895</v>
      </c>
      <c r="P120" s="5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20" s="5" cm="1">
        <f t="array" ref="R120">MIN(IF((DiscreteStatsTable[GroupByKey]=DiscreteStatsTable[[#This Row],[GroupByKey]]),(DiscreteStatsTable[GroupByKey]=DiscreteStatsTable[[#This Row],[GroupByKey]])*DiscreteStatsTable[Average]))</f>
        <v>2.6330275229357798</v>
      </c>
      <c r="S120" s="5" cm="1">
        <f t="array" ref="S120">MAX(IF((DiscreteStatsTable[GroupByKey]=DiscreteStatsTable[[#This Row],[GroupByKey]]),(DiscreteStatsTable[GroupByKey]=DiscreteStatsTable[[#This Row],[GroupByKey]])*DiscreteStatsTable[Average]))</f>
        <v>8.86</v>
      </c>
      <c r="T120" s="5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s="5" cm="1">
        <f t="array" ref="U120">MAX(IF((DiscreteStatsTable[GroupByKey]=DiscreteStatsTable[[#This Row],[GroupByKey]]),(DiscreteStatsTable[GroupByKey]=DiscreteStatsTable[[#This Row],[GroupByKey]])*DiscreteStatsTable[Maximum]))</f>
        <v>22</v>
      </c>
      <c r="V120" s="5" cm="1">
        <f t="array" ref="V120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20" s="5">
        <f>IF((DiscreteStatsTable[[#This Row],[RepsRequested]]&gt;1),DiscreteStatsTable[[#This Row],[HalfWidth]],DiscreteStatsTable[[#This Row],[BatchMeansHalfWidth]])</f>
        <v>0.67306013676844423</v>
      </c>
      <c r="X120" s="5" cm="1">
        <f t="array" ref="X120">COUNT(IF((DiscreteStatsTable[GroupByKey]=DiscreteStatsTable[[#This Row],[GroupByKey]]),(DiscreteStatsTable[GroupByKey]=DiscreteStatsTable[[#This Row],[GroupByKey]])*DiscreteStatsTable[Replication]))</f>
        <v>19</v>
      </c>
      <c r="Y120" s="5">
        <f>IF(DiscreteStatsTable[[#This Row],[RepsRequested]]=DiscreteStatsTable[[#This Row],[RepsWithStatObserved]],1,0)</f>
        <v>1</v>
      </c>
    </row>
    <row r="121" spans="1:25" x14ac:dyDescent="0.25">
      <c r="A121" t="s">
        <v>67</v>
      </c>
      <c r="B121" t="s">
        <v>69</v>
      </c>
      <c r="C121">
        <v>6</v>
      </c>
      <c r="D121" t="s">
        <v>78</v>
      </c>
      <c r="E121" t="s">
        <v>79</v>
      </c>
      <c r="F121" t="s">
        <v>80</v>
      </c>
      <c r="G121">
        <v>3</v>
      </c>
      <c r="H121">
        <v>2E+20</v>
      </c>
      <c r="I121">
        <v>0</v>
      </c>
      <c r="J121">
        <v>7</v>
      </c>
      <c r="K121">
        <v>117</v>
      </c>
      <c r="L12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compartida)ClientesEnSistemaExpressionUser Specified</v>
      </c>
      <c r="M121" s="5" cm="1">
        <f t="array" ref="M121">MAX(IF((ProjectInfoTable[ProjectName]=DiscreteStatsTable[[#This Row],[ProjectName]]),(ProjectInfoTable[ProjectName]=DiscreteStatsTable[[#This Row],[ProjectName]])*ProjectInfoTable[NumberOfReplications]))</f>
        <v>19</v>
      </c>
      <c r="N121" s="5" cm="1">
        <f t="array" ref="N121">IFERROR(AVERAGE(IF((DiscreteStatsTable[GroupByKey]=DiscreteStatsTable[[#This Row],[GroupByKey]]),(DiscreteStatsTable[GroupByKey]=DiscreteStatsTable[[#This Row],[GroupByKey]])*DiscreteStatsTable[Average])),0)</f>
        <v>3.8510772186580167</v>
      </c>
      <c r="O121" s="5" cm="1">
        <f t="array" ref="O121">IFERROR(_xlfn.STDEV.S(IF((DiscreteStatsTable[GroupByKey]=DiscreteStatsTable[[#This Row],[GroupByKey]]),(DiscreteStatsTable[GroupByKey]=DiscreteStatsTable[[#This Row],[GroupByKey]])*DiscreteStatsTable[Average])),0)</f>
        <v>1.3964350237206895</v>
      </c>
      <c r="P121" s="5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21" s="5" cm="1">
        <f t="array" ref="R121">MIN(IF((DiscreteStatsTable[GroupByKey]=DiscreteStatsTable[[#This Row],[GroupByKey]]),(DiscreteStatsTable[GroupByKey]=DiscreteStatsTable[[#This Row],[GroupByKey]])*DiscreteStatsTable[Average]))</f>
        <v>2.6330275229357798</v>
      </c>
      <c r="S121" s="5" cm="1">
        <f t="array" ref="S121">MAX(IF((DiscreteStatsTable[GroupByKey]=DiscreteStatsTable[[#This Row],[GroupByKey]]),(DiscreteStatsTable[GroupByKey]=DiscreteStatsTable[[#This Row],[GroupByKey]])*DiscreteStatsTable[Average]))</f>
        <v>8.86</v>
      </c>
      <c r="T121" s="5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s="5" cm="1">
        <f t="array" ref="U121">MAX(IF((DiscreteStatsTable[GroupByKey]=DiscreteStatsTable[[#This Row],[GroupByKey]]),(DiscreteStatsTable[GroupByKey]=DiscreteStatsTable[[#This Row],[GroupByKey]])*DiscreteStatsTable[Maximum]))</f>
        <v>22</v>
      </c>
      <c r="V121" s="5" cm="1">
        <f t="array" ref="V121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21" s="5">
        <f>IF((DiscreteStatsTable[[#This Row],[RepsRequested]]&gt;1),DiscreteStatsTable[[#This Row],[HalfWidth]],DiscreteStatsTable[[#This Row],[BatchMeansHalfWidth]])</f>
        <v>0.67306013676844423</v>
      </c>
      <c r="X121" s="5" cm="1">
        <f t="array" ref="X121">COUNT(IF((DiscreteStatsTable[GroupByKey]=DiscreteStatsTable[[#This Row],[GroupByKey]]),(DiscreteStatsTable[GroupByKey]=DiscreteStatsTable[[#This Row],[GroupByKey]])*DiscreteStatsTable[Replication]))</f>
        <v>19</v>
      </c>
      <c r="Y121" s="5">
        <f>IF(DiscreteStatsTable[[#This Row],[RepsRequested]]=DiscreteStatsTable[[#This Row],[RepsWithStatObserved]],1,0)</f>
        <v>1</v>
      </c>
    </row>
    <row r="122" spans="1:25" x14ac:dyDescent="0.25">
      <c r="A122" t="s">
        <v>67</v>
      </c>
      <c r="B122" t="s">
        <v>69</v>
      </c>
      <c r="C122">
        <v>7</v>
      </c>
      <c r="D122" t="s">
        <v>78</v>
      </c>
      <c r="E122" t="s">
        <v>79</v>
      </c>
      <c r="F122" t="s">
        <v>80</v>
      </c>
      <c r="G122">
        <v>3.4196428571428599</v>
      </c>
      <c r="H122">
        <v>2E+20</v>
      </c>
      <c r="I122">
        <v>0</v>
      </c>
      <c r="J122">
        <v>8</v>
      </c>
      <c r="K122">
        <v>112</v>
      </c>
      <c r="L12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compartida)ClientesEnSistemaExpressionUser Specified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19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3.8510772186580167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1.3964350237206895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2.6330275229357798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8.86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22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22" s="5">
        <f>IF((DiscreteStatsTable[[#This Row],[RepsRequested]]&gt;1),DiscreteStatsTable[[#This Row],[HalfWidth]],DiscreteStatsTable[[#This Row],[BatchMeansHalfWidth]])</f>
        <v>0.67306013676844423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19</v>
      </c>
      <c r="Y122" s="5">
        <f>IF(DiscreteStatsTable[[#This Row],[RepsRequested]]=DiscreteStatsTable[[#This Row],[RepsWithStatObserved]],1,0)</f>
        <v>1</v>
      </c>
    </row>
    <row r="123" spans="1:25" x14ac:dyDescent="0.25">
      <c r="A123" t="s">
        <v>67</v>
      </c>
      <c r="B123" t="s">
        <v>69</v>
      </c>
      <c r="C123">
        <v>8</v>
      </c>
      <c r="D123" t="s">
        <v>78</v>
      </c>
      <c r="E123" t="s">
        <v>79</v>
      </c>
      <c r="F123" t="s">
        <v>80</v>
      </c>
      <c r="G123">
        <v>4.0814814814814797</v>
      </c>
      <c r="H123">
        <v>2E+20</v>
      </c>
      <c r="I123">
        <v>0</v>
      </c>
      <c r="J123">
        <v>10</v>
      </c>
      <c r="K123">
        <v>135</v>
      </c>
      <c r="L12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compartida)ClientesEnSistemaExpressionUser Specified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19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3.8510772186580167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1.3964350237206895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2.6330275229357798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8.86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22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23" s="5">
        <f>IF((DiscreteStatsTable[[#This Row],[RepsRequested]]&gt;1),DiscreteStatsTable[[#This Row],[HalfWidth]],DiscreteStatsTable[[#This Row],[BatchMeansHalfWidth]])</f>
        <v>0.67306013676844423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19</v>
      </c>
      <c r="Y123" s="5">
        <f>IF(DiscreteStatsTable[[#This Row],[RepsRequested]]=DiscreteStatsTable[[#This Row],[RepsWithStatObserved]],1,0)</f>
        <v>1</v>
      </c>
    </row>
    <row r="124" spans="1:25" x14ac:dyDescent="0.25">
      <c r="A124" t="s">
        <v>67</v>
      </c>
      <c r="B124" t="s">
        <v>69</v>
      </c>
      <c r="C124">
        <v>9</v>
      </c>
      <c r="D124" t="s">
        <v>78</v>
      </c>
      <c r="E124" t="s">
        <v>79</v>
      </c>
      <c r="F124" t="s">
        <v>80</v>
      </c>
      <c r="G124">
        <v>3.0701754385964901</v>
      </c>
      <c r="H124">
        <v>2E+20</v>
      </c>
      <c r="I124">
        <v>0</v>
      </c>
      <c r="J124">
        <v>7</v>
      </c>
      <c r="K124">
        <v>114</v>
      </c>
      <c r="L12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compartida)ClientesEnSistemaExpressionUser Specified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19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3.8510772186580167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1.3964350237206895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2.6330275229357798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8.86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22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24" s="5">
        <f>IF((DiscreteStatsTable[[#This Row],[RepsRequested]]&gt;1),DiscreteStatsTable[[#This Row],[HalfWidth]],DiscreteStatsTable[[#This Row],[BatchMeansHalfWidth]])</f>
        <v>0.67306013676844423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19</v>
      </c>
      <c r="Y124" s="5">
        <f>IF(DiscreteStatsTable[[#This Row],[RepsRequested]]=DiscreteStatsTable[[#This Row],[RepsWithStatObserved]],1,0)</f>
        <v>1</v>
      </c>
    </row>
    <row r="125" spans="1:25" x14ac:dyDescent="0.25">
      <c r="A125" t="s">
        <v>67</v>
      </c>
      <c r="B125" t="s">
        <v>69</v>
      </c>
      <c r="C125">
        <v>10</v>
      </c>
      <c r="D125" t="s">
        <v>78</v>
      </c>
      <c r="E125" t="s">
        <v>79</v>
      </c>
      <c r="F125" t="s">
        <v>80</v>
      </c>
      <c r="G125">
        <v>5.2241379310344804</v>
      </c>
      <c r="H125">
        <v>2E+20</v>
      </c>
      <c r="I125">
        <v>0</v>
      </c>
      <c r="J125">
        <v>12</v>
      </c>
      <c r="K125">
        <v>116</v>
      </c>
      <c r="L12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compartida)ClientesEnSistemaExpressionUser Specified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19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3.8510772186580167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1.3964350237206895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2.6330275229357798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8.86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22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25" s="5">
        <f>IF((DiscreteStatsTable[[#This Row],[RepsRequested]]&gt;1),DiscreteStatsTable[[#This Row],[HalfWidth]],DiscreteStatsTable[[#This Row],[BatchMeansHalfWidth]])</f>
        <v>0.67306013676844423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19</v>
      </c>
      <c r="Y125" s="5">
        <f>IF(DiscreteStatsTable[[#This Row],[RepsRequested]]=DiscreteStatsTable[[#This Row],[RepsWithStatObserved]],1,0)</f>
        <v>1</v>
      </c>
    </row>
    <row r="126" spans="1:25" x14ac:dyDescent="0.25">
      <c r="A126" t="s">
        <v>67</v>
      </c>
      <c r="B126" t="s">
        <v>69</v>
      </c>
      <c r="C126">
        <v>11</v>
      </c>
      <c r="D126" t="s">
        <v>78</v>
      </c>
      <c r="E126" t="s">
        <v>79</v>
      </c>
      <c r="F126" t="s">
        <v>80</v>
      </c>
      <c r="G126">
        <v>3.4695652173912999</v>
      </c>
      <c r="H126">
        <v>2E+20</v>
      </c>
      <c r="I126">
        <v>0</v>
      </c>
      <c r="J126">
        <v>12</v>
      </c>
      <c r="K126">
        <v>115</v>
      </c>
      <c r="L12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compartida)ClientesEnSistemaExpressionUser Specified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19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3.8510772186580167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1.3964350237206895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2.6330275229357798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8.86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22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26" s="5">
        <f>IF((DiscreteStatsTable[[#This Row],[RepsRequested]]&gt;1),DiscreteStatsTable[[#This Row],[HalfWidth]],DiscreteStatsTable[[#This Row],[BatchMeansHalfWidth]])</f>
        <v>0.67306013676844423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19</v>
      </c>
      <c r="Y126" s="5">
        <f>IF(DiscreteStatsTable[[#This Row],[RepsRequested]]=DiscreteStatsTable[[#This Row],[RepsWithStatObserved]],1,0)</f>
        <v>1</v>
      </c>
    </row>
    <row r="127" spans="1:25" x14ac:dyDescent="0.25">
      <c r="A127" t="s">
        <v>67</v>
      </c>
      <c r="B127" t="s">
        <v>69</v>
      </c>
      <c r="C127">
        <v>12</v>
      </c>
      <c r="D127" t="s">
        <v>78</v>
      </c>
      <c r="E127" t="s">
        <v>79</v>
      </c>
      <c r="F127" t="s">
        <v>80</v>
      </c>
      <c r="G127">
        <v>3.3916666666666702</v>
      </c>
      <c r="H127">
        <v>2E+20</v>
      </c>
      <c r="I127">
        <v>0</v>
      </c>
      <c r="J127">
        <v>10</v>
      </c>
      <c r="K127">
        <v>120</v>
      </c>
      <c r="L12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compartida)ClientesEnSistemaExpressionUser Specified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19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3.8510772186580167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1.3964350237206895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2.6330275229357798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8.86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22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27" s="5">
        <f>IF((DiscreteStatsTable[[#This Row],[RepsRequested]]&gt;1),DiscreteStatsTable[[#This Row],[HalfWidth]],DiscreteStatsTable[[#This Row],[BatchMeansHalfWidth]])</f>
        <v>0.67306013676844423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19</v>
      </c>
      <c r="Y127" s="5">
        <f>IF(DiscreteStatsTable[[#This Row],[RepsRequested]]=DiscreteStatsTable[[#This Row],[RepsWithStatObserved]],1,0)</f>
        <v>1</v>
      </c>
    </row>
    <row r="128" spans="1:25" x14ac:dyDescent="0.25">
      <c r="A128" t="s">
        <v>67</v>
      </c>
      <c r="B128" t="s">
        <v>69</v>
      </c>
      <c r="C128">
        <v>13</v>
      </c>
      <c r="D128" t="s">
        <v>78</v>
      </c>
      <c r="E128" t="s">
        <v>79</v>
      </c>
      <c r="F128" t="s">
        <v>80</v>
      </c>
      <c r="G128">
        <v>3.5948275862068999</v>
      </c>
      <c r="H128">
        <v>2E+20</v>
      </c>
      <c r="I128">
        <v>0</v>
      </c>
      <c r="J128">
        <v>7</v>
      </c>
      <c r="K128">
        <v>116</v>
      </c>
      <c r="L12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compartida)ClientesEnSistemaExpressionUser Specified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19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3.8510772186580167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1.3964350237206895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2.6330275229357798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8.86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22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28" s="5">
        <f>IF((DiscreteStatsTable[[#This Row],[RepsRequested]]&gt;1),DiscreteStatsTable[[#This Row],[HalfWidth]],DiscreteStatsTable[[#This Row],[BatchMeansHalfWidth]])</f>
        <v>0.67306013676844423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19</v>
      </c>
      <c r="Y128" s="5">
        <f>IF(DiscreteStatsTable[[#This Row],[RepsRequested]]=DiscreteStatsTable[[#This Row],[RepsWithStatObserved]],1,0)</f>
        <v>1</v>
      </c>
    </row>
    <row r="129" spans="1:25" x14ac:dyDescent="0.25">
      <c r="A129" t="s">
        <v>67</v>
      </c>
      <c r="B129" t="s">
        <v>69</v>
      </c>
      <c r="C129">
        <v>14</v>
      </c>
      <c r="D129" t="s">
        <v>78</v>
      </c>
      <c r="E129" t="s">
        <v>79</v>
      </c>
      <c r="F129" t="s">
        <v>80</v>
      </c>
      <c r="G129">
        <v>4.3333333333333401</v>
      </c>
      <c r="H129">
        <v>2E+20</v>
      </c>
      <c r="I129">
        <v>1</v>
      </c>
      <c r="J129">
        <v>10</v>
      </c>
      <c r="K129">
        <v>135</v>
      </c>
      <c r="L12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compartida)ClientesEnSistemaExpressionUser Specified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19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3.8510772186580167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1.3964350237206895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2.6330275229357798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8.86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22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29" s="5">
        <f>IF((DiscreteStatsTable[[#This Row],[RepsRequested]]&gt;1),DiscreteStatsTable[[#This Row],[HalfWidth]],DiscreteStatsTable[[#This Row],[BatchMeansHalfWidth]])</f>
        <v>0.67306013676844423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19</v>
      </c>
      <c r="Y129" s="5">
        <f>IF(DiscreteStatsTable[[#This Row],[RepsRequested]]=DiscreteStatsTable[[#This Row],[RepsWithStatObserved]],1,0)</f>
        <v>1</v>
      </c>
    </row>
    <row r="130" spans="1:25" x14ac:dyDescent="0.25">
      <c r="A130" t="s">
        <v>67</v>
      </c>
      <c r="B130" t="s">
        <v>69</v>
      </c>
      <c r="C130">
        <v>15</v>
      </c>
      <c r="D130" t="s">
        <v>78</v>
      </c>
      <c r="E130" t="s">
        <v>79</v>
      </c>
      <c r="F130" t="s">
        <v>80</v>
      </c>
      <c r="G130">
        <v>3.5390625</v>
      </c>
      <c r="H130">
        <v>2E+20</v>
      </c>
      <c r="I130">
        <v>0</v>
      </c>
      <c r="J130">
        <v>8</v>
      </c>
      <c r="K130">
        <v>128</v>
      </c>
      <c r="L13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compartida)ClientesEnSistemaExpressionUser Specified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19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3.8510772186580167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1.3964350237206895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2.6330275229357798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8.86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0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22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30" s="5">
        <f>IF((DiscreteStatsTable[[#This Row],[RepsRequested]]&gt;1),DiscreteStatsTable[[#This Row],[HalfWidth]],DiscreteStatsTable[[#This Row],[BatchMeansHalfWidth]])</f>
        <v>0.67306013676844423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19</v>
      </c>
      <c r="Y130" s="5">
        <f>IF(DiscreteStatsTable[[#This Row],[RepsRequested]]=DiscreteStatsTable[[#This Row],[RepsWithStatObserved]],1,0)</f>
        <v>1</v>
      </c>
    </row>
    <row r="131" spans="1:25" x14ac:dyDescent="0.25">
      <c r="A131" t="s">
        <v>67</v>
      </c>
      <c r="B131" t="s">
        <v>69</v>
      </c>
      <c r="C131">
        <v>16</v>
      </c>
      <c r="D131" t="s">
        <v>78</v>
      </c>
      <c r="E131" t="s">
        <v>79</v>
      </c>
      <c r="F131" t="s">
        <v>80</v>
      </c>
      <c r="G131">
        <v>3.2671755725190801</v>
      </c>
      <c r="H131">
        <v>2E+20</v>
      </c>
      <c r="I131">
        <v>0</v>
      </c>
      <c r="J131">
        <v>6</v>
      </c>
      <c r="K131">
        <v>131</v>
      </c>
      <c r="L13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compartida)ClientesEnSistemaExpressionUser Specified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19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3.8510772186580167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1.3964350237206895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2.6330275229357798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8.86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22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31" s="5">
        <f>IF((DiscreteStatsTable[[#This Row],[RepsRequested]]&gt;1),DiscreteStatsTable[[#This Row],[HalfWidth]],DiscreteStatsTable[[#This Row],[BatchMeansHalfWidth]])</f>
        <v>0.67306013676844423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19</v>
      </c>
      <c r="Y131" s="5">
        <f>IF(DiscreteStatsTable[[#This Row],[RepsRequested]]=DiscreteStatsTable[[#This Row],[RepsWithStatObserved]],1,0)</f>
        <v>1</v>
      </c>
    </row>
    <row r="132" spans="1:25" x14ac:dyDescent="0.25">
      <c r="A132" t="s">
        <v>67</v>
      </c>
      <c r="B132" t="s">
        <v>69</v>
      </c>
      <c r="C132">
        <v>17</v>
      </c>
      <c r="D132" t="s">
        <v>78</v>
      </c>
      <c r="E132" t="s">
        <v>79</v>
      </c>
      <c r="F132" t="s">
        <v>80</v>
      </c>
      <c r="G132">
        <v>3.6693548387096802</v>
      </c>
      <c r="H132">
        <v>2E+20</v>
      </c>
      <c r="I132">
        <v>1</v>
      </c>
      <c r="J132">
        <v>9</v>
      </c>
      <c r="K132">
        <v>124</v>
      </c>
      <c r="L13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compartida)ClientesEnSistemaExpressionUser Specified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19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3.8510772186580167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1.3964350237206895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2.6330275229357798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8.86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22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32" s="5">
        <f>IF((DiscreteStatsTable[[#This Row],[RepsRequested]]&gt;1),DiscreteStatsTable[[#This Row],[HalfWidth]],DiscreteStatsTable[[#This Row],[BatchMeansHalfWidth]])</f>
        <v>0.67306013676844423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19</v>
      </c>
      <c r="Y132" s="5">
        <f>IF(DiscreteStatsTable[[#This Row],[RepsRequested]]=DiscreteStatsTable[[#This Row],[RepsWithStatObserved]],1,0)</f>
        <v>1</v>
      </c>
    </row>
    <row r="133" spans="1:25" x14ac:dyDescent="0.25">
      <c r="A133" t="s">
        <v>67</v>
      </c>
      <c r="B133" t="s">
        <v>69</v>
      </c>
      <c r="C133">
        <v>18</v>
      </c>
      <c r="D133" t="s">
        <v>78</v>
      </c>
      <c r="E133" t="s">
        <v>79</v>
      </c>
      <c r="F133" t="s">
        <v>80</v>
      </c>
      <c r="G133">
        <v>3.8196721311475401</v>
      </c>
      <c r="H133">
        <v>2E+20</v>
      </c>
      <c r="I133">
        <v>0</v>
      </c>
      <c r="J133">
        <v>11</v>
      </c>
      <c r="K133">
        <v>122</v>
      </c>
      <c r="L13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compartida)ClientesEnSistemaExpressionUser Specified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19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3.8510772186580167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1.3964350237206895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2.6330275229357798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8.86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22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33" s="5">
        <f>IF((DiscreteStatsTable[[#This Row],[RepsRequested]]&gt;1),DiscreteStatsTable[[#This Row],[HalfWidth]],DiscreteStatsTable[[#This Row],[BatchMeansHalfWidth]])</f>
        <v>0.67306013676844423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19</v>
      </c>
      <c r="Y133" s="5">
        <f>IF(DiscreteStatsTable[[#This Row],[RepsRequested]]=DiscreteStatsTable[[#This Row],[RepsWithStatObserved]],1,0)</f>
        <v>1</v>
      </c>
    </row>
    <row r="134" spans="1:25" x14ac:dyDescent="0.25">
      <c r="A134" t="s">
        <v>67</v>
      </c>
      <c r="B134" t="s">
        <v>69</v>
      </c>
      <c r="C134">
        <v>19</v>
      </c>
      <c r="D134" t="s">
        <v>78</v>
      </c>
      <c r="E134" t="s">
        <v>79</v>
      </c>
      <c r="F134" t="s">
        <v>80</v>
      </c>
      <c r="G134">
        <v>2.7355371900826499</v>
      </c>
      <c r="H134">
        <v>2E+20</v>
      </c>
      <c r="I134">
        <v>0</v>
      </c>
      <c r="J134">
        <v>9</v>
      </c>
      <c r="K134">
        <v>121</v>
      </c>
      <c r="L13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compartida)ClientesEnSistemaExpressionUser Specified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19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3.8510772186580167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1.3964350237206895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2.6330275229357798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8.86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22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134" s="5">
        <f>IF((DiscreteStatsTable[[#This Row],[RepsRequested]]&gt;1),DiscreteStatsTable[[#This Row],[HalfWidth]],DiscreteStatsTable[[#This Row],[BatchMeansHalfWidth]])</f>
        <v>0.67306013676844423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19</v>
      </c>
      <c r="Y134" s="5">
        <f>IF(DiscreteStatsTable[[#This Row],[RepsRequested]]=DiscreteStatsTable[[#This Row],[RepsWithStatObserved]],1,0)</f>
        <v>1</v>
      </c>
    </row>
    <row r="135" spans="1:25" x14ac:dyDescent="0.25">
      <c r="A135" t="s">
        <v>67</v>
      </c>
      <c r="B135" t="s">
        <v>69</v>
      </c>
      <c r="C135">
        <v>1</v>
      </c>
      <c r="D135" t="s">
        <v>81</v>
      </c>
      <c r="E135" t="s">
        <v>79</v>
      </c>
      <c r="F135" t="s">
        <v>80</v>
      </c>
      <c r="G135">
        <v>16.964285714285701</v>
      </c>
      <c r="H135">
        <v>2E+20</v>
      </c>
      <c r="I135">
        <v>16.964285714285701</v>
      </c>
      <c r="J135">
        <v>16.964285714285701</v>
      </c>
      <c r="K135">
        <v>1</v>
      </c>
      <c r="L13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compartida)ClientesSisH1ExpressionUser Specified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19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4.4411868115403079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3.3358212393347739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1.6078143711975699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1.9032258064516101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16.964285714285701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1.9032258064516101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16.964285714285701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1</v>
      </c>
      <c r="W135" s="5">
        <f>IF((DiscreteStatsTable[[#This Row],[RepsRequested]]&gt;1),DiscreteStatsTable[[#This Row],[HalfWidth]],DiscreteStatsTable[[#This Row],[BatchMeansHalfWidth]])</f>
        <v>1.6078143711975699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19</v>
      </c>
      <c r="Y135" s="5">
        <f>IF(DiscreteStatsTable[[#This Row],[RepsRequested]]=DiscreteStatsTable[[#This Row],[RepsWithStatObserved]],1,0)</f>
        <v>1</v>
      </c>
    </row>
    <row r="136" spans="1:25" x14ac:dyDescent="0.25">
      <c r="A136" t="s">
        <v>67</v>
      </c>
      <c r="B136" t="s">
        <v>69</v>
      </c>
      <c r="C136">
        <v>2</v>
      </c>
      <c r="D136" t="s">
        <v>81</v>
      </c>
      <c r="E136" t="s">
        <v>79</v>
      </c>
      <c r="F136" t="s">
        <v>80</v>
      </c>
      <c r="G136">
        <v>2.625</v>
      </c>
      <c r="H136">
        <v>2E+20</v>
      </c>
      <c r="I136">
        <v>2.625</v>
      </c>
      <c r="J136">
        <v>2.625</v>
      </c>
      <c r="K136">
        <v>1</v>
      </c>
      <c r="L13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compartida)ClientesSisH1ExpressionUser Specified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19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4.4411868115403079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3.3358212393347739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1.6078143711975699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1.9032258064516101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16.964285714285701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1.9032258064516101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16.964285714285701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1</v>
      </c>
      <c r="W136" s="5">
        <f>IF((DiscreteStatsTable[[#This Row],[RepsRequested]]&gt;1),DiscreteStatsTable[[#This Row],[HalfWidth]],DiscreteStatsTable[[#This Row],[BatchMeansHalfWidth]])</f>
        <v>1.6078143711975699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19</v>
      </c>
      <c r="Y136" s="5">
        <f>IF(DiscreteStatsTable[[#This Row],[RepsRequested]]=DiscreteStatsTable[[#This Row],[RepsWithStatObserved]],1,0)</f>
        <v>1</v>
      </c>
    </row>
    <row r="137" spans="1:25" x14ac:dyDescent="0.25">
      <c r="A137" t="s">
        <v>67</v>
      </c>
      <c r="B137" t="s">
        <v>69</v>
      </c>
      <c r="C137">
        <v>3</v>
      </c>
      <c r="D137" t="s">
        <v>81</v>
      </c>
      <c r="E137" t="s">
        <v>79</v>
      </c>
      <c r="F137" t="s">
        <v>80</v>
      </c>
      <c r="G137">
        <v>8.41463414634147</v>
      </c>
      <c r="H137">
        <v>2E+20</v>
      </c>
      <c r="I137">
        <v>8.41463414634147</v>
      </c>
      <c r="J137">
        <v>8.41463414634147</v>
      </c>
      <c r="K137">
        <v>1</v>
      </c>
      <c r="L13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compartida)ClientesSisH1ExpressionUser Specified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19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4.4411868115403079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3.3358212393347739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1.6078143711975699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1.9032258064516101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16.964285714285701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1.9032258064516101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16.964285714285701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1</v>
      </c>
      <c r="W137" s="5">
        <f>IF((DiscreteStatsTable[[#This Row],[RepsRequested]]&gt;1),DiscreteStatsTable[[#This Row],[HalfWidth]],DiscreteStatsTable[[#This Row],[BatchMeansHalfWidth]])</f>
        <v>1.6078143711975699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19</v>
      </c>
      <c r="Y137" s="5">
        <f>IF(DiscreteStatsTable[[#This Row],[RepsRequested]]=DiscreteStatsTable[[#This Row],[RepsWithStatObserved]],1,0)</f>
        <v>1</v>
      </c>
    </row>
    <row r="138" spans="1:25" x14ac:dyDescent="0.25">
      <c r="A138" t="s">
        <v>67</v>
      </c>
      <c r="B138" t="s">
        <v>69</v>
      </c>
      <c r="C138">
        <v>4</v>
      </c>
      <c r="D138" t="s">
        <v>81</v>
      </c>
      <c r="E138" t="s">
        <v>79</v>
      </c>
      <c r="F138" t="s">
        <v>80</v>
      </c>
      <c r="G138">
        <v>2.8048780487804899</v>
      </c>
      <c r="H138">
        <v>2E+20</v>
      </c>
      <c r="I138">
        <v>2.8048780487804899</v>
      </c>
      <c r="J138">
        <v>2.8048780487804899</v>
      </c>
      <c r="K138">
        <v>1</v>
      </c>
      <c r="L13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compartida)ClientesSisH1ExpressionUser Specified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19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4.4411868115403079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3.3358212393347739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1.6078143711975699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1.9032258064516101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16.964285714285701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1.9032258064516101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16.964285714285701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1</v>
      </c>
      <c r="W138" s="5">
        <f>IF((DiscreteStatsTable[[#This Row],[RepsRequested]]&gt;1),DiscreteStatsTable[[#This Row],[HalfWidth]],DiscreteStatsTable[[#This Row],[BatchMeansHalfWidth]])</f>
        <v>1.6078143711975699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19</v>
      </c>
      <c r="Y138" s="5">
        <f>IF(DiscreteStatsTable[[#This Row],[RepsRequested]]=DiscreteStatsTable[[#This Row],[RepsWithStatObserved]],1,0)</f>
        <v>1</v>
      </c>
    </row>
    <row r="139" spans="1:25" x14ac:dyDescent="0.25">
      <c r="A139" t="s">
        <v>67</v>
      </c>
      <c r="B139" t="s">
        <v>69</v>
      </c>
      <c r="C139">
        <v>5</v>
      </c>
      <c r="D139" t="s">
        <v>81</v>
      </c>
      <c r="E139" t="s">
        <v>79</v>
      </c>
      <c r="F139" t="s">
        <v>80</v>
      </c>
      <c r="G139">
        <v>2.6170212765957399</v>
      </c>
      <c r="H139">
        <v>2E+20</v>
      </c>
      <c r="I139">
        <v>2.6170212765957399</v>
      </c>
      <c r="J139">
        <v>2.6170212765957399</v>
      </c>
      <c r="K139">
        <v>1</v>
      </c>
      <c r="L13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compartida)ClientesSisH1ExpressionUser Specified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19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4.4411868115403079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3.3358212393347739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1.6078143711975699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1.9032258064516101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16.964285714285701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1.9032258064516101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16.964285714285701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1</v>
      </c>
      <c r="W139" s="5">
        <f>IF((DiscreteStatsTable[[#This Row],[RepsRequested]]&gt;1),DiscreteStatsTable[[#This Row],[HalfWidth]],DiscreteStatsTable[[#This Row],[BatchMeansHalfWidth]])</f>
        <v>1.6078143711975699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19</v>
      </c>
      <c r="Y139" s="5">
        <f>IF(DiscreteStatsTable[[#This Row],[RepsRequested]]=DiscreteStatsTable[[#This Row],[RepsWithStatObserved]],1,0)</f>
        <v>1</v>
      </c>
    </row>
    <row r="140" spans="1:25" x14ac:dyDescent="0.25">
      <c r="A140" t="s">
        <v>67</v>
      </c>
      <c r="B140" t="s">
        <v>69</v>
      </c>
      <c r="C140">
        <v>6</v>
      </c>
      <c r="D140" t="s">
        <v>81</v>
      </c>
      <c r="E140" t="s">
        <v>79</v>
      </c>
      <c r="F140" t="s">
        <v>80</v>
      </c>
      <c r="G140">
        <v>3.6</v>
      </c>
      <c r="H140">
        <v>2E+20</v>
      </c>
      <c r="I140">
        <v>3.6</v>
      </c>
      <c r="J140">
        <v>3.6</v>
      </c>
      <c r="K140">
        <v>1</v>
      </c>
      <c r="L14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compartida)ClientesSisH1ExpressionUser Specified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19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4.4411868115403079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3.3358212393347739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1.6078143711975699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1.9032258064516101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16.964285714285701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1.9032258064516101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16.964285714285701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1</v>
      </c>
      <c r="W140" s="5">
        <f>IF((DiscreteStatsTable[[#This Row],[RepsRequested]]&gt;1),DiscreteStatsTable[[#This Row],[HalfWidth]],DiscreteStatsTable[[#This Row],[BatchMeansHalfWidth]])</f>
        <v>1.6078143711975699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19</v>
      </c>
      <c r="Y140" s="5">
        <f>IF(DiscreteStatsTable[[#This Row],[RepsRequested]]=DiscreteStatsTable[[#This Row],[RepsWithStatObserved]],1,0)</f>
        <v>1</v>
      </c>
    </row>
    <row r="141" spans="1:25" x14ac:dyDescent="0.25">
      <c r="A141" t="s">
        <v>67</v>
      </c>
      <c r="B141" t="s">
        <v>69</v>
      </c>
      <c r="C141">
        <v>7</v>
      </c>
      <c r="D141" t="s">
        <v>81</v>
      </c>
      <c r="E141" t="s">
        <v>79</v>
      </c>
      <c r="F141" t="s">
        <v>80</v>
      </c>
      <c r="G141">
        <v>3.375</v>
      </c>
      <c r="H141">
        <v>2E+20</v>
      </c>
      <c r="I141">
        <v>3.375</v>
      </c>
      <c r="J141">
        <v>3.375</v>
      </c>
      <c r="K141">
        <v>1</v>
      </c>
      <c r="L14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compartida)ClientesSisH1ExpressionUser Specified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19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4.4411868115403079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3.3358212393347739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1.6078143711975699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1.9032258064516101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16.964285714285701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1.9032258064516101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16.964285714285701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1</v>
      </c>
      <c r="W141" s="5">
        <f>IF((DiscreteStatsTable[[#This Row],[RepsRequested]]&gt;1),DiscreteStatsTable[[#This Row],[HalfWidth]],DiscreteStatsTable[[#This Row],[BatchMeansHalfWidth]])</f>
        <v>1.6078143711975699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19</v>
      </c>
      <c r="Y141" s="5">
        <f>IF(DiscreteStatsTable[[#This Row],[RepsRequested]]=DiscreteStatsTable[[#This Row],[RepsWithStatObserved]],1,0)</f>
        <v>1</v>
      </c>
    </row>
    <row r="142" spans="1:25" x14ac:dyDescent="0.25">
      <c r="A142" t="s">
        <v>67</v>
      </c>
      <c r="B142" t="s">
        <v>69</v>
      </c>
      <c r="C142">
        <v>8</v>
      </c>
      <c r="D142" t="s">
        <v>81</v>
      </c>
      <c r="E142" t="s">
        <v>79</v>
      </c>
      <c r="F142" t="s">
        <v>80</v>
      </c>
      <c r="G142">
        <v>3.6590909090909101</v>
      </c>
      <c r="H142">
        <v>2E+20</v>
      </c>
      <c r="I142">
        <v>3.6590909090909101</v>
      </c>
      <c r="J142">
        <v>3.6590909090909101</v>
      </c>
      <c r="K142">
        <v>1</v>
      </c>
      <c r="L14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compartida)ClientesSisH1ExpressionUser Specified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19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4.4411868115403079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3.3358212393347739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1.6078143711975699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1.9032258064516101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16.964285714285701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1.9032258064516101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16.964285714285701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1</v>
      </c>
      <c r="W142" s="5">
        <f>IF((DiscreteStatsTable[[#This Row],[RepsRequested]]&gt;1),DiscreteStatsTable[[#This Row],[HalfWidth]],DiscreteStatsTable[[#This Row],[BatchMeansHalfWidth]])</f>
        <v>1.6078143711975699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19</v>
      </c>
      <c r="Y142" s="5">
        <f>IF(DiscreteStatsTable[[#This Row],[RepsRequested]]=DiscreteStatsTable[[#This Row],[RepsWithStatObserved]],1,0)</f>
        <v>1</v>
      </c>
    </row>
    <row r="143" spans="1:25" x14ac:dyDescent="0.25">
      <c r="A143" t="s">
        <v>67</v>
      </c>
      <c r="B143" t="s">
        <v>69</v>
      </c>
      <c r="C143">
        <v>9</v>
      </c>
      <c r="D143" t="s">
        <v>81</v>
      </c>
      <c r="E143" t="s">
        <v>79</v>
      </c>
      <c r="F143" t="s">
        <v>80</v>
      </c>
      <c r="G143">
        <v>4.1219512195121899</v>
      </c>
      <c r="H143">
        <v>2E+20</v>
      </c>
      <c r="I143">
        <v>4.1219512195121899</v>
      </c>
      <c r="J143">
        <v>4.1219512195121899</v>
      </c>
      <c r="K143">
        <v>1</v>
      </c>
      <c r="L14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compartida)ClientesSisH1ExpressionUser Specified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19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4.4411868115403079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3.3358212393347739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1.6078143711975699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1.9032258064516101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16.964285714285701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1.9032258064516101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16.964285714285701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1</v>
      </c>
      <c r="W143" s="5">
        <f>IF((DiscreteStatsTable[[#This Row],[RepsRequested]]&gt;1),DiscreteStatsTable[[#This Row],[HalfWidth]],DiscreteStatsTable[[#This Row],[BatchMeansHalfWidth]])</f>
        <v>1.6078143711975699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19</v>
      </c>
      <c r="Y143" s="5">
        <f>IF(DiscreteStatsTable[[#This Row],[RepsRequested]]=DiscreteStatsTable[[#This Row],[RepsWithStatObserved]],1,0)</f>
        <v>1</v>
      </c>
    </row>
    <row r="144" spans="1:25" x14ac:dyDescent="0.25">
      <c r="A144" t="s">
        <v>67</v>
      </c>
      <c r="B144" t="s">
        <v>69</v>
      </c>
      <c r="C144">
        <v>10</v>
      </c>
      <c r="D144" t="s">
        <v>81</v>
      </c>
      <c r="E144" t="s">
        <v>79</v>
      </c>
      <c r="F144" t="s">
        <v>80</v>
      </c>
      <c r="G144">
        <v>4.28571428571429</v>
      </c>
      <c r="H144">
        <v>2E+20</v>
      </c>
      <c r="I144">
        <v>4.28571428571429</v>
      </c>
      <c r="J144">
        <v>4.28571428571429</v>
      </c>
      <c r="K144">
        <v>1</v>
      </c>
      <c r="L14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compartida)ClientesSisH1ExpressionUser Specified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19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4.4411868115403079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3.3358212393347739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1.6078143711975699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1.9032258064516101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16.964285714285701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1.9032258064516101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16.964285714285701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1</v>
      </c>
      <c r="W144" s="5">
        <f>IF((DiscreteStatsTable[[#This Row],[RepsRequested]]&gt;1),DiscreteStatsTable[[#This Row],[HalfWidth]],DiscreteStatsTable[[#This Row],[BatchMeansHalfWidth]])</f>
        <v>1.6078143711975699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19</v>
      </c>
      <c r="Y144" s="5">
        <f>IF(DiscreteStatsTable[[#This Row],[RepsRequested]]=DiscreteStatsTable[[#This Row],[RepsWithStatObserved]],1,0)</f>
        <v>1</v>
      </c>
    </row>
    <row r="145" spans="1:25" x14ac:dyDescent="0.25">
      <c r="A145" t="s">
        <v>67</v>
      </c>
      <c r="B145" t="s">
        <v>69</v>
      </c>
      <c r="C145">
        <v>11</v>
      </c>
      <c r="D145" t="s">
        <v>81</v>
      </c>
      <c r="E145" t="s">
        <v>79</v>
      </c>
      <c r="F145" t="s">
        <v>80</v>
      </c>
      <c r="G145">
        <v>2</v>
      </c>
      <c r="H145">
        <v>2E+20</v>
      </c>
      <c r="I145">
        <v>2</v>
      </c>
      <c r="J145">
        <v>2</v>
      </c>
      <c r="K145">
        <v>1</v>
      </c>
      <c r="L14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compartida)ClientesSisH1ExpressionUser Specified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19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4.4411868115403079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3.3358212393347739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1.6078143711975699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1.9032258064516101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16.964285714285701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1.9032258064516101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16.964285714285701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1</v>
      </c>
      <c r="W145" s="5">
        <f>IF((DiscreteStatsTable[[#This Row],[RepsRequested]]&gt;1),DiscreteStatsTable[[#This Row],[HalfWidth]],DiscreteStatsTable[[#This Row],[BatchMeansHalfWidth]])</f>
        <v>1.6078143711975699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19</v>
      </c>
      <c r="Y145" s="5">
        <f>IF(DiscreteStatsTable[[#This Row],[RepsRequested]]=DiscreteStatsTable[[#This Row],[RepsWithStatObserved]],1,0)</f>
        <v>1</v>
      </c>
    </row>
    <row r="146" spans="1:25" x14ac:dyDescent="0.25">
      <c r="A146" t="s">
        <v>67</v>
      </c>
      <c r="B146" t="s">
        <v>69</v>
      </c>
      <c r="C146">
        <v>12</v>
      </c>
      <c r="D146" t="s">
        <v>81</v>
      </c>
      <c r="E146" t="s">
        <v>79</v>
      </c>
      <c r="F146" t="s">
        <v>80</v>
      </c>
      <c r="G146">
        <v>3.9767441860465098</v>
      </c>
      <c r="H146">
        <v>2E+20</v>
      </c>
      <c r="I146">
        <v>3.9767441860465098</v>
      </c>
      <c r="J146">
        <v>3.9767441860465098</v>
      </c>
      <c r="K146">
        <v>1</v>
      </c>
      <c r="L14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compartida)ClientesSisH1ExpressionUser Specified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19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4.4411868115403079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3.3358212393347739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1.6078143711975699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1.9032258064516101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16.964285714285701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1.9032258064516101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16.964285714285701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1</v>
      </c>
      <c r="W146" s="5">
        <f>IF((DiscreteStatsTable[[#This Row],[RepsRequested]]&gt;1),DiscreteStatsTable[[#This Row],[HalfWidth]],DiscreteStatsTable[[#This Row],[BatchMeansHalfWidth]])</f>
        <v>1.6078143711975699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19</v>
      </c>
      <c r="Y146" s="5">
        <f>IF(DiscreteStatsTable[[#This Row],[RepsRequested]]=DiscreteStatsTable[[#This Row],[RepsWithStatObserved]],1,0)</f>
        <v>1</v>
      </c>
    </row>
    <row r="147" spans="1:25" x14ac:dyDescent="0.25">
      <c r="A147" t="s">
        <v>67</v>
      </c>
      <c r="B147" t="s">
        <v>69</v>
      </c>
      <c r="C147">
        <v>13</v>
      </c>
      <c r="D147" t="s">
        <v>81</v>
      </c>
      <c r="E147" t="s">
        <v>79</v>
      </c>
      <c r="F147" t="s">
        <v>80</v>
      </c>
      <c r="G147">
        <v>3.5675675675675702</v>
      </c>
      <c r="H147">
        <v>2E+20</v>
      </c>
      <c r="I147">
        <v>3.5675675675675702</v>
      </c>
      <c r="J147">
        <v>3.5675675675675702</v>
      </c>
      <c r="K147">
        <v>1</v>
      </c>
      <c r="L14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compartida)ClientesSisH1ExpressionUser Specified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19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4.4411868115403079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3.3358212393347739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1.6078143711975699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1.9032258064516101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16.964285714285701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1.9032258064516101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16.964285714285701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1</v>
      </c>
      <c r="W147" s="5">
        <f>IF((DiscreteStatsTable[[#This Row],[RepsRequested]]&gt;1),DiscreteStatsTable[[#This Row],[HalfWidth]],DiscreteStatsTable[[#This Row],[BatchMeansHalfWidth]])</f>
        <v>1.6078143711975699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19</v>
      </c>
      <c r="Y147" s="5">
        <f>IF(DiscreteStatsTable[[#This Row],[RepsRequested]]=DiscreteStatsTable[[#This Row],[RepsWithStatObserved]],1,0)</f>
        <v>1</v>
      </c>
    </row>
    <row r="148" spans="1:25" x14ac:dyDescent="0.25">
      <c r="A148" t="s">
        <v>67</v>
      </c>
      <c r="B148" t="s">
        <v>69</v>
      </c>
      <c r="C148">
        <v>14</v>
      </c>
      <c r="D148" t="s">
        <v>81</v>
      </c>
      <c r="E148" t="s">
        <v>79</v>
      </c>
      <c r="F148" t="s">
        <v>80</v>
      </c>
      <c r="G148">
        <v>3.3695652173913002</v>
      </c>
      <c r="H148">
        <v>2E+20</v>
      </c>
      <c r="I148">
        <v>3.3695652173913002</v>
      </c>
      <c r="J148">
        <v>3.3695652173913002</v>
      </c>
      <c r="K148">
        <v>1</v>
      </c>
      <c r="L14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compartida)ClientesSisH1ExpressionUser Specified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19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4.4411868115403079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3.3358212393347739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1.6078143711975699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1.9032258064516101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16.964285714285701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1.9032258064516101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16.964285714285701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1</v>
      </c>
      <c r="W148" s="5">
        <f>IF((DiscreteStatsTable[[#This Row],[RepsRequested]]&gt;1),DiscreteStatsTable[[#This Row],[HalfWidth]],DiscreteStatsTable[[#This Row],[BatchMeansHalfWidth]])</f>
        <v>1.6078143711975699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19</v>
      </c>
      <c r="Y148" s="5">
        <f>IF(DiscreteStatsTable[[#This Row],[RepsRequested]]=DiscreteStatsTable[[#This Row],[RepsWithStatObserved]],1,0)</f>
        <v>1</v>
      </c>
    </row>
    <row r="149" spans="1:25" x14ac:dyDescent="0.25">
      <c r="A149" t="s">
        <v>67</v>
      </c>
      <c r="B149" t="s">
        <v>69</v>
      </c>
      <c r="C149">
        <v>15</v>
      </c>
      <c r="D149" t="s">
        <v>81</v>
      </c>
      <c r="E149" t="s">
        <v>79</v>
      </c>
      <c r="F149" t="s">
        <v>80</v>
      </c>
      <c r="G149">
        <v>4.0888888888888903</v>
      </c>
      <c r="H149">
        <v>2E+20</v>
      </c>
      <c r="I149">
        <v>4.0888888888888903</v>
      </c>
      <c r="J149">
        <v>4.0888888888888903</v>
      </c>
      <c r="K149">
        <v>1</v>
      </c>
      <c r="L14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compartida)ClientesSisH1ExpressionUser Specified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19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4.4411868115403079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3.3358212393347739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1.6078143711975699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1.9032258064516101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16.964285714285701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1.9032258064516101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16.964285714285701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1</v>
      </c>
      <c r="W149" s="5">
        <f>IF((DiscreteStatsTable[[#This Row],[RepsRequested]]&gt;1),DiscreteStatsTable[[#This Row],[HalfWidth]],DiscreteStatsTable[[#This Row],[BatchMeansHalfWidth]])</f>
        <v>1.6078143711975699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19</v>
      </c>
      <c r="Y149" s="5">
        <f>IF(DiscreteStatsTable[[#This Row],[RepsRequested]]=DiscreteStatsTable[[#This Row],[RepsWithStatObserved]],1,0)</f>
        <v>1</v>
      </c>
    </row>
    <row r="150" spans="1:25" x14ac:dyDescent="0.25">
      <c r="A150" t="s">
        <v>67</v>
      </c>
      <c r="B150" t="s">
        <v>69</v>
      </c>
      <c r="C150">
        <v>16</v>
      </c>
      <c r="D150" t="s">
        <v>81</v>
      </c>
      <c r="E150" t="s">
        <v>79</v>
      </c>
      <c r="F150" t="s">
        <v>80</v>
      </c>
      <c r="G150">
        <v>3.6346153846153801</v>
      </c>
      <c r="H150">
        <v>2E+20</v>
      </c>
      <c r="I150">
        <v>3.6346153846153801</v>
      </c>
      <c r="J150">
        <v>3.6346153846153801</v>
      </c>
      <c r="K150">
        <v>1</v>
      </c>
      <c r="L15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compartida)ClientesSisH1ExpressionUser Specified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19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4.4411868115403079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3.3358212393347739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1.6078143711975699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1.9032258064516101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16.964285714285701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1.9032258064516101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16.964285714285701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1</v>
      </c>
      <c r="W150" s="5">
        <f>IF((DiscreteStatsTable[[#This Row],[RepsRequested]]&gt;1),DiscreteStatsTable[[#This Row],[HalfWidth]],DiscreteStatsTable[[#This Row],[BatchMeansHalfWidth]])</f>
        <v>1.6078143711975699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19</v>
      </c>
      <c r="Y150" s="5">
        <f>IF(DiscreteStatsTable[[#This Row],[RepsRequested]]=DiscreteStatsTable[[#This Row],[RepsWithStatObserved]],1,0)</f>
        <v>1</v>
      </c>
    </row>
    <row r="151" spans="1:25" x14ac:dyDescent="0.25">
      <c r="A151" t="s">
        <v>67</v>
      </c>
      <c r="B151" t="s">
        <v>69</v>
      </c>
      <c r="C151">
        <v>17</v>
      </c>
      <c r="D151" t="s">
        <v>81</v>
      </c>
      <c r="E151" t="s">
        <v>79</v>
      </c>
      <c r="F151" t="s">
        <v>80</v>
      </c>
      <c r="G151">
        <v>4.2553191489361701</v>
      </c>
      <c r="H151">
        <v>2E+20</v>
      </c>
      <c r="I151">
        <v>4.2553191489361701</v>
      </c>
      <c r="J151">
        <v>4.2553191489361701</v>
      </c>
      <c r="K151">
        <v>1</v>
      </c>
      <c r="L15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compartida)ClientesSisH1ExpressionUser Specified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19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4.4411868115403079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3.3358212393347739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1.6078143711975699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1.9032258064516101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16.964285714285701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1.9032258064516101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16.964285714285701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1</v>
      </c>
      <c r="W151" s="5">
        <f>IF((DiscreteStatsTable[[#This Row],[RepsRequested]]&gt;1),DiscreteStatsTable[[#This Row],[HalfWidth]],DiscreteStatsTable[[#This Row],[BatchMeansHalfWidth]])</f>
        <v>1.6078143711975699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19</v>
      </c>
      <c r="Y151" s="5">
        <f>IF(DiscreteStatsTable[[#This Row],[RepsRequested]]=DiscreteStatsTable[[#This Row],[RepsWithStatObserved]],1,0)</f>
        <v>1</v>
      </c>
    </row>
    <row r="152" spans="1:25" x14ac:dyDescent="0.25">
      <c r="A152" t="s">
        <v>67</v>
      </c>
      <c r="B152" t="s">
        <v>69</v>
      </c>
      <c r="C152">
        <v>18</v>
      </c>
      <c r="D152" t="s">
        <v>81</v>
      </c>
      <c r="E152" t="s">
        <v>79</v>
      </c>
      <c r="F152" t="s">
        <v>80</v>
      </c>
      <c r="G152">
        <v>5.1190476190476204</v>
      </c>
      <c r="H152">
        <v>2E+20</v>
      </c>
      <c r="I152">
        <v>5.1190476190476204</v>
      </c>
      <c r="J152">
        <v>5.1190476190476204</v>
      </c>
      <c r="K152">
        <v>1</v>
      </c>
      <c r="L15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compartida)ClientesSisH1ExpressionUser Specified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19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4.4411868115403079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3.3358212393347739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1.6078143711975699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1.9032258064516101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16.964285714285701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1.9032258064516101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16.964285714285701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1</v>
      </c>
      <c r="W152" s="5">
        <f>IF((DiscreteStatsTable[[#This Row],[RepsRequested]]&gt;1),DiscreteStatsTable[[#This Row],[HalfWidth]],DiscreteStatsTable[[#This Row],[BatchMeansHalfWidth]])</f>
        <v>1.6078143711975699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19</v>
      </c>
      <c r="Y152" s="5">
        <f>IF(DiscreteStatsTable[[#This Row],[RepsRequested]]=DiscreteStatsTable[[#This Row],[RepsWithStatObserved]],1,0)</f>
        <v>1</v>
      </c>
    </row>
    <row r="153" spans="1:25" x14ac:dyDescent="0.25">
      <c r="A153" t="s">
        <v>67</v>
      </c>
      <c r="B153" t="s">
        <v>69</v>
      </c>
      <c r="C153">
        <v>19</v>
      </c>
      <c r="D153" t="s">
        <v>81</v>
      </c>
      <c r="E153" t="s">
        <v>79</v>
      </c>
      <c r="F153" t="s">
        <v>80</v>
      </c>
      <c r="G153">
        <v>1.9032258064516101</v>
      </c>
      <c r="H153">
        <v>2E+20</v>
      </c>
      <c r="I153">
        <v>1.9032258064516101</v>
      </c>
      <c r="J153">
        <v>1.9032258064516101</v>
      </c>
      <c r="K153">
        <v>1</v>
      </c>
      <c r="L15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compartida)ClientesSisH1ExpressionUser Specified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19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4.4411868115403079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3.3358212393347739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1.6078143711975699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1.9032258064516101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16.964285714285701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1.9032258064516101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16.964285714285701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1</v>
      </c>
      <c r="W153" s="5">
        <f>IF((DiscreteStatsTable[[#This Row],[RepsRequested]]&gt;1),DiscreteStatsTable[[#This Row],[HalfWidth]],DiscreteStatsTable[[#This Row],[BatchMeansHalfWidth]])</f>
        <v>1.6078143711975699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19</v>
      </c>
      <c r="Y153" s="5">
        <f>IF(DiscreteStatsTable[[#This Row],[RepsRequested]]=DiscreteStatsTable[[#This Row],[RepsWithStatObserved]],1,0)</f>
        <v>1</v>
      </c>
    </row>
    <row r="154" spans="1:25" x14ac:dyDescent="0.25">
      <c r="A154" t="s">
        <v>67</v>
      </c>
      <c r="B154" t="s">
        <v>69</v>
      </c>
      <c r="C154">
        <v>1</v>
      </c>
      <c r="D154" t="s">
        <v>82</v>
      </c>
      <c r="E154" t="s">
        <v>79</v>
      </c>
      <c r="F154" t="s">
        <v>80</v>
      </c>
      <c r="G154">
        <v>10.7722772277228</v>
      </c>
      <c r="H154">
        <v>2E+20</v>
      </c>
      <c r="I154">
        <v>10.7722772277228</v>
      </c>
      <c r="J154">
        <v>10.7722772277228</v>
      </c>
      <c r="K154">
        <v>1</v>
      </c>
      <c r="L15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compartida)ClientesSisH2ExpressionUser Specified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19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3.9030120295014323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1.8823568935580257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0.90726698106549186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2.5249999999999999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10.7722772277228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2.5249999999999999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10.7722772277228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1</v>
      </c>
      <c r="W154" s="5">
        <f>IF((DiscreteStatsTable[[#This Row],[RepsRequested]]&gt;1),DiscreteStatsTable[[#This Row],[HalfWidth]],DiscreteStatsTable[[#This Row],[BatchMeansHalfWidth]])</f>
        <v>0.90726698106549186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19</v>
      </c>
      <c r="Y154" s="5">
        <f>IF(DiscreteStatsTable[[#This Row],[RepsRequested]]=DiscreteStatsTable[[#This Row],[RepsWithStatObserved]],1,0)</f>
        <v>1</v>
      </c>
    </row>
    <row r="155" spans="1:25" x14ac:dyDescent="0.25">
      <c r="A155" t="s">
        <v>67</v>
      </c>
      <c r="B155" t="s">
        <v>69</v>
      </c>
      <c r="C155">
        <v>2</v>
      </c>
      <c r="D155" t="s">
        <v>82</v>
      </c>
      <c r="E155" t="s">
        <v>79</v>
      </c>
      <c r="F155" t="s">
        <v>80</v>
      </c>
      <c r="G155">
        <v>2.5249999999999999</v>
      </c>
      <c r="H155">
        <v>2E+20</v>
      </c>
      <c r="I155">
        <v>2.5249999999999999</v>
      </c>
      <c r="J155">
        <v>2.5249999999999999</v>
      </c>
      <c r="K155">
        <v>1</v>
      </c>
      <c r="L15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compartida)ClientesSisH2ExpressionUser Specified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19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3.9030120295014323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1.8823568935580257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0.90726698106549186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2.5249999999999999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10.7722772277228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2.5249999999999999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10.7722772277228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1</v>
      </c>
      <c r="W155" s="5">
        <f>IF((DiscreteStatsTable[[#This Row],[RepsRequested]]&gt;1),DiscreteStatsTable[[#This Row],[HalfWidth]],DiscreteStatsTable[[#This Row],[BatchMeansHalfWidth]])</f>
        <v>0.90726698106549186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19</v>
      </c>
      <c r="Y155" s="5">
        <f>IF(DiscreteStatsTable[[#This Row],[RepsRequested]]=DiscreteStatsTable[[#This Row],[RepsWithStatObserved]],1,0)</f>
        <v>1</v>
      </c>
    </row>
    <row r="156" spans="1:25" x14ac:dyDescent="0.25">
      <c r="A156" t="s">
        <v>67</v>
      </c>
      <c r="B156" t="s">
        <v>69</v>
      </c>
      <c r="C156">
        <v>3</v>
      </c>
      <c r="D156" t="s">
        <v>82</v>
      </c>
      <c r="E156" t="s">
        <v>79</v>
      </c>
      <c r="F156" t="s">
        <v>80</v>
      </c>
      <c r="G156">
        <v>6.1445783132530103</v>
      </c>
      <c r="H156">
        <v>2E+20</v>
      </c>
      <c r="I156">
        <v>6.1445783132530103</v>
      </c>
      <c r="J156">
        <v>6.1445783132530103</v>
      </c>
      <c r="K156">
        <v>1</v>
      </c>
      <c r="L15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compartida)ClientesSisH2ExpressionUser Specified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19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3.9030120295014323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1.8823568935580257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0.90726698106549186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2.5249999999999999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10.7722772277228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2.5249999999999999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10.7722772277228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1</v>
      </c>
      <c r="W156" s="5">
        <f>IF((DiscreteStatsTable[[#This Row],[RepsRequested]]&gt;1),DiscreteStatsTable[[#This Row],[HalfWidth]],DiscreteStatsTable[[#This Row],[BatchMeansHalfWidth]])</f>
        <v>0.90726698106549186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19</v>
      </c>
      <c r="Y156" s="5">
        <f>IF(DiscreteStatsTable[[#This Row],[RepsRequested]]=DiscreteStatsTable[[#This Row],[RepsWithStatObserved]],1,0)</f>
        <v>1</v>
      </c>
    </row>
    <row r="157" spans="1:25" x14ac:dyDescent="0.25">
      <c r="A157" t="s">
        <v>67</v>
      </c>
      <c r="B157" t="s">
        <v>69</v>
      </c>
      <c r="C157">
        <v>4</v>
      </c>
      <c r="D157" t="s">
        <v>82</v>
      </c>
      <c r="E157" t="s">
        <v>79</v>
      </c>
      <c r="F157" t="s">
        <v>80</v>
      </c>
      <c r="G157">
        <v>3</v>
      </c>
      <c r="H157">
        <v>2E+20</v>
      </c>
      <c r="I157">
        <v>3</v>
      </c>
      <c r="J157">
        <v>3</v>
      </c>
      <c r="K157">
        <v>1</v>
      </c>
      <c r="L15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compartida)ClientesSisH2ExpressionUser Specified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19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3.9030120295014323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1.8823568935580257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0.90726698106549186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2.5249999999999999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10.7722772277228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2.5249999999999999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10.7722772277228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1</v>
      </c>
      <c r="W157" s="5">
        <f>IF((DiscreteStatsTable[[#This Row],[RepsRequested]]&gt;1),DiscreteStatsTable[[#This Row],[HalfWidth]],DiscreteStatsTable[[#This Row],[BatchMeansHalfWidth]])</f>
        <v>0.90726698106549186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19</v>
      </c>
      <c r="Y157" s="5">
        <f>IF(DiscreteStatsTable[[#This Row],[RepsRequested]]=DiscreteStatsTable[[#This Row],[RepsWithStatObserved]],1,0)</f>
        <v>1</v>
      </c>
    </row>
    <row r="158" spans="1:25" x14ac:dyDescent="0.25">
      <c r="A158" t="s">
        <v>67</v>
      </c>
      <c r="B158" t="s">
        <v>69</v>
      </c>
      <c r="C158">
        <v>5</v>
      </c>
      <c r="D158" t="s">
        <v>82</v>
      </c>
      <c r="E158" t="s">
        <v>79</v>
      </c>
      <c r="F158" t="s">
        <v>80</v>
      </c>
      <c r="G158">
        <v>2.6235294117647001</v>
      </c>
      <c r="H158">
        <v>2E+20</v>
      </c>
      <c r="I158">
        <v>2.6235294117647001</v>
      </c>
      <c r="J158">
        <v>2.6235294117647001</v>
      </c>
      <c r="K158">
        <v>1</v>
      </c>
      <c r="L15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compartida)ClientesSisH2ExpressionUser Specified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19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3.9030120295014323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1.8823568935580257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0.90726698106549186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2.5249999999999999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10.7722772277228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2.5249999999999999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10.7722772277228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1</v>
      </c>
      <c r="W158" s="5">
        <f>IF((DiscreteStatsTable[[#This Row],[RepsRequested]]&gt;1),DiscreteStatsTable[[#This Row],[HalfWidth]],DiscreteStatsTable[[#This Row],[BatchMeansHalfWidth]])</f>
        <v>0.90726698106549186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19</v>
      </c>
      <c r="Y158" s="5">
        <f>IF(DiscreteStatsTable[[#This Row],[RepsRequested]]=DiscreteStatsTable[[#This Row],[RepsWithStatObserved]],1,0)</f>
        <v>1</v>
      </c>
    </row>
    <row r="159" spans="1:25" x14ac:dyDescent="0.25">
      <c r="A159" t="s">
        <v>67</v>
      </c>
      <c r="B159" t="s">
        <v>69</v>
      </c>
      <c r="C159">
        <v>6</v>
      </c>
      <c r="D159" t="s">
        <v>82</v>
      </c>
      <c r="E159" t="s">
        <v>79</v>
      </c>
      <c r="F159" t="s">
        <v>80</v>
      </c>
      <c r="G159">
        <v>3.1447368421052602</v>
      </c>
      <c r="H159">
        <v>2E+20</v>
      </c>
      <c r="I159">
        <v>3.1447368421052602</v>
      </c>
      <c r="J159">
        <v>3.1447368421052602</v>
      </c>
      <c r="K159">
        <v>1</v>
      </c>
      <c r="L15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compartida)ClientesSisH2ExpressionUser Specified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19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3.9030120295014323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1.8823568935580257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0.90726698106549186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2.5249999999999999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10.7722772277228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2.5249999999999999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10.7722772277228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1</v>
      </c>
      <c r="W159" s="5">
        <f>IF((DiscreteStatsTable[[#This Row],[RepsRequested]]&gt;1),DiscreteStatsTable[[#This Row],[HalfWidth]],DiscreteStatsTable[[#This Row],[BatchMeansHalfWidth]])</f>
        <v>0.90726698106549186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19</v>
      </c>
      <c r="Y159" s="5">
        <f>IF(DiscreteStatsTable[[#This Row],[RepsRequested]]=DiscreteStatsTable[[#This Row],[RepsWithStatObserved]],1,0)</f>
        <v>1</v>
      </c>
    </row>
    <row r="160" spans="1:25" x14ac:dyDescent="0.25">
      <c r="A160" t="s">
        <v>67</v>
      </c>
      <c r="B160" t="s">
        <v>69</v>
      </c>
      <c r="C160">
        <v>7</v>
      </c>
      <c r="D160" t="s">
        <v>82</v>
      </c>
      <c r="E160" t="s">
        <v>79</v>
      </c>
      <c r="F160" t="s">
        <v>80</v>
      </c>
      <c r="G160">
        <v>3.64556962025316</v>
      </c>
      <c r="H160">
        <v>2E+20</v>
      </c>
      <c r="I160">
        <v>3.64556962025316</v>
      </c>
      <c r="J160">
        <v>3.64556962025316</v>
      </c>
      <c r="K160">
        <v>1</v>
      </c>
      <c r="L16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compartida)ClientesSisH2ExpressionUser Specified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19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3.9030120295014323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1.8823568935580257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0.90726698106549186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2.5249999999999999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10.7722772277228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2.5249999999999999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10.7722772277228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1</v>
      </c>
      <c r="W160" s="5">
        <f>IF((DiscreteStatsTable[[#This Row],[RepsRequested]]&gt;1),DiscreteStatsTable[[#This Row],[HalfWidth]],DiscreteStatsTable[[#This Row],[BatchMeansHalfWidth]])</f>
        <v>0.90726698106549186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19</v>
      </c>
      <c r="Y160" s="5">
        <f>IF(DiscreteStatsTable[[#This Row],[RepsRequested]]=DiscreteStatsTable[[#This Row],[RepsWithStatObserved]],1,0)</f>
        <v>1</v>
      </c>
    </row>
    <row r="161" spans="1:25" x14ac:dyDescent="0.25">
      <c r="A161" t="s">
        <v>67</v>
      </c>
      <c r="B161" t="s">
        <v>69</v>
      </c>
      <c r="C161">
        <v>8</v>
      </c>
      <c r="D161" t="s">
        <v>82</v>
      </c>
      <c r="E161" t="s">
        <v>79</v>
      </c>
      <c r="F161" t="s">
        <v>80</v>
      </c>
      <c r="G161">
        <v>4.31034482758621</v>
      </c>
      <c r="H161">
        <v>2E+20</v>
      </c>
      <c r="I161">
        <v>4.31034482758621</v>
      </c>
      <c r="J161">
        <v>4.31034482758621</v>
      </c>
      <c r="K161">
        <v>1</v>
      </c>
      <c r="L16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compartida)ClientesSisH2ExpressionUser Specified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19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3.9030120295014323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1.8823568935580257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0.90726698106549186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2.5249999999999999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10.7722772277228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2.5249999999999999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10.7722772277228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1</v>
      </c>
      <c r="W161" s="5">
        <f>IF((DiscreteStatsTable[[#This Row],[RepsRequested]]&gt;1),DiscreteStatsTable[[#This Row],[HalfWidth]],DiscreteStatsTable[[#This Row],[BatchMeansHalfWidth]])</f>
        <v>0.90726698106549186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19</v>
      </c>
      <c r="Y161" s="5">
        <f>IF(DiscreteStatsTable[[#This Row],[RepsRequested]]=DiscreteStatsTable[[#This Row],[RepsWithStatObserved]],1,0)</f>
        <v>1</v>
      </c>
    </row>
    <row r="162" spans="1:25" x14ac:dyDescent="0.25">
      <c r="A162" t="s">
        <v>67</v>
      </c>
      <c r="B162" t="s">
        <v>69</v>
      </c>
      <c r="C162">
        <v>9</v>
      </c>
      <c r="D162" t="s">
        <v>82</v>
      </c>
      <c r="E162" t="s">
        <v>79</v>
      </c>
      <c r="F162" t="s">
        <v>80</v>
      </c>
      <c r="G162">
        <v>3.24050632911392</v>
      </c>
      <c r="H162">
        <v>2E+20</v>
      </c>
      <c r="I162">
        <v>3.24050632911392</v>
      </c>
      <c r="J162">
        <v>3.24050632911392</v>
      </c>
      <c r="K162">
        <v>1</v>
      </c>
      <c r="L16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compartida)ClientesSisH2ExpressionUser Specified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19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3.9030120295014323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1.8823568935580257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0.90726698106549186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2.5249999999999999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10.7722772277228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2.5249999999999999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10.7722772277228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1</v>
      </c>
      <c r="W162" s="5">
        <f>IF((DiscreteStatsTable[[#This Row],[RepsRequested]]&gt;1),DiscreteStatsTable[[#This Row],[HalfWidth]],DiscreteStatsTable[[#This Row],[BatchMeansHalfWidth]])</f>
        <v>0.90726698106549186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19</v>
      </c>
      <c r="Y162" s="5">
        <f>IF(DiscreteStatsTable[[#This Row],[RepsRequested]]=DiscreteStatsTable[[#This Row],[RepsWithStatObserved]],1,0)</f>
        <v>1</v>
      </c>
    </row>
    <row r="163" spans="1:25" x14ac:dyDescent="0.25">
      <c r="A163" t="s">
        <v>67</v>
      </c>
      <c r="B163" t="s">
        <v>69</v>
      </c>
      <c r="C163">
        <v>10</v>
      </c>
      <c r="D163" t="s">
        <v>82</v>
      </c>
      <c r="E163" t="s">
        <v>79</v>
      </c>
      <c r="F163" t="s">
        <v>80</v>
      </c>
      <c r="G163">
        <v>4.9459459459459501</v>
      </c>
      <c r="H163">
        <v>2E+20</v>
      </c>
      <c r="I163">
        <v>4.9459459459459501</v>
      </c>
      <c r="J163">
        <v>4.9459459459459501</v>
      </c>
      <c r="K163">
        <v>1</v>
      </c>
      <c r="L16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compartida)ClientesSisH2ExpressionUser Specified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19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3.9030120295014323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1.8823568935580257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0.90726698106549186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2.5249999999999999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10.7722772277228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2.5249999999999999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10.7722772277228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1</v>
      </c>
      <c r="W163" s="5">
        <f>IF((DiscreteStatsTable[[#This Row],[RepsRequested]]&gt;1),DiscreteStatsTable[[#This Row],[HalfWidth]],DiscreteStatsTable[[#This Row],[BatchMeansHalfWidth]])</f>
        <v>0.90726698106549186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19</v>
      </c>
      <c r="Y163" s="5">
        <f>IF(DiscreteStatsTable[[#This Row],[RepsRequested]]=DiscreteStatsTable[[#This Row],[RepsWithStatObserved]],1,0)</f>
        <v>1</v>
      </c>
    </row>
    <row r="164" spans="1:25" x14ac:dyDescent="0.25">
      <c r="A164" t="s">
        <v>67</v>
      </c>
      <c r="B164" t="s">
        <v>69</v>
      </c>
      <c r="C164">
        <v>11</v>
      </c>
      <c r="D164" t="s">
        <v>82</v>
      </c>
      <c r="E164" t="s">
        <v>79</v>
      </c>
      <c r="F164" t="s">
        <v>80</v>
      </c>
      <c r="G164">
        <v>2.5857142857142899</v>
      </c>
      <c r="H164">
        <v>2E+20</v>
      </c>
      <c r="I164">
        <v>2.5857142857142899</v>
      </c>
      <c r="J164">
        <v>2.5857142857142899</v>
      </c>
      <c r="K164">
        <v>1</v>
      </c>
      <c r="L16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compartida)ClientesSisH2ExpressionUser Specified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19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3.9030120295014323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1.8823568935580257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0.90726698106549186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2.5249999999999999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10.7722772277228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2.5249999999999999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10.7722772277228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1</v>
      </c>
      <c r="W164" s="5">
        <f>IF((DiscreteStatsTable[[#This Row],[RepsRequested]]&gt;1),DiscreteStatsTable[[#This Row],[HalfWidth]],DiscreteStatsTable[[#This Row],[BatchMeansHalfWidth]])</f>
        <v>0.90726698106549186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19</v>
      </c>
      <c r="Y164" s="5">
        <f>IF(DiscreteStatsTable[[#This Row],[RepsRequested]]=DiscreteStatsTable[[#This Row],[RepsWithStatObserved]],1,0)</f>
        <v>1</v>
      </c>
    </row>
    <row r="165" spans="1:25" x14ac:dyDescent="0.25">
      <c r="A165" t="s">
        <v>67</v>
      </c>
      <c r="B165" t="s">
        <v>69</v>
      </c>
      <c r="C165">
        <v>12</v>
      </c>
      <c r="D165" t="s">
        <v>82</v>
      </c>
      <c r="E165" t="s">
        <v>79</v>
      </c>
      <c r="F165" t="s">
        <v>80</v>
      </c>
      <c r="G165">
        <v>3.36708860759494</v>
      </c>
      <c r="H165">
        <v>2E+20</v>
      </c>
      <c r="I165">
        <v>3.36708860759494</v>
      </c>
      <c r="J165">
        <v>3.36708860759494</v>
      </c>
      <c r="K165">
        <v>1</v>
      </c>
      <c r="L16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compartida)ClientesSisH2ExpressionUser Specified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19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3.9030120295014323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1.8823568935580257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0.90726698106549186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2.5249999999999999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10.7722772277228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2.5249999999999999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10.7722772277228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1</v>
      </c>
      <c r="W165" s="5">
        <f>IF((DiscreteStatsTable[[#This Row],[RepsRequested]]&gt;1),DiscreteStatsTable[[#This Row],[HalfWidth]],DiscreteStatsTable[[#This Row],[BatchMeansHalfWidth]])</f>
        <v>0.90726698106549186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19</v>
      </c>
      <c r="Y165" s="5">
        <f>IF(DiscreteStatsTable[[#This Row],[RepsRequested]]=DiscreteStatsTable[[#This Row],[RepsWithStatObserved]],1,0)</f>
        <v>1</v>
      </c>
    </row>
    <row r="166" spans="1:25" x14ac:dyDescent="0.25">
      <c r="A166" t="s">
        <v>67</v>
      </c>
      <c r="B166" t="s">
        <v>69</v>
      </c>
      <c r="C166">
        <v>13</v>
      </c>
      <c r="D166" t="s">
        <v>82</v>
      </c>
      <c r="E166" t="s">
        <v>79</v>
      </c>
      <c r="F166" t="s">
        <v>80</v>
      </c>
      <c r="G166">
        <v>3.65</v>
      </c>
      <c r="H166">
        <v>2E+20</v>
      </c>
      <c r="I166">
        <v>3.65</v>
      </c>
      <c r="J166">
        <v>3.65</v>
      </c>
      <c r="K166">
        <v>1</v>
      </c>
      <c r="L16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compartida)ClientesSisH2ExpressionUser Specified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19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3.9030120295014323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1.8823568935580257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0.90726698106549186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2.5249999999999999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10.7722772277228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2.5249999999999999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10.7722772277228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1</v>
      </c>
      <c r="W166" s="5">
        <f>IF((DiscreteStatsTable[[#This Row],[RepsRequested]]&gt;1),DiscreteStatsTable[[#This Row],[HalfWidth]],DiscreteStatsTable[[#This Row],[BatchMeansHalfWidth]])</f>
        <v>0.90726698106549186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19</v>
      </c>
      <c r="Y166" s="5">
        <f>IF(DiscreteStatsTable[[#This Row],[RepsRequested]]=DiscreteStatsTable[[#This Row],[RepsWithStatObserved]],1,0)</f>
        <v>1</v>
      </c>
    </row>
    <row r="167" spans="1:25" x14ac:dyDescent="0.25">
      <c r="A167" t="s">
        <v>67</v>
      </c>
      <c r="B167" t="s">
        <v>69</v>
      </c>
      <c r="C167">
        <v>14</v>
      </c>
      <c r="D167" t="s">
        <v>82</v>
      </c>
      <c r="E167" t="s">
        <v>79</v>
      </c>
      <c r="F167" t="s">
        <v>80</v>
      </c>
      <c r="G167">
        <v>3.2471910112359499</v>
      </c>
      <c r="H167">
        <v>2E+20</v>
      </c>
      <c r="I167">
        <v>3.2471910112359499</v>
      </c>
      <c r="J167">
        <v>3.2471910112359499</v>
      </c>
      <c r="K167">
        <v>1</v>
      </c>
      <c r="L16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compartida)ClientesSisH2ExpressionUser Specified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19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3.9030120295014323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1.8823568935580257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0.90726698106549186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2.5249999999999999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10.7722772277228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2.5249999999999999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10.7722772277228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1</v>
      </c>
      <c r="W167" s="5">
        <f>IF((DiscreteStatsTable[[#This Row],[RepsRequested]]&gt;1),DiscreteStatsTable[[#This Row],[HalfWidth]],DiscreteStatsTable[[#This Row],[BatchMeansHalfWidth]])</f>
        <v>0.90726698106549186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19</v>
      </c>
      <c r="Y167" s="5">
        <f>IF(DiscreteStatsTable[[#This Row],[RepsRequested]]=DiscreteStatsTable[[#This Row],[RepsWithStatObserved]],1,0)</f>
        <v>1</v>
      </c>
    </row>
    <row r="168" spans="1:25" x14ac:dyDescent="0.25">
      <c r="A168" t="s">
        <v>67</v>
      </c>
      <c r="B168" t="s">
        <v>69</v>
      </c>
      <c r="C168">
        <v>15</v>
      </c>
      <c r="D168" t="s">
        <v>82</v>
      </c>
      <c r="E168" t="s">
        <v>79</v>
      </c>
      <c r="F168" t="s">
        <v>80</v>
      </c>
      <c r="G168">
        <v>3.1176470588235299</v>
      </c>
      <c r="H168">
        <v>2E+20</v>
      </c>
      <c r="I168">
        <v>3.1176470588235299</v>
      </c>
      <c r="J168">
        <v>3.1176470588235299</v>
      </c>
      <c r="K168">
        <v>1</v>
      </c>
      <c r="L16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compartida)ClientesSisH2ExpressionUser Specified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19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3.9030120295014323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1.8823568935580257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0.90726698106549186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2.5249999999999999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10.7722772277228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2.5249999999999999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10.7722772277228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1</v>
      </c>
      <c r="W168" s="5">
        <f>IF((DiscreteStatsTable[[#This Row],[RepsRequested]]&gt;1),DiscreteStatsTable[[#This Row],[HalfWidth]],DiscreteStatsTable[[#This Row],[BatchMeansHalfWidth]])</f>
        <v>0.90726698106549186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19</v>
      </c>
      <c r="Y168" s="5">
        <f>IF(DiscreteStatsTable[[#This Row],[RepsRequested]]=DiscreteStatsTable[[#This Row],[RepsWithStatObserved]],1,0)</f>
        <v>1</v>
      </c>
    </row>
    <row r="169" spans="1:25" x14ac:dyDescent="0.25">
      <c r="A169" t="s">
        <v>67</v>
      </c>
      <c r="B169" t="s">
        <v>69</v>
      </c>
      <c r="C169">
        <v>16</v>
      </c>
      <c r="D169" t="s">
        <v>82</v>
      </c>
      <c r="E169" t="s">
        <v>79</v>
      </c>
      <c r="F169" t="s">
        <v>80</v>
      </c>
      <c r="G169">
        <v>3.1704545454545499</v>
      </c>
      <c r="H169">
        <v>2E+20</v>
      </c>
      <c r="I169">
        <v>3.1704545454545499</v>
      </c>
      <c r="J169">
        <v>3.1704545454545499</v>
      </c>
      <c r="K169">
        <v>1</v>
      </c>
      <c r="L16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compartida)ClientesSisH2ExpressionUser Specified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19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3.9030120295014323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1.8823568935580257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0.90726698106549186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2.5249999999999999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10.7722772277228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2.5249999999999999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10.7722772277228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1</v>
      </c>
      <c r="W169" s="5">
        <f>IF((DiscreteStatsTable[[#This Row],[RepsRequested]]&gt;1),DiscreteStatsTable[[#This Row],[HalfWidth]],DiscreteStatsTable[[#This Row],[BatchMeansHalfWidth]])</f>
        <v>0.90726698106549186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19</v>
      </c>
      <c r="Y169" s="5">
        <f>IF(DiscreteStatsTable[[#This Row],[RepsRequested]]=DiscreteStatsTable[[#This Row],[RepsWithStatObserved]],1,0)</f>
        <v>1</v>
      </c>
    </row>
    <row r="170" spans="1:25" x14ac:dyDescent="0.25">
      <c r="A170" t="s">
        <v>67</v>
      </c>
      <c r="B170" t="s">
        <v>69</v>
      </c>
      <c r="C170">
        <v>17</v>
      </c>
      <c r="D170" t="s">
        <v>82</v>
      </c>
      <c r="E170" t="s">
        <v>79</v>
      </c>
      <c r="F170" t="s">
        <v>80</v>
      </c>
      <c r="G170">
        <v>4.0459770114942604</v>
      </c>
      <c r="H170">
        <v>2E+20</v>
      </c>
      <c r="I170">
        <v>4.0459770114942604</v>
      </c>
      <c r="J170">
        <v>4.0459770114942604</v>
      </c>
      <c r="K170">
        <v>1</v>
      </c>
      <c r="L17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compartida)ClientesSisH2ExpressionUser Specified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19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3.9030120295014323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1.8823568935580257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0.90726698106549186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2.5249999999999999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10.7722772277228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2.5249999999999999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10.7722772277228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1</v>
      </c>
      <c r="W170" s="5">
        <f>IF((DiscreteStatsTable[[#This Row],[RepsRequested]]&gt;1),DiscreteStatsTable[[#This Row],[HalfWidth]],DiscreteStatsTable[[#This Row],[BatchMeansHalfWidth]])</f>
        <v>0.90726698106549186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19</v>
      </c>
      <c r="Y170" s="5">
        <f>IF(DiscreteStatsTable[[#This Row],[RepsRequested]]=DiscreteStatsTable[[#This Row],[RepsWithStatObserved]],1,0)</f>
        <v>1</v>
      </c>
    </row>
    <row r="171" spans="1:25" x14ac:dyDescent="0.25">
      <c r="A171" t="s">
        <v>67</v>
      </c>
      <c r="B171" t="s">
        <v>69</v>
      </c>
      <c r="C171">
        <v>18</v>
      </c>
      <c r="D171" t="s">
        <v>82</v>
      </c>
      <c r="E171" t="s">
        <v>79</v>
      </c>
      <c r="F171" t="s">
        <v>80</v>
      </c>
      <c r="G171">
        <v>3.8048780487804899</v>
      </c>
      <c r="H171">
        <v>2E+20</v>
      </c>
      <c r="I171">
        <v>3.8048780487804899</v>
      </c>
      <c r="J171">
        <v>3.8048780487804899</v>
      </c>
      <c r="K171">
        <v>1</v>
      </c>
      <c r="L17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compartida)ClientesSisH2ExpressionUser Specified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19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3.9030120295014323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1.8823568935580257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0.90726698106549186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2.5249999999999999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10.7722772277228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2.5249999999999999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10.7722772277228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1</v>
      </c>
      <c r="W171" s="5">
        <f>IF((DiscreteStatsTable[[#This Row],[RepsRequested]]&gt;1),DiscreteStatsTable[[#This Row],[HalfWidth]],DiscreteStatsTable[[#This Row],[BatchMeansHalfWidth]])</f>
        <v>0.90726698106549186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19</v>
      </c>
      <c r="Y171" s="5">
        <f>IF(DiscreteStatsTable[[#This Row],[RepsRequested]]=DiscreteStatsTable[[#This Row],[RepsWithStatObserved]],1,0)</f>
        <v>1</v>
      </c>
    </row>
    <row r="172" spans="1:25" x14ac:dyDescent="0.25">
      <c r="A172" t="s">
        <v>67</v>
      </c>
      <c r="B172" t="s">
        <v>69</v>
      </c>
      <c r="C172">
        <v>19</v>
      </c>
      <c r="D172" t="s">
        <v>82</v>
      </c>
      <c r="E172" t="s">
        <v>79</v>
      </c>
      <c r="F172" t="s">
        <v>80</v>
      </c>
      <c r="G172">
        <v>2.8157894736842102</v>
      </c>
      <c r="H172">
        <v>2E+20</v>
      </c>
      <c r="I172">
        <v>2.8157894736842102</v>
      </c>
      <c r="J172">
        <v>2.8157894736842102</v>
      </c>
      <c r="K172">
        <v>1</v>
      </c>
      <c r="L17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compartida)ClientesSisH2ExpressionUser Specified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19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3.9030120295014323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1.8823568935580257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0.90726698106549186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2.5249999999999999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10.7722772277228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2.5249999999999999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10.7722772277228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1</v>
      </c>
      <c r="W172" s="5">
        <f>IF((DiscreteStatsTable[[#This Row],[RepsRequested]]&gt;1),DiscreteStatsTable[[#This Row],[HalfWidth]],DiscreteStatsTable[[#This Row],[BatchMeansHalfWidth]])</f>
        <v>0.90726698106549186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19</v>
      </c>
      <c r="Y172" s="5">
        <f>IF(DiscreteStatsTable[[#This Row],[RepsRequested]]=DiscreteStatsTable[[#This Row],[RepsWithStatObserved]],1,0)</f>
        <v>1</v>
      </c>
    </row>
    <row r="173" spans="1:25" x14ac:dyDescent="0.25">
      <c r="A173" t="s">
        <v>67</v>
      </c>
      <c r="B173" t="s">
        <v>69</v>
      </c>
      <c r="C173">
        <v>1</v>
      </c>
      <c r="D173" t="s">
        <v>83</v>
      </c>
      <c r="E173" t="s">
        <v>79</v>
      </c>
      <c r="F173" t="s">
        <v>80</v>
      </c>
      <c r="G173">
        <v>8.86</v>
      </c>
      <c r="H173">
        <v>2E+20</v>
      </c>
      <c r="I173">
        <v>8.86</v>
      </c>
      <c r="J173">
        <v>8.86</v>
      </c>
      <c r="K173">
        <v>1</v>
      </c>
      <c r="L17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compartida)ClientesSisH3ExpressionUser Specified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19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3.8510772186580167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1.3964350237206895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2.6330275229357798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8.86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2.6330275229357798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8.86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1</v>
      </c>
      <c r="W173" s="5">
        <f>IF((DiscreteStatsTable[[#This Row],[RepsRequested]]&gt;1),DiscreteStatsTable[[#This Row],[HalfWidth]],DiscreteStatsTable[[#This Row],[BatchMeansHalfWidth]])</f>
        <v>0.67306013676844423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19</v>
      </c>
      <c r="Y173" s="5">
        <f>IF(DiscreteStatsTable[[#This Row],[RepsRequested]]=DiscreteStatsTable[[#This Row],[RepsWithStatObserved]],1,0)</f>
        <v>1</v>
      </c>
    </row>
    <row r="174" spans="1:25" x14ac:dyDescent="0.25">
      <c r="A174" t="s">
        <v>67</v>
      </c>
      <c r="B174" t="s">
        <v>69</v>
      </c>
      <c r="C174">
        <v>2</v>
      </c>
      <c r="D174" t="s">
        <v>83</v>
      </c>
      <c r="E174" t="s">
        <v>79</v>
      </c>
      <c r="F174" t="s">
        <v>80</v>
      </c>
      <c r="G174">
        <v>2.6330275229357798</v>
      </c>
      <c r="H174">
        <v>2E+20</v>
      </c>
      <c r="I174">
        <v>2.6330275229357798</v>
      </c>
      <c r="J174">
        <v>2.6330275229357798</v>
      </c>
      <c r="K174">
        <v>1</v>
      </c>
      <c r="L17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compartida)ClientesSisH3ExpressionUser Specified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19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3.8510772186580167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1.3964350237206895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2.6330275229357798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8.86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2.6330275229357798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8.86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1</v>
      </c>
      <c r="W174" s="5">
        <f>IF((DiscreteStatsTable[[#This Row],[RepsRequested]]&gt;1),DiscreteStatsTable[[#This Row],[HalfWidth]],DiscreteStatsTable[[#This Row],[BatchMeansHalfWidth]])</f>
        <v>0.67306013676844423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19</v>
      </c>
      <c r="Y174" s="5">
        <f>IF(DiscreteStatsTable[[#This Row],[RepsRequested]]=DiscreteStatsTable[[#This Row],[RepsWithStatObserved]],1,0)</f>
        <v>1</v>
      </c>
    </row>
    <row r="175" spans="1:25" x14ac:dyDescent="0.25">
      <c r="A175" t="s">
        <v>67</v>
      </c>
      <c r="B175" t="s">
        <v>69</v>
      </c>
      <c r="C175">
        <v>3</v>
      </c>
      <c r="D175" t="s">
        <v>83</v>
      </c>
      <c r="E175" t="s">
        <v>79</v>
      </c>
      <c r="F175" t="s">
        <v>80</v>
      </c>
      <c r="G175">
        <v>4.9913043478260901</v>
      </c>
      <c r="H175">
        <v>2E+20</v>
      </c>
      <c r="I175">
        <v>4.9913043478260901</v>
      </c>
      <c r="J175">
        <v>4.9913043478260901</v>
      </c>
      <c r="K175">
        <v>1</v>
      </c>
      <c r="L17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compartida)ClientesSisH3ExpressionUser Specified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19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3.8510772186580167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1.3964350237206895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2.6330275229357798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8.86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2.6330275229357798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8.86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1</v>
      </c>
      <c r="W175" s="5">
        <f>IF((DiscreteStatsTable[[#This Row],[RepsRequested]]&gt;1),DiscreteStatsTable[[#This Row],[HalfWidth]],DiscreteStatsTable[[#This Row],[BatchMeansHalfWidth]])</f>
        <v>0.67306013676844423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19</v>
      </c>
      <c r="Y175" s="5">
        <f>IF(DiscreteStatsTable[[#This Row],[RepsRequested]]=DiscreteStatsTable[[#This Row],[RepsWithStatObserved]],1,0)</f>
        <v>1</v>
      </c>
    </row>
    <row r="176" spans="1:25" x14ac:dyDescent="0.25">
      <c r="A176" t="s">
        <v>67</v>
      </c>
      <c r="B176" t="s">
        <v>69</v>
      </c>
      <c r="C176">
        <v>4</v>
      </c>
      <c r="D176" t="s">
        <v>83</v>
      </c>
      <c r="E176" t="s">
        <v>79</v>
      </c>
      <c r="F176" t="s">
        <v>80</v>
      </c>
      <c r="G176">
        <v>2.8534482758620698</v>
      </c>
      <c r="H176">
        <v>2E+20</v>
      </c>
      <c r="I176">
        <v>2.8534482758620698</v>
      </c>
      <c r="J176">
        <v>2.8534482758620698</v>
      </c>
      <c r="K176">
        <v>1</v>
      </c>
      <c r="L17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compartida)ClientesSisH3ExpressionUser Specified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19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3.8510772186580167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1.3964350237206895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2.6330275229357798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8.86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2.6330275229357798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8.86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1</v>
      </c>
      <c r="W176" s="5">
        <f>IF((DiscreteStatsTable[[#This Row],[RepsRequested]]&gt;1),DiscreteStatsTable[[#This Row],[HalfWidth]],DiscreteStatsTable[[#This Row],[BatchMeansHalfWidth]])</f>
        <v>0.67306013676844423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19</v>
      </c>
      <c r="Y176" s="5">
        <f>IF(DiscreteStatsTable[[#This Row],[RepsRequested]]=DiscreteStatsTable[[#This Row],[RepsWithStatObserved]],1,0)</f>
        <v>1</v>
      </c>
    </row>
    <row r="177" spans="1:25" x14ac:dyDescent="0.25">
      <c r="A177" t="s">
        <v>67</v>
      </c>
      <c r="B177" t="s">
        <v>69</v>
      </c>
      <c r="C177">
        <v>5</v>
      </c>
      <c r="D177" t="s">
        <v>83</v>
      </c>
      <c r="E177" t="s">
        <v>79</v>
      </c>
      <c r="F177" t="s">
        <v>80</v>
      </c>
      <c r="G177">
        <v>3.2170542635658901</v>
      </c>
      <c r="H177">
        <v>2E+20</v>
      </c>
      <c r="I177">
        <v>3.2170542635658901</v>
      </c>
      <c r="J177">
        <v>3.2170542635658901</v>
      </c>
      <c r="K177">
        <v>1</v>
      </c>
      <c r="L17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compartida)ClientesSisH3ExpressionUser Specified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19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3.8510772186580167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1.3964350237206895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2.6330275229357798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8.86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2.6330275229357798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8.86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1</v>
      </c>
      <c r="W177" s="5">
        <f>IF((DiscreteStatsTable[[#This Row],[RepsRequested]]&gt;1),DiscreteStatsTable[[#This Row],[HalfWidth]],DiscreteStatsTable[[#This Row],[BatchMeansHalfWidth]])</f>
        <v>0.67306013676844423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19</v>
      </c>
      <c r="Y177" s="5">
        <f>IF(DiscreteStatsTable[[#This Row],[RepsRequested]]=DiscreteStatsTable[[#This Row],[RepsWithStatObserved]],1,0)</f>
        <v>1</v>
      </c>
    </row>
    <row r="178" spans="1:25" x14ac:dyDescent="0.25">
      <c r="A178" t="s">
        <v>67</v>
      </c>
      <c r="B178" t="s">
        <v>69</v>
      </c>
      <c r="C178">
        <v>6</v>
      </c>
      <c r="D178" t="s">
        <v>83</v>
      </c>
      <c r="E178" t="s">
        <v>79</v>
      </c>
      <c r="F178" t="s">
        <v>80</v>
      </c>
      <c r="G178">
        <v>3</v>
      </c>
      <c r="H178">
        <v>2E+20</v>
      </c>
      <c r="I178">
        <v>3</v>
      </c>
      <c r="J178">
        <v>3</v>
      </c>
      <c r="K178">
        <v>1</v>
      </c>
      <c r="L17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compartida)ClientesSisH3ExpressionUser Specified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19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3.8510772186580167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1.3964350237206895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2.6330275229357798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8.86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2.6330275229357798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8.86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1</v>
      </c>
      <c r="W178" s="5">
        <f>IF((DiscreteStatsTable[[#This Row],[RepsRequested]]&gt;1),DiscreteStatsTable[[#This Row],[HalfWidth]],DiscreteStatsTable[[#This Row],[BatchMeansHalfWidth]])</f>
        <v>0.67306013676844423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19</v>
      </c>
      <c r="Y178" s="5">
        <f>IF(DiscreteStatsTable[[#This Row],[RepsRequested]]=DiscreteStatsTable[[#This Row],[RepsWithStatObserved]],1,0)</f>
        <v>1</v>
      </c>
    </row>
    <row r="179" spans="1:25" x14ac:dyDescent="0.25">
      <c r="A179" t="s">
        <v>67</v>
      </c>
      <c r="B179" t="s">
        <v>69</v>
      </c>
      <c r="C179">
        <v>7</v>
      </c>
      <c r="D179" t="s">
        <v>83</v>
      </c>
      <c r="E179" t="s">
        <v>79</v>
      </c>
      <c r="F179" t="s">
        <v>80</v>
      </c>
      <c r="G179">
        <v>3.4196428571428599</v>
      </c>
      <c r="H179">
        <v>2E+20</v>
      </c>
      <c r="I179">
        <v>3.4196428571428599</v>
      </c>
      <c r="J179">
        <v>3.4196428571428599</v>
      </c>
      <c r="K179">
        <v>1</v>
      </c>
      <c r="L17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compartida)ClientesSisH3ExpressionUser Specified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19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3.8510772186580167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1.3964350237206895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2.6330275229357798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8.86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2.6330275229357798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8.86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1</v>
      </c>
      <c r="W179" s="5">
        <f>IF((DiscreteStatsTable[[#This Row],[RepsRequested]]&gt;1),DiscreteStatsTable[[#This Row],[HalfWidth]],DiscreteStatsTable[[#This Row],[BatchMeansHalfWidth]])</f>
        <v>0.67306013676844423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19</v>
      </c>
      <c r="Y179" s="5">
        <f>IF(DiscreteStatsTable[[#This Row],[RepsRequested]]=DiscreteStatsTable[[#This Row],[RepsWithStatObserved]],1,0)</f>
        <v>1</v>
      </c>
    </row>
    <row r="180" spans="1:25" x14ac:dyDescent="0.25">
      <c r="A180" t="s">
        <v>67</v>
      </c>
      <c r="B180" t="s">
        <v>69</v>
      </c>
      <c r="C180">
        <v>8</v>
      </c>
      <c r="D180" t="s">
        <v>83</v>
      </c>
      <c r="E180" t="s">
        <v>79</v>
      </c>
      <c r="F180" t="s">
        <v>80</v>
      </c>
      <c r="G180">
        <v>4.0814814814814797</v>
      </c>
      <c r="H180">
        <v>2E+20</v>
      </c>
      <c r="I180">
        <v>4.0814814814814797</v>
      </c>
      <c r="J180">
        <v>4.0814814814814797</v>
      </c>
      <c r="K180">
        <v>1</v>
      </c>
      <c r="L18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compartida)ClientesSisH3ExpressionUser Specified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19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3.8510772186580167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1.3964350237206895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2.6330275229357798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8.86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2.6330275229357798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8.86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1</v>
      </c>
      <c r="W180" s="5">
        <f>IF((DiscreteStatsTable[[#This Row],[RepsRequested]]&gt;1),DiscreteStatsTable[[#This Row],[HalfWidth]],DiscreteStatsTable[[#This Row],[BatchMeansHalfWidth]])</f>
        <v>0.67306013676844423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19</v>
      </c>
      <c r="Y180" s="5">
        <f>IF(DiscreteStatsTable[[#This Row],[RepsRequested]]=DiscreteStatsTable[[#This Row],[RepsWithStatObserved]],1,0)</f>
        <v>1</v>
      </c>
    </row>
    <row r="181" spans="1:25" x14ac:dyDescent="0.25">
      <c r="A181" t="s">
        <v>67</v>
      </c>
      <c r="B181" t="s">
        <v>69</v>
      </c>
      <c r="C181">
        <v>9</v>
      </c>
      <c r="D181" t="s">
        <v>83</v>
      </c>
      <c r="E181" t="s">
        <v>79</v>
      </c>
      <c r="F181" t="s">
        <v>80</v>
      </c>
      <c r="G181">
        <v>3.0701754385964901</v>
      </c>
      <c r="H181">
        <v>2E+20</v>
      </c>
      <c r="I181">
        <v>3.0701754385964901</v>
      </c>
      <c r="J181">
        <v>3.0701754385964901</v>
      </c>
      <c r="K181">
        <v>1</v>
      </c>
      <c r="L18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compartida)ClientesSisH3ExpressionUser Specified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19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3.8510772186580167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1.3964350237206895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2.6330275229357798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8.86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2.6330275229357798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8.86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1</v>
      </c>
      <c r="W181" s="5">
        <f>IF((DiscreteStatsTable[[#This Row],[RepsRequested]]&gt;1),DiscreteStatsTable[[#This Row],[HalfWidth]],DiscreteStatsTable[[#This Row],[BatchMeansHalfWidth]])</f>
        <v>0.67306013676844423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19</v>
      </c>
      <c r="Y181" s="5">
        <f>IF(DiscreteStatsTable[[#This Row],[RepsRequested]]=DiscreteStatsTable[[#This Row],[RepsWithStatObserved]],1,0)</f>
        <v>1</v>
      </c>
    </row>
    <row r="182" spans="1:25" x14ac:dyDescent="0.25">
      <c r="A182" t="s">
        <v>67</v>
      </c>
      <c r="B182" t="s">
        <v>69</v>
      </c>
      <c r="C182">
        <v>10</v>
      </c>
      <c r="D182" t="s">
        <v>83</v>
      </c>
      <c r="E182" t="s">
        <v>79</v>
      </c>
      <c r="F182" t="s">
        <v>80</v>
      </c>
      <c r="G182">
        <v>5.2241379310344804</v>
      </c>
      <c r="H182">
        <v>2E+20</v>
      </c>
      <c r="I182">
        <v>5.2241379310344804</v>
      </c>
      <c r="J182">
        <v>5.2241379310344804</v>
      </c>
      <c r="K182">
        <v>1</v>
      </c>
      <c r="L18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compartida)ClientesSisH3ExpressionUser Specified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19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3.8510772186580167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1.3964350237206895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2.6330275229357798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8.86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2.6330275229357798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8.86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1</v>
      </c>
      <c r="W182" s="5">
        <f>IF((DiscreteStatsTable[[#This Row],[RepsRequested]]&gt;1),DiscreteStatsTable[[#This Row],[HalfWidth]],DiscreteStatsTable[[#This Row],[BatchMeansHalfWidth]])</f>
        <v>0.67306013676844423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19</v>
      </c>
      <c r="Y182" s="5">
        <f>IF(DiscreteStatsTable[[#This Row],[RepsRequested]]=DiscreteStatsTable[[#This Row],[RepsWithStatObserved]],1,0)</f>
        <v>1</v>
      </c>
    </row>
    <row r="183" spans="1:25" x14ac:dyDescent="0.25">
      <c r="A183" t="s">
        <v>67</v>
      </c>
      <c r="B183" t="s">
        <v>69</v>
      </c>
      <c r="C183">
        <v>11</v>
      </c>
      <c r="D183" t="s">
        <v>83</v>
      </c>
      <c r="E183" t="s">
        <v>79</v>
      </c>
      <c r="F183" t="s">
        <v>80</v>
      </c>
      <c r="G183">
        <v>3.4695652173912999</v>
      </c>
      <c r="H183">
        <v>2E+20</v>
      </c>
      <c r="I183">
        <v>3.4695652173912999</v>
      </c>
      <c r="J183">
        <v>3.4695652173912999</v>
      </c>
      <c r="K183">
        <v>1</v>
      </c>
      <c r="L18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compartida)ClientesSisH3ExpressionUser Specified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19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3.8510772186580167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1.3964350237206895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2.6330275229357798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8.86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2.6330275229357798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8.86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1</v>
      </c>
      <c r="W183" s="5">
        <f>IF((DiscreteStatsTable[[#This Row],[RepsRequested]]&gt;1),DiscreteStatsTable[[#This Row],[HalfWidth]],DiscreteStatsTable[[#This Row],[BatchMeansHalfWidth]])</f>
        <v>0.67306013676844423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19</v>
      </c>
      <c r="Y183" s="5">
        <f>IF(DiscreteStatsTable[[#This Row],[RepsRequested]]=DiscreteStatsTable[[#This Row],[RepsWithStatObserved]],1,0)</f>
        <v>1</v>
      </c>
    </row>
    <row r="184" spans="1:25" x14ac:dyDescent="0.25">
      <c r="A184" t="s">
        <v>67</v>
      </c>
      <c r="B184" t="s">
        <v>69</v>
      </c>
      <c r="C184">
        <v>12</v>
      </c>
      <c r="D184" t="s">
        <v>83</v>
      </c>
      <c r="E184" t="s">
        <v>79</v>
      </c>
      <c r="F184" t="s">
        <v>80</v>
      </c>
      <c r="G184">
        <v>3.3916666666666702</v>
      </c>
      <c r="H184">
        <v>2E+20</v>
      </c>
      <c r="I184">
        <v>3.3916666666666702</v>
      </c>
      <c r="J184">
        <v>3.3916666666666702</v>
      </c>
      <c r="K184">
        <v>1</v>
      </c>
      <c r="L18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compartida)ClientesSisH3ExpressionUser Specified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19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3.8510772186580167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1.3964350237206895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2.6330275229357798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8.86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2.6330275229357798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8.86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1</v>
      </c>
      <c r="W184" s="5">
        <f>IF((DiscreteStatsTable[[#This Row],[RepsRequested]]&gt;1),DiscreteStatsTable[[#This Row],[HalfWidth]],DiscreteStatsTable[[#This Row],[BatchMeansHalfWidth]])</f>
        <v>0.67306013676844423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19</v>
      </c>
      <c r="Y184" s="5">
        <f>IF(DiscreteStatsTable[[#This Row],[RepsRequested]]=DiscreteStatsTable[[#This Row],[RepsWithStatObserved]],1,0)</f>
        <v>1</v>
      </c>
    </row>
    <row r="185" spans="1:25" x14ac:dyDescent="0.25">
      <c r="A185" t="s">
        <v>67</v>
      </c>
      <c r="B185" t="s">
        <v>69</v>
      </c>
      <c r="C185">
        <v>13</v>
      </c>
      <c r="D185" t="s">
        <v>83</v>
      </c>
      <c r="E185" t="s">
        <v>79</v>
      </c>
      <c r="F185" t="s">
        <v>80</v>
      </c>
      <c r="G185">
        <v>3.5948275862068999</v>
      </c>
      <c r="H185">
        <v>2E+20</v>
      </c>
      <c r="I185">
        <v>3.5948275862068999</v>
      </c>
      <c r="J185">
        <v>3.5948275862068999</v>
      </c>
      <c r="K185">
        <v>1</v>
      </c>
      <c r="L18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compartida)ClientesSisH3ExpressionUser Specified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19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3.8510772186580167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1.3964350237206895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2.6330275229357798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8.86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2.6330275229357798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8.86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1</v>
      </c>
      <c r="W185" s="5">
        <f>IF((DiscreteStatsTable[[#This Row],[RepsRequested]]&gt;1),DiscreteStatsTable[[#This Row],[HalfWidth]],DiscreteStatsTable[[#This Row],[BatchMeansHalfWidth]])</f>
        <v>0.67306013676844423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19</v>
      </c>
      <c r="Y185" s="5">
        <f>IF(DiscreteStatsTable[[#This Row],[RepsRequested]]=DiscreteStatsTable[[#This Row],[RepsWithStatObserved]],1,0)</f>
        <v>1</v>
      </c>
    </row>
    <row r="186" spans="1:25" x14ac:dyDescent="0.25">
      <c r="A186" t="s">
        <v>67</v>
      </c>
      <c r="B186" t="s">
        <v>69</v>
      </c>
      <c r="C186">
        <v>14</v>
      </c>
      <c r="D186" t="s">
        <v>83</v>
      </c>
      <c r="E186" t="s">
        <v>79</v>
      </c>
      <c r="F186" t="s">
        <v>80</v>
      </c>
      <c r="G186">
        <v>4.3333333333333401</v>
      </c>
      <c r="H186">
        <v>2E+20</v>
      </c>
      <c r="I186">
        <v>4.3333333333333401</v>
      </c>
      <c r="J186">
        <v>4.3333333333333401</v>
      </c>
      <c r="K186">
        <v>1</v>
      </c>
      <c r="L18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compartida)ClientesSisH3ExpressionUser Specified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19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3.8510772186580167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1.3964350237206895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2.6330275229357798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8.86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2.6330275229357798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8.86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1</v>
      </c>
      <c r="W186" s="5">
        <f>IF((DiscreteStatsTable[[#This Row],[RepsRequested]]&gt;1),DiscreteStatsTable[[#This Row],[HalfWidth]],DiscreteStatsTable[[#This Row],[BatchMeansHalfWidth]])</f>
        <v>0.67306013676844423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19</v>
      </c>
      <c r="Y186" s="5">
        <f>IF(DiscreteStatsTable[[#This Row],[RepsRequested]]=DiscreteStatsTable[[#This Row],[RepsWithStatObserved]],1,0)</f>
        <v>1</v>
      </c>
    </row>
    <row r="187" spans="1:25" x14ac:dyDescent="0.25">
      <c r="A187" t="s">
        <v>67</v>
      </c>
      <c r="B187" t="s">
        <v>69</v>
      </c>
      <c r="C187">
        <v>15</v>
      </c>
      <c r="D187" t="s">
        <v>83</v>
      </c>
      <c r="E187" t="s">
        <v>79</v>
      </c>
      <c r="F187" t="s">
        <v>80</v>
      </c>
      <c r="G187">
        <v>3.5390625</v>
      </c>
      <c r="H187">
        <v>2E+20</v>
      </c>
      <c r="I187">
        <v>3.5390625</v>
      </c>
      <c r="J187">
        <v>3.5390625</v>
      </c>
      <c r="K187">
        <v>1</v>
      </c>
      <c r="L18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compartida)ClientesSisH3ExpressionUser Specified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19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3.8510772186580167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1.3964350237206895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2.6330275229357798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8.86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2.6330275229357798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8.86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1</v>
      </c>
      <c r="W187" s="5">
        <f>IF((DiscreteStatsTable[[#This Row],[RepsRequested]]&gt;1),DiscreteStatsTable[[#This Row],[HalfWidth]],DiscreteStatsTable[[#This Row],[BatchMeansHalfWidth]])</f>
        <v>0.67306013676844423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19</v>
      </c>
      <c r="Y187" s="5">
        <f>IF(DiscreteStatsTable[[#This Row],[RepsRequested]]=DiscreteStatsTable[[#This Row],[RepsWithStatObserved]],1,0)</f>
        <v>1</v>
      </c>
    </row>
    <row r="188" spans="1:25" x14ac:dyDescent="0.25">
      <c r="A188" t="s">
        <v>67</v>
      </c>
      <c r="B188" t="s">
        <v>69</v>
      </c>
      <c r="C188">
        <v>16</v>
      </c>
      <c r="D188" t="s">
        <v>83</v>
      </c>
      <c r="E188" t="s">
        <v>79</v>
      </c>
      <c r="F188" t="s">
        <v>80</v>
      </c>
      <c r="G188">
        <v>3.2671755725190801</v>
      </c>
      <c r="H188">
        <v>2E+20</v>
      </c>
      <c r="I188">
        <v>3.2671755725190801</v>
      </c>
      <c r="J188">
        <v>3.2671755725190801</v>
      </c>
      <c r="K188">
        <v>1</v>
      </c>
      <c r="L18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compartida)ClientesSisH3ExpressionUser Specified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19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3.8510772186580167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1.3964350237206895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2.6330275229357798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8.86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2.6330275229357798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8.86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1</v>
      </c>
      <c r="W188" s="5">
        <f>IF((DiscreteStatsTable[[#This Row],[RepsRequested]]&gt;1),DiscreteStatsTable[[#This Row],[HalfWidth]],DiscreteStatsTable[[#This Row],[BatchMeansHalfWidth]])</f>
        <v>0.67306013676844423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19</v>
      </c>
      <c r="Y188" s="5">
        <f>IF(DiscreteStatsTable[[#This Row],[RepsRequested]]=DiscreteStatsTable[[#This Row],[RepsWithStatObserved]],1,0)</f>
        <v>1</v>
      </c>
    </row>
    <row r="189" spans="1:25" x14ac:dyDescent="0.25">
      <c r="A189" t="s">
        <v>67</v>
      </c>
      <c r="B189" t="s">
        <v>69</v>
      </c>
      <c r="C189">
        <v>17</v>
      </c>
      <c r="D189" t="s">
        <v>83</v>
      </c>
      <c r="E189" t="s">
        <v>79</v>
      </c>
      <c r="F189" t="s">
        <v>80</v>
      </c>
      <c r="G189">
        <v>3.6693548387096802</v>
      </c>
      <c r="H189">
        <v>2E+20</v>
      </c>
      <c r="I189">
        <v>3.6693548387096802</v>
      </c>
      <c r="J189">
        <v>3.6693548387096802</v>
      </c>
      <c r="K189">
        <v>1</v>
      </c>
      <c r="L18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compartida)ClientesSisH3ExpressionUser Specified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19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3.8510772186580167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1.3964350237206895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2.6330275229357798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8.86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2.6330275229357798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8.86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1</v>
      </c>
      <c r="W189" s="5">
        <f>IF((DiscreteStatsTable[[#This Row],[RepsRequested]]&gt;1),DiscreteStatsTable[[#This Row],[HalfWidth]],DiscreteStatsTable[[#This Row],[BatchMeansHalfWidth]])</f>
        <v>0.67306013676844423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19</v>
      </c>
      <c r="Y189" s="5">
        <f>IF(DiscreteStatsTable[[#This Row],[RepsRequested]]=DiscreteStatsTable[[#This Row],[RepsWithStatObserved]],1,0)</f>
        <v>1</v>
      </c>
    </row>
    <row r="190" spans="1:25" x14ac:dyDescent="0.25">
      <c r="A190" t="s">
        <v>67</v>
      </c>
      <c r="B190" t="s">
        <v>69</v>
      </c>
      <c r="C190">
        <v>18</v>
      </c>
      <c r="D190" t="s">
        <v>83</v>
      </c>
      <c r="E190" t="s">
        <v>79</v>
      </c>
      <c r="F190" t="s">
        <v>80</v>
      </c>
      <c r="G190">
        <v>3.8196721311475401</v>
      </c>
      <c r="H190">
        <v>2E+20</v>
      </c>
      <c r="I190">
        <v>3.8196721311475401</v>
      </c>
      <c r="J190">
        <v>3.8196721311475401</v>
      </c>
      <c r="K190">
        <v>1</v>
      </c>
      <c r="L19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compartida)ClientesSisH3ExpressionUser Specified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19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3.8510772186580167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1.3964350237206895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2.6330275229357798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8.86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2.6330275229357798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8.86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1</v>
      </c>
      <c r="W190" s="5">
        <f>IF((DiscreteStatsTable[[#This Row],[RepsRequested]]&gt;1),DiscreteStatsTable[[#This Row],[HalfWidth]],DiscreteStatsTable[[#This Row],[BatchMeansHalfWidth]])</f>
        <v>0.67306013676844423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19</v>
      </c>
      <c r="Y190" s="5">
        <f>IF(DiscreteStatsTable[[#This Row],[RepsRequested]]=DiscreteStatsTable[[#This Row],[RepsWithStatObserved]],1,0)</f>
        <v>1</v>
      </c>
    </row>
    <row r="191" spans="1:25" x14ac:dyDescent="0.25">
      <c r="A191" t="s">
        <v>67</v>
      </c>
      <c r="B191" t="s">
        <v>69</v>
      </c>
      <c r="C191">
        <v>19</v>
      </c>
      <c r="D191" t="s">
        <v>83</v>
      </c>
      <c r="E191" t="s">
        <v>79</v>
      </c>
      <c r="F191" t="s">
        <v>80</v>
      </c>
      <c r="G191">
        <v>2.7355371900826499</v>
      </c>
      <c r="H191">
        <v>2E+20</v>
      </c>
      <c r="I191">
        <v>2.7355371900826499</v>
      </c>
      <c r="J191">
        <v>2.7355371900826499</v>
      </c>
      <c r="K191">
        <v>1</v>
      </c>
      <c r="L19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compartida)ClientesSisH3ExpressionUser Specified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19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3.8510772186580167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1.3964350237206895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0.67306013676844423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2.6330275229357798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8.86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2.6330275229357798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8.86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1</v>
      </c>
      <c r="W191" s="5">
        <f>IF((DiscreteStatsTable[[#This Row],[RepsRequested]]&gt;1),DiscreteStatsTable[[#This Row],[HalfWidth]],DiscreteStatsTable[[#This Row],[BatchMeansHalfWidth]])</f>
        <v>0.67306013676844423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19</v>
      </c>
      <c r="Y191" s="5">
        <f>IF(DiscreteStatsTable[[#This Row],[RepsRequested]]=DiscreteStatsTable[[#This Row],[RepsWithStatObserved]],1,0)</f>
        <v>1</v>
      </c>
    </row>
    <row r="192" spans="1:25" x14ac:dyDescent="0.25">
      <c r="A192" t="s">
        <v>67</v>
      </c>
      <c r="B192" t="s">
        <v>69</v>
      </c>
      <c r="C192">
        <v>1</v>
      </c>
      <c r="D192" t="s">
        <v>84</v>
      </c>
      <c r="E192" t="s">
        <v>85</v>
      </c>
      <c r="F192" t="s">
        <v>86</v>
      </c>
      <c r="G192">
        <v>21.2089552841257</v>
      </c>
      <c r="H192">
        <v>2E+20</v>
      </c>
      <c r="I192">
        <v>0</v>
      </c>
      <c r="J192">
        <v>34.6364637997522</v>
      </c>
      <c r="K192">
        <v>19</v>
      </c>
      <c r="L19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MesaTotal Time Per EntityProcess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19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17.714336330412955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2.9087308458074794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13.101063207922801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22.975696741341299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47.092378696302802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192" s="5">
        <f>IF((DiscreteStatsTable[[#This Row],[RepsRequested]]&gt;1),DiscreteStatsTable[[#This Row],[HalfWidth]],DiscreteStatsTable[[#This Row],[BatchMeansHalfWidth]])</f>
        <v>1.4019633908103393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19</v>
      </c>
      <c r="Y192" s="5">
        <f>IF(DiscreteStatsTable[[#This Row],[RepsRequested]]=DiscreteStatsTable[[#This Row],[RepsWithStatObserved]],1,0)</f>
        <v>1</v>
      </c>
    </row>
    <row r="193" spans="1:25" x14ac:dyDescent="0.25">
      <c r="A193" t="s">
        <v>67</v>
      </c>
      <c r="B193" t="s">
        <v>69</v>
      </c>
      <c r="C193">
        <v>1</v>
      </c>
      <c r="D193" t="s">
        <v>84</v>
      </c>
      <c r="E193" t="s">
        <v>87</v>
      </c>
      <c r="F193" t="s">
        <v>86</v>
      </c>
      <c r="G193">
        <v>21.2089552841257</v>
      </c>
      <c r="H193">
        <v>2E+20</v>
      </c>
      <c r="I193">
        <v>0</v>
      </c>
      <c r="J193">
        <v>34.6364637997522</v>
      </c>
      <c r="K193">
        <v>19</v>
      </c>
      <c r="L19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MesaVA Time Per EntityProcess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19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17.714336330412955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2.9087308458074794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13.101063207922801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22.975696741341299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47.092378696302802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193" s="5">
        <f>IF((DiscreteStatsTable[[#This Row],[RepsRequested]]&gt;1),DiscreteStatsTable[[#This Row],[HalfWidth]],DiscreteStatsTable[[#This Row],[BatchMeansHalfWidth]])</f>
        <v>1.4019633908103393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19</v>
      </c>
      <c r="Y193" s="5">
        <f>IF(DiscreteStatsTable[[#This Row],[RepsRequested]]=DiscreteStatsTable[[#This Row],[RepsWithStatObserved]],1,0)</f>
        <v>1</v>
      </c>
    </row>
    <row r="194" spans="1:25" x14ac:dyDescent="0.25">
      <c r="A194" t="s">
        <v>67</v>
      </c>
      <c r="B194" t="s">
        <v>69</v>
      </c>
      <c r="C194">
        <v>1</v>
      </c>
      <c r="D194" t="s">
        <v>84</v>
      </c>
      <c r="E194" t="s">
        <v>88</v>
      </c>
      <c r="F194" t="s">
        <v>86</v>
      </c>
      <c r="G194">
        <v>0</v>
      </c>
      <c r="H194">
        <v>2E+20</v>
      </c>
      <c r="I194">
        <v>0</v>
      </c>
      <c r="J194">
        <v>0</v>
      </c>
      <c r="K194">
        <v>19</v>
      </c>
      <c r="L19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MesaWait Time Per EntityProcess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19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0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0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0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0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194" s="5">
        <f>IF((DiscreteStatsTable[[#This Row],[RepsRequested]]&gt;1),DiscreteStatsTable[[#This Row],[HalfWidth]],DiscreteStatsTable[[#This Row],[BatchMeansHalfWidth]])</f>
        <v>0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19</v>
      </c>
      <c r="Y194" s="5">
        <f>IF(DiscreteStatsTable[[#This Row],[RepsRequested]]=DiscreteStatsTable[[#This Row],[RepsWithStatObserved]],1,0)</f>
        <v>1</v>
      </c>
    </row>
    <row r="195" spans="1:25" x14ac:dyDescent="0.25">
      <c r="A195" t="s">
        <v>67</v>
      </c>
      <c r="B195" t="s">
        <v>69</v>
      </c>
      <c r="C195">
        <v>2</v>
      </c>
      <c r="D195" t="s">
        <v>84</v>
      </c>
      <c r="E195" t="s">
        <v>85</v>
      </c>
      <c r="F195" t="s">
        <v>86</v>
      </c>
      <c r="G195">
        <v>19.6313420657176</v>
      </c>
      <c r="H195">
        <v>2E+20</v>
      </c>
      <c r="I195">
        <v>9.9444268178419204</v>
      </c>
      <c r="J195">
        <v>27.9315255641779</v>
      </c>
      <c r="K195">
        <v>8</v>
      </c>
      <c r="L19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MesaTotal Time Per EntityProcess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19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17.714336330412955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2.9087308458074794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13.101063207922801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22.975696741341299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47.092378696302802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195" s="5">
        <f>IF((DiscreteStatsTable[[#This Row],[RepsRequested]]&gt;1),DiscreteStatsTable[[#This Row],[HalfWidth]],DiscreteStatsTable[[#This Row],[BatchMeansHalfWidth]])</f>
        <v>1.4019633908103393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19</v>
      </c>
      <c r="Y195" s="5">
        <f>IF(DiscreteStatsTable[[#This Row],[RepsRequested]]=DiscreteStatsTable[[#This Row],[RepsWithStatObserved]],1,0)</f>
        <v>1</v>
      </c>
    </row>
    <row r="196" spans="1:25" x14ac:dyDescent="0.25">
      <c r="A196" t="s">
        <v>67</v>
      </c>
      <c r="B196" t="s">
        <v>69</v>
      </c>
      <c r="C196">
        <v>2</v>
      </c>
      <c r="D196" t="s">
        <v>84</v>
      </c>
      <c r="E196" t="s">
        <v>87</v>
      </c>
      <c r="F196" t="s">
        <v>86</v>
      </c>
      <c r="G196">
        <v>19.6313420657176</v>
      </c>
      <c r="H196">
        <v>2E+20</v>
      </c>
      <c r="I196">
        <v>9.9444268178419204</v>
      </c>
      <c r="J196">
        <v>27.9315255641779</v>
      </c>
      <c r="K196">
        <v>8</v>
      </c>
      <c r="L19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MesaVA Time Per EntityProcess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19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17.714336330412955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2.9087308458074794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13.101063207922801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22.975696741341299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47.092378696302802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196" s="5">
        <f>IF((DiscreteStatsTable[[#This Row],[RepsRequested]]&gt;1),DiscreteStatsTable[[#This Row],[HalfWidth]],DiscreteStatsTable[[#This Row],[BatchMeansHalfWidth]])</f>
        <v>1.4019633908103393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19</v>
      </c>
      <c r="Y196" s="5">
        <f>IF(DiscreteStatsTable[[#This Row],[RepsRequested]]=DiscreteStatsTable[[#This Row],[RepsWithStatObserved]],1,0)</f>
        <v>1</v>
      </c>
    </row>
    <row r="197" spans="1:25" x14ac:dyDescent="0.25">
      <c r="A197" t="s">
        <v>67</v>
      </c>
      <c r="B197" t="s">
        <v>69</v>
      </c>
      <c r="C197">
        <v>2</v>
      </c>
      <c r="D197" t="s">
        <v>84</v>
      </c>
      <c r="E197" t="s">
        <v>88</v>
      </c>
      <c r="F197" t="s">
        <v>86</v>
      </c>
      <c r="G197">
        <v>0</v>
      </c>
      <c r="H197">
        <v>2E+20</v>
      </c>
      <c r="I197">
        <v>0</v>
      </c>
      <c r="J197">
        <v>0</v>
      </c>
      <c r="K197">
        <v>8</v>
      </c>
      <c r="L19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MesaWait Time Per EntityProcess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19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0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0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0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197" s="5">
        <f>IF((DiscreteStatsTable[[#This Row],[RepsRequested]]&gt;1),DiscreteStatsTable[[#This Row],[HalfWidth]],DiscreteStatsTable[[#This Row],[BatchMeansHalfWidth]])</f>
        <v>0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19</v>
      </c>
      <c r="Y197" s="5">
        <f>IF(DiscreteStatsTable[[#This Row],[RepsRequested]]=DiscreteStatsTable[[#This Row],[RepsWithStatObserved]],1,0)</f>
        <v>1</v>
      </c>
    </row>
    <row r="198" spans="1:25" x14ac:dyDescent="0.25">
      <c r="A198" t="s">
        <v>67</v>
      </c>
      <c r="B198" t="s">
        <v>69</v>
      </c>
      <c r="C198">
        <v>3</v>
      </c>
      <c r="D198" t="s">
        <v>84</v>
      </c>
      <c r="E198" t="s">
        <v>85</v>
      </c>
      <c r="F198" t="s">
        <v>86</v>
      </c>
      <c r="G198">
        <v>20.508291855783199</v>
      </c>
      <c r="H198">
        <v>2E+20</v>
      </c>
      <c r="I198">
        <v>6.0706382337500003E-2</v>
      </c>
      <c r="J198">
        <v>47.092378696302802</v>
      </c>
      <c r="K198">
        <v>16</v>
      </c>
      <c r="L19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MesaTotal Time Per EntityProcess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19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17.714336330412955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2.9087308458074794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13.101063207922801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22.975696741341299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47.092378696302802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198" s="5">
        <f>IF((DiscreteStatsTable[[#This Row],[RepsRequested]]&gt;1),DiscreteStatsTable[[#This Row],[HalfWidth]],DiscreteStatsTable[[#This Row],[BatchMeansHalfWidth]])</f>
        <v>1.4019633908103393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19</v>
      </c>
      <c r="Y198" s="5">
        <f>IF(DiscreteStatsTable[[#This Row],[RepsRequested]]=DiscreteStatsTable[[#This Row],[RepsWithStatObserved]],1,0)</f>
        <v>1</v>
      </c>
    </row>
    <row r="199" spans="1:25" x14ac:dyDescent="0.25">
      <c r="A199" t="s">
        <v>67</v>
      </c>
      <c r="B199" t="s">
        <v>69</v>
      </c>
      <c r="C199">
        <v>3</v>
      </c>
      <c r="D199" t="s">
        <v>84</v>
      </c>
      <c r="E199" t="s">
        <v>87</v>
      </c>
      <c r="F199" t="s">
        <v>86</v>
      </c>
      <c r="G199">
        <v>20.508291855783199</v>
      </c>
      <c r="H199">
        <v>2E+20</v>
      </c>
      <c r="I199">
        <v>6.0706382337500003E-2</v>
      </c>
      <c r="J199">
        <v>47.092378696302802</v>
      </c>
      <c r="K199">
        <v>16</v>
      </c>
      <c r="L19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MesaVA Time Per EntityProcess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19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17.714336330412955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2.9087308458074794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13.101063207922801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22.975696741341299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47.092378696302802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199" s="5">
        <f>IF((DiscreteStatsTable[[#This Row],[RepsRequested]]&gt;1),DiscreteStatsTable[[#This Row],[HalfWidth]],DiscreteStatsTable[[#This Row],[BatchMeansHalfWidth]])</f>
        <v>1.4019633908103393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19</v>
      </c>
      <c r="Y199" s="5">
        <f>IF(DiscreteStatsTable[[#This Row],[RepsRequested]]=DiscreteStatsTable[[#This Row],[RepsWithStatObserved]],1,0)</f>
        <v>1</v>
      </c>
    </row>
    <row r="200" spans="1:25" x14ac:dyDescent="0.25">
      <c r="A200" t="s">
        <v>67</v>
      </c>
      <c r="B200" t="s">
        <v>69</v>
      </c>
      <c r="C200">
        <v>3</v>
      </c>
      <c r="D200" t="s">
        <v>84</v>
      </c>
      <c r="E200" t="s">
        <v>88</v>
      </c>
      <c r="F200" t="s">
        <v>86</v>
      </c>
      <c r="G200">
        <v>0</v>
      </c>
      <c r="H200">
        <v>2E+20</v>
      </c>
      <c r="I200">
        <v>0</v>
      </c>
      <c r="J200">
        <v>0</v>
      </c>
      <c r="K200">
        <v>16</v>
      </c>
      <c r="L20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MesaWait Time Per EntityProcess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19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0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0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0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0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00" s="5">
        <f>IF((DiscreteStatsTable[[#This Row],[RepsRequested]]&gt;1),DiscreteStatsTable[[#This Row],[HalfWidth]],DiscreteStatsTable[[#This Row],[BatchMeansHalfWidth]])</f>
        <v>0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19</v>
      </c>
      <c r="Y200" s="5">
        <f>IF(DiscreteStatsTable[[#This Row],[RepsRequested]]=DiscreteStatsTable[[#This Row],[RepsWithStatObserved]],1,0)</f>
        <v>1</v>
      </c>
    </row>
    <row r="201" spans="1:25" x14ac:dyDescent="0.25">
      <c r="A201" t="s">
        <v>67</v>
      </c>
      <c r="B201" t="s">
        <v>69</v>
      </c>
      <c r="C201">
        <v>4</v>
      </c>
      <c r="D201" t="s">
        <v>84</v>
      </c>
      <c r="E201" t="s">
        <v>85</v>
      </c>
      <c r="F201" t="s">
        <v>86</v>
      </c>
      <c r="G201">
        <v>14.414452128519001</v>
      </c>
      <c r="H201">
        <v>2E+20</v>
      </c>
      <c r="I201">
        <v>5.3427333269881103</v>
      </c>
      <c r="J201">
        <v>30.217503219100902</v>
      </c>
      <c r="K201">
        <v>15</v>
      </c>
      <c r="L20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MesaTotal Time Per EntityProcess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19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17.714336330412955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2.9087308458074794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13.101063207922801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22.975696741341299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47.092378696302802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01" s="5">
        <f>IF((DiscreteStatsTable[[#This Row],[RepsRequested]]&gt;1),DiscreteStatsTable[[#This Row],[HalfWidth]],DiscreteStatsTable[[#This Row],[BatchMeansHalfWidth]])</f>
        <v>1.4019633908103393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19</v>
      </c>
      <c r="Y201" s="5">
        <f>IF(DiscreteStatsTable[[#This Row],[RepsRequested]]=DiscreteStatsTable[[#This Row],[RepsWithStatObserved]],1,0)</f>
        <v>1</v>
      </c>
    </row>
    <row r="202" spans="1:25" x14ac:dyDescent="0.25">
      <c r="A202" t="s">
        <v>67</v>
      </c>
      <c r="B202" t="s">
        <v>69</v>
      </c>
      <c r="C202">
        <v>4</v>
      </c>
      <c r="D202" t="s">
        <v>84</v>
      </c>
      <c r="E202" t="s">
        <v>87</v>
      </c>
      <c r="F202" t="s">
        <v>86</v>
      </c>
      <c r="G202">
        <v>14.414452128519001</v>
      </c>
      <c r="H202">
        <v>2E+20</v>
      </c>
      <c r="I202">
        <v>5.3427333269881103</v>
      </c>
      <c r="J202">
        <v>30.217503219100902</v>
      </c>
      <c r="K202">
        <v>15</v>
      </c>
      <c r="L20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MesaVA Time Per EntityProcess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19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17.714336330412955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2.9087308458074794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13.101063207922801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22.975696741341299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47.092378696302802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02" s="5">
        <f>IF((DiscreteStatsTable[[#This Row],[RepsRequested]]&gt;1),DiscreteStatsTable[[#This Row],[HalfWidth]],DiscreteStatsTable[[#This Row],[BatchMeansHalfWidth]])</f>
        <v>1.4019633908103393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19</v>
      </c>
      <c r="Y202" s="5">
        <f>IF(DiscreteStatsTable[[#This Row],[RepsRequested]]=DiscreteStatsTable[[#This Row],[RepsWithStatObserved]],1,0)</f>
        <v>1</v>
      </c>
    </row>
    <row r="203" spans="1:25" x14ac:dyDescent="0.25">
      <c r="A203" t="s">
        <v>67</v>
      </c>
      <c r="B203" t="s">
        <v>69</v>
      </c>
      <c r="C203">
        <v>4</v>
      </c>
      <c r="D203" t="s">
        <v>84</v>
      </c>
      <c r="E203" t="s">
        <v>88</v>
      </c>
      <c r="F203" t="s">
        <v>86</v>
      </c>
      <c r="G203">
        <v>0</v>
      </c>
      <c r="H203">
        <v>2E+20</v>
      </c>
      <c r="I203">
        <v>0</v>
      </c>
      <c r="J203">
        <v>0</v>
      </c>
      <c r="K203">
        <v>15</v>
      </c>
      <c r="L20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MesaWait Time Per EntityProcess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19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0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0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0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0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03" s="5">
        <f>IF((DiscreteStatsTable[[#This Row],[RepsRequested]]&gt;1),DiscreteStatsTable[[#This Row],[HalfWidth]],DiscreteStatsTable[[#This Row],[BatchMeansHalfWidth]])</f>
        <v>0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19</v>
      </c>
      <c r="Y203" s="5">
        <f>IF(DiscreteStatsTable[[#This Row],[RepsRequested]]=DiscreteStatsTable[[#This Row],[RepsWithStatObserved]],1,0)</f>
        <v>1</v>
      </c>
    </row>
    <row r="204" spans="1:25" x14ac:dyDescent="0.25">
      <c r="A204" t="s">
        <v>67</v>
      </c>
      <c r="B204" t="s">
        <v>69</v>
      </c>
      <c r="C204">
        <v>5</v>
      </c>
      <c r="D204" t="s">
        <v>84</v>
      </c>
      <c r="E204" t="s">
        <v>85</v>
      </c>
      <c r="F204" t="s">
        <v>86</v>
      </c>
      <c r="G204">
        <v>19.1282213603067</v>
      </c>
      <c r="H204">
        <v>2E+20</v>
      </c>
      <c r="I204">
        <v>0</v>
      </c>
      <c r="J204">
        <v>28.701319724811999</v>
      </c>
      <c r="K204">
        <v>15</v>
      </c>
      <c r="L20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MesaTotal Time Per EntityProcess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19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17.714336330412955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2.9087308458074794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13.101063207922801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22.975696741341299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47.092378696302802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04" s="5">
        <f>IF((DiscreteStatsTable[[#This Row],[RepsRequested]]&gt;1),DiscreteStatsTable[[#This Row],[HalfWidth]],DiscreteStatsTable[[#This Row],[BatchMeansHalfWidth]])</f>
        <v>1.4019633908103393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19</v>
      </c>
      <c r="Y204" s="5">
        <f>IF(DiscreteStatsTable[[#This Row],[RepsRequested]]=DiscreteStatsTable[[#This Row],[RepsWithStatObserved]],1,0)</f>
        <v>1</v>
      </c>
    </row>
    <row r="205" spans="1:25" x14ac:dyDescent="0.25">
      <c r="A205" t="s">
        <v>67</v>
      </c>
      <c r="B205" t="s">
        <v>69</v>
      </c>
      <c r="C205">
        <v>5</v>
      </c>
      <c r="D205" t="s">
        <v>84</v>
      </c>
      <c r="E205" t="s">
        <v>87</v>
      </c>
      <c r="F205" t="s">
        <v>86</v>
      </c>
      <c r="G205">
        <v>19.1282213603067</v>
      </c>
      <c r="H205">
        <v>2E+20</v>
      </c>
      <c r="I205">
        <v>0</v>
      </c>
      <c r="J205">
        <v>28.701319724811999</v>
      </c>
      <c r="K205">
        <v>15</v>
      </c>
      <c r="L20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MesaVA Time Per EntityProcess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19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17.714336330412955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2.9087308458074794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13.101063207922801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22.975696741341299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47.092378696302802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05" s="5">
        <f>IF((DiscreteStatsTable[[#This Row],[RepsRequested]]&gt;1),DiscreteStatsTable[[#This Row],[HalfWidth]],DiscreteStatsTable[[#This Row],[BatchMeansHalfWidth]])</f>
        <v>1.4019633908103393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19</v>
      </c>
      <c r="Y205" s="5">
        <f>IF(DiscreteStatsTable[[#This Row],[RepsRequested]]=DiscreteStatsTable[[#This Row],[RepsWithStatObserved]],1,0)</f>
        <v>1</v>
      </c>
    </row>
    <row r="206" spans="1:25" x14ac:dyDescent="0.25">
      <c r="A206" t="s">
        <v>67</v>
      </c>
      <c r="B206" t="s">
        <v>69</v>
      </c>
      <c r="C206">
        <v>5</v>
      </c>
      <c r="D206" t="s">
        <v>84</v>
      </c>
      <c r="E206" t="s">
        <v>88</v>
      </c>
      <c r="F206" t="s">
        <v>86</v>
      </c>
      <c r="G206">
        <v>0</v>
      </c>
      <c r="H206">
        <v>2E+20</v>
      </c>
      <c r="I206">
        <v>0</v>
      </c>
      <c r="J206">
        <v>0</v>
      </c>
      <c r="K206">
        <v>15</v>
      </c>
      <c r="L20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MesaWait Time Per EntityProcess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19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0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0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0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0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0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06" s="5">
        <f>IF((DiscreteStatsTable[[#This Row],[RepsRequested]]&gt;1),DiscreteStatsTable[[#This Row],[HalfWidth]],DiscreteStatsTable[[#This Row],[BatchMeansHalfWidth]])</f>
        <v>0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19</v>
      </c>
      <c r="Y206" s="5">
        <f>IF(DiscreteStatsTable[[#This Row],[RepsRequested]]=DiscreteStatsTable[[#This Row],[RepsWithStatObserved]],1,0)</f>
        <v>1</v>
      </c>
    </row>
    <row r="207" spans="1:25" x14ac:dyDescent="0.25">
      <c r="A207" t="s">
        <v>67</v>
      </c>
      <c r="B207" t="s">
        <v>69</v>
      </c>
      <c r="C207">
        <v>6</v>
      </c>
      <c r="D207" t="s">
        <v>84</v>
      </c>
      <c r="E207" t="s">
        <v>85</v>
      </c>
      <c r="F207" t="s">
        <v>86</v>
      </c>
      <c r="G207">
        <v>15.9568624069253</v>
      </c>
      <c r="H207">
        <v>2E+20</v>
      </c>
      <c r="I207">
        <v>0</v>
      </c>
      <c r="J207">
        <v>30.271633287238298</v>
      </c>
      <c r="K207">
        <v>17</v>
      </c>
      <c r="L20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MesaTotal Time Per EntityProcess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19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17.714336330412955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2.9087308458074794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13.101063207922801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22.975696741341299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47.092378696302802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07" s="5">
        <f>IF((DiscreteStatsTable[[#This Row],[RepsRequested]]&gt;1),DiscreteStatsTable[[#This Row],[HalfWidth]],DiscreteStatsTable[[#This Row],[BatchMeansHalfWidth]])</f>
        <v>1.4019633908103393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19</v>
      </c>
      <c r="Y207" s="5">
        <f>IF(DiscreteStatsTable[[#This Row],[RepsRequested]]=DiscreteStatsTable[[#This Row],[RepsWithStatObserved]],1,0)</f>
        <v>1</v>
      </c>
    </row>
    <row r="208" spans="1:25" x14ac:dyDescent="0.25">
      <c r="A208" t="s">
        <v>67</v>
      </c>
      <c r="B208" t="s">
        <v>69</v>
      </c>
      <c r="C208">
        <v>6</v>
      </c>
      <c r="D208" t="s">
        <v>84</v>
      </c>
      <c r="E208" t="s">
        <v>87</v>
      </c>
      <c r="F208" t="s">
        <v>86</v>
      </c>
      <c r="G208">
        <v>15.9568624069253</v>
      </c>
      <c r="H208">
        <v>2E+20</v>
      </c>
      <c r="I208">
        <v>0</v>
      </c>
      <c r="J208">
        <v>30.271633287238298</v>
      </c>
      <c r="K208">
        <v>17</v>
      </c>
      <c r="L20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MesaVA Time Per EntityProcess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19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17.714336330412955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2.9087308458074794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13.101063207922801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22.975696741341299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47.092378696302802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08" s="5">
        <f>IF((DiscreteStatsTable[[#This Row],[RepsRequested]]&gt;1),DiscreteStatsTable[[#This Row],[HalfWidth]],DiscreteStatsTable[[#This Row],[BatchMeansHalfWidth]])</f>
        <v>1.4019633908103393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19</v>
      </c>
      <c r="Y208" s="5">
        <f>IF(DiscreteStatsTable[[#This Row],[RepsRequested]]=DiscreteStatsTable[[#This Row],[RepsWithStatObserved]],1,0)</f>
        <v>1</v>
      </c>
    </row>
    <row r="209" spans="1:25" x14ac:dyDescent="0.25">
      <c r="A209" t="s">
        <v>67</v>
      </c>
      <c r="B209" t="s">
        <v>69</v>
      </c>
      <c r="C209">
        <v>6</v>
      </c>
      <c r="D209" t="s">
        <v>84</v>
      </c>
      <c r="E209" t="s">
        <v>88</v>
      </c>
      <c r="F209" t="s">
        <v>86</v>
      </c>
      <c r="G209">
        <v>0</v>
      </c>
      <c r="H209">
        <v>2E+20</v>
      </c>
      <c r="I209">
        <v>0</v>
      </c>
      <c r="J209">
        <v>0</v>
      </c>
      <c r="K209">
        <v>17</v>
      </c>
      <c r="L20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MesaWait Time Per EntityProcess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19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0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0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0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0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09" s="5">
        <f>IF((DiscreteStatsTable[[#This Row],[RepsRequested]]&gt;1),DiscreteStatsTable[[#This Row],[HalfWidth]],DiscreteStatsTable[[#This Row],[BatchMeansHalfWidth]])</f>
        <v>0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19</v>
      </c>
      <c r="Y209" s="5">
        <f>IF(DiscreteStatsTable[[#This Row],[RepsRequested]]=DiscreteStatsTable[[#This Row],[RepsWithStatObserved]],1,0)</f>
        <v>1</v>
      </c>
    </row>
    <row r="210" spans="1:25" x14ac:dyDescent="0.25">
      <c r="A210" t="s">
        <v>67</v>
      </c>
      <c r="B210" t="s">
        <v>69</v>
      </c>
      <c r="C210">
        <v>7</v>
      </c>
      <c r="D210" t="s">
        <v>84</v>
      </c>
      <c r="E210" t="s">
        <v>85</v>
      </c>
      <c r="F210" t="s">
        <v>86</v>
      </c>
      <c r="G210">
        <v>13.952545113918999</v>
      </c>
      <c r="H210">
        <v>2E+20</v>
      </c>
      <c r="I210">
        <v>0</v>
      </c>
      <c r="J210">
        <v>28.226229639215401</v>
      </c>
      <c r="K210">
        <v>19</v>
      </c>
      <c r="L21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MesaTotal Time Per EntityProcess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19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17.714336330412955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2.9087308458074794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13.101063207922801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22.975696741341299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47.092378696302802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10" s="5">
        <f>IF((DiscreteStatsTable[[#This Row],[RepsRequested]]&gt;1),DiscreteStatsTable[[#This Row],[HalfWidth]],DiscreteStatsTable[[#This Row],[BatchMeansHalfWidth]])</f>
        <v>1.4019633908103393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19</v>
      </c>
      <c r="Y210" s="5">
        <f>IF(DiscreteStatsTable[[#This Row],[RepsRequested]]=DiscreteStatsTable[[#This Row],[RepsWithStatObserved]],1,0)</f>
        <v>1</v>
      </c>
    </row>
    <row r="211" spans="1:25" x14ac:dyDescent="0.25">
      <c r="A211" t="s">
        <v>67</v>
      </c>
      <c r="B211" t="s">
        <v>69</v>
      </c>
      <c r="C211">
        <v>7</v>
      </c>
      <c r="D211" t="s">
        <v>84</v>
      </c>
      <c r="E211" t="s">
        <v>87</v>
      </c>
      <c r="F211" t="s">
        <v>86</v>
      </c>
      <c r="G211">
        <v>13.952545113918999</v>
      </c>
      <c r="H211">
        <v>2E+20</v>
      </c>
      <c r="I211">
        <v>0</v>
      </c>
      <c r="J211">
        <v>28.226229639215401</v>
      </c>
      <c r="K211">
        <v>19</v>
      </c>
      <c r="L21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MesaVA Time Per EntityProcess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19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17.714336330412955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2.9087308458074794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13.101063207922801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22.975696741341299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47.092378696302802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11" s="5">
        <f>IF((DiscreteStatsTable[[#This Row],[RepsRequested]]&gt;1),DiscreteStatsTable[[#This Row],[HalfWidth]],DiscreteStatsTable[[#This Row],[BatchMeansHalfWidth]])</f>
        <v>1.4019633908103393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19</v>
      </c>
      <c r="Y211" s="5">
        <f>IF(DiscreteStatsTable[[#This Row],[RepsRequested]]=DiscreteStatsTable[[#This Row],[RepsWithStatObserved]],1,0)</f>
        <v>1</v>
      </c>
    </row>
    <row r="212" spans="1:25" x14ac:dyDescent="0.25">
      <c r="A212" t="s">
        <v>67</v>
      </c>
      <c r="B212" t="s">
        <v>69</v>
      </c>
      <c r="C212">
        <v>7</v>
      </c>
      <c r="D212" t="s">
        <v>84</v>
      </c>
      <c r="E212" t="s">
        <v>88</v>
      </c>
      <c r="F212" t="s">
        <v>86</v>
      </c>
      <c r="G212">
        <v>0</v>
      </c>
      <c r="H212">
        <v>2E+20</v>
      </c>
      <c r="I212">
        <v>0</v>
      </c>
      <c r="J212">
        <v>0</v>
      </c>
      <c r="K212">
        <v>19</v>
      </c>
      <c r="L21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MesaWait Time Per EntityProcess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19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0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0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0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0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0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0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12" s="5">
        <f>IF((DiscreteStatsTable[[#This Row],[RepsRequested]]&gt;1),DiscreteStatsTable[[#This Row],[HalfWidth]],DiscreteStatsTable[[#This Row],[BatchMeansHalfWidth]])</f>
        <v>0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19</v>
      </c>
      <c r="Y212" s="5">
        <f>IF(DiscreteStatsTable[[#This Row],[RepsRequested]]=DiscreteStatsTable[[#This Row],[RepsWithStatObserved]],1,0)</f>
        <v>1</v>
      </c>
    </row>
    <row r="213" spans="1:25" x14ac:dyDescent="0.25">
      <c r="A213" t="s">
        <v>67</v>
      </c>
      <c r="B213" t="s">
        <v>69</v>
      </c>
      <c r="C213">
        <v>8</v>
      </c>
      <c r="D213" t="s">
        <v>84</v>
      </c>
      <c r="E213" t="s">
        <v>85</v>
      </c>
      <c r="F213" t="s">
        <v>86</v>
      </c>
      <c r="G213">
        <v>17.724345469077701</v>
      </c>
      <c r="H213">
        <v>2E+20</v>
      </c>
      <c r="I213">
        <v>0</v>
      </c>
      <c r="J213">
        <v>28.942651805576201</v>
      </c>
      <c r="K213">
        <v>16</v>
      </c>
      <c r="L21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MesaTotal Time Per EntityProcess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19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17.714336330412955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2.9087308458074794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13.101063207922801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22.975696741341299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47.092378696302802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13" s="5">
        <f>IF((DiscreteStatsTable[[#This Row],[RepsRequested]]&gt;1),DiscreteStatsTable[[#This Row],[HalfWidth]],DiscreteStatsTable[[#This Row],[BatchMeansHalfWidth]])</f>
        <v>1.4019633908103393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19</v>
      </c>
      <c r="Y213" s="5">
        <f>IF(DiscreteStatsTable[[#This Row],[RepsRequested]]=DiscreteStatsTable[[#This Row],[RepsWithStatObserved]],1,0)</f>
        <v>1</v>
      </c>
    </row>
    <row r="214" spans="1:25" x14ac:dyDescent="0.25">
      <c r="A214" t="s">
        <v>67</v>
      </c>
      <c r="B214" t="s">
        <v>69</v>
      </c>
      <c r="C214">
        <v>8</v>
      </c>
      <c r="D214" t="s">
        <v>84</v>
      </c>
      <c r="E214" t="s">
        <v>87</v>
      </c>
      <c r="F214" t="s">
        <v>86</v>
      </c>
      <c r="G214">
        <v>17.724345469077701</v>
      </c>
      <c r="H214">
        <v>2E+20</v>
      </c>
      <c r="I214">
        <v>0</v>
      </c>
      <c r="J214">
        <v>28.942651805576201</v>
      </c>
      <c r="K214">
        <v>16</v>
      </c>
      <c r="L21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MesaVA Time Per EntityProcess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19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17.714336330412955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2.9087308458074794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13.101063207922801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22.975696741341299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0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47.092378696302802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14" s="5">
        <f>IF((DiscreteStatsTable[[#This Row],[RepsRequested]]&gt;1),DiscreteStatsTable[[#This Row],[HalfWidth]],DiscreteStatsTable[[#This Row],[BatchMeansHalfWidth]])</f>
        <v>1.4019633908103393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19</v>
      </c>
      <c r="Y214" s="5">
        <f>IF(DiscreteStatsTable[[#This Row],[RepsRequested]]=DiscreteStatsTable[[#This Row],[RepsWithStatObserved]],1,0)</f>
        <v>1</v>
      </c>
    </row>
    <row r="215" spans="1:25" x14ac:dyDescent="0.25">
      <c r="A215" t="s">
        <v>67</v>
      </c>
      <c r="B215" t="s">
        <v>69</v>
      </c>
      <c r="C215">
        <v>8</v>
      </c>
      <c r="D215" t="s">
        <v>84</v>
      </c>
      <c r="E215" t="s">
        <v>88</v>
      </c>
      <c r="F215" t="s">
        <v>86</v>
      </c>
      <c r="G215">
        <v>0</v>
      </c>
      <c r="H215">
        <v>2E+20</v>
      </c>
      <c r="I215">
        <v>0</v>
      </c>
      <c r="J215">
        <v>0</v>
      </c>
      <c r="K215">
        <v>16</v>
      </c>
      <c r="L21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MesaWait Time Per EntityProcess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19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0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0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0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0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0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15" s="5">
        <f>IF((DiscreteStatsTable[[#This Row],[RepsRequested]]&gt;1),DiscreteStatsTable[[#This Row],[HalfWidth]],DiscreteStatsTable[[#This Row],[BatchMeansHalfWidth]])</f>
        <v>0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19</v>
      </c>
      <c r="Y215" s="5">
        <f>IF(DiscreteStatsTable[[#This Row],[RepsRequested]]=DiscreteStatsTable[[#This Row],[RepsWithStatObserved]],1,0)</f>
        <v>1</v>
      </c>
    </row>
    <row r="216" spans="1:25" x14ac:dyDescent="0.25">
      <c r="A216" t="s">
        <v>67</v>
      </c>
      <c r="B216" t="s">
        <v>69</v>
      </c>
      <c r="C216">
        <v>9</v>
      </c>
      <c r="D216" t="s">
        <v>84</v>
      </c>
      <c r="E216" t="s">
        <v>85</v>
      </c>
      <c r="F216" t="s">
        <v>86</v>
      </c>
      <c r="G216">
        <v>15.214096339510499</v>
      </c>
      <c r="H216">
        <v>2E+20</v>
      </c>
      <c r="I216">
        <v>1.5059276457572499</v>
      </c>
      <c r="J216">
        <v>32.099395179810003</v>
      </c>
      <c r="K216">
        <v>19</v>
      </c>
      <c r="L21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MesaTotal Time Per EntityProcess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19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17.714336330412955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2.9087308458074794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13.101063207922801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22.975696741341299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47.092378696302802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16" s="5">
        <f>IF((DiscreteStatsTable[[#This Row],[RepsRequested]]&gt;1),DiscreteStatsTable[[#This Row],[HalfWidth]],DiscreteStatsTable[[#This Row],[BatchMeansHalfWidth]])</f>
        <v>1.4019633908103393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19</v>
      </c>
      <c r="Y216" s="5">
        <f>IF(DiscreteStatsTable[[#This Row],[RepsRequested]]=DiscreteStatsTable[[#This Row],[RepsWithStatObserved]],1,0)</f>
        <v>1</v>
      </c>
    </row>
    <row r="217" spans="1:25" x14ac:dyDescent="0.25">
      <c r="A217" t="s">
        <v>67</v>
      </c>
      <c r="B217" t="s">
        <v>69</v>
      </c>
      <c r="C217">
        <v>9</v>
      </c>
      <c r="D217" t="s">
        <v>84</v>
      </c>
      <c r="E217" t="s">
        <v>87</v>
      </c>
      <c r="F217" t="s">
        <v>86</v>
      </c>
      <c r="G217">
        <v>15.214096339510499</v>
      </c>
      <c r="H217">
        <v>2E+20</v>
      </c>
      <c r="I217">
        <v>1.5059276457572499</v>
      </c>
      <c r="J217">
        <v>32.099395179810003</v>
      </c>
      <c r="K217">
        <v>19</v>
      </c>
      <c r="L21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MesaVA Time Per EntityProcess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19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17.714336330412955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2.9087308458074794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13.101063207922801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22.975696741341299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47.092378696302802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17" s="5">
        <f>IF((DiscreteStatsTable[[#This Row],[RepsRequested]]&gt;1),DiscreteStatsTable[[#This Row],[HalfWidth]],DiscreteStatsTable[[#This Row],[BatchMeansHalfWidth]])</f>
        <v>1.4019633908103393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19</v>
      </c>
      <c r="Y217" s="5">
        <f>IF(DiscreteStatsTable[[#This Row],[RepsRequested]]=DiscreteStatsTable[[#This Row],[RepsWithStatObserved]],1,0)</f>
        <v>1</v>
      </c>
    </row>
    <row r="218" spans="1:25" x14ac:dyDescent="0.25">
      <c r="A218" t="s">
        <v>67</v>
      </c>
      <c r="B218" t="s">
        <v>69</v>
      </c>
      <c r="C218">
        <v>9</v>
      </c>
      <c r="D218" t="s">
        <v>84</v>
      </c>
      <c r="E218" t="s">
        <v>88</v>
      </c>
      <c r="F218" t="s">
        <v>86</v>
      </c>
      <c r="G218">
        <v>0</v>
      </c>
      <c r="H218">
        <v>2E+20</v>
      </c>
      <c r="I218">
        <v>0</v>
      </c>
      <c r="J218">
        <v>0</v>
      </c>
      <c r="K218">
        <v>19</v>
      </c>
      <c r="L21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MesaWait Time Per EntityProcess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19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0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0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0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0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0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0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18" s="5">
        <f>IF((DiscreteStatsTable[[#This Row],[RepsRequested]]&gt;1),DiscreteStatsTable[[#This Row],[HalfWidth]],DiscreteStatsTable[[#This Row],[BatchMeansHalfWidth]])</f>
        <v>0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19</v>
      </c>
      <c r="Y218" s="5">
        <f>IF(DiscreteStatsTable[[#This Row],[RepsRequested]]=DiscreteStatsTable[[#This Row],[RepsWithStatObserved]],1,0)</f>
        <v>1</v>
      </c>
    </row>
    <row r="219" spans="1:25" x14ac:dyDescent="0.25">
      <c r="A219" t="s">
        <v>67</v>
      </c>
      <c r="B219" t="s">
        <v>69</v>
      </c>
      <c r="C219">
        <v>10</v>
      </c>
      <c r="D219" t="s">
        <v>84</v>
      </c>
      <c r="E219" t="s">
        <v>85</v>
      </c>
      <c r="F219" t="s">
        <v>86</v>
      </c>
      <c r="G219">
        <v>17.5379961470727</v>
      </c>
      <c r="H219">
        <v>2E+20</v>
      </c>
      <c r="I219">
        <v>0</v>
      </c>
      <c r="J219">
        <v>31.3931069447151</v>
      </c>
      <c r="K219">
        <v>22</v>
      </c>
      <c r="L21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MesaTotal Time Per EntityProcess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19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17.714336330412955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2.9087308458074794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13.101063207922801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22.975696741341299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47.092378696302802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19" s="5">
        <f>IF((DiscreteStatsTable[[#This Row],[RepsRequested]]&gt;1),DiscreteStatsTable[[#This Row],[HalfWidth]],DiscreteStatsTable[[#This Row],[BatchMeansHalfWidth]])</f>
        <v>1.4019633908103393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19</v>
      </c>
      <c r="Y219" s="5">
        <f>IF(DiscreteStatsTable[[#This Row],[RepsRequested]]=DiscreteStatsTable[[#This Row],[RepsWithStatObserved]],1,0)</f>
        <v>1</v>
      </c>
    </row>
    <row r="220" spans="1:25" x14ac:dyDescent="0.25">
      <c r="A220" t="s">
        <v>67</v>
      </c>
      <c r="B220" t="s">
        <v>69</v>
      </c>
      <c r="C220">
        <v>10</v>
      </c>
      <c r="D220" t="s">
        <v>84</v>
      </c>
      <c r="E220" t="s">
        <v>87</v>
      </c>
      <c r="F220" t="s">
        <v>86</v>
      </c>
      <c r="G220">
        <v>17.5379961470727</v>
      </c>
      <c r="H220">
        <v>2E+20</v>
      </c>
      <c r="I220">
        <v>0</v>
      </c>
      <c r="J220">
        <v>31.3931069447151</v>
      </c>
      <c r="K220">
        <v>22</v>
      </c>
      <c r="L22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MesaVA Time Per EntityProcess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19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17.714336330412955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2.9087308458074794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13.101063207922801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22.975696741341299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0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47.092378696302802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20" s="5">
        <f>IF((DiscreteStatsTable[[#This Row],[RepsRequested]]&gt;1),DiscreteStatsTable[[#This Row],[HalfWidth]],DiscreteStatsTable[[#This Row],[BatchMeansHalfWidth]])</f>
        <v>1.4019633908103393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19</v>
      </c>
      <c r="Y220" s="5">
        <f>IF(DiscreteStatsTable[[#This Row],[RepsRequested]]=DiscreteStatsTable[[#This Row],[RepsWithStatObserved]],1,0)</f>
        <v>1</v>
      </c>
    </row>
    <row r="221" spans="1:25" x14ac:dyDescent="0.25">
      <c r="A221" t="s">
        <v>67</v>
      </c>
      <c r="B221" t="s">
        <v>69</v>
      </c>
      <c r="C221">
        <v>10</v>
      </c>
      <c r="D221" t="s">
        <v>84</v>
      </c>
      <c r="E221" t="s">
        <v>88</v>
      </c>
      <c r="F221" t="s">
        <v>86</v>
      </c>
      <c r="G221">
        <v>0</v>
      </c>
      <c r="H221">
        <v>2E+20</v>
      </c>
      <c r="I221">
        <v>0</v>
      </c>
      <c r="J221">
        <v>0</v>
      </c>
      <c r="K221">
        <v>22</v>
      </c>
      <c r="L22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MesaWait Time Per EntityProcess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19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0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0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0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0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0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21" s="5">
        <f>IF((DiscreteStatsTable[[#This Row],[RepsRequested]]&gt;1),DiscreteStatsTable[[#This Row],[HalfWidth]],DiscreteStatsTable[[#This Row],[BatchMeansHalfWidth]])</f>
        <v>0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19</v>
      </c>
      <c r="Y221" s="5">
        <f>IF(DiscreteStatsTable[[#This Row],[RepsRequested]]=DiscreteStatsTable[[#This Row],[RepsWithStatObserved]],1,0)</f>
        <v>1</v>
      </c>
    </row>
    <row r="222" spans="1:25" x14ac:dyDescent="0.25">
      <c r="A222" t="s">
        <v>67</v>
      </c>
      <c r="B222" t="s">
        <v>69</v>
      </c>
      <c r="C222">
        <v>11</v>
      </c>
      <c r="D222" t="s">
        <v>84</v>
      </c>
      <c r="E222" t="s">
        <v>85</v>
      </c>
      <c r="F222" t="s">
        <v>86</v>
      </c>
      <c r="G222">
        <v>14.2546755862785</v>
      </c>
      <c r="H222">
        <v>2E+20</v>
      </c>
      <c r="I222">
        <v>0</v>
      </c>
      <c r="J222">
        <v>29.348960683239302</v>
      </c>
      <c r="K222">
        <v>19</v>
      </c>
      <c r="L22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MesaTotal Time Per EntityProcess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19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17.714336330412955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2.9087308458074794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13.101063207922801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22.975696741341299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47.092378696302802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22" s="5">
        <f>IF((DiscreteStatsTable[[#This Row],[RepsRequested]]&gt;1),DiscreteStatsTable[[#This Row],[HalfWidth]],DiscreteStatsTable[[#This Row],[BatchMeansHalfWidth]])</f>
        <v>1.4019633908103393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19</v>
      </c>
      <c r="Y222" s="5">
        <f>IF(DiscreteStatsTable[[#This Row],[RepsRequested]]=DiscreteStatsTable[[#This Row],[RepsWithStatObserved]],1,0)</f>
        <v>1</v>
      </c>
    </row>
    <row r="223" spans="1:25" x14ac:dyDescent="0.25">
      <c r="A223" t="s">
        <v>67</v>
      </c>
      <c r="B223" t="s">
        <v>69</v>
      </c>
      <c r="C223">
        <v>11</v>
      </c>
      <c r="D223" t="s">
        <v>84</v>
      </c>
      <c r="E223" t="s">
        <v>87</v>
      </c>
      <c r="F223" t="s">
        <v>86</v>
      </c>
      <c r="G223">
        <v>14.2546755862785</v>
      </c>
      <c r="H223">
        <v>2E+20</v>
      </c>
      <c r="I223">
        <v>0</v>
      </c>
      <c r="J223">
        <v>29.348960683239302</v>
      </c>
      <c r="K223">
        <v>19</v>
      </c>
      <c r="L22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MesaVA Time Per EntityProcess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19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17.714336330412955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2.9087308458074794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13.101063207922801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22.975696741341299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47.092378696302802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23" s="5">
        <f>IF((DiscreteStatsTable[[#This Row],[RepsRequested]]&gt;1),DiscreteStatsTable[[#This Row],[HalfWidth]],DiscreteStatsTable[[#This Row],[BatchMeansHalfWidth]])</f>
        <v>1.4019633908103393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19</v>
      </c>
      <c r="Y223" s="5">
        <f>IF(DiscreteStatsTable[[#This Row],[RepsRequested]]=DiscreteStatsTable[[#This Row],[RepsWithStatObserved]],1,0)</f>
        <v>1</v>
      </c>
    </row>
    <row r="224" spans="1:25" x14ac:dyDescent="0.25">
      <c r="A224" t="s">
        <v>67</v>
      </c>
      <c r="B224" t="s">
        <v>69</v>
      </c>
      <c r="C224">
        <v>11</v>
      </c>
      <c r="D224" t="s">
        <v>84</v>
      </c>
      <c r="E224" t="s">
        <v>88</v>
      </c>
      <c r="F224" t="s">
        <v>86</v>
      </c>
      <c r="G224">
        <v>0</v>
      </c>
      <c r="H224">
        <v>2E+20</v>
      </c>
      <c r="I224">
        <v>0</v>
      </c>
      <c r="J224">
        <v>0</v>
      </c>
      <c r="K224">
        <v>19</v>
      </c>
      <c r="L22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MesaWait Time Per EntityProcess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19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0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0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0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0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0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0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24" s="5">
        <f>IF((DiscreteStatsTable[[#This Row],[RepsRequested]]&gt;1),DiscreteStatsTable[[#This Row],[HalfWidth]],DiscreteStatsTable[[#This Row],[BatchMeansHalfWidth]])</f>
        <v>0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19</v>
      </c>
      <c r="Y224" s="5">
        <f>IF(DiscreteStatsTable[[#This Row],[RepsRequested]]=DiscreteStatsTable[[#This Row],[RepsWithStatObserved]],1,0)</f>
        <v>1</v>
      </c>
    </row>
    <row r="225" spans="1:25" x14ac:dyDescent="0.25">
      <c r="A225" t="s">
        <v>67</v>
      </c>
      <c r="B225" t="s">
        <v>69</v>
      </c>
      <c r="C225">
        <v>12</v>
      </c>
      <c r="D225" t="s">
        <v>84</v>
      </c>
      <c r="E225" t="s">
        <v>85</v>
      </c>
      <c r="F225" t="s">
        <v>86</v>
      </c>
      <c r="G225">
        <v>19.049187216616001</v>
      </c>
      <c r="H225">
        <v>2E+20</v>
      </c>
      <c r="I225">
        <v>1.5356469413879701</v>
      </c>
      <c r="J225">
        <v>33.476019315059702</v>
      </c>
      <c r="K225">
        <v>14</v>
      </c>
      <c r="L22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MesaTotal Time Per EntityProcess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19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17.714336330412955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2.9087308458074794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13.101063207922801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22.975696741341299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47.092378696302802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25" s="5">
        <f>IF((DiscreteStatsTable[[#This Row],[RepsRequested]]&gt;1),DiscreteStatsTable[[#This Row],[HalfWidth]],DiscreteStatsTable[[#This Row],[BatchMeansHalfWidth]])</f>
        <v>1.4019633908103393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19</v>
      </c>
      <c r="Y225" s="5">
        <f>IF(DiscreteStatsTable[[#This Row],[RepsRequested]]=DiscreteStatsTable[[#This Row],[RepsWithStatObserved]],1,0)</f>
        <v>1</v>
      </c>
    </row>
    <row r="226" spans="1:25" x14ac:dyDescent="0.25">
      <c r="A226" t="s">
        <v>67</v>
      </c>
      <c r="B226" t="s">
        <v>69</v>
      </c>
      <c r="C226">
        <v>12</v>
      </c>
      <c r="D226" t="s">
        <v>84</v>
      </c>
      <c r="E226" t="s">
        <v>87</v>
      </c>
      <c r="F226" t="s">
        <v>86</v>
      </c>
      <c r="G226">
        <v>19.049187216616001</v>
      </c>
      <c r="H226">
        <v>2E+20</v>
      </c>
      <c r="I226">
        <v>1.5356469413879701</v>
      </c>
      <c r="J226">
        <v>33.476019315059702</v>
      </c>
      <c r="K226">
        <v>14</v>
      </c>
      <c r="L22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MesaVA Time Per EntityProcess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19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17.714336330412955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2.9087308458074794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13.101063207922801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22.975696741341299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0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47.092378696302802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26" s="5">
        <f>IF((DiscreteStatsTable[[#This Row],[RepsRequested]]&gt;1),DiscreteStatsTable[[#This Row],[HalfWidth]],DiscreteStatsTable[[#This Row],[BatchMeansHalfWidth]])</f>
        <v>1.4019633908103393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19</v>
      </c>
      <c r="Y226" s="5">
        <f>IF(DiscreteStatsTable[[#This Row],[RepsRequested]]=DiscreteStatsTable[[#This Row],[RepsWithStatObserved]],1,0)</f>
        <v>1</v>
      </c>
    </row>
    <row r="227" spans="1:25" x14ac:dyDescent="0.25">
      <c r="A227" t="s">
        <v>67</v>
      </c>
      <c r="B227" t="s">
        <v>69</v>
      </c>
      <c r="C227">
        <v>12</v>
      </c>
      <c r="D227" t="s">
        <v>84</v>
      </c>
      <c r="E227" t="s">
        <v>88</v>
      </c>
      <c r="F227" t="s">
        <v>86</v>
      </c>
      <c r="G227">
        <v>0</v>
      </c>
      <c r="H227">
        <v>2E+20</v>
      </c>
      <c r="I227">
        <v>0</v>
      </c>
      <c r="J227">
        <v>0</v>
      </c>
      <c r="K227">
        <v>14</v>
      </c>
      <c r="L22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MesaWait Time Per EntityProcess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19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0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0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0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0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0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27" s="5">
        <f>IF((DiscreteStatsTable[[#This Row],[RepsRequested]]&gt;1),DiscreteStatsTable[[#This Row],[HalfWidth]],DiscreteStatsTable[[#This Row],[BatchMeansHalfWidth]])</f>
        <v>0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19</v>
      </c>
      <c r="Y227" s="5">
        <f>IF(DiscreteStatsTable[[#This Row],[RepsRequested]]=DiscreteStatsTable[[#This Row],[RepsWithStatObserved]],1,0)</f>
        <v>1</v>
      </c>
    </row>
    <row r="228" spans="1:25" x14ac:dyDescent="0.25">
      <c r="A228" t="s">
        <v>67</v>
      </c>
      <c r="B228" t="s">
        <v>69</v>
      </c>
      <c r="C228">
        <v>13</v>
      </c>
      <c r="D228" t="s">
        <v>84</v>
      </c>
      <c r="E228" t="s">
        <v>85</v>
      </c>
      <c r="F228" t="s">
        <v>86</v>
      </c>
      <c r="G228">
        <v>22.975696741341299</v>
      </c>
      <c r="H228">
        <v>2E+20</v>
      </c>
      <c r="I228">
        <v>1.8155272354759999</v>
      </c>
      <c r="J228">
        <v>37.998935754854699</v>
      </c>
      <c r="K228">
        <v>12</v>
      </c>
      <c r="L22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MesaTotal Time Per EntityProcess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19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17.714336330412955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2.9087308458074794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13.101063207922801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22.975696741341299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47.092378696302802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28" s="5">
        <f>IF((DiscreteStatsTable[[#This Row],[RepsRequested]]&gt;1),DiscreteStatsTable[[#This Row],[HalfWidth]],DiscreteStatsTable[[#This Row],[BatchMeansHalfWidth]])</f>
        <v>1.4019633908103393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19</v>
      </c>
      <c r="Y228" s="5">
        <f>IF(DiscreteStatsTable[[#This Row],[RepsRequested]]=DiscreteStatsTable[[#This Row],[RepsWithStatObserved]],1,0)</f>
        <v>1</v>
      </c>
    </row>
    <row r="229" spans="1:25" x14ac:dyDescent="0.25">
      <c r="A229" t="s">
        <v>67</v>
      </c>
      <c r="B229" t="s">
        <v>69</v>
      </c>
      <c r="C229">
        <v>13</v>
      </c>
      <c r="D229" t="s">
        <v>84</v>
      </c>
      <c r="E229" t="s">
        <v>87</v>
      </c>
      <c r="F229" t="s">
        <v>86</v>
      </c>
      <c r="G229">
        <v>22.975696741341299</v>
      </c>
      <c r="H229">
        <v>2E+20</v>
      </c>
      <c r="I229">
        <v>1.8155272354759999</v>
      </c>
      <c r="J229">
        <v>37.998935754854699</v>
      </c>
      <c r="K229">
        <v>12</v>
      </c>
      <c r="L22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MesaVA Time Per EntityProcess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19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17.714336330412955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2.9087308458074794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13.101063207922801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22.975696741341299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47.092378696302802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29" s="5">
        <f>IF((DiscreteStatsTable[[#This Row],[RepsRequested]]&gt;1),DiscreteStatsTable[[#This Row],[HalfWidth]],DiscreteStatsTable[[#This Row],[BatchMeansHalfWidth]])</f>
        <v>1.4019633908103393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19</v>
      </c>
      <c r="Y229" s="5">
        <f>IF(DiscreteStatsTable[[#This Row],[RepsRequested]]=DiscreteStatsTable[[#This Row],[RepsWithStatObserved]],1,0)</f>
        <v>1</v>
      </c>
    </row>
    <row r="230" spans="1:25" x14ac:dyDescent="0.25">
      <c r="A230" t="s">
        <v>67</v>
      </c>
      <c r="B230" t="s">
        <v>69</v>
      </c>
      <c r="C230">
        <v>13</v>
      </c>
      <c r="D230" t="s">
        <v>84</v>
      </c>
      <c r="E230" t="s">
        <v>88</v>
      </c>
      <c r="F230" t="s">
        <v>86</v>
      </c>
      <c r="G230">
        <v>0</v>
      </c>
      <c r="H230">
        <v>2E+20</v>
      </c>
      <c r="I230">
        <v>0</v>
      </c>
      <c r="J230">
        <v>0</v>
      </c>
      <c r="K230">
        <v>12</v>
      </c>
      <c r="L23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MesaWait Time Per EntityProcess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19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0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0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0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0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0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0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30" s="5">
        <f>IF((DiscreteStatsTable[[#This Row],[RepsRequested]]&gt;1),DiscreteStatsTable[[#This Row],[HalfWidth]],DiscreteStatsTable[[#This Row],[BatchMeansHalfWidth]])</f>
        <v>0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19</v>
      </c>
      <c r="Y230" s="5">
        <f>IF(DiscreteStatsTable[[#This Row],[RepsRequested]]=DiscreteStatsTable[[#This Row],[RepsWithStatObserved]],1,0)</f>
        <v>1</v>
      </c>
    </row>
    <row r="231" spans="1:25" x14ac:dyDescent="0.25">
      <c r="A231" t="s">
        <v>67</v>
      </c>
      <c r="B231" t="s">
        <v>69</v>
      </c>
      <c r="C231">
        <v>14</v>
      </c>
      <c r="D231" t="s">
        <v>84</v>
      </c>
      <c r="E231" t="s">
        <v>85</v>
      </c>
      <c r="F231" t="s">
        <v>86</v>
      </c>
      <c r="G231">
        <v>17.5786024293397</v>
      </c>
      <c r="H231">
        <v>2E+20</v>
      </c>
      <c r="I231">
        <v>3.1692109824593002</v>
      </c>
      <c r="J231">
        <v>32.020590379549702</v>
      </c>
      <c r="K231">
        <v>18</v>
      </c>
      <c r="L23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MesaTotal Time Per EntityProcess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19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17.714336330412955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2.9087308458074794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13.101063207922801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22.975696741341299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47.092378696302802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31" s="5">
        <f>IF((DiscreteStatsTable[[#This Row],[RepsRequested]]&gt;1),DiscreteStatsTable[[#This Row],[HalfWidth]],DiscreteStatsTable[[#This Row],[BatchMeansHalfWidth]])</f>
        <v>1.4019633908103393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19</v>
      </c>
      <c r="Y231" s="5">
        <f>IF(DiscreteStatsTable[[#This Row],[RepsRequested]]=DiscreteStatsTable[[#This Row],[RepsWithStatObserved]],1,0)</f>
        <v>1</v>
      </c>
    </row>
    <row r="232" spans="1:25" x14ac:dyDescent="0.25">
      <c r="A232" t="s">
        <v>67</v>
      </c>
      <c r="B232" t="s">
        <v>69</v>
      </c>
      <c r="C232">
        <v>14</v>
      </c>
      <c r="D232" t="s">
        <v>84</v>
      </c>
      <c r="E232" t="s">
        <v>87</v>
      </c>
      <c r="F232" t="s">
        <v>86</v>
      </c>
      <c r="G232">
        <v>17.5786024293397</v>
      </c>
      <c r="H232">
        <v>2E+20</v>
      </c>
      <c r="I232">
        <v>3.1692109824593002</v>
      </c>
      <c r="J232">
        <v>32.020590379549702</v>
      </c>
      <c r="K232">
        <v>18</v>
      </c>
      <c r="L23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MesaVA Time Per EntityProcess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19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17.714336330412955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2.9087308458074794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13.101063207922801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22.975696741341299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0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47.092378696302802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32" s="5">
        <f>IF((DiscreteStatsTable[[#This Row],[RepsRequested]]&gt;1),DiscreteStatsTable[[#This Row],[HalfWidth]],DiscreteStatsTable[[#This Row],[BatchMeansHalfWidth]])</f>
        <v>1.4019633908103393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19</v>
      </c>
      <c r="Y232" s="5">
        <f>IF(DiscreteStatsTable[[#This Row],[RepsRequested]]=DiscreteStatsTable[[#This Row],[RepsWithStatObserved]],1,0)</f>
        <v>1</v>
      </c>
    </row>
    <row r="233" spans="1:25" x14ac:dyDescent="0.25">
      <c r="A233" t="s">
        <v>67</v>
      </c>
      <c r="B233" t="s">
        <v>69</v>
      </c>
      <c r="C233">
        <v>14</v>
      </c>
      <c r="D233" t="s">
        <v>84</v>
      </c>
      <c r="E233" t="s">
        <v>88</v>
      </c>
      <c r="F233" t="s">
        <v>86</v>
      </c>
      <c r="G233">
        <v>0</v>
      </c>
      <c r="H233">
        <v>2E+20</v>
      </c>
      <c r="I233">
        <v>0</v>
      </c>
      <c r="J233">
        <v>0</v>
      </c>
      <c r="K233">
        <v>18</v>
      </c>
      <c r="L23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MesaWait Time Per EntityProcess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19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0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0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0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0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0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33" s="5">
        <f>IF((DiscreteStatsTable[[#This Row],[RepsRequested]]&gt;1),DiscreteStatsTable[[#This Row],[HalfWidth]],DiscreteStatsTable[[#This Row],[BatchMeansHalfWidth]])</f>
        <v>0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19</v>
      </c>
      <c r="Y233" s="5">
        <f>IF(DiscreteStatsTable[[#This Row],[RepsRequested]]=DiscreteStatsTable[[#This Row],[RepsWithStatObserved]],1,0)</f>
        <v>1</v>
      </c>
    </row>
    <row r="234" spans="1:25" x14ac:dyDescent="0.25">
      <c r="A234" t="s">
        <v>67</v>
      </c>
      <c r="B234" t="s">
        <v>69</v>
      </c>
      <c r="C234">
        <v>15</v>
      </c>
      <c r="D234" t="s">
        <v>84</v>
      </c>
      <c r="E234" t="s">
        <v>85</v>
      </c>
      <c r="F234" t="s">
        <v>86</v>
      </c>
      <c r="G234">
        <v>21.4760693596075</v>
      </c>
      <c r="H234">
        <v>2E+20</v>
      </c>
      <c r="I234">
        <v>10.4937674299</v>
      </c>
      <c r="J234">
        <v>37.486560303480303</v>
      </c>
      <c r="K234">
        <v>12</v>
      </c>
      <c r="L23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MesaTotal Time Per EntityProcess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19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17.714336330412955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2.9087308458074794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13.101063207922801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22.975696741341299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47.092378696302802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34" s="5">
        <f>IF((DiscreteStatsTable[[#This Row],[RepsRequested]]&gt;1),DiscreteStatsTable[[#This Row],[HalfWidth]],DiscreteStatsTable[[#This Row],[BatchMeansHalfWidth]])</f>
        <v>1.4019633908103393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19</v>
      </c>
      <c r="Y234" s="5">
        <f>IF(DiscreteStatsTable[[#This Row],[RepsRequested]]=DiscreteStatsTable[[#This Row],[RepsWithStatObserved]],1,0)</f>
        <v>1</v>
      </c>
    </row>
    <row r="235" spans="1:25" x14ac:dyDescent="0.25">
      <c r="A235" t="s">
        <v>67</v>
      </c>
      <c r="B235" t="s">
        <v>69</v>
      </c>
      <c r="C235">
        <v>15</v>
      </c>
      <c r="D235" t="s">
        <v>84</v>
      </c>
      <c r="E235" t="s">
        <v>87</v>
      </c>
      <c r="F235" t="s">
        <v>86</v>
      </c>
      <c r="G235">
        <v>21.4760693596075</v>
      </c>
      <c r="H235">
        <v>2E+20</v>
      </c>
      <c r="I235">
        <v>10.4937674299</v>
      </c>
      <c r="J235">
        <v>37.486560303480303</v>
      </c>
      <c r="K235">
        <v>12</v>
      </c>
      <c r="L23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MesaVA Time Per EntityProcess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19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17.714336330412955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2.9087308458074794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13.101063207922801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22.975696741341299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47.092378696302802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35" s="5">
        <f>IF((DiscreteStatsTable[[#This Row],[RepsRequested]]&gt;1),DiscreteStatsTable[[#This Row],[HalfWidth]],DiscreteStatsTable[[#This Row],[BatchMeansHalfWidth]])</f>
        <v>1.4019633908103393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19</v>
      </c>
      <c r="Y235" s="5">
        <f>IF(DiscreteStatsTable[[#This Row],[RepsRequested]]=DiscreteStatsTable[[#This Row],[RepsWithStatObserved]],1,0)</f>
        <v>1</v>
      </c>
    </row>
    <row r="236" spans="1:25" x14ac:dyDescent="0.25">
      <c r="A236" t="s">
        <v>67</v>
      </c>
      <c r="B236" t="s">
        <v>69</v>
      </c>
      <c r="C236">
        <v>15</v>
      </c>
      <c r="D236" t="s">
        <v>84</v>
      </c>
      <c r="E236" t="s">
        <v>88</v>
      </c>
      <c r="F236" t="s">
        <v>86</v>
      </c>
      <c r="G236">
        <v>0</v>
      </c>
      <c r="H236">
        <v>2E+20</v>
      </c>
      <c r="I236">
        <v>0</v>
      </c>
      <c r="J236">
        <v>0</v>
      </c>
      <c r="K236">
        <v>12</v>
      </c>
      <c r="L23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MesaWait Time Per EntityProcess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19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0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0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0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0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0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0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36" s="5">
        <f>IF((DiscreteStatsTable[[#This Row],[RepsRequested]]&gt;1),DiscreteStatsTable[[#This Row],[HalfWidth]],DiscreteStatsTable[[#This Row],[BatchMeansHalfWidth]])</f>
        <v>0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19</v>
      </c>
      <c r="Y236" s="5">
        <f>IF(DiscreteStatsTable[[#This Row],[RepsRequested]]=DiscreteStatsTable[[#This Row],[RepsWithStatObserved]],1,0)</f>
        <v>1</v>
      </c>
    </row>
    <row r="237" spans="1:25" x14ac:dyDescent="0.25">
      <c r="A237" t="s">
        <v>67</v>
      </c>
      <c r="B237" t="s">
        <v>69</v>
      </c>
      <c r="C237">
        <v>16</v>
      </c>
      <c r="D237" t="s">
        <v>84</v>
      </c>
      <c r="E237" t="s">
        <v>85</v>
      </c>
      <c r="F237" t="s">
        <v>86</v>
      </c>
      <c r="G237">
        <v>15.041847416662399</v>
      </c>
      <c r="H237">
        <v>2E+20</v>
      </c>
      <c r="I237">
        <v>2.2940863603439499</v>
      </c>
      <c r="J237">
        <v>29.401923921538302</v>
      </c>
      <c r="K237">
        <v>21</v>
      </c>
      <c r="L23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MesaTotal Time Per EntityProcess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19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17.714336330412955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2.9087308458074794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13.101063207922801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22.975696741341299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47.092378696302802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37" s="5">
        <f>IF((DiscreteStatsTable[[#This Row],[RepsRequested]]&gt;1),DiscreteStatsTable[[#This Row],[HalfWidth]],DiscreteStatsTable[[#This Row],[BatchMeansHalfWidth]])</f>
        <v>1.4019633908103393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19</v>
      </c>
      <c r="Y237" s="5">
        <f>IF(DiscreteStatsTable[[#This Row],[RepsRequested]]=DiscreteStatsTable[[#This Row],[RepsWithStatObserved]],1,0)</f>
        <v>1</v>
      </c>
    </row>
    <row r="238" spans="1:25" x14ac:dyDescent="0.25">
      <c r="A238" t="s">
        <v>67</v>
      </c>
      <c r="B238" t="s">
        <v>69</v>
      </c>
      <c r="C238">
        <v>16</v>
      </c>
      <c r="D238" t="s">
        <v>84</v>
      </c>
      <c r="E238" t="s">
        <v>87</v>
      </c>
      <c r="F238" t="s">
        <v>86</v>
      </c>
      <c r="G238">
        <v>15.041847416662399</v>
      </c>
      <c r="H238">
        <v>2E+20</v>
      </c>
      <c r="I238">
        <v>2.2940863603439499</v>
      </c>
      <c r="J238">
        <v>29.401923921538302</v>
      </c>
      <c r="K238">
        <v>21</v>
      </c>
      <c r="L23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MesaVA Time Per EntityProcess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19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17.714336330412955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2.9087308458074794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13.101063207922801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22.975696741341299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0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47.092378696302802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38" s="5">
        <f>IF((DiscreteStatsTable[[#This Row],[RepsRequested]]&gt;1),DiscreteStatsTable[[#This Row],[HalfWidth]],DiscreteStatsTable[[#This Row],[BatchMeansHalfWidth]])</f>
        <v>1.4019633908103393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19</v>
      </c>
      <c r="Y238" s="5">
        <f>IF(DiscreteStatsTable[[#This Row],[RepsRequested]]=DiscreteStatsTable[[#This Row],[RepsWithStatObserved]],1,0)</f>
        <v>1</v>
      </c>
    </row>
    <row r="239" spans="1:25" x14ac:dyDescent="0.25">
      <c r="A239" t="s">
        <v>67</v>
      </c>
      <c r="B239" t="s">
        <v>69</v>
      </c>
      <c r="C239">
        <v>16</v>
      </c>
      <c r="D239" t="s">
        <v>84</v>
      </c>
      <c r="E239" t="s">
        <v>88</v>
      </c>
      <c r="F239" t="s">
        <v>86</v>
      </c>
      <c r="G239">
        <v>0</v>
      </c>
      <c r="H239">
        <v>2E+20</v>
      </c>
      <c r="I239">
        <v>0</v>
      </c>
      <c r="J239">
        <v>0</v>
      </c>
      <c r="K239">
        <v>21</v>
      </c>
      <c r="L23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MesaWait Time Per EntityProcess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19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0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0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0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0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0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39" s="5">
        <f>IF((DiscreteStatsTable[[#This Row],[RepsRequested]]&gt;1),DiscreteStatsTable[[#This Row],[HalfWidth]],DiscreteStatsTable[[#This Row],[BatchMeansHalfWidth]])</f>
        <v>0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19</v>
      </c>
      <c r="Y239" s="5">
        <f>IF(DiscreteStatsTable[[#This Row],[RepsRequested]]=DiscreteStatsTable[[#This Row],[RepsWithStatObserved]],1,0)</f>
        <v>1</v>
      </c>
    </row>
    <row r="240" spans="1:25" x14ac:dyDescent="0.25">
      <c r="A240" t="s">
        <v>67</v>
      </c>
      <c r="B240" t="s">
        <v>69</v>
      </c>
      <c r="C240">
        <v>17</v>
      </c>
      <c r="D240" t="s">
        <v>84</v>
      </c>
      <c r="E240" t="s">
        <v>85</v>
      </c>
      <c r="F240" t="s">
        <v>86</v>
      </c>
      <c r="G240">
        <v>20.538119910750599</v>
      </c>
      <c r="H240">
        <v>2E+20</v>
      </c>
      <c r="I240">
        <v>8.7343176684467796</v>
      </c>
      <c r="J240">
        <v>38.200866292722203</v>
      </c>
      <c r="K240">
        <v>15</v>
      </c>
      <c r="L24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MesaTotal Time Per EntityProcess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19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17.714336330412955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2.9087308458074794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13.101063207922801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22.975696741341299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47.092378696302802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40" s="5">
        <f>IF((DiscreteStatsTable[[#This Row],[RepsRequested]]&gt;1),DiscreteStatsTable[[#This Row],[HalfWidth]],DiscreteStatsTable[[#This Row],[BatchMeansHalfWidth]])</f>
        <v>1.4019633908103393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19</v>
      </c>
      <c r="Y240" s="5">
        <f>IF(DiscreteStatsTable[[#This Row],[RepsRequested]]=DiscreteStatsTable[[#This Row],[RepsWithStatObserved]],1,0)</f>
        <v>1</v>
      </c>
    </row>
    <row r="241" spans="1:25" x14ac:dyDescent="0.25">
      <c r="A241" t="s">
        <v>67</v>
      </c>
      <c r="B241" t="s">
        <v>69</v>
      </c>
      <c r="C241">
        <v>17</v>
      </c>
      <c r="D241" t="s">
        <v>84</v>
      </c>
      <c r="E241" t="s">
        <v>87</v>
      </c>
      <c r="F241" t="s">
        <v>86</v>
      </c>
      <c r="G241">
        <v>20.538119910750599</v>
      </c>
      <c r="H241">
        <v>2E+20</v>
      </c>
      <c r="I241">
        <v>8.7343176684467796</v>
      </c>
      <c r="J241">
        <v>38.200866292722203</v>
      </c>
      <c r="K241">
        <v>15</v>
      </c>
      <c r="L24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MesaVA Time Per EntityProcess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19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17.714336330412955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2.9087308458074794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13.101063207922801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22.975696741341299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47.092378696302802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41" s="5">
        <f>IF((DiscreteStatsTable[[#This Row],[RepsRequested]]&gt;1),DiscreteStatsTable[[#This Row],[HalfWidth]],DiscreteStatsTable[[#This Row],[BatchMeansHalfWidth]])</f>
        <v>1.4019633908103393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19</v>
      </c>
      <c r="Y241" s="5">
        <f>IF(DiscreteStatsTable[[#This Row],[RepsRequested]]=DiscreteStatsTable[[#This Row],[RepsWithStatObserved]],1,0)</f>
        <v>1</v>
      </c>
    </row>
    <row r="242" spans="1:25" x14ac:dyDescent="0.25">
      <c r="A242" t="s">
        <v>67</v>
      </c>
      <c r="B242" t="s">
        <v>69</v>
      </c>
      <c r="C242">
        <v>17</v>
      </c>
      <c r="D242" t="s">
        <v>84</v>
      </c>
      <c r="E242" t="s">
        <v>88</v>
      </c>
      <c r="F242" t="s">
        <v>86</v>
      </c>
      <c r="G242">
        <v>0</v>
      </c>
      <c r="H242">
        <v>2E+20</v>
      </c>
      <c r="I242">
        <v>0</v>
      </c>
      <c r="J242">
        <v>0</v>
      </c>
      <c r="K242">
        <v>15</v>
      </c>
      <c r="L24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MesaWait Time Per EntityProcess</v>
      </c>
      <c r="M242" s="5" cm="1">
        <f t="array" ref="M242">MAX(IF((ProjectInfoTable[ProjectName]=DiscreteStatsTable[[#This Row],[ProjectName]]),(ProjectInfoTable[ProjectName]=DiscreteStatsTable[[#This Row],[ProjectName]])*ProjectInfoTable[NumberOfReplications]))</f>
        <v>19</v>
      </c>
      <c r="N242" s="5" cm="1">
        <f t="array" ref="N242">IFERROR(AVERAGE(IF((DiscreteStatsTable[GroupByKey]=DiscreteStatsTable[[#This Row],[GroupByKey]]),(DiscreteStatsTable[GroupByKey]=DiscreteStatsTable[[#This Row],[GroupByKey]])*DiscreteStatsTable[Average])),0)</f>
        <v>0</v>
      </c>
      <c r="O242" s="5" cm="1">
        <f t="array" ref="O242">IFERROR(_xlfn.STDEV.S(IF((DiscreteStatsTable[GroupByKey]=DiscreteStatsTable[[#This Row],[GroupByKey]]),(DiscreteStatsTable[GroupByKey]=DiscreteStatsTable[[#This Row],[GroupByKey]])*DiscreteStatsTable[Average])),0)</f>
        <v>0</v>
      </c>
      <c r="P242" s="5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2" s="5" cm="1">
        <f t="array" ref="R242">MIN(IF((DiscreteStatsTable[GroupByKey]=DiscreteStatsTable[[#This Row],[GroupByKey]]),(DiscreteStatsTable[GroupByKey]=DiscreteStatsTable[[#This Row],[GroupByKey]])*DiscreteStatsTable[Average]))</f>
        <v>0</v>
      </c>
      <c r="S242" s="5" cm="1">
        <f t="array" ref="S242">MAX(IF((DiscreteStatsTable[GroupByKey]=DiscreteStatsTable[[#This Row],[GroupByKey]]),(DiscreteStatsTable[GroupByKey]=DiscreteStatsTable[[#This Row],[GroupByKey]])*DiscreteStatsTable[Average]))</f>
        <v>0</v>
      </c>
      <c r="T242" s="5" cm="1">
        <f t="array" ref="T242">MIN(IF((DiscreteStatsTable[GroupByKey]=DiscreteStatsTable[[#This Row],[GroupByKey]]),(DiscreteStatsTable[GroupByKey]=DiscreteStatsTable[[#This Row],[GroupByKey]])*DiscreteStatsTable[Minimum]))</f>
        <v>0</v>
      </c>
      <c r="U242" s="5" cm="1">
        <f t="array" ref="U242">MAX(IF((DiscreteStatsTable[GroupByKey]=DiscreteStatsTable[[#This Row],[GroupByKey]]),(DiscreteStatsTable[GroupByKey]=DiscreteStatsTable[[#This Row],[GroupByKey]])*DiscreteStatsTable[Maximum]))</f>
        <v>0</v>
      </c>
      <c r="V242" s="5" cm="1">
        <f t="array" ref="V242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42" s="5">
        <f>IF((DiscreteStatsTable[[#This Row],[RepsRequested]]&gt;1),DiscreteStatsTable[[#This Row],[HalfWidth]],DiscreteStatsTable[[#This Row],[BatchMeansHalfWidth]])</f>
        <v>0</v>
      </c>
      <c r="X242" s="5" cm="1">
        <f t="array" ref="X242">COUNT(IF((DiscreteStatsTable[GroupByKey]=DiscreteStatsTable[[#This Row],[GroupByKey]]),(DiscreteStatsTable[GroupByKey]=DiscreteStatsTable[[#This Row],[GroupByKey]])*DiscreteStatsTable[Replication]))</f>
        <v>19</v>
      </c>
      <c r="Y242" s="5">
        <f>IF(DiscreteStatsTable[[#This Row],[RepsRequested]]=DiscreteStatsTable[[#This Row],[RepsWithStatObserved]],1,0)</f>
        <v>1</v>
      </c>
    </row>
    <row r="243" spans="1:25" x14ac:dyDescent="0.25">
      <c r="A243" t="s">
        <v>67</v>
      </c>
      <c r="B243" t="s">
        <v>69</v>
      </c>
      <c r="C243">
        <v>18</v>
      </c>
      <c r="D243" t="s">
        <v>84</v>
      </c>
      <c r="E243" t="s">
        <v>85</v>
      </c>
      <c r="F243" t="s">
        <v>86</v>
      </c>
      <c r="G243">
        <v>17.28002023837</v>
      </c>
      <c r="H243">
        <v>2E+20</v>
      </c>
      <c r="I243">
        <v>4.8549629102608396</v>
      </c>
      <c r="J243">
        <v>40.684021884533799</v>
      </c>
      <c r="K243">
        <v>15</v>
      </c>
      <c r="L24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MesaTotal Time Per EntityProcess</v>
      </c>
      <c r="M243" s="5" cm="1">
        <f t="array" ref="M243">MAX(IF((ProjectInfoTable[ProjectName]=DiscreteStatsTable[[#This Row],[ProjectName]]),(ProjectInfoTable[ProjectName]=DiscreteStatsTable[[#This Row],[ProjectName]])*ProjectInfoTable[NumberOfReplications]))</f>
        <v>19</v>
      </c>
      <c r="N243" s="5" cm="1">
        <f t="array" ref="N243">IFERROR(AVERAGE(IF((DiscreteStatsTable[GroupByKey]=DiscreteStatsTable[[#This Row],[GroupByKey]]),(DiscreteStatsTable[GroupByKey]=DiscreteStatsTable[[#This Row],[GroupByKey]])*DiscreteStatsTable[Average])),0)</f>
        <v>17.714336330412955</v>
      </c>
      <c r="O243" s="5" cm="1">
        <f t="array" ref="O243">IFERROR(_xlfn.STDEV.S(IF((DiscreteStatsTable[GroupByKey]=DiscreteStatsTable[[#This Row],[GroupByKey]]),(DiscreteStatsTable[GroupByKey]=DiscreteStatsTable[[#This Row],[GroupByKey]])*DiscreteStatsTable[Average])),0)</f>
        <v>2.9087308458074794</v>
      </c>
      <c r="P243" s="5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43" s="5" cm="1">
        <f t="array" ref="R243">MIN(IF((DiscreteStatsTable[GroupByKey]=DiscreteStatsTable[[#This Row],[GroupByKey]]),(DiscreteStatsTable[GroupByKey]=DiscreteStatsTable[[#This Row],[GroupByKey]])*DiscreteStatsTable[Average]))</f>
        <v>13.101063207922801</v>
      </c>
      <c r="S243" s="5" cm="1">
        <f t="array" ref="S243">MAX(IF((DiscreteStatsTable[GroupByKey]=DiscreteStatsTable[[#This Row],[GroupByKey]]),(DiscreteStatsTable[GroupByKey]=DiscreteStatsTable[[#This Row],[GroupByKey]])*DiscreteStatsTable[Average]))</f>
        <v>22.975696741341299</v>
      </c>
      <c r="T243" s="5" cm="1">
        <f t="array" ref="T243">MIN(IF((DiscreteStatsTable[GroupByKey]=DiscreteStatsTable[[#This Row],[GroupByKey]]),(DiscreteStatsTable[GroupByKey]=DiscreteStatsTable[[#This Row],[GroupByKey]])*DiscreteStatsTable[Minimum]))</f>
        <v>0</v>
      </c>
      <c r="U243" s="5" cm="1">
        <f t="array" ref="U243">MAX(IF((DiscreteStatsTable[GroupByKey]=DiscreteStatsTable[[#This Row],[GroupByKey]]),(DiscreteStatsTable[GroupByKey]=DiscreteStatsTable[[#This Row],[GroupByKey]])*DiscreteStatsTable[Maximum]))</f>
        <v>47.092378696302802</v>
      </c>
      <c r="V243" s="5" cm="1">
        <f t="array" ref="V243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43" s="5">
        <f>IF((DiscreteStatsTable[[#This Row],[RepsRequested]]&gt;1),DiscreteStatsTable[[#This Row],[HalfWidth]],DiscreteStatsTable[[#This Row],[BatchMeansHalfWidth]])</f>
        <v>1.4019633908103393</v>
      </c>
      <c r="X243" s="5" cm="1">
        <f t="array" ref="X243">COUNT(IF((DiscreteStatsTable[GroupByKey]=DiscreteStatsTable[[#This Row],[GroupByKey]]),(DiscreteStatsTable[GroupByKey]=DiscreteStatsTable[[#This Row],[GroupByKey]])*DiscreteStatsTable[Replication]))</f>
        <v>19</v>
      </c>
      <c r="Y243" s="5">
        <f>IF(DiscreteStatsTable[[#This Row],[RepsRequested]]=DiscreteStatsTable[[#This Row],[RepsWithStatObserved]],1,0)</f>
        <v>1</v>
      </c>
    </row>
    <row r="244" spans="1:25" x14ac:dyDescent="0.25">
      <c r="A244" t="s">
        <v>67</v>
      </c>
      <c r="B244" t="s">
        <v>69</v>
      </c>
      <c r="C244">
        <v>18</v>
      </c>
      <c r="D244" t="s">
        <v>84</v>
      </c>
      <c r="E244" t="s">
        <v>87</v>
      </c>
      <c r="F244" t="s">
        <v>86</v>
      </c>
      <c r="G244">
        <v>17.28002023837</v>
      </c>
      <c r="H244">
        <v>2E+20</v>
      </c>
      <c r="I244">
        <v>4.8549629102608396</v>
      </c>
      <c r="J244">
        <v>40.684021884533799</v>
      </c>
      <c r="K244">
        <v>15</v>
      </c>
      <c r="L24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MesaVA Time Per EntityProcess</v>
      </c>
      <c r="M244" s="5" cm="1">
        <f t="array" ref="M244">MAX(IF((ProjectInfoTable[ProjectName]=DiscreteStatsTable[[#This Row],[ProjectName]]),(ProjectInfoTable[ProjectName]=DiscreteStatsTable[[#This Row],[ProjectName]])*ProjectInfoTable[NumberOfReplications]))</f>
        <v>19</v>
      </c>
      <c r="N244" s="5" cm="1">
        <f t="array" ref="N244">IFERROR(AVERAGE(IF((DiscreteStatsTable[GroupByKey]=DiscreteStatsTable[[#This Row],[GroupByKey]]),(DiscreteStatsTable[GroupByKey]=DiscreteStatsTable[[#This Row],[GroupByKey]])*DiscreteStatsTable[Average])),0)</f>
        <v>17.714336330412955</v>
      </c>
      <c r="O244" s="5" cm="1">
        <f t="array" ref="O244">IFERROR(_xlfn.STDEV.S(IF((DiscreteStatsTable[GroupByKey]=DiscreteStatsTable[[#This Row],[GroupByKey]]),(DiscreteStatsTable[GroupByKey]=DiscreteStatsTable[[#This Row],[GroupByKey]])*DiscreteStatsTable[Average])),0)</f>
        <v>2.9087308458074794</v>
      </c>
      <c r="P244" s="5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44" s="5" cm="1">
        <f t="array" ref="R244">MIN(IF((DiscreteStatsTable[GroupByKey]=DiscreteStatsTable[[#This Row],[GroupByKey]]),(DiscreteStatsTable[GroupByKey]=DiscreteStatsTable[[#This Row],[GroupByKey]])*DiscreteStatsTable[Average]))</f>
        <v>13.101063207922801</v>
      </c>
      <c r="S244" s="5" cm="1">
        <f t="array" ref="S244">MAX(IF((DiscreteStatsTable[GroupByKey]=DiscreteStatsTable[[#This Row],[GroupByKey]]),(DiscreteStatsTable[GroupByKey]=DiscreteStatsTable[[#This Row],[GroupByKey]])*DiscreteStatsTable[Average]))</f>
        <v>22.975696741341299</v>
      </c>
      <c r="T244" s="5" cm="1">
        <f t="array" ref="T244">MIN(IF((DiscreteStatsTable[GroupByKey]=DiscreteStatsTable[[#This Row],[GroupByKey]]),(DiscreteStatsTable[GroupByKey]=DiscreteStatsTable[[#This Row],[GroupByKey]])*DiscreteStatsTable[Minimum]))</f>
        <v>0</v>
      </c>
      <c r="U244" s="5" cm="1">
        <f t="array" ref="U244">MAX(IF((DiscreteStatsTable[GroupByKey]=DiscreteStatsTable[[#This Row],[GroupByKey]]),(DiscreteStatsTable[GroupByKey]=DiscreteStatsTable[[#This Row],[GroupByKey]])*DiscreteStatsTable[Maximum]))</f>
        <v>47.092378696302802</v>
      </c>
      <c r="V244" s="5" cm="1">
        <f t="array" ref="V244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44" s="5">
        <f>IF((DiscreteStatsTable[[#This Row],[RepsRequested]]&gt;1),DiscreteStatsTable[[#This Row],[HalfWidth]],DiscreteStatsTable[[#This Row],[BatchMeansHalfWidth]])</f>
        <v>1.4019633908103393</v>
      </c>
      <c r="X244" s="5" cm="1">
        <f t="array" ref="X244">COUNT(IF((DiscreteStatsTable[GroupByKey]=DiscreteStatsTable[[#This Row],[GroupByKey]]),(DiscreteStatsTable[GroupByKey]=DiscreteStatsTable[[#This Row],[GroupByKey]])*DiscreteStatsTable[Replication]))</f>
        <v>19</v>
      </c>
      <c r="Y244" s="5">
        <f>IF(DiscreteStatsTable[[#This Row],[RepsRequested]]=DiscreteStatsTable[[#This Row],[RepsWithStatObserved]],1,0)</f>
        <v>1</v>
      </c>
    </row>
    <row r="245" spans="1:25" x14ac:dyDescent="0.25">
      <c r="A245" t="s">
        <v>67</v>
      </c>
      <c r="B245" t="s">
        <v>69</v>
      </c>
      <c r="C245">
        <v>18</v>
      </c>
      <c r="D245" t="s">
        <v>84</v>
      </c>
      <c r="E245" t="s">
        <v>88</v>
      </c>
      <c r="F245" t="s">
        <v>86</v>
      </c>
      <c r="G245">
        <v>0</v>
      </c>
      <c r="H245">
        <v>2E+20</v>
      </c>
      <c r="I245">
        <v>0</v>
      </c>
      <c r="J245">
        <v>0</v>
      </c>
      <c r="K245">
        <v>15</v>
      </c>
      <c r="L24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MesaWait Time Per EntityProcess</v>
      </c>
      <c r="M245" s="5" cm="1">
        <f t="array" ref="M245">MAX(IF((ProjectInfoTable[ProjectName]=DiscreteStatsTable[[#This Row],[ProjectName]]),(ProjectInfoTable[ProjectName]=DiscreteStatsTable[[#This Row],[ProjectName]])*ProjectInfoTable[NumberOfReplications]))</f>
        <v>19</v>
      </c>
      <c r="N245" s="5" cm="1">
        <f t="array" ref="N245">IFERROR(AVERAGE(IF((DiscreteStatsTable[GroupByKey]=DiscreteStatsTable[[#This Row],[GroupByKey]]),(DiscreteStatsTable[GroupByKey]=DiscreteStatsTable[[#This Row],[GroupByKey]])*DiscreteStatsTable[Average])),0)</f>
        <v>0</v>
      </c>
      <c r="O245" s="5" cm="1">
        <f t="array" ref="O245">IFERROR(_xlfn.STDEV.S(IF((DiscreteStatsTable[GroupByKey]=DiscreteStatsTable[[#This Row],[GroupByKey]]),(DiscreteStatsTable[GroupByKey]=DiscreteStatsTable[[#This Row],[GroupByKey]])*DiscreteStatsTable[Average])),0)</f>
        <v>0</v>
      </c>
      <c r="P245" s="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5" s="5" cm="1">
        <f t="array" ref="R245">MIN(IF((DiscreteStatsTable[GroupByKey]=DiscreteStatsTable[[#This Row],[GroupByKey]]),(DiscreteStatsTable[GroupByKey]=DiscreteStatsTable[[#This Row],[GroupByKey]])*DiscreteStatsTable[Average]))</f>
        <v>0</v>
      </c>
      <c r="S245" s="5" cm="1">
        <f t="array" ref="S245">MAX(IF((DiscreteStatsTable[GroupByKey]=DiscreteStatsTable[[#This Row],[GroupByKey]]),(DiscreteStatsTable[GroupByKey]=DiscreteStatsTable[[#This Row],[GroupByKey]])*DiscreteStatsTable[Average]))</f>
        <v>0</v>
      </c>
      <c r="T245" s="5" cm="1">
        <f t="array" ref="T245">MIN(IF((DiscreteStatsTable[GroupByKey]=DiscreteStatsTable[[#This Row],[GroupByKey]]),(DiscreteStatsTable[GroupByKey]=DiscreteStatsTable[[#This Row],[GroupByKey]])*DiscreteStatsTable[Minimum]))</f>
        <v>0</v>
      </c>
      <c r="U245" s="5" cm="1">
        <f t="array" ref="U245">MAX(IF((DiscreteStatsTable[GroupByKey]=DiscreteStatsTable[[#This Row],[GroupByKey]]),(DiscreteStatsTable[GroupByKey]=DiscreteStatsTable[[#This Row],[GroupByKey]])*DiscreteStatsTable[Maximum]))</f>
        <v>0</v>
      </c>
      <c r="V245" s="5" cm="1">
        <f t="array" ref="V245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45" s="5">
        <f>IF((DiscreteStatsTable[[#This Row],[RepsRequested]]&gt;1),DiscreteStatsTable[[#This Row],[HalfWidth]],DiscreteStatsTable[[#This Row],[BatchMeansHalfWidth]])</f>
        <v>0</v>
      </c>
      <c r="X245" s="5" cm="1">
        <f t="array" ref="X245">COUNT(IF((DiscreteStatsTable[GroupByKey]=DiscreteStatsTable[[#This Row],[GroupByKey]]),(DiscreteStatsTable[GroupByKey]=DiscreteStatsTable[[#This Row],[GroupByKey]])*DiscreteStatsTable[Replication]))</f>
        <v>19</v>
      </c>
      <c r="Y245" s="5">
        <f>IF(DiscreteStatsTable[[#This Row],[RepsRequested]]=DiscreteStatsTable[[#This Row],[RepsWithStatObserved]],1,0)</f>
        <v>1</v>
      </c>
    </row>
    <row r="246" spans="1:25" x14ac:dyDescent="0.25">
      <c r="A246" t="s">
        <v>67</v>
      </c>
      <c r="B246" t="s">
        <v>69</v>
      </c>
      <c r="C246">
        <v>19</v>
      </c>
      <c r="D246" t="s">
        <v>84</v>
      </c>
      <c r="E246" t="s">
        <v>85</v>
      </c>
      <c r="F246" t="s">
        <v>86</v>
      </c>
      <c r="G246">
        <v>13.101063207922801</v>
      </c>
      <c r="H246">
        <v>2E+20</v>
      </c>
      <c r="I246">
        <v>1.07901038776188</v>
      </c>
      <c r="J246">
        <v>26.2201450806797</v>
      </c>
      <c r="K246">
        <v>17</v>
      </c>
      <c r="L24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MesaTotal Time Per EntityProcess</v>
      </c>
      <c r="M246" s="5" cm="1">
        <f t="array" ref="M246">MAX(IF((ProjectInfoTable[ProjectName]=DiscreteStatsTable[[#This Row],[ProjectName]]),(ProjectInfoTable[ProjectName]=DiscreteStatsTable[[#This Row],[ProjectName]])*ProjectInfoTable[NumberOfReplications]))</f>
        <v>19</v>
      </c>
      <c r="N246" s="5" cm="1">
        <f t="array" ref="N246">IFERROR(AVERAGE(IF((DiscreteStatsTable[GroupByKey]=DiscreteStatsTable[[#This Row],[GroupByKey]]),(DiscreteStatsTable[GroupByKey]=DiscreteStatsTable[[#This Row],[GroupByKey]])*DiscreteStatsTable[Average])),0)</f>
        <v>17.714336330412955</v>
      </c>
      <c r="O246" s="5" cm="1">
        <f t="array" ref="O246">IFERROR(_xlfn.STDEV.S(IF((DiscreteStatsTable[GroupByKey]=DiscreteStatsTable[[#This Row],[GroupByKey]]),(DiscreteStatsTable[GroupByKey]=DiscreteStatsTable[[#This Row],[GroupByKey]])*DiscreteStatsTable[Average])),0)</f>
        <v>2.9087308458074794</v>
      </c>
      <c r="P246" s="5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46" s="5" cm="1">
        <f t="array" ref="R246">MIN(IF((DiscreteStatsTable[GroupByKey]=DiscreteStatsTable[[#This Row],[GroupByKey]]),(DiscreteStatsTable[GroupByKey]=DiscreteStatsTable[[#This Row],[GroupByKey]])*DiscreteStatsTable[Average]))</f>
        <v>13.101063207922801</v>
      </c>
      <c r="S246" s="5" cm="1">
        <f t="array" ref="S246">MAX(IF((DiscreteStatsTable[GroupByKey]=DiscreteStatsTable[[#This Row],[GroupByKey]]),(DiscreteStatsTable[GroupByKey]=DiscreteStatsTable[[#This Row],[GroupByKey]])*DiscreteStatsTable[Average]))</f>
        <v>22.975696741341299</v>
      </c>
      <c r="T246" s="5" cm="1">
        <f t="array" ref="T246">MIN(IF((DiscreteStatsTable[GroupByKey]=DiscreteStatsTable[[#This Row],[GroupByKey]]),(DiscreteStatsTable[GroupByKey]=DiscreteStatsTable[[#This Row],[GroupByKey]])*DiscreteStatsTable[Minimum]))</f>
        <v>0</v>
      </c>
      <c r="U246" s="5" cm="1">
        <f t="array" ref="U246">MAX(IF((DiscreteStatsTable[GroupByKey]=DiscreteStatsTable[[#This Row],[GroupByKey]]),(DiscreteStatsTable[GroupByKey]=DiscreteStatsTable[[#This Row],[GroupByKey]])*DiscreteStatsTable[Maximum]))</f>
        <v>47.092378696302802</v>
      </c>
      <c r="V246" s="5" cm="1">
        <f t="array" ref="V246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46" s="5">
        <f>IF((DiscreteStatsTable[[#This Row],[RepsRequested]]&gt;1),DiscreteStatsTable[[#This Row],[HalfWidth]],DiscreteStatsTable[[#This Row],[BatchMeansHalfWidth]])</f>
        <v>1.4019633908103393</v>
      </c>
      <c r="X246" s="5" cm="1">
        <f t="array" ref="X246">COUNT(IF((DiscreteStatsTable[GroupByKey]=DiscreteStatsTable[[#This Row],[GroupByKey]]),(DiscreteStatsTable[GroupByKey]=DiscreteStatsTable[[#This Row],[GroupByKey]])*DiscreteStatsTable[Replication]))</f>
        <v>19</v>
      </c>
      <c r="Y246" s="5">
        <f>IF(DiscreteStatsTable[[#This Row],[RepsRequested]]=DiscreteStatsTable[[#This Row],[RepsWithStatObserved]],1,0)</f>
        <v>1</v>
      </c>
    </row>
    <row r="247" spans="1:25" x14ac:dyDescent="0.25">
      <c r="A247" t="s">
        <v>67</v>
      </c>
      <c r="B247" t="s">
        <v>69</v>
      </c>
      <c r="C247">
        <v>19</v>
      </c>
      <c r="D247" t="s">
        <v>84</v>
      </c>
      <c r="E247" t="s">
        <v>87</v>
      </c>
      <c r="F247" t="s">
        <v>86</v>
      </c>
      <c r="G247">
        <v>13.101063207922801</v>
      </c>
      <c r="H247">
        <v>2E+20</v>
      </c>
      <c r="I247">
        <v>1.07901038776188</v>
      </c>
      <c r="J247">
        <v>26.2201450806797</v>
      </c>
      <c r="K247">
        <v>17</v>
      </c>
      <c r="L24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MesaVA Time Per EntityProcess</v>
      </c>
      <c r="M247" s="5" cm="1">
        <f t="array" ref="M247">MAX(IF((ProjectInfoTable[ProjectName]=DiscreteStatsTable[[#This Row],[ProjectName]]),(ProjectInfoTable[ProjectName]=DiscreteStatsTable[[#This Row],[ProjectName]])*ProjectInfoTable[NumberOfReplications]))</f>
        <v>19</v>
      </c>
      <c r="N247" s="5" cm="1">
        <f t="array" ref="N247">IFERROR(AVERAGE(IF((DiscreteStatsTable[GroupByKey]=DiscreteStatsTable[[#This Row],[GroupByKey]]),(DiscreteStatsTable[GroupByKey]=DiscreteStatsTable[[#This Row],[GroupByKey]])*DiscreteStatsTable[Average])),0)</f>
        <v>17.714336330412955</v>
      </c>
      <c r="O247" s="5" cm="1">
        <f t="array" ref="O247">IFERROR(_xlfn.STDEV.S(IF((DiscreteStatsTable[GroupByKey]=DiscreteStatsTable[[#This Row],[GroupByKey]]),(DiscreteStatsTable[GroupByKey]=DiscreteStatsTable[[#This Row],[GroupByKey]])*DiscreteStatsTable[Average])),0)</f>
        <v>2.9087308458074794</v>
      </c>
      <c r="P247" s="5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247" s="5" cm="1">
        <f t="array" ref="R247">MIN(IF((DiscreteStatsTable[GroupByKey]=DiscreteStatsTable[[#This Row],[GroupByKey]]),(DiscreteStatsTable[GroupByKey]=DiscreteStatsTable[[#This Row],[GroupByKey]])*DiscreteStatsTable[Average]))</f>
        <v>13.101063207922801</v>
      </c>
      <c r="S247" s="5" cm="1">
        <f t="array" ref="S247">MAX(IF((DiscreteStatsTable[GroupByKey]=DiscreteStatsTable[[#This Row],[GroupByKey]]),(DiscreteStatsTable[GroupByKey]=DiscreteStatsTable[[#This Row],[GroupByKey]])*DiscreteStatsTable[Average]))</f>
        <v>22.975696741341299</v>
      </c>
      <c r="T247" s="5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s="5" cm="1">
        <f t="array" ref="U247">MAX(IF((DiscreteStatsTable[GroupByKey]=DiscreteStatsTable[[#This Row],[GroupByKey]]),(DiscreteStatsTable[GroupByKey]=DiscreteStatsTable[[#This Row],[GroupByKey]])*DiscreteStatsTable[Maximum]))</f>
        <v>47.092378696302802</v>
      </c>
      <c r="V247" s="5" cm="1">
        <f t="array" ref="V247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47" s="5">
        <f>IF((DiscreteStatsTable[[#This Row],[RepsRequested]]&gt;1),DiscreteStatsTable[[#This Row],[HalfWidth]],DiscreteStatsTable[[#This Row],[BatchMeansHalfWidth]])</f>
        <v>1.4019633908103393</v>
      </c>
      <c r="X247" s="5" cm="1">
        <f t="array" ref="X247">COUNT(IF((DiscreteStatsTable[GroupByKey]=DiscreteStatsTable[[#This Row],[GroupByKey]]),(DiscreteStatsTable[GroupByKey]=DiscreteStatsTable[[#This Row],[GroupByKey]])*DiscreteStatsTable[Replication]))</f>
        <v>19</v>
      </c>
      <c r="Y247" s="5">
        <f>IF(DiscreteStatsTable[[#This Row],[RepsRequested]]=DiscreteStatsTable[[#This Row],[RepsWithStatObserved]],1,0)</f>
        <v>1</v>
      </c>
    </row>
    <row r="248" spans="1:25" x14ac:dyDescent="0.25">
      <c r="A248" t="s">
        <v>67</v>
      </c>
      <c r="B248" t="s">
        <v>69</v>
      </c>
      <c r="C248">
        <v>19</v>
      </c>
      <c r="D248" t="s">
        <v>84</v>
      </c>
      <c r="E248" t="s">
        <v>88</v>
      </c>
      <c r="F248" t="s">
        <v>86</v>
      </c>
      <c r="G248">
        <v>0</v>
      </c>
      <c r="H248">
        <v>2E+20</v>
      </c>
      <c r="I248">
        <v>0</v>
      </c>
      <c r="J248">
        <v>0</v>
      </c>
      <c r="K248">
        <v>17</v>
      </c>
      <c r="L24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MesaWait Time Per EntityProcess</v>
      </c>
      <c r="M248" s="5" cm="1">
        <f t="array" ref="M248">MAX(IF((ProjectInfoTable[ProjectName]=DiscreteStatsTable[[#This Row],[ProjectName]]),(ProjectInfoTable[ProjectName]=DiscreteStatsTable[[#This Row],[ProjectName]])*ProjectInfoTable[NumberOfReplications]))</f>
        <v>19</v>
      </c>
      <c r="N248" s="5" cm="1">
        <f t="array" ref="N248">IFERROR(AVERAGE(IF((DiscreteStatsTable[GroupByKey]=DiscreteStatsTable[[#This Row],[GroupByKey]]),(DiscreteStatsTable[GroupByKey]=DiscreteStatsTable[[#This Row],[GroupByKey]])*DiscreteStatsTable[Average])),0)</f>
        <v>0</v>
      </c>
      <c r="O248" s="5" cm="1">
        <f t="array" ref="O248">IFERROR(_xlfn.STDEV.S(IF((DiscreteStatsTable[GroupByKey]=DiscreteStatsTable[[#This Row],[GroupByKey]]),(DiscreteStatsTable[GroupByKey]=DiscreteStatsTable[[#This Row],[GroupByKey]])*DiscreteStatsTable[Average])),0)</f>
        <v>0</v>
      </c>
      <c r="P248" s="5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8" s="5" cm="1">
        <f t="array" ref="R248">MIN(IF((DiscreteStatsTable[GroupByKey]=DiscreteStatsTable[[#This Row],[GroupByKey]]),(DiscreteStatsTable[GroupByKey]=DiscreteStatsTable[[#This Row],[GroupByKey]])*DiscreteStatsTable[Average]))</f>
        <v>0</v>
      </c>
      <c r="S248" s="5" cm="1">
        <f t="array" ref="S248">MAX(IF((DiscreteStatsTable[GroupByKey]=DiscreteStatsTable[[#This Row],[GroupByKey]]),(DiscreteStatsTable[GroupByKey]=DiscreteStatsTable[[#This Row],[GroupByKey]])*DiscreteStatsTable[Average]))</f>
        <v>0</v>
      </c>
      <c r="T248" s="5" cm="1">
        <f t="array" ref="T248">MIN(IF((DiscreteStatsTable[GroupByKey]=DiscreteStatsTable[[#This Row],[GroupByKey]]),(DiscreteStatsTable[GroupByKey]=DiscreteStatsTable[[#This Row],[GroupByKey]])*DiscreteStatsTable[Minimum]))</f>
        <v>0</v>
      </c>
      <c r="U248" s="5" cm="1">
        <f t="array" ref="U248">MAX(IF((DiscreteStatsTable[GroupByKey]=DiscreteStatsTable[[#This Row],[GroupByKey]]),(DiscreteStatsTable[GroupByKey]=DiscreteStatsTable[[#This Row],[GroupByKey]])*DiscreteStatsTable[Maximum]))</f>
        <v>0</v>
      </c>
      <c r="V248" s="5" cm="1">
        <f t="array" ref="V248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248" s="5">
        <f>IF((DiscreteStatsTable[[#This Row],[RepsRequested]]&gt;1),DiscreteStatsTable[[#This Row],[HalfWidth]],DiscreteStatsTable[[#This Row],[BatchMeansHalfWidth]])</f>
        <v>0</v>
      </c>
      <c r="X248" s="5" cm="1">
        <f t="array" ref="X248">COUNT(IF((DiscreteStatsTable[GroupByKey]=DiscreteStatsTable[[#This Row],[GroupByKey]]),(DiscreteStatsTable[GroupByKey]=DiscreteStatsTable[[#This Row],[GroupByKey]])*DiscreteStatsTable[Replication]))</f>
        <v>19</v>
      </c>
      <c r="Y248" s="5">
        <f>IF(DiscreteStatsTable[[#This Row],[RepsRequested]]=DiscreteStatsTable[[#This Row],[RepsWithStatObserved]],1,0)</f>
        <v>1</v>
      </c>
    </row>
    <row r="249" spans="1:25" x14ac:dyDescent="0.25">
      <c r="A249" t="s">
        <v>67</v>
      </c>
      <c r="B249" t="s">
        <v>69</v>
      </c>
      <c r="C249">
        <v>1</v>
      </c>
      <c r="D249" t="s">
        <v>89</v>
      </c>
      <c r="E249" t="s">
        <v>90</v>
      </c>
      <c r="F249" t="s">
        <v>91</v>
      </c>
      <c r="G249">
        <v>0</v>
      </c>
      <c r="H249">
        <v>2E+20</v>
      </c>
      <c r="I249">
        <v>0</v>
      </c>
      <c r="J249">
        <v>0</v>
      </c>
      <c r="K249">
        <v>19</v>
      </c>
      <c r="L24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Mesa.QueueWaiting TimeQueue</v>
      </c>
      <c r="M249" s="5" cm="1">
        <f t="array" ref="M249">MAX(IF((ProjectInfoTable[ProjectName]=DiscreteStatsTable[[#This Row],[ProjectName]]),(ProjectInfoTable[ProjectName]=DiscreteStatsTable[[#This Row],[ProjectName]])*ProjectInfoTable[NumberOfReplications]))</f>
        <v>19</v>
      </c>
      <c r="N249" s="5" cm="1">
        <f t="array" ref="N249">IFERROR(AVERAGE(IF((DiscreteStatsTable[GroupByKey]=DiscreteStatsTable[[#This Row],[GroupByKey]]),(DiscreteStatsTable[GroupByKey]=DiscreteStatsTable[[#This Row],[GroupByKey]])*DiscreteStatsTable[Average])),0)</f>
        <v>0</v>
      </c>
      <c r="O249" s="5" cm="1">
        <f t="array" ref="O249">IFERROR(_xlfn.STDEV.S(IF((DiscreteStatsTable[GroupByKey]=DiscreteStatsTable[[#This Row],[GroupByKey]]),(DiscreteStatsTable[GroupByKey]=DiscreteStatsTable[[#This Row],[GroupByKey]])*DiscreteStatsTable[Average])),0)</f>
        <v>0</v>
      </c>
      <c r="P249" s="5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9" s="5" cm="1">
        <f t="array" ref="R249">MIN(IF((DiscreteStatsTable[GroupByKey]=DiscreteStatsTable[[#This Row],[GroupByKey]]),(DiscreteStatsTable[GroupByKey]=DiscreteStatsTable[[#This Row],[GroupByKey]])*DiscreteStatsTable[Average]))</f>
        <v>0</v>
      </c>
      <c r="S249" s="5" cm="1">
        <f t="array" ref="S249">MAX(IF((DiscreteStatsTable[GroupByKey]=DiscreteStatsTable[[#This Row],[GroupByKey]]),(DiscreteStatsTable[GroupByKey]=DiscreteStatsTable[[#This Row],[GroupByKey]])*DiscreteStatsTable[Average]))</f>
        <v>0</v>
      </c>
      <c r="T249" s="5" cm="1">
        <f t="array" ref="T249">MIN(IF((DiscreteStatsTable[GroupByKey]=DiscreteStatsTable[[#This Row],[GroupByKey]]),(DiscreteStatsTable[GroupByKey]=DiscreteStatsTable[[#This Row],[GroupByKey]])*DiscreteStatsTable[Minimum]))</f>
        <v>0</v>
      </c>
      <c r="U249" s="5" cm="1">
        <f t="array" ref="U249">MAX(IF((DiscreteStatsTable[GroupByKey]=DiscreteStatsTable[[#This Row],[GroupByKey]]),(DiscreteStatsTable[GroupByKey]=DiscreteStatsTable[[#This Row],[GroupByKey]])*DiscreteStatsTable[Maximum]))</f>
        <v>0</v>
      </c>
      <c r="V249" s="5" cm="1">
        <f t="array" ref="V249">IFERROR(AVERAGE(IF((DiscreteStatsTable[GroupByKey]=DiscreteStatsTable[[#This Row],[GroupByKey]]),(DiscreteStatsTable[GroupByKey]=DiscreteStatsTable[[#This Row],[GroupByKey]])*DiscreteStatsTable[NumberObservations])),0)</f>
        <v>16.157894736842106</v>
      </c>
      <c r="W249" s="5">
        <f>IF((DiscreteStatsTable[[#This Row],[RepsRequested]]&gt;1),DiscreteStatsTable[[#This Row],[HalfWidth]],DiscreteStatsTable[[#This Row],[BatchMeansHalfWidth]])</f>
        <v>0</v>
      </c>
      <c r="X249" s="5" cm="1">
        <f t="array" ref="X249">COUNT(IF((DiscreteStatsTable[GroupByKey]=DiscreteStatsTable[[#This Row],[GroupByKey]]),(DiscreteStatsTable[GroupByKey]=DiscreteStatsTable[[#This Row],[GroupByKey]])*DiscreteStatsTable[Replication]))</f>
        <v>19</v>
      </c>
      <c r="Y249" s="5">
        <f>IF(DiscreteStatsTable[[#This Row],[RepsRequested]]=DiscreteStatsTable[[#This Row],[RepsWithStatObserved]],1,0)</f>
        <v>1</v>
      </c>
    </row>
    <row r="250" spans="1:25" x14ac:dyDescent="0.25">
      <c r="A250" t="s">
        <v>67</v>
      </c>
      <c r="B250" t="s">
        <v>69</v>
      </c>
      <c r="C250">
        <v>2</v>
      </c>
      <c r="D250" t="s">
        <v>89</v>
      </c>
      <c r="E250" t="s">
        <v>90</v>
      </c>
      <c r="F250" t="s">
        <v>91</v>
      </c>
      <c r="G250">
        <v>0</v>
      </c>
      <c r="H250">
        <v>2E+20</v>
      </c>
      <c r="I250">
        <v>0</v>
      </c>
      <c r="J250">
        <v>0</v>
      </c>
      <c r="K250">
        <v>9</v>
      </c>
      <c r="L25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Mesa.QueueWaiting TimeQueue</v>
      </c>
      <c r="M250" s="5" cm="1">
        <f t="array" ref="M250">MAX(IF((ProjectInfoTable[ProjectName]=DiscreteStatsTable[[#This Row],[ProjectName]]),(ProjectInfoTable[ProjectName]=DiscreteStatsTable[[#This Row],[ProjectName]])*ProjectInfoTable[NumberOfReplications]))</f>
        <v>19</v>
      </c>
      <c r="N250" s="5" cm="1">
        <f t="array" ref="N250">IFERROR(AVERAGE(IF((DiscreteStatsTable[GroupByKey]=DiscreteStatsTable[[#This Row],[GroupByKey]]),(DiscreteStatsTable[GroupByKey]=DiscreteStatsTable[[#This Row],[GroupByKey]])*DiscreteStatsTable[Average])),0)</f>
        <v>0</v>
      </c>
      <c r="O250" s="5" cm="1">
        <f t="array" ref="O250">IFERROR(_xlfn.STDEV.S(IF((DiscreteStatsTable[GroupByKey]=DiscreteStatsTable[[#This Row],[GroupByKey]]),(DiscreteStatsTable[GroupByKey]=DiscreteStatsTable[[#This Row],[GroupByKey]])*DiscreteStatsTable[Average])),0)</f>
        <v>0</v>
      </c>
      <c r="P250" s="5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0" s="5" cm="1">
        <f t="array" ref="R250">MIN(IF((DiscreteStatsTable[GroupByKey]=DiscreteStatsTable[[#This Row],[GroupByKey]]),(DiscreteStatsTable[GroupByKey]=DiscreteStatsTable[[#This Row],[GroupByKey]])*DiscreteStatsTable[Average]))</f>
        <v>0</v>
      </c>
      <c r="S250" s="5" cm="1">
        <f t="array" ref="S250">MAX(IF((DiscreteStatsTable[GroupByKey]=DiscreteStatsTable[[#This Row],[GroupByKey]]),(DiscreteStatsTable[GroupByKey]=DiscreteStatsTable[[#This Row],[GroupByKey]])*DiscreteStatsTable[Average]))</f>
        <v>0</v>
      </c>
      <c r="T250" s="5" cm="1">
        <f t="array" ref="T250">MIN(IF((DiscreteStatsTable[GroupByKey]=DiscreteStatsTable[[#This Row],[GroupByKey]]),(DiscreteStatsTable[GroupByKey]=DiscreteStatsTable[[#This Row],[GroupByKey]])*DiscreteStatsTable[Minimum]))</f>
        <v>0</v>
      </c>
      <c r="U250" s="5" cm="1">
        <f t="array" ref="U250">MAX(IF((DiscreteStatsTable[GroupByKey]=DiscreteStatsTable[[#This Row],[GroupByKey]]),(DiscreteStatsTable[GroupByKey]=DiscreteStatsTable[[#This Row],[GroupByKey]])*DiscreteStatsTable[Maximum]))</f>
        <v>0</v>
      </c>
      <c r="V250" s="5" cm="1">
        <f t="array" ref="V250">IFERROR(AVERAGE(IF((DiscreteStatsTable[GroupByKey]=DiscreteStatsTable[[#This Row],[GroupByKey]]),(DiscreteStatsTable[GroupByKey]=DiscreteStatsTable[[#This Row],[GroupByKey]])*DiscreteStatsTable[NumberObservations])),0)</f>
        <v>16.157894736842106</v>
      </c>
      <c r="W250" s="5">
        <f>IF((DiscreteStatsTable[[#This Row],[RepsRequested]]&gt;1),DiscreteStatsTable[[#This Row],[HalfWidth]],DiscreteStatsTable[[#This Row],[BatchMeansHalfWidth]])</f>
        <v>0</v>
      </c>
      <c r="X250" s="5" cm="1">
        <f t="array" ref="X250">COUNT(IF((DiscreteStatsTable[GroupByKey]=DiscreteStatsTable[[#This Row],[GroupByKey]]),(DiscreteStatsTable[GroupByKey]=DiscreteStatsTable[[#This Row],[GroupByKey]])*DiscreteStatsTable[Replication]))</f>
        <v>19</v>
      </c>
      <c r="Y250" s="5">
        <f>IF(DiscreteStatsTable[[#This Row],[RepsRequested]]=DiscreteStatsTable[[#This Row],[RepsWithStatObserved]],1,0)</f>
        <v>1</v>
      </c>
    </row>
    <row r="251" spans="1:25" x14ac:dyDescent="0.25">
      <c r="A251" t="s">
        <v>67</v>
      </c>
      <c r="B251" t="s">
        <v>69</v>
      </c>
      <c r="C251">
        <v>3</v>
      </c>
      <c r="D251" t="s">
        <v>89</v>
      </c>
      <c r="E251" t="s">
        <v>90</v>
      </c>
      <c r="F251" t="s">
        <v>91</v>
      </c>
      <c r="G251">
        <v>0</v>
      </c>
      <c r="H251">
        <v>2E+20</v>
      </c>
      <c r="I251">
        <v>0</v>
      </c>
      <c r="J251">
        <v>0</v>
      </c>
      <c r="K251">
        <v>14</v>
      </c>
      <c r="L25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Mesa.QueueWaiting TimeQueue</v>
      </c>
      <c r="M251" s="5" cm="1">
        <f t="array" ref="M251">MAX(IF((ProjectInfoTable[ProjectName]=DiscreteStatsTable[[#This Row],[ProjectName]]),(ProjectInfoTable[ProjectName]=DiscreteStatsTable[[#This Row],[ProjectName]])*ProjectInfoTable[NumberOfReplications]))</f>
        <v>19</v>
      </c>
      <c r="N251" s="5" cm="1">
        <f t="array" ref="N251">IFERROR(AVERAGE(IF((DiscreteStatsTable[GroupByKey]=DiscreteStatsTable[[#This Row],[GroupByKey]]),(DiscreteStatsTable[GroupByKey]=DiscreteStatsTable[[#This Row],[GroupByKey]])*DiscreteStatsTable[Average])),0)</f>
        <v>0</v>
      </c>
      <c r="O251" s="5" cm="1">
        <f t="array" ref="O251">IFERROR(_xlfn.STDEV.S(IF((DiscreteStatsTable[GroupByKey]=DiscreteStatsTable[[#This Row],[GroupByKey]]),(DiscreteStatsTable[GroupByKey]=DiscreteStatsTable[[#This Row],[GroupByKey]])*DiscreteStatsTable[Average])),0)</f>
        <v>0</v>
      </c>
      <c r="P251" s="5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1" s="5" cm="1">
        <f t="array" ref="R251">MIN(IF((DiscreteStatsTable[GroupByKey]=DiscreteStatsTable[[#This Row],[GroupByKey]]),(DiscreteStatsTable[GroupByKey]=DiscreteStatsTable[[#This Row],[GroupByKey]])*DiscreteStatsTable[Average]))</f>
        <v>0</v>
      </c>
      <c r="S251" s="5" cm="1">
        <f t="array" ref="S251">MAX(IF((DiscreteStatsTable[GroupByKey]=DiscreteStatsTable[[#This Row],[GroupByKey]]),(DiscreteStatsTable[GroupByKey]=DiscreteStatsTable[[#This Row],[GroupByKey]])*DiscreteStatsTable[Average]))</f>
        <v>0</v>
      </c>
      <c r="T251" s="5" cm="1">
        <f t="array" ref="T251">MIN(IF((DiscreteStatsTable[GroupByKey]=DiscreteStatsTable[[#This Row],[GroupByKey]]),(DiscreteStatsTable[GroupByKey]=DiscreteStatsTable[[#This Row],[GroupByKey]])*DiscreteStatsTable[Minimum]))</f>
        <v>0</v>
      </c>
      <c r="U251" s="5" cm="1">
        <f t="array" ref="U251">MAX(IF((DiscreteStatsTable[GroupByKey]=DiscreteStatsTable[[#This Row],[GroupByKey]]),(DiscreteStatsTable[GroupByKey]=DiscreteStatsTable[[#This Row],[GroupByKey]])*DiscreteStatsTable[Maximum]))</f>
        <v>0</v>
      </c>
      <c r="V251" s="5" cm="1">
        <f t="array" ref="V251">IFERROR(AVERAGE(IF((DiscreteStatsTable[GroupByKey]=DiscreteStatsTable[[#This Row],[GroupByKey]]),(DiscreteStatsTable[GroupByKey]=DiscreteStatsTable[[#This Row],[GroupByKey]])*DiscreteStatsTable[NumberObservations])),0)</f>
        <v>16.157894736842106</v>
      </c>
      <c r="W251" s="5">
        <f>IF((DiscreteStatsTable[[#This Row],[RepsRequested]]&gt;1),DiscreteStatsTable[[#This Row],[HalfWidth]],DiscreteStatsTable[[#This Row],[BatchMeansHalfWidth]])</f>
        <v>0</v>
      </c>
      <c r="X251" s="5" cm="1">
        <f t="array" ref="X251">COUNT(IF((DiscreteStatsTable[GroupByKey]=DiscreteStatsTable[[#This Row],[GroupByKey]]),(DiscreteStatsTable[GroupByKey]=DiscreteStatsTable[[#This Row],[GroupByKey]])*DiscreteStatsTable[Replication]))</f>
        <v>19</v>
      </c>
      <c r="Y251" s="5">
        <f>IF(DiscreteStatsTable[[#This Row],[RepsRequested]]=DiscreteStatsTable[[#This Row],[RepsWithStatObserved]],1,0)</f>
        <v>1</v>
      </c>
    </row>
    <row r="252" spans="1:25" x14ac:dyDescent="0.25">
      <c r="A252" t="s">
        <v>67</v>
      </c>
      <c r="B252" t="s">
        <v>69</v>
      </c>
      <c r="C252">
        <v>4</v>
      </c>
      <c r="D252" t="s">
        <v>89</v>
      </c>
      <c r="E252" t="s">
        <v>90</v>
      </c>
      <c r="F252" t="s">
        <v>91</v>
      </c>
      <c r="G252">
        <v>0</v>
      </c>
      <c r="H252">
        <v>2E+20</v>
      </c>
      <c r="I252">
        <v>0</v>
      </c>
      <c r="J252">
        <v>0</v>
      </c>
      <c r="K252">
        <v>17</v>
      </c>
      <c r="L25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Mesa.QueueWaiting TimeQueue</v>
      </c>
      <c r="M252" s="5" cm="1">
        <f t="array" ref="M252">MAX(IF((ProjectInfoTable[ProjectName]=DiscreteStatsTable[[#This Row],[ProjectName]]),(ProjectInfoTable[ProjectName]=DiscreteStatsTable[[#This Row],[ProjectName]])*ProjectInfoTable[NumberOfReplications]))</f>
        <v>19</v>
      </c>
      <c r="N252" s="5" cm="1">
        <f t="array" ref="N252">IFERROR(AVERAGE(IF((DiscreteStatsTable[GroupByKey]=DiscreteStatsTable[[#This Row],[GroupByKey]]),(DiscreteStatsTable[GroupByKey]=DiscreteStatsTable[[#This Row],[GroupByKey]])*DiscreteStatsTable[Average])),0)</f>
        <v>0</v>
      </c>
      <c r="O252" s="5" cm="1">
        <f t="array" ref="O252">IFERROR(_xlfn.STDEV.S(IF((DiscreteStatsTable[GroupByKey]=DiscreteStatsTable[[#This Row],[GroupByKey]]),(DiscreteStatsTable[GroupByKey]=DiscreteStatsTable[[#This Row],[GroupByKey]])*DiscreteStatsTable[Average])),0)</f>
        <v>0</v>
      </c>
      <c r="P252" s="5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2" s="5" cm="1">
        <f t="array" ref="R252">MIN(IF((DiscreteStatsTable[GroupByKey]=DiscreteStatsTable[[#This Row],[GroupByKey]]),(DiscreteStatsTable[GroupByKey]=DiscreteStatsTable[[#This Row],[GroupByKey]])*DiscreteStatsTable[Average]))</f>
        <v>0</v>
      </c>
      <c r="S252" s="5" cm="1">
        <f t="array" ref="S252">MAX(IF((DiscreteStatsTable[GroupByKey]=DiscreteStatsTable[[#This Row],[GroupByKey]]),(DiscreteStatsTable[GroupByKey]=DiscreteStatsTable[[#This Row],[GroupByKey]])*DiscreteStatsTable[Average]))</f>
        <v>0</v>
      </c>
      <c r="T252" s="5" cm="1">
        <f t="array" ref="T252">MIN(IF((DiscreteStatsTable[GroupByKey]=DiscreteStatsTable[[#This Row],[GroupByKey]]),(DiscreteStatsTable[GroupByKey]=DiscreteStatsTable[[#This Row],[GroupByKey]])*DiscreteStatsTable[Minimum]))</f>
        <v>0</v>
      </c>
      <c r="U252" s="5" cm="1">
        <f t="array" ref="U252">MAX(IF((DiscreteStatsTable[GroupByKey]=DiscreteStatsTable[[#This Row],[GroupByKey]]),(DiscreteStatsTable[GroupByKey]=DiscreteStatsTable[[#This Row],[GroupByKey]])*DiscreteStatsTable[Maximum]))</f>
        <v>0</v>
      </c>
      <c r="V252" s="5" cm="1">
        <f t="array" ref="V252">IFERROR(AVERAGE(IF((DiscreteStatsTable[GroupByKey]=DiscreteStatsTable[[#This Row],[GroupByKey]]),(DiscreteStatsTable[GroupByKey]=DiscreteStatsTable[[#This Row],[GroupByKey]])*DiscreteStatsTable[NumberObservations])),0)</f>
        <v>16.157894736842106</v>
      </c>
      <c r="W252" s="5">
        <f>IF((DiscreteStatsTable[[#This Row],[RepsRequested]]&gt;1),DiscreteStatsTable[[#This Row],[HalfWidth]],DiscreteStatsTable[[#This Row],[BatchMeansHalfWidth]])</f>
        <v>0</v>
      </c>
      <c r="X252" s="5" cm="1">
        <f t="array" ref="X252">COUNT(IF((DiscreteStatsTable[GroupByKey]=DiscreteStatsTable[[#This Row],[GroupByKey]]),(DiscreteStatsTable[GroupByKey]=DiscreteStatsTable[[#This Row],[GroupByKey]])*DiscreteStatsTable[Replication]))</f>
        <v>19</v>
      </c>
      <c r="Y252" s="5">
        <f>IF(DiscreteStatsTable[[#This Row],[RepsRequested]]=DiscreteStatsTable[[#This Row],[RepsWithStatObserved]],1,0)</f>
        <v>1</v>
      </c>
    </row>
    <row r="253" spans="1:25" x14ac:dyDescent="0.25">
      <c r="A253" t="s">
        <v>67</v>
      </c>
      <c r="B253" t="s">
        <v>69</v>
      </c>
      <c r="C253">
        <v>5</v>
      </c>
      <c r="D253" t="s">
        <v>89</v>
      </c>
      <c r="E253" t="s">
        <v>90</v>
      </c>
      <c r="F253" t="s">
        <v>91</v>
      </c>
      <c r="G253">
        <v>0</v>
      </c>
      <c r="H253">
        <v>2E+20</v>
      </c>
      <c r="I253">
        <v>0</v>
      </c>
      <c r="J253">
        <v>0</v>
      </c>
      <c r="K253">
        <v>17</v>
      </c>
      <c r="L25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Mesa.QueueWaiting TimeQueue</v>
      </c>
      <c r="M253" s="5" cm="1">
        <f t="array" ref="M253">MAX(IF((ProjectInfoTable[ProjectName]=DiscreteStatsTable[[#This Row],[ProjectName]]),(ProjectInfoTable[ProjectName]=DiscreteStatsTable[[#This Row],[ProjectName]])*ProjectInfoTable[NumberOfReplications]))</f>
        <v>19</v>
      </c>
      <c r="N253" s="5" cm="1">
        <f t="array" ref="N253">IFERROR(AVERAGE(IF((DiscreteStatsTable[GroupByKey]=DiscreteStatsTable[[#This Row],[GroupByKey]]),(DiscreteStatsTable[GroupByKey]=DiscreteStatsTable[[#This Row],[GroupByKey]])*DiscreteStatsTable[Average])),0)</f>
        <v>0</v>
      </c>
      <c r="O253" s="5" cm="1">
        <f t="array" ref="O253">IFERROR(_xlfn.STDEV.S(IF((DiscreteStatsTable[GroupByKey]=DiscreteStatsTable[[#This Row],[GroupByKey]]),(DiscreteStatsTable[GroupByKey]=DiscreteStatsTable[[#This Row],[GroupByKey]])*DiscreteStatsTable[Average])),0)</f>
        <v>0</v>
      </c>
      <c r="P253" s="5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3" s="5" cm="1">
        <f t="array" ref="R253">MIN(IF((DiscreteStatsTable[GroupByKey]=DiscreteStatsTable[[#This Row],[GroupByKey]]),(DiscreteStatsTable[GroupByKey]=DiscreteStatsTable[[#This Row],[GroupByKey]])*DiscreteStatsTable[Average]))</f>
        <v>0</v>
      </c>
      <c r="S253" s="5" cm="1">
        <f t="array" ref="S253">MAX(IF((DiscreteStatsTable[GroupByKey]=DiscreteStatsTable[[#This Row],[GroupByKey]]),(DiscreteStatsTable[GroupByKey]=DiscreteStatsTable[[#This Row],[GroupByKey]])*DiscreteStatsTable[Average]))</f>
        <v>0</v>
      </c>
      <c r="T253" s="5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s="5" cm="1">
        <f t="array" ref="U253">MAX(IF((DiscreteStatsTable[GroupByKey]=DiscreteStatsTable[[#This Row],[GroupByKey]]),(DiscreteStatsTable[GroupByKey]=DiscreteStatsTable[[#This Row],[GroupByKey]])*DiscreteStatsTable[Maximum]))</f>
        <v>0</v>
      </c>
      <c r="V253" s="5" cm="1">
        <f t="array" ref="V253">IFERROR(AVERAGE(IF((DiscreteStatsTable[GroupByKey]=DiscreteStatsTable[[#This Row],[GroupByKey]]),(DiscreteStatsTable[GroupByKey]=DiscreteStatsTable[[#This Row],[GroupByKey]])*DiscreteStatsTable[NumberObservations])),0)</f>
        <v>16.157894736842106</v>
      </c>
      <c r="W253" s="5">
        <f>IF((DiscreteStatsTable[[#This Row],[RepsRequested]]&gt;1),DiscreteStatsTable[[#This Row],[HalfWidth]],DiscreteStatsTable[[#This Row],[BatchMeansHalfWidth]])</f>
        <v>0</v>
      </c>
      <c r="X253" s="5" cm="1">
        <f t="array" ref="X253">COUNT(IF((DiscreteStatsTable[GroupByKey]=DiscreteStatsTable[[#This Row],[GroupByKey]]),(DiscreteStatsTable[GroupByKey]=DiscreteStatsTable[[#This Row],[GroupByKey]])*DiscreteStatsTable[Replication]))</f>
        <v>19</v>
      </c>
      <c r="Y253" s="5">
        <f>IF(DiscreteStatsTable[[#This Row],[RepsRequested]]=DiscreteStatsTable[[#This Row],[RepsWithStatObserved]],1,0)</f>
        <v>1</v>
      </c>
    </row>
    <row r="254" spans="1:25" x14ac:dyDescent="0.25">
      <c r="A254" t="s">
        <v>67</v>
      </c>
      <c r="B254" t="s">
        <v>69</v>
      </c>
      <c r="C254">
        <v>6</v>
      </c>
      <c r="D254" t="s">
        <v>89</v>
      </c>
      <c r="E254" t="s">
        <v>90</v>
      </c>
      <c r="F254" t="s">
        <v>91</v>
      </c>
      <c r="G254">
        <v>0</v>
      </c>
      <c r="H254">
        <v>2E+20</v>
      </c>
      <c r="I254">
        <v>0</v>
      </c>
      <c r="J254">
        <v>0</v>
      </c>
      <c r="K254">
        <v>15</v>
      </c>
      <c r="L25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Mesa.QueueWaiting TimeQueue</v>
      </c>
      <c r="M254" s="5" cm="1">
        <f t="array" ref="M254">MAX(IF((ProjectInfoTable[ProjectName]=DiscreteStatsTable[[#This Row],[ProjectName]]),(ProjectInfoTable[ProjectName]=DiscreteStatsTable[[#This Row],[ProjectName]])*ProjectInfoTable[NumberOfReplications]))</f>
        <v>19</v>
      </c>
      <c r="N254" s="5" cm="1">
        <f t="array" ref="N254">IFERROR(AVERAGE(IF((DiscreteStatsTable[GroupByKey]=DiscreteStatsTable[[#This Row],[GroupByKey]]),(DiscreteStatsTable[GroupByKey]=DiscreteStatsTable[[#This Row],[GroupByKey]])*DiscreteStatsTable[Average])),0)</f>
        <v>0</v>
      </c>
      <c r="O254" s="5" cm="1">
        <f t="array" ref="O254">IFERROR(_xlfn.STDEV.S(IF((DiscreteStatsTable[GroupByKey]=DiscreteStatsTable[[#This Row],[GroupByKey]]),(DiscreteStatsTable[GroupByKey]=DiscreteStatsTable[[#This Row],[GroupByKey]])*DiscreteStatsTable[Average])),0)</f>
        <v>0</v>
      </c>
      <c r="P254" s="5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4" s="5" cm="1">
        <f t="array" ref="R254">MIN(IF((DiscreteStatsTable[GroupByKey]=DiscreteStatsTable[[#This Row],[GroupByKey]]),(DiscreteStatsTable[GroupByKey]=DiscreteStatsTable[[#This Row],[GroupByKey]])*DiscreteStatsTable[Average]))</f>
        <v>0</v>
      </c>
      <c r="S254" s="5" cm="1">
        <f t="array" ref="S254">MAX(IF((DiscreteStatsTable[GroupByKey]=DiscreteStatsTable[[#This Row],[GroupByKey]]),(DiscreteStatsTable[GroupByKey]=DiscreteStatsTable[[#This Row],[GroupByKey]])*DiscreteStatsTable[Average]))</f>
        <v>0</v>
      </c>
      <c r="T254" s="5" cm="1">
        <f t="array" ref="T254">MIN(IF((DiscreteStatsTable[GroupByKey]=DiscreteStatsTable[[#This Row],[GroupByKey]]),(DiscreteStatsTable[GroupByKey]=DiscreteStatsTable[[#This Row],[GroupByKey]])*DiscreteStatsTable[Minimum]))</f>
        <v>0</v>
      </c>
      <c r="U254" s="5" cm="1">
        <f t="array" ref="U254">MAX(IF((DiscreteStatsTable[GroupByKey]=DiscreteStatsTable[[#This Row],[GroupByKey]]),(DiscreteStatsTable[GroupByKey]=DiscreteStatsTable[[#This Row],[GroupByKey]])*DiscreteStatsTable[Maximum]))</f>
        <v>0</v>
      </c>
      <c r="V254" s="5" cm="1">
        <f t="array" ref="V254">IFERROR(AVERAGE(IF((DiscreteStatsTable[GroupByKey]=DiscreteStatsTable[[#This Row],[GroupByKey]]),(DiscreteStatsTable[GroupByKey]=DiscreteStatsTable[[#This Row],[GroupByKey]])*DiscreteStatsTable[NumberObservations])),0)</f>
        <v>16.157894736842106</v>
      </c>
      <c r="W254" s="5">
        <f>IF((DiscreteStatsTable[[#This Row],[RepsRequested]]&gt;1),DiscreteStatsTable[[#This Row],[HalfWidth]],DiscreteStatsTable[[#This Row],[BatchMeansHalfWidth]])</f>
        <v>0</v>
      </c>
      <c r="X254" s="5" cm="1">
        <f t="array" ref="X254">COUNT(IF((DiscreteStatsTable[GroupByKey]=DiscreteStatsTable[[#This Row],[GroupByKey]]),(DiscreteStatsTable[GroupByKey]=DiscreteStatsTable[[#This Row],[GroupByKey]])*DiscreteStatsTable[Replication]))</f>
        <v>19</v>
      </c>
      <c r="Y254" s="5">
        <f>IF(DiscreteStatsTable[[#This Row],[RepsRequested]]=DiscreteStatsTable[[#This Row],[RepsWithStatObserved]],1,0)</f>
        <v>1</v>
      </c>
    </row>
    <row r="255" spans="1:25" x14ac:dyDescent="0.25">
      <c r="A255" t="s">
        <v>67</v>
      </c>
      <c r="B255" t="s">
        <v>69</v>
      </c>
      <c r="C255">
        <v>7</v>
      </c>
      <c r="D255" t="s">
        <v>89</v>
      </c>
      <c r="E255" t="s">
        <v>90</v>
      </c>
      <c r="F255" t="s">
        <v>91</v>
      </c>
      <c r="G255">
        <v>0</v>
      </c>
      <c r="H255">
        <v>2E+20</v>
      </c>
      <c r="I255">
        <v>0</v>
      </c>
      <c r="J255">
        <v>0</v>
      </c>
      <c r="K255">
        <v>21</v>
      </c>
      <c r="L25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Mesa.QueueWaiting TimeQueue</v>
      </c>
      <c r="M255" s="5" cm="1">
        <f t="array" ref="M255">MAX(IF((ProjectInfoTable[ProjectName]=DiscreteStatsTable[[#This Row],[ProjectName]]),(ProjectInfoTable[ProjectName]=DiscreteStatsTable[[#This Row],[ProjectName]])*ProjectInfoTable[NumberOfReplications]))</f>
        <v>19</v>
      </c>
      <c r="N255" s="5" cm="1">
        <f t="array" ref="N255">IFERROR(AVERAGE(IF((DiscreteStatsTable[GroupByKey]=DiscreteStatsTable[[#This Row],[GroupByKey]]),(DiscreteStatsTable[GroupByKey]=DiscreteStatsTable[[#This Row],[GroupByKey]])*DiscreteStatsTable[Average])),0)</f>
        <v>0</v>
      </c>
      <c r="O255" s="5" cm="1">
        <f t="array" ref="O255">IFERROR(_xlfn.STDEV.S(IF((DiscreteStatsTable[GroupByKey]=DiscreteStatsTable[[#This Row],[GroupByKey]]),(DiscreteStatsTable[GroupByKey]=DiscreteStatsTable[[#This Row],[GroupByKey]])*DiscreteStatsTable[Average])),0)</f>
        <v>0</v>
      </c>
      <c r="P255" s="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5" s="5" cm="1">
        <f t="array" ref="R255">MIN(IF((DiscreteStatsTable[GroupByKey]=DiscreteStatsTable[[#This Row],[GroupByKey]]),(DiscreteStatsTable[GroupByKey]=DiscreteStatsTable[[#This Row],[GroupByKey]])*DiscreteStatsTable[Average]))</f>
        <v>0</v>
      </c>
      <c r="S255" s="5" cm="1">
        <f t="array" ref="S255">MAX(IF((DiscreteStatsTable[GroupByKey]=DiscreteStatsTable[[#This Row],[GroupByKey]]),(DiscreteStatsTable[GroupByKey]=DiscreteStatsTable[[#This Row],[GroupByKey]])*DiscreteStatsTable[Average]))</f>
        <v>0</v>
      </c>
      <c r="T255" s="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s="5" cm="1">
        <f t="array" ref="U255">MAX(IF((DiscreteStatsTable[GroupByKey]=DiscreteStatsTable[[#This Row],[GroupByKey]]),(DiscreteStatsTable[GroupByKey]=DiscreteStatsTable[[#This Row],[GroupByKey]])*DiscreteStatsTable[Maximum]))</f>
        <v>0</v>
      </c>
      <c r="V255" s="5" cm="1">
        <f t="array" ref="V255">IFERROR(AVERAGE(IF((DiscreteStatsTable[GroupByKey]=DiscreteStatsTable[[#This Row],[GroupByKey]]),(DiscreteStatsTable[GroupByKey]=DiscreteStatsTable[[#This Row],[GroupByKey]])*DiscreteStatsTable[NumberObservations])),0)</f>
        <v>16.157894736842106</v>
      </c>
      <c r="W255" s="5">
        <f>IF((DiscreteStatsTable[[#This Row],[RepsRequested]]&gt;1),DiscreteStatsTable[[#This Row],[HalfWidth]],DiscreteStatsTable[[#This Row],[BatchMeansHalfWidth]])</f>
        <v>0</v>
      </c>
      <c r="X255" s="5" cm="1">
        <f t="array" ref="X255">COUNT(IF((DiscreteStatsTable[GroupByKey]=DiscreteStatsTable[[#This Row],[GroupByKey]]),(DiscreteStatsTable[GroupByKey]=DiscreteStatsTable[[#This Row],[GroupByKey]])*DiscreteStatsTable[Replication]))</f>
        <v>19</v>
      </c>
      <c r="Y255" s="5">
        <f>IF(DiscreteStatsTable[[#This Row],[RepsRequested]]=DiscreteStatsTable[[#This Row],[RepsWithStatObserved]],1,0)</f>
        <v>1</v>
      </c>
    </row>
    <row r="256" spans="1:25" x14ac:dyDescent="0.25">
      <c r="A256" t="s">
        <v>67</v>
      </c>
      <c r="B256" t="s">
        <v>69</v>
      </c>
      <c r="C256">
        <v>8</v>
      </c>
      <c r="D256" t="s">
        <v>89</v>
      </c>
      <c r="E256" t="s">
        <v>90</v>
      </c>
      <c r="F256" t="s">
        <v>91</v>
      </c>
      <c r="G256">
        <v>0</v>
      </c>
      <c r="H256">
        <v>2E+20</v>
      </c>
      <c r="I256">
        <v>0</v>
      </c>
      <c r="J256">
        <v>0</v>
      </c>
      <c r="K256">
        <v>17</v>
      </c>
      <c r="L25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Mesa.QueueWaiting TimeQueue</v>
      </c>
      <c r="M256" s="5" cm="1">
        <f t="array" ref="M256">MAX(IF((ProjectInfoTable[ProjectName]=DiscreteStatsTable[[#This Row],[ProjectName]]),(ProjectInfoTable[ProjectName]=DiscreteStatsTable[[#This Row],[ProjectName]])*ProjectInfoTable[NumberOfReplications]))</f>
        <v>19</v>
      </c>
      <c r="N256" s="5" cm="1">
        <f t="array" ref="N256">IFERROR(AVERAGE(IF((DiscreteStatsTable[GroupByKey]=DiscreteStatsTable[[#This Row],[GroupByKey]]),(DiscreteStatsTable[GroupByKey]=DiscreteStatsTable[[#This Row],[GroupByKey]])*DiscreteStatsTable[Average])),0)</f>
        <v>0</v>
      </c>
      <c r="O256" s="5" cm="1">
        <f t="array" ref="O256">IFERROR(_xlfn.STDEV.S(IF((DiscreteStatsTable[GroupByKey]=DiscreteStatsTable[[#This Row],[GroupByKey]]),(DiscreteStatsTable[GroupByKey]=DiscreteStatsTable[[#This Row],[GroupByKey]])*DiscreteStatsTable[Average])),0)</f>
        <v>0</v>
      </c>
      <c r="P256" s="5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6" s="5" cm="1">
        <f t="array" ref="R256">MIN(IF((DiscreteStatsTable[GroupByKey]=DiscreteStatsTable[[#This Row],[GroupByKey]]),(DiscreteStatsTable[GroupByKey]=DiscreteStatsTable[[#This Row],[GroupByKey]])*DiscreteStatsTable[Average]))</f>
        <v>0</v>
      </c>
      <c r="S256" s="5" cm="1">
        <f t="array" ref="S256">MAX(IF((DiscreteStatsTable[GroupByKey]=DiscreteStatsTable[[#This Row],[GroupByKey]]),(DiscreteStatsTable[GroupByKey]=DiscreteStatsTable[[#This Row],[GroupByKey]])*DiscreteStatsTable[Average]))</f>
        <v>0</v>
      </c>
      <c r="T256" s="5" cm="1">
        <f t="array" ref="T256">MIN(IF((DiscreteStatsTable[GroupByKey]=DiscreteStatsTable[[#This Row],[GroupByKey]]),(DiscreteStatsTable[GroupByKey]=DiscreteStatsTable[[#This Row],[GroupByKey]])*DiscreteStatsTable[Minimum]))</f>
        <v>0</v>
      </c>
      <c r="U256" s="5" cm="1">
        <f t="array" ref="U256">MAX(IF((DiscreteStatsTable[GroupByKey]=DiscreteStatsTable[[#This Row],[GroupByKey]]),(DiscreteStatsTable[GroupByKey]=DiscreteStatsTable[[#This Row],[GroupByKey]])*DiscreteStatsTable[Maximum]))</f>
        <v>0</v>
      </c>
      <c r="V256" s="5" cm="1">
        <f t="array" ref="V256">IFERROR(AVERAGE(IF((DiscreteStatsTable[GroupByKey]=DiscreteStatsTable[[#This Row],[GroupByKey]]),(DiscreteStatsTable[GroupByKey]=DiscreteStatsTable[[#This Row],[GroupByKey]])*DiscreteStatsTable[NumberObservations])),0)</f>
        <v>16.157894736842106</v>
      </c>
      <c r="W256" s="5">
        <f>IF((DiscreteStatsTable[[#This Row],[RepsRequested]]&gt;1),DiscreteStatsTable[[#This Row],[HalfWidth]],DiscreteStatsTable[[#This Row],[BatchMeansHalfWidth]])</f>
        <v>0</v>
      </c>
      <c r="X256" s="5" cm="1">
        <f t="array" ref="X256">COUNT(IF((DiscreteStatsTable[GroupByKey]=DiscreteStatsTable[[#This Row],[GroupByKey]]),(DiscreteStatsTable[GroupByKey]=DiscreteStatsTable[[#This Row],[GroupByKey]])*DiscreteStatsTable[Replication]))</f>
        <v>19</v>
      </c>
      <c r="Y256" s="5">
        <f>IF(DiscreteStatsTable[[#This Row],[RepsRequested]]=DiscreteStatsTable[[#This Row],[RepsWithStatObserved]],1,0)</f>
        <v>1</v>
      </c>
    </row>
    <row r="257" spans="1:25" x14ac:dyDescent="0.25">
      <c r="A257" t="s">
        <v>67</v>
      </c>
      <c r="B257" t="s">
        <v>69</v>
      </c>
      <c r="C257">
        <v>9</v>
      </c>
      <c r="D257" t="s">
        <v>89</v>
      </c>
      <c r="E257" t="s">
        <v>90</v>
      </c>
      <c r="F257" t="s">
        <v>91</v>
      </c>
      <c r="G257">
        <v>0</v>
      </c>
      <c r="H257">
        <v>2E+20</v>
      </c>
      <c r="I257">
        <v>0</v>
      </c>
      <c r="J257">
        <v>0</v>
      </c>
      <c r="K257">
        <v>16</v>
      </c>
      <c r="L25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Mesa.QueueWaiting TimeQueue</v>
      </c>
      <c r="M257" s="5" cm="1">
        <f t="array" ref="M257">MAX(IF((ProjectInfoTable[ProjectName]=DiscreteStatsTable[[#This Row],[ProjectName]]),(ProjectInfoTable[ProjectName]=DiscreteStatsTable[[#This Row],[ProjectName]])*ProjectInfoTable[NumberOfReplications]))</f>
        <v>19</v>
      </c>
      <c r="N257" s="5" cm="1">
        <f t="array" ref="N257">IFERROR(AVERAGE(IF((DiscreteStatsTable[GroupByKey]=DiscreteStatsTable[[#This Row],[GroupByKey]]),(DiscreteStatsTable[GroupByKey]=DiscreteStatsTable[[#This Row],[GroupByKey]])*DiscreteStatsTable[Average])),0)</f>
        <v>0</v>
      </c>
      <c r="O257" s="5" cm="1">
        <f t="array" ref="O257">IFERROR(_xlfn.STDEV.S(IF((DiscreteStatsTable[GroupByKey]=DiscreteStatsTable[[#This Row],[GroupByKey]]),(DiscreteStatsTable[GroupByKey]=DiscreteStatsTable[[#This Row],[GroupByKey]])*DiscreteStatsTable[Average])),0)</f>
        <v>0</v>
      </c>
      <c r="P257" s="5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7" s="5" cm="1">
        <f t="array" ref="R257">MIN(IF((DiscreteStatsTable[GroupByKey]=DiscreteStatsTable[[#This Row],[GroupByKey]]),(DiscreteStatsTable[GroupByKey]=DiscreteStatsTable[[#This Row],[GroupByKey]])*DiscreteStatsTable[Average]))</f>
        <v>0</v>
      </c>
      <c r="S257" s="5" cm="1">
        <f t="array" ref="S257">MAX(IF((DiscreteStatsTable[GroupByKey]=DiscreteStatsTable[[#This Row],[GroupByKey]]),(DiscreteStatsTable[GroupByKey]=DiscreteStatsTable[[#This Row],[GroupByKey]])*DiscreteStatsTable[Average]))</f>
        <v>0</v>
      </c>
      <c r="T257" s="5" cm="1">
        <f t="array" ref="T257">MIN(IF((DiscreteStatsTable[GroupByKey]=DiscreteStatsTable[[#This Row],[GroupByKey]]),(DiscreteStatsTable[GroupByKey]=DiscreteStatsTable[[#This Row],[GroupByKey]])*DiscreteStatsTable[Minimum]))</f>
        <v>0</v>
      </c>
      <c r="U257" s="5" cm="1">
        <f t="array" ref="U257">MAX(IF((DiscreteStatsTable[GroupByKey]=DiscreteStatsTable[[#This Row],[GroupByKey]]),(DiscreteStatsTable[GroupByKey]=DiscreteStatsTable[[#This Row],[GroupByKey]])*DiscreteStatsTable[Maximum]))</f>
        <v>0</v>
      </c>
      <c r="V257" s="5" cm="1">
        <f t="array" ref="V257">IFERROR(AVERAGE(IF((DiscreteStatsTable[GroupByKey]=DiscreteStatsTable[[#This Row],[GroupByKey]]),(DiscreteStatsTable[GroupByKey]=DiscreteStatsTable[[#This Row],[GroupByKey]])*DiscreteStatsTable[NumberObservations])),0)</f>
        <v>16.157894736842106</v>
      </c>
      <c r="W257" s="5">
        <f>IF((DiscreteStatsTable[[#This Row],[RepsRequested]]&gt;1),DiscreteStatsTable[[#This Row],[HalfWidth]],DiscreteStatsTable[[#This Row],[BatchMeansHalfWidth]])</f>
        <v>0</v>
      </c>
      <c r="X257" s="5" cm="1">
        <f t="array" ref="X257">COUNT(IF((DiscreteStatsTable[GroupByKey]=DiscreteStatsTable[[#This Row],[GroupByKey]]),(DiscreteStatsTable[GroupByKey]=DiscreteStatsTable[[#This Row],[GroupByKey]])*DiscreteStatsTable[Replication]))</f>
        <v>19</v>
      </c>
      <c r="Y257" s="5">
        <f>IF(DiscreteStatsTable[[#This Row],[RepsRequested]]=DiscreteStatsTable[[#This Row],[RepsWithStatObserved]],1,0)</f>
        <v>1</v>
      </c>
    </row>
    <row r="258" spans="1:25" x14ac:dyDescent="0.25">
      <c r="A258" t="s">
        <v>67</v>
      </c>
      <c r="B258" t="s">
        <v>69</v>
      </c>
      <c r="C258">
        <v>10</v>
      </c>
      <c r="D258" t="s">
        <v>89</v>
      </c>
      <c r="E258" t="s">
        <v>90</v>
      </c>
      <c r="F258" t="s">
        <v>91</v>
      </c>
      <c r="G258">
        <v>0</v>
      </c>
      <c r="H258">
        <v>2E+20</v>
      </c>
      <c r="I258">
        <v>0</v>
      </c>
      <c r="J258">
        <v>0</v>
      </c>
      <c r="K258">
        <v>24</v>
      </c>
      <c r="L25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Mesa.QueueWaiting TimeQueue</v>
      </c>
      <c r="M258" s="5" cm="1">
        <f t="array" ref="M258">MAX(IF((ProjectInfoTable[ProjectName]=DiscreteStatsTable[[#This Row],[ProjectName]]),(ProjectInfoTable[ProjectName]=DiscreteStatsTable[[#This Row],[ProjectName]])*ProjectInfoTable[NumberOfReplications]))</f>
        <v>19</v>
      </c>
      <c r="N258" s="5" cm="1">
        <f t="array" ref="N258">IFERROR(AVERAGE(IF((DiscreteStatsTable[GroupByKey]=DiscreteStatsTable[[#This Row],[GroupByKey]]),(DiscreteStatsTable[GroupByKey]=DiscreteStatsTable[[#This Row],[GroupByKey]])*DiscreteStatsTable[Average])),0)</f>
        <v>0</v>
      </c>
      <c r="O258" s="5" cm="1">
        <f t="array" ref="O258">IFERROR(_xlfn.STDEV.S(IF((DiscreteStatsTable[GroupByKey]=DiscreteStatsTable[[#This Row],[GroupByKey]]),(DiscreteStatsTable[GroupByKey]=DiscreteStatsTable[[#This Row],[GroupByKey]])*DiscreteStatsTable[Average])),0)</f>
        <v>0</v>
      </c>
      <c r="P258" s="5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8" s="5" cm="1">
        <f t="array" ref="R258">MIN(IF((DiscreteStatsTable[GroupByKey]=DiscreteStatsTable[[#This Row],[GroupByKey]]),(DiscreteStatsTable[GroupByKey]=DiscreteStatsTable[[#This Row],[GroupByKey]])*DiscreteStatsTable[Average]))</f>
        <v>0</v>
      </c>
      <c r="S258" s="5" cm="1">
        <f t="array" ref="S258">MAX(IF((DiscreteStatsTable[GroupByKey]=DiscreteStatsTable[[#This Row],[GroupByKey]]),(DiscreteStatsTable[GroupByKey]=DiscreteStatsTable[[#This Row],[GroupByKey]])*DiscreteStatsTable[Average]))</f>
        <v>0</v>
      </c>
      <c r="T258" s="5" cm="1">
        <f t="array" ref="T258">MIN(IF((DiscreteStatsTable[GroupByKey]=DiscreteStatsTable[[#This Row],[GroupByKey]]),(DiscreteStatsTable[GroupByKey]=DiscreteStatsTable[[#This Row],[GroupByKey]])*DiscreteStatsTable[Minimum]))</f>
        <v>0</v>
      </c>
      <c r="U258" s="5" cm="1">
        <f t="array" ref="U258">MAX(IF((DiscreteStatsTable[GroupByKey]=DiscreteStatsTable[[#This Row],[GroupByKey]]),(DiscreteStatsTable[GroupByKey]=DiscreteStatsTable[[#This Row],[GroupByKey]])*DiscreteStatsTable[Maximum]))</f>
        <v>0</v>
      </c>
      <c r="V258" s="5" cm="1">
        <f t="array" ref="V258">IFERROR(AVERAGE(IF((DiscreteStatsTable[GroupByKey]=DiscreteStatsTable[[#This Row],[GroupByKey]]),(DiscreteStatsTable[GroupByKey]=DiscreteStatsTable[[#This Row],[GroupByKey]])*DiscreteStatsTable[NumberObservations])),0)</f>
        <v>16.157894736842106</v>
      </c>
      <c r="W258" s="5">
        <f>IF((DiscreteStatsTable[[#This Row],[RepsRequested]]&gt;1),DiscreteStatsTable[[#This Row],[HalfWidth]],DiscreteStatsTable[[#This Row],[BatchMeansHalfWidth]])</f>
        <v>0</v>
      </c>
      <c r="X258" s="5" cm="1">
        <f t="array" ref="X258">COUNT(IF((DiscreteStatsTable[GroupByKey]=DiscreteStatsTable[[#This Row],[GroupByKey]]),(DiscreteStatsTable[GroupByKey]=DiscreteStatsTable[[#This Row],[GroupByKey]])*DiscreteStatsTable[Replication]))</f>
        <v>19</v>
      </c>
      <c r="Y258" s="5">
        <f>IF(DiscreteStatsTable[[#This Row],[RepsRequested]]=DiscreteStatsTable[[#This Row],[RepsWithStatObserved]],1,0)</f>
        <v>1</v>
      </c>
    </row>
    <row r="259" spans="1:25" x14ac:dyDescent="0.25">
      <c r="A259" t="s">
        <v>67</v>
      </c>
      <c r="B259" t="s">
        <v>69</v>
      </c>
      <c r="C259">
        <v>11</v>
      </c>
      <c r="D259" t="s">
        <v>89</v>
      </c>
      <c r="E259" t="s">
        <v>90</v>
      </c>
      <c r="F259" t="s">
        <v>91</v>
      </c>
      <c r="G259">
        <v>0</v>
      </c>
      <c r="H259">
        <v>2E+20</v>
      </c>
      <c r="I259">
        <v>0</v>
      </c>
      <c r="J259">
        <v>0</v>
      </c>
      <c r="K259">
        <v>20</v>
      </c>
      <c r="L25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Mesa.QueueWaiting TimeQueue</v>
      </c>
      <c r="M259" s="5" cm="1">
        <f t="array" ref="M259">MAX(IF((ProjectInfoTable[ProjectName]=DiscreteStatsTable[[#This Row],[ProjectName]]),(ProjectInfoTable[ProjectName]=DiscreteStatsTable[[#This Row],[ProjectName]])*ProjectInfoTable[NumberOfReplications]))</f>
        <v>19</v>
      </c>
      <c r="N259" s="5" cm="1">
        <f t="array" ref="N259">IFERROR(AVERAGE(IF((DiscreteStatsTable[GroupByKey]=DiscreteStatsTable[[#This Row],[GroupByKey]]),(DiscreteStatsTable[GroupByKey]=DiscreteStatsTable[[#This Row],[GroupByKey]])*DiscreteStatsTable[Average])),0)</f>
        <v>0</v>
      </c>
      <c r="O259" s="5" cm="1">
        <f t="array" ref="O259">IFERROR(_xlfn.STDEV.S(IF((DiscreteStatsTable[GroupByKey]=DiscreteStatsTable[[#This Row],[GroupByKey]]),(DiscreteStatsTable[GroupByKey]=DiscreteStatsTable[[#This Row],[GroupByKey]])*DiscreteStatsTable[Average])),0)</f>
        <v>0</v>
      </c>
      <c r="P259" s="5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9" s="5" cm="1">
        <f t="array" ref="R259">MIN(IF((DiscreteStatsTable[GroupByKey]=DiscreteStatsTable[[#This Row],[GroupByKey]]),(DiscreteStatsTable[GroupByKey]=DiscreteStatsTable[[#This Row],[GroupByKey]])*DiscreteStatsTable[Average]))</f>
        <v>0</v>
      </c>
      <c r="S259" s="5" cm="1">
        <f t="array" ref="S259">MAX(IF((DiscreteStatsTable[GroupByKey]=DiscreteStatsTable[[#This Row],[GroupByKey]]),(DiscreteStatsTable[GroupByKey]=DiscreteStatsTable[[#This Row],[GroupByKey]])*DiscreteStatsTable[Average]))</f>
        <v>0</v>
      </c>
      <c r="T259" s="5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s="5" cm="1">
        <f t="array" ref="U259">MAX(IF((DiscreteStatsTable[GroupByKey]=DiscreteStatsTable[[#This Row],[GroupByKey]]),(DiscreteStatsTable[GroupByKey]=DiscreteStatsTable[[#This Row],[GroupByKey]])*DiscreteStatsTable[Maximum]))</f>
        <v>0</v>
      </c>
      <c r="V259" s="5" cm="1">
        <f t="array" ref="V259">IFERROR(AVERAGE(IF((DiscreteStatsTable[GroupByKey]=DiscreteStatsTable[[#This Row],[GroupByKey]]),(DiscreteStatsTable[GroupByKey]=DiscreteStatsTable[[#This Row],[GroupByKey]])*DiscreteStatsTable[NumberObservations])),0)</f>
        <v>16.157894736842106</v>
      </c>
      <c r="W259" s="5">
        <f>IF((DiscreteStatsTable[[#This Row],[RepsRequested]]&gt;1),DiscreteStatsTable[[#This Row],[HalfWidth]],DiscreteStatsTable[[#This Row],[BatchMeansHalfWidth]])</f>
        <v>0</v>
      </c>
      <c r="X259" s="5" cm="1">
        <f t="array" ref="X259">COUNT(IF((DiscreteStatsTable[GroupByKey]=DiscreteStatsTable[[#This Row],[GroupByKey]]),(DiscreteStatsTable[GroupByKey]=DiscreteStatsTable[[#This Row],[GroupByKey]])*DiscreteStatsTable[Replication]))</f>
        <v>19</v>
      </c>
      <c r="Y259" s="5">
        <f>IF(DiscreteStatsTable[[#This Row],[RepsRequested]]=DiscreteStatsTable[[#This Row],[RepsWithStatObserved]],1,0)</f>
        <v>1</v>
      </c>
    </row>
    <row r="260" spans="1:25" x14ac:dyDescent="0.25">
      <c r="A260" t="s">
        <v>67</v>
      </c>
      <c r="B260" t="s">
        <v>69</v>
      </c>
      <c r="C260">
        <v>12</v>
      </c>
      <c r="D260" t="s">
        <v>89</v>
      </c>
      <c r="E260" t="s">
        <v>90</v>
      </c>
      <c r="F260" t="s">
        <v>91</v>
      </c>
      <c r="G260">
        <v>0</v>
      </c>
      <c r="H260">
        <v>2E+20</v>
      </c>
      <c r="I260">
        <v>0</v>
      </c>
      <c r="J260">
        <v>0</v>
      </c>
      <c r="K260">
        <v>13</v>
      </c>
      <c r="L26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Mesa.QueueWaiting TimeQueue</v>
      </c>
      <c r="M260" s="5" cm="1">
        <f t="array" ref="M260">MAX(IF((ProjectInfoTable[ProjectName]=DiscreteStatsTable[[#This Row],[ProjectName]]),(ProjectInfoTable[ProjectName]=DiscreteStatsTable[[#This Row],[ProjectName]])*ProjectInfoTable[NumberOfReplications]))</f>
        <v>19</v>
      </c>
      <c r="N260" s="5" cm="1">
        <f t="array" ref="N260">IFERROR(AVERAGE(IF((DiscreteStatsTable[GroupByKey]=DiscreteStatsTable[[#This Row],[GroupByKey]]),(DiscreteStatsTable[GroupByKey]=DiscreteStatsTable[[#This Row],[GroupByKey]])*DiscreteStatsTable[Average])),0)</f>
        <v>0</v>
      </c>
      <c r="O260" s="5" cm="1">
        <f t="array" ref="O260">IFERROR(_xlfn.STDEV.S(IF((DiscreteStatsTable[GroupByKey]=DiscreteStatsTable[[#This Row],[GroupByKey]]),(DiscreteStatsTable[GroupByKey]=DiscreteStatsTable[[#This Row],[GroupByKey]])*DiscreteStatsTable[Average])),0)</f>
        <v>0</v>
      </c>
      <c r="P260" s="5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0" s="5" cm="1">
        <f t="array" ref="R260">MIN(IF((DiscreteStatsTable[GroupByKey]=DiscreteStatsTable[[#This Row],[GroupByKey]]),(DiscreteStatsTable[GroupByKey]=DiscreteStatsTable[[#This Row],[GroupByKey]])*DiscreteStatsTable[Average]))</f>
        <v>0</v>
      </c>
      <c r="S260" s="5" cm="1">
        <f t="array" ref="S260">MAX(IF((DiscreteStatsTable[GroupByKey]=DiscreteStatsTable[[#This Row],[GroupByKey]]),(DiscreteStatsTable[GroupByKey]=DiscreteStatsTable[[#This Row],[GroupByKey]])*DiscreteStatsTable[Average]))</f>
        <v>0</v>
      </c>
      <c r="T260" s="5" cm="1">
        <f t="array" ref="T260">MIN(IF((DiscreteStatsTable[GroupByKey]=DiscreteStatsTable[[#This Row],[GroupByKey]]),(DiscreteStatsTable[GroupByKey]=DiscreteStatsTable[[#This Row],[GroupByKey]])*DiscreteStatsTable[Minimum]))</f>
        <v>0</v>
      </c>
      <c r="U260" s="5" cm="1">
        <f t="array" ref="U260">MAX(IF((DiscreteStatsTable[GroupByKey]=DiscreteStatsTable[[#This Row],[GroupByKey]]),(DiscreteStatsTable[GroupByKey]=DiscreteStatsTable[[#This Row],[GroupByKey]])*DiscreteStatsTable[Maximum]))</f>
        <v>0</v>
      </c>
      <c r="V260" s="5" cm="1">
        <f t="array" ref="V260">IFERROR(AVERAGE(IF((DiscreteStatsTable[GroupByKey]=DiscreteStatsTable[[#This Row],[GroupByKey]]),(DiscreteStatsTable[GroupByKey]=DiscreteStatsTable[[#This Row],[GroupByKey]])*DiscreteStatsTable[NumberObservations])),0)</f>
        <v>16.157894736842106</v>
      </c>
      <c r="W260" s="5">
        <f>IF((DiscreteStatsTable[[#This Row],[RepsRequested]]&gt;1),DiscreteStatsTable[[#This Row],[HalfWidth]],DiscreteStatsTable[[#This Row],[BatchMeansHalfWidth]])</f>
        <v>0</v>
      </c>
      <c r="X260" s="5" cm="1">
        <f t="array" ref="X260">COUNT(IF((DiscreteStatsTable[GroupByKey]=DiscreteStatsTable[[#This Row],[GroupByKey]]),(DiscreteStatsTable[GroupByKey]=DiscreteStatsTable[[#This Row],[GroupByKey]])*DiscreteStatsTable[Replication]))</f>
        <v>19</v>
      </c>
      <c r="Y260" s="5">
        <f>IF(DiscreteStatsTable[[#This Row],[RepsRequested]]=DiscreteStatsTable[[#This Row],[RepsWithStatObserved]],1,0)</f>
        <v>1</v>
      </c>
    </row>
    <row r="261" spans="1:25" x14ac:dyDescent="0.25">
      <c r="A261" t="s">
        <v>67</v>
      </c>
      <c r="B261" t="s">
        <v>69</v>
      </c>
      <c r="C261">
        <v>13</v>
      </c>
      <c r="D261" t="s">
        <v>89</v>
      </c>
      <c r="E261" t="s">
        <v>90</v>
      </c>
      <c r="F261" t="s">
        <v>91</v>
      </c>
      <c r="G261">
        <v>0</v>
      </c>
      <c r="H261">
        <v>2E+20</v>
      </c>
      <c r="I261">
        <v>0</v>
      </c>
      <c r="J261">
        <v>0</v>
      </c>
      <c r="K261">
        <v>11</v>
      </c>
      <c r="L26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Mesa.QueueWaiting TimeQueue</v>
      </c>
      <c r="M261" s="5" cm="1">
        <f t="array" ref="M261">MAX(IF((ProjectInfoTable[ProjectName]=DiscreteStatsTable[[#This Row],[ProjectName]]),(ProjectInfoTable[ProjectName]=DiscreteStatsTable[[#This Row],[ProjectName]])*ProjectInfoTable[NumberOfReplications]))</f>
        <v>19</v>
      </c>
      <c r="N261" s="5" cm="1">
        <f t="array" ref="N261">IFERROR(AVERAGE(IF((DiscreteStatsTable[GroupByKey]=DiscreteStatsTable[[#This Row],[GroupByKey]]),(DiscreteStatsTable[GroupByKey]=DiscreteStatsTable[[#This Row],[GroupByKey]])*DiscreteStatsTable[Average])),0)</f>
        <v>0</v>
      </c>
      <c r="O261" s="5" cm="1">
        <f t="array" ref="O261">IFERROR(_xlfn.STDEV.S(IF((DiscreteStatsTable[GroupByKey]=DiscreteStatsTable[[#This Row],[GroupByKey]]),(DiscreteStatsTable[GroupByKey]=DiscreteStatsTable[[#This Row],[GroupByKey]])*DiscreteStatsTable[Average])),0)</f>
        <v>0</v>
      </c>
      <c r="P261" s="5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1" s="5" cm="1">
        <f t="array" ref="R261">MIN(IF((DiscreteStatsTable[GroupByKey]=DiscreteStatsTable[[#This Row],[GroupByKey]]),(DiscreteStatsTable[GroupByKey]=DiscreteStatsTable[[#This Row],[GroupByKey]])*DiscreteStatsTable[Average]))</f>
        <v>0</v>
      </c>
      <c r="S261" s="5" cm="1">
        <f t="array" ref="S261">MAX(IF((DiscreteStatsTable[GroupByKey]=DiscreteStatsTable[[#This Row],[GroupByKey]]),(DiscreteStatsTable[GroupByKey]=DiscreteStatsTable[[#This Row],[GroupByKey]])*DiscreteStatsTable[Average]))</f>
        <v>0</v>
      </c>
      <c r="T261" s="5" cm="1">
        <f t="array" ref="T261">MIN(IF((DiscreteStatsTable[GroupByKey]=DiscreteStatsTable[[#This Row],[GroupByKey]]),(DiscreteStatsTable[GroupByKey]=DiscreteStatsTable[[#This Row],[GroupByKey]])*DiscreteStatsTable[Minimum]))</f>
        <v>0</v>
      </c>
      <c r="U261" s="5" cm="1">
        <f t="array" ref="U261">MAX(IF((DiscreteStatsTable[GroupByKey]=DiscreteStatsTable[[#This Row],[GroupByKey]]),(DiscreteStatsTable[GroupByKey]=DiscreteStatsTable[[#This Row],[GroupByKey]])*DiscreteStatsTable[Maximum]))</f>
        <v>0</v>
      </c>
      <c r="V261" s="5" cm="1">
        <f t="array" ref="V261">IFERROR(AVERAGE(IF((DiscreteStatsTable[GroupByKey]=DiscreteStatsTable[[#This Row],[GroupByKey]]),(DiscreteStatsTable[GroupByKey]=DiscreteStatsTable[[#This Row],[GroupByKey]])*DiscreteStatsTable[NumberObservations])),0)</f>
        <v>16.157894736842106</v>
      </c>
      <c r="W261" s="5">
        <f>IF((DiscreteStatsTable[[#This Row],[RepsRequested]]&gt;1),DiscreteStatsTable[[#This Row],[HalfWidth]],DiscreteStatsTable[[#This Row],[BatchMeansHalfWidth]])</f>
        <v>0</v>
      </c>
      <c r="X261" s="5" cm="1">
        <f t="array" ref="X261">COUNT(IF((DiscreteStatsTable[GroupByKey]=DiscreteStatsTable[[#This Row],[GroupByKey]]),(DiscreteStatsTable[GroupByKey]=DiscreteStatsTable[[#This Row],[GroupByKey]])*DiscreteStatsTable[Replication]))</f>
        <v>19</v>
      </c>
      <c r="Y261" s="5">
        <f>IF(DiscreteStatsTable[[#This Row],[RepsRequested]]=DiscreteStatsTable[[#This Row],[RepsWithStatObserved]],1,0)</f>
        <v>1</v>
      </c>
    </row>
    <row r="262" spans="1:25" x14ac:dyDescent="0.25">
      <c r="A262" t="s">
        <v>67</v>
      </c>
      <c r="B262" t="s">
        <v>69</v>
      </c>
      <c r="C262">
        <v>14</v>
      </c>
      <c r="D262" t="s">
        <v>89</v>
      </c>
      <c r="E262" t="s">
        <v>90</v>
      </c>
      <c r="F262" t="s">
        <v>91</v>
      </c>
      <c r="G262">
        <v>0</v>
      </c>
      <c r="H262">
        <v>2E+20</v>
      </c>
      <c r="I262">
        <v>0</v>
      </c>
      <c r="J262">
        <v>0</v>
      </c>
      <c r="K262">
        <v>16</v>
      </c>
      <c r="L26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Mesa.QueueWaiting TimeQueue</v>
      </c>
      <c r="M262" s="5" cm="1">
        <f t="array" ref="M262">MAX(IF((ProjectInfoTable[ProjectName]=DiscreteStatsTable[[#This Row],[ProjectName]]),(ProjectInfoTable[ProjectName]=DiscreteStatsTable[[#This Row],[ProjectName]])*ProjectInfoTable[NumberOfReplications]))</f>
        <v>19</v>
      </c>
      <c r="N262" s="5" cm="1">
        <f t="array" ref="N262">IFERROR(AVERAGE(IF((DiscreteStatsTable[GroupByKey]=DiscreteStatsTable[[#This Row],[GroupByKey]]),(DiscreteStatsTable[GroupByKey]=DiscreteStatsTable[[#This Row],[GroupByKey]])*DiscreteStatsTable[Average])),0)</f>
        <v>0</v>
      </c>
      <c r="O262" s="5" cm="1">
        <f t="array" ref="O262">IFERROR(_xlfn.STDEV.S(IF((DiscreteStatsTable[GroupByKey]=DiscreteStatsTable[[#This Row],[GroupByKey]]),(DiscreteStatsTable[GroupByKey]=DiscreteStatsTable[[#This Row],[GroupByKey]])*DiscreteStatsTable[Average])),0)</f>
        <v>0</v>
      </c>
      <c r="P262" s="5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2" s="5" cm="1">
        <f t="array" ref="R262">MIN(IF((DiscreteStatsTable[GroupByKey]=DiscreteStatsTable[[#This Row],[GroupByKey]]),(DiscreteStatsTable[GroupByKey]=DiscreteStatsTable[[#This Row],[GroupByKey]])*DiscreteStatsTable[Average]))</f>
        <v>0</v>
      </c>
      <c r="S262" s="5" cm="1">
        <f t="array" ref="S262">MAX(IF((DiscreteStatsTable[GroupByKey]=DiscreteStatsTable[[#This Row],[GroupByKey]]),(DiscreteStatsTable[GroupByKey]=DiscreteStatsTable[[#This Row],[GroupByKey]])*DiscreteStatsTable[Average]))</f>
        <v>0</v>
      </c>
      <c r="T262" s="5" cm="1">
        <f t="array" ref="T262">MIN(IF((DiscreteStatsTable[GroupByKey]=DiscreteStatsTable[[#This Row],[GroupByKey]]),(DiscreteStatsTable[GroupByKey]=DiscreteStatsTable[[#This Row],[GroupByKey]])*DiscreteStatsTable[Minimum]))</f>
        <v>0</v>
      </c>
      <c r="U262" s="5" cm="1">
        <f t="array" ref="U262">MAX(IF((DiscreteStatsTable[GroupByKey]=DiscreteStatsTable[[#This Row],[GroupByKey]]),(DiscreteStatsTable[GroupByKey]=DiscreteStatsTable[[#This Row],[GroupByKey]])*DiscreteStatsTable[Maximum]))</f>
        <v>0</v>
      </c>
      <c r="V262" s="5" cm="1">
        <f t="array" ref="V262">IFERROR(AVERAGE(IF((DiscreteStatsTable[GroupByKey]=DiscreteStatsTable[[#This Row],[GroupByKey]]),(DiscreteStatsTable[GroupByKey]=DiscreteStatsTable[[#This Row],[GroupByKey]])*DiscreteStatsTable[NumberObservations])),0)</f>
        <v>16.157894736842106</v>
      </c>
      <c r="W262" s="5">
        <f>IF((DiscreteStatsTable[[#This Row],[RepsRequested]]&gt;1),DiscreteStatsTable[[#This Row],[HalfWidth]],DiscreteStatsTable[[#This Row],[BatchMeansHalfWidth]])</f>
        <v>0</v>
      </c>
      <c r="X262" s="5" cm="1">
        <f t="array" ref="X262">COUNT(IF((DiscreteStatsTable[GroupByKey]=DiscreteStatsTable[[#This Row],[GroupByKey]]),(DiscreteStatsTable[GroupByKey]=DiscreteStatsTable[[#This Row],[GroupByKey]])*DiscreteStatsTable[Replication]))</f>
        <v>19</v>
      </c>
      <c r="Y262" s="5">
        <f>IF(DiscreteStatsTable[[#This Row],[RepsRequested]]=DiscreteStatsTable[[#This Row],[RepsWithStatObserved]],1,0)</f>
        <v>1</v>
      </c>
    </row>
    <row r="263" spans="1:25" x14ac:dyDescent="0.25">
      <c r="A263" t="s">
        <v>67</v>
      </c>
      <c r="B263" t="s">
        <v>69</v>
      </c>
      <c r="C263">
        <v>15</v>
      </c>
      <c r="D263" t="s">
        <v>89</v>
      </c>
      <c r="E263" t="s">
        <v>90</v>
      </c>
      <c r="F263" t="s">
        <v>91</v>
      </c>
      <c r="G263">
        <v>0</v>
      </c>
      <c r="H263">
        <v>2E+20</v>
      </c>
      <c r="I263">
        <v>0</v>
      </c>
      <c r="J263">
        <v>0</v>
      </c>
      <c r="K263">
        <v>11</v>
      </c>
      <c r="L26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Mesa.QueueWaiting TimeQueue</v>
      </c>
      <c r="M263" s="5" cm="1">
        <f t="array" ref="M263">MAX(IF((ProjectInfoTable[ProjectName]=DiscreteStatsTable[[#This Row],[ProjectName]]),(ProjectInfoTable[ProjectName]=DiscreteStatsTable[[#This Row],[ProjectName]])*ProjectInfoTable[NumberOfReplications]))</f>
        <v>19</v>
      </c>
      <c r="N263" s="5" cm="1">
        <f t="array" ref="N263">IFERROR(AVERAGE(IF((DiscreteStatsTable[GroupByKey]=DiscreteStatsTable[[#This Row],[GroupByKey]]),(DiscreteStatsTable[GroupByKey]=DiscreteStatsTable[[#This Row],[GroupByKey]])*DiscreteStatsTable[Average])),0)</f>
        <v>0</v>
      </c>
      <c r="O263" s="5" cm="1">
        <f t="array" ref="O263">IFERROR(_xlfn.STDEV.S(IF((DiscreteStatsTable[GroupByKey]=DiscreteStatsTable[[#This Row],[GroupByKey]]),(DiscreteStatsTable[GroupByKey]=DiscreteStatsTable[[#This Row],[GroupByKey]])*DiscreteStatsTable[Average])),0)</f>
        <v>0</v>
      </c>
      <c r="P263" s="5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3" s="5" cm="1">
        <f t="array" ref="R263">MIN(IF((DiscreteStatsTable[GroupByKey]=DiscreteStatsTable[[#This Row],[GroupByKey]]),(DiscreteStatsTable[GroupByKey]=DiscreteStatsTable[[#This Row],[GroupByKey]])*DiscreteStatsTable[Average]))</f>
        <v>0</v>
      </c>
      <c r="S263" s="5" cm="1">
        <f t="array" ref="S263">MAX(IF((DiscreteStatsTable[GroupByKey]=DiscreteStatsTable[[#This Row],[GroupByKey]]),(DiscreteStatsTable[GroupByKey]=DiscreteStatsTable[[#This Row],[GroupByKey]])*DiscreteStatsTable[Average]))</f>
        <v>0</v>
      </c>
      <c r="T263" s="5" cm="1">
        <f t="array" ref="T263">MIN(IF((DiscreteStatsTable[GroupByKey]=DiscreteStatsTable[[#This Row],[GroupByKey]]),(DiscreteStatsTable[GroupByKey]=DiscreteStatsTable[[#This Row],[GroupByKey]])*DiscreteStatsTable[Minimum]))</f>
        <v>0</v>
      </c>
      <c r="U263" s="5" cm="1">
        <f t="array" ref="U263">MAX(IF((DiscreteStatsTable[GroupByKey]=DiscreteStatsTable[[#This Row],[GroupByKey]]),(DiscreteStatsTable[GroupByKey]=DiscreteStatsTable[[#This Row],[GroupByKey]])*DiscreteStatsTable[Maximum]))</f>
        <v>0</v>
      </c>
      <c r="V263" s="5" cm="1">
        <f t="array" ref="V263">IFERROR(AVERAGE(IF((DiscreteStatsTable[GroupByKey]=DiscreteStatsTable[[#This Row],[GroupByKey]]),(DiscreteStatsTable[GroupByKey]=DiscreteStatsTable[[#This Row],[GroupByKey]])*DiscreteStatsTable[NumberObservations])),0)</f>
        <v>16.157894736842106</v>
      </c>
      <c r="W263" s="5">
        <f>IF((DiscreteStatsTable[[#This Row],[RepsRequested]]&gt;1),DiscreteStatsTable[[#This Row],[HalfWidth]],DiscreteStatsTable[[#This Row],[BatchMeansHalfWidth]])</f>
        <v>0</v>
      </c>
      <c r="X263" s="5" cm="1">
        <f t="array" ref="X263">COUNT(IF((DiscreteStatsTable[GroupByKey]=DiscreteStatsTable[[#This Row],[GroupByKey]]),(DiscreteStatsTable[GroupByKey]=DiscreteStatsTable[[#This Row],[GroupByKey]])*DiscreteStatsTable[Replication]))</f>
        <v>19</v>
      </c>
      <c r="Y263" s="5">
        <f>IF(DiscreteStatsTable[[#This Row],[RepsRequested]]=DiscreteStatsTable[[#This Row],[RepsWithStatObserved]],1,0)</f>
        <v>1</v>
      </c>
    </row>
    <row r="264" spans="1:25" x14ac:dyDescent="0.25">
      <c r="A264" t="s">
        <v>67</v>
      </c>
      <c r="B264" t="s">
        <v>69</v>
      </c>
      <c r="C264">
        <v>16</v>
      </c>
      <c r="D264" t="s">
        <v>89</v>
      </c>
      <c r="E264" t="s">
        <v>90</v>
      </c>
      <c r="F264" t="s">
        <v>91</v>
      </c>
      <c r="G264">
        <v>0</v>
      </c>
      <c r="H264">
        <v>2E+20</v>
      </c>
      <c r="I264">
        <v>0</v>
      </c>
      <c r="J264">
        <v>0</v>
      </c>
      <c r="K264">
        <v>21</v>
      </c>
      <c r="L26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Mesa.QueueWaiting TimeQueue</v>
      </c>
      <c r="M264" s="5" cm="1">
        <f t="array" ref="M264">MAX(IF((ProjectInfoTable[ProjectName]=DiscreteStatsTable[[#This Row],[ProjectName]]),(ProjectInfoTable[ProjectName]=DiscreteStatsTable[[#This Row],[ProjectName]])*ProjectInfoTable[NumberOfReplications]))</f>
        <v>19</v>
      </c>
      <c r="N264" s="5" cm="1">
        <f t="array" ref="N264">IFERROR(AVERAGE(IF((DiscreteStatsTable[GroupByKey]=DiscreteStatsTable[[#This Row],[GroupByKey]]),(DiscreteStatsTable[GroupByKey]=DiscreteStatsTable[[#This Row],[GroupByKey]])*DiscreteStatsTable[Average])),0)</f>
        <v>0</v>
      </c>
      <c r="O264" s="5" cm="1">
        <f t="array" ref="O264">IFERROR(_xlfn.STDEV.S(IF((DiscreteStatsTable[GroupByKey]=DiscreteStatsTable[[#This Row],[GroupByKey]]),(DiscreteStatsTable[GroupByKey]=DiscreteStatsTable[[#This Row],[GroupByKey]])*DiscreteStatsTable[Average])),0)</f>
        <v>0</v>
      </c>
      <c r="P264" s="5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4" s="5" cm="1">
        <f t="array" ref="R264">MIN(IF((DiscreteStatsTable[GroupByKey]=DiscreteStatsTable[[#This Row],[GroupByKey]]),(DiscreteStatsTable[GroupByKey]=DiscreteStatsTable[[#This Row],[GroupByKey]])*DiscreteStatsTable[Average]))</f>
        <v>0</v>
      </c>
      <c r="S264" s="5" cm="1">
        <f t="array" ref="S264">MAX(IF((DiscreteStatsTable[GroupByKey]=DiscreteStatsTable[[#This Row],[GroupByKey]]),(DiscreteStatsTable[GroupByKey]=DiscreteStatsTable[[#This Row],[GroupByKey]])*DiscreteStatsTable[Average]))</f>
        <v>0</v>
      </c>
      <c r="T264" s="5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s="5" cm="1">
        <f t="array" ref="U264">MAX(IF((DiscreteStatsTable[GroupByKey]=DiscreteStatsTable[[#This Row],[GroupByKey]]),(DiscreteStatsTable[GroupByKey]=DiscreteStatsTable[[#This Row],[GroupByKey]])*DiscreteStatsTable[Maximum]))</f>
        <v>0</v>
      </c>
      <c r="V264" s="5" cm="1">
        <f t="array" ref="V264">IFERROR(AVERAGE(IF((DiscreteStatsTable[GroupByKey]=DiscreteStatsTable[[#This Row],[GroupByKey]]),(DiscreteStatsTable[GroupByKey]=DiscreteStatsTable[[#This Row],[GroupByKey]])*DiscreteStatsTable[NumberObservations])),0)</f>
        <v>16.157894736842106</v>
      </c>
      <c r="W264" s="5">
        <f>IF((DiscreteStatsTable[[#This Row],[RepsRequested]]&gt;1),DiscreteStatsTable[[#This Row],[HalfWidth]],DiscreteStatsTable[[#This Row],[BatchMeansHalfWidth]])</f>
        <v>0</v>
      </c>
      <c r="X264" s="5" cm="1">
        <f t="array" ref="X264">COUNT(IF((DiscreteStatsTable[GroupByKey]=DiscreteStatsTable[[#This Row],[GroupByKey]]),(DiscreteStatsTable[GroupByKey]=DiscreteStatsTable[[#This Row],[GroupByKey]])*DiscreteStatsTable[Replication]))</f>
        <v>19</v>
      </c>
      <c r="Y264" s="5">
        <f>IF(DiscreteStatsTable[[#This Row],[RepsRequested]]=DiscreteStatsTable[[#This Row],[RepsWithStatObserved]],1,0)</f>
        <v>1</v>
      </c>
    </row>
    <row r="265" spans="1:25" x14ac:dyDescent="0.25">
      <c r="A265" t="s">
        <v>67</v>
      </c>
      <c r="B265" t="s">
        <v>69</v>
      </c>
      <c r="C265">
        <v>17</v>
      </c>
      <c r="D265" t="s">
        <v>89</v>
      </c>
      <c r="E265" t="s">
        <v>90</v>
      </c>
      <c r="F265" t="s">
        <v>91</v>
      </c>
      <c r="G265">
        <v>0</v>
      </c>
      <c r="H265">
        <v>2E+20</v>
      </c>
      <c r="I265">
        <v>0</v>
      </c>
      <c r="J265">
        <v>0</v>
      </c>
      <c r="K265">
        <v>15</v>
      </c>
      <c r="L26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Mesa.QueueWaiting TimeQueue</v>
      </c>
      <c r="M265" s="5" cm="1">
        <f t="array" ref="M265">MAX(IF((ProjectInfoTable[ProjectName]=DiscreteStatsTable[[#This Row],[ProjectName]]),(ProjectInfoTable[ProjectName]=DiscreteStatsTable[[#This Row],[ProjectName]])*ProjectInfoTable[NumberOfReplications]))</f>
        <v>19</v>
      </c>
      <c r="N265" s="5" cm="1">
        <f t="array" ref="N265">IFERROR(AVERAGE(IF((DiscreteStatsTable[GroupByKey]=DiscreteStatsTable[[#This Row],[GroupByKey]]),(DiscreteStatsTable[GroupByKey]=DiscreteStatsTable[[#This Row],[GroupByKey]])*DiscreteStatsTable[Average])),0)</f>
        <v>0</v>
      </c>
      <c r="O265" s="5" cm="1">
        <f t="array" ref="O265">IFERROR(_xlfn.STDEV.S(IF((DiscreteStatsTable[GroupByKey]=DiscreteStatsTable[[#This Row],[GroupByKey]]),(DiscreteStatsTable[GroupByKey]=DiscreteStatsTable[[#This Row],[GroupByKey]])*DiscreteStatsTable[Average])),0)</f>
        <v>0</v>
      </c>
      <c r="P265" s="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5" s="5" cm="1">
        <f t="array" ref="R265">MIN(IF((DiscreteStatsTable[GroupByKey]=DiscreteStatsTable[[#This Row],[GroupByKey]]),(DiscreteStatsTable[GroupByKey]=DiscreteStatsTable[[#This Row],[GroupByKey]])*DiscreteStatsTable[Average]))</f>
        <v>0</v>
      </c>
      <c r="S265" s="5" cm="1">
        <f t="array" ref="S265">MAX(IF((DiscreteStatsTable[GroupByKey]=DiscreteStatsTable[[#This Row],[GroupByKey]]),(DiscreteStatsTable[GroupByKey]=DiscreteStatsTable[[#This Row],[GroupByKey]])*DiscreteStatsTable[Average]))</f>
        <v>0</v>
      </c>
      <c r="T265" s="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s="5" cm="1">
        <f t="array" ref="U265">MAX(IF((DiscreteStatsTable[GroupByKey]=DiscreteStatsTable[[#This Row],[GroupByKey]]),(DiscreteStatsTable[GroupByKey]=DiscreteStatsTable[[#This Row],[GroupByKey]])*DiscreteStatsTable[Maximum]))</f>
        <v>0</v>
      </c>
      <c r="V265" s="5" cm="1">
        <f t="array" ref="V265">IFERROR(AVERAGE(IF((DiscreteStatsTable[GroupByKey]=DiscreteStatsTable[[#This Row],[GroupByKey]]),(DiscreteStatsTable[GroupByKey]=DiscreteStatsTable[[#This Row],[GroupByKey]])*DiscreteStatsTable[NumberObservations])),0)</f>
        <v>16.157894736842106</v>
      </c>
      <c r="W265" s="5">
        <f>IF((DiscreteStatsTable[[#This Row],[RepsRequested]]&gt;1),DiscreteStatsTable[[#This Row],[HalfWidth]],DiscreteStatsTable[[#This Row],[BatchMeansHalfWidth]])</f>
        <v>0</v>
      </c>
      <c r="X265" s="5" cm="1">
        <f t="array" ref="X265">COUNT(IF((DiscreteStatsTable[GroupByKey]=DiscreteStatsTable[[#This Row],[GroupByKey]]),(DiscreteStatsTable[GroupByKey]=DiscreteStatsTable[[#This Row],[GroupByKey]])*DiscreteStatsTable[Replication]))</f>
        <v>19</v>
      </c>
      <c r="Y265" s="5">
        <f>IF(DiscreteStatsTable[[#This Row],[RepsRequested]]=DiscreteStatsTable[[#This Row],[RepsWithStatObserved]],1,0)</f>
        <v>1</v>
      </c>
    </row>
    <row r="266" spans="1:25" x14ac:dyDescent="0.25">
      <c r="A266" t="s">
        <v>67</v>
      </c>
      <c r="B266" t="s">
        <v>69</v>
      </c>
      <c r="C266">
        <v>18</v>
      </c>
      <c r="D266" t="s">
        <v>89</v>
      </c>
      <c r="E266" t="s">
        <v>90</v>
      </c>
      <c r="F266" t="s">
        <v>91</v>
      </c>
      <c r="G266">
        <v>0</v>
      </c>
      <c r="H266">
        <v>2E+20</v>
      </c>
      <c r="I266">
        <v>0</v>
      </c>
      <c r="J266">
        <v>0</v>
      </c>
      <c r="K266">
        <v>14</v>
      </c>
      <c r="L26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Mesa.QueueWaiting TimeQueue</v>
      </c>
      <c r="M266" s="5" cm="1">
        <f t="array" ref="M266">MAX(IF((ProjectInfoTable[ProjectName]=DiscreteStatsTable[[#This Row],[ProjectName]]),(ProjectInfoTable[ProjectName]=DiscreteStatsTable[[#This Row],[ProjectName]])*ProjectInfoTable[NumberOfReplications]))</f>
        <v>19</v>
      </c>
      <c r="N266" s="5" cm="1">
        <f t="array" ref="N266">IFERROR(AVERAGE(IF((DiscreteStatsTable[GroupByKey]=DiscreteStatsTable[[#This Row],[GroupByKey]]),(DiscreteStatsTable[GroupByKey]=DiscreteStatsTable[[#This Row],[GroupByKey]])*DiscreteStatsTable[Average])),0)</f>
        <v>0</v>
      </c>
      <c r="O266" s="5" cm="1">
        <f t="array" ref="O266">IFERROR(_xlfn.STDEV.S(IF((DiscreteStatsTable[GroupByKey]=DiscreteStatsTable[[#This Row],[GroupByKey]]),(DiscreteStatsTable[GroupByKey]=DiscreteStatsTable[[#This Row],[GroupByKey]])*DiscreteStatsTable[Average])),0)</f>
        <v>0</v>
      </c>
      <c r="P266" s="5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6" s="5" cm="1">
        <f t="array" ref="R266">MIN(IF((DiscreteStatsTable[GroupByKey]=DiscreteStatsTable[[#This Row],[GroupByKey]]),(DiscreteStatsTable[GroupByKey]=DiscreteStatsTable[[#This Row],[GroupByKey]])*DiscreteStatsTable[Average]))</f>
        <v>0</v>
      </c>
      <c r="S266" s="5" cm="1">
        <f t="array" ref="S266">MAX(IF((DiscreteStatsTable[GroupByKey]=DiscreteStatsTable[[#This Row],[GroupByKey]]),(DiscreteStatsTable[GroupByKey]=DiscreteStatsTable[[#This Row],[GroupByKey]])*DiscreteStatsTable[Average]))</f>
        <v>0</v>
      </c>
      <c r="T266" s="5" cm="1">
        <f t="array" ref="T266">MIN(IF((DiscreteStatsTable[GroupByKey]=DiscreteStatsTable[[#This Row],[GroupByKey]]),(DiscreteStatsTable[GroupByKey]=DiscreteStatsTable[[#This Row],[GroupByKey]])*DiscreteStatsTable[Minimum]))</f>
        <v>0</v>
      </c>
      <c r="U266" s="5" cm="1">
        <f t="array" ref="U266">MAX(IF((DiscreteStatsTable[GroupByKey]=DiscreteStatsTable[[#This Row],[GroupByKey]]),(DiscreteStatsTable[GroupByKey]=DiscreteStatsTable[[#This Row],[GroupByKey]])*DiscreteStatsTable[Maximum]))</f>
        <v>0</v>
      </c>
      <c r="V266" s="5" cm="1">
        <f t="array" ref="V266">IFERROR(AVERAGE(IF((DiscreteStatsTable[GroupByKey]=DiscreteStatsTable[[#This Row],[GroupByKey]]),(DiscreteStatsTable[GroupByKey]=DiscreteStatsTable[[#This Row],[GroupByKey]])*DiscreteStatsTable[NumberObservations])),0)</f>
        <v>16.157894736842106</v>
      </c>
      <c r="W266" s="5">
        <f>IF((DiscreteStatsTable[[#This Row],[RepsRequested]]&gt;1),DiscreteStatsTable[[#This Row],[HalfWidth]],DiscreteStatsTable[[#This Row],[BatchMeansHalfWidth]])</f>
        <v>0</v>
      </c>
      <c r="X266" s="5" cm="1">
        <f t="array" ref="X266">COUNT(IF((DiscreteStatsTable[GroupByKey]=DiscreteStatsTable[[#This Row],[GroupByKey]]),(DiscreteStatsTable[GroupByKey]=DiscreteStatsTable[[#This Row],[GroupByKey]])*DiscreteStatsTable[Replication]))</f>
        <v>19</v>
      </c>
      <c r="Y266" s="5">
        <f>IF(DiscreteStatsTable[[#This Row],[RepsRequested]]=DiscreteStatsTable[[#This Row],[RepsWithStatObserved]],1,0)</f>
        <v>1</v>
      </c>
    </row>
    <row r="267" spans="1:25" x14ac:dyDescent="0.25">
      <c r="A267" t="s">
        <v>67</v>
      </c>
      <c r="B267" t="s">
        <v>69</v>
      </c>
      <c r="C267">
        <v>19</v>
      </c>
      <c r="D267" t="s">
        <v>89</v>
      </c>
      <c r="E267" t="s">
        <v>90</v>
      </c>
      <c r="F267" t="s">
        <v>91</v>
      </c>
      <c r="G267">
        <v>0</v>
      </c>
      <c r="H267">
        <v>2E+20</v>
      </c>
      <c r="I267">
        <v>0</v>
      </c>
      <c r="J267">
        <v>0</v>
      </c>
      <c r="K267">
        <v>17</v>
      </c>
      <c r="L26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compartida)Comer en Mesa.QueueWaiting TimeQueue</v>
      </c>
      <c r="M267" s="5" cm="1">
        <f t="array" ref="M267">MAX(IF((ProjectInfoTable[ProjectName]=DiscreteStatsTable[[#This Row],[ProjectName]]),(ProjectInfoTable[ProjectName]=DiscreteStatsTable[[#This Row],[ProjectName]])*ProjectInfoTable[NumberOfReplications]))</f>
        <v>19</v>
      </c>
      <c r="N267" s="5" cm="1">
        <f t="array" ref="N267">IFERROR(AVERAGE(IF((DiscreteStatsTable[GroupByKey]=DiscreteStatsTable[[#This Row],[GroupByKey]]),(DiscreteStatsTable[GroupByKey]=DiscreteStatsTable[[#This Row],[GroupByKey]])*DiscreteStatsTable[Average])),0)</f>
        <v>0</v>
      </c>
      <c r="O267" s="5" cm="1">
        <f t="array" ref="O267">IFERROR(_xlfn.STDEV.S(IF((DiscreteStatsTable[GroupByKey]=DiscreteStatsTable[[#This Row],[GroupByKey]]),(DiscreteStatsTable[GroupByKey]=DiscreteStatsTable[[#This Row],[GroupByKey]])*DiscreteStatsTable[Average])),0)</f>
        <v>0</v>
      </c>
      <c r="P267" s="5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7" s="5" cm="1">
        <f t="array" ref="R267">MIN(IF((DiscreteStatsTable[GroupByKey]=DiscreteStatsTable[[#This Row],[GroupByKey]]),(DiscreteStatsTable[GroupByKey]=DiscreteStatsTable[[#This Row],[GroupByKey]])*DiscreteStatsTable[Average]))</f>
        <v>0</v>
      </c>
      <c r="S267" s="5" cm="1">
        <f t="array" ref="S267">MAX(IF((DiscreteStatsTable[GroupByKey]=DiscreteStatsTable[[#This Row],[GroupByKey]]),(DiscreteStatsTable[GroupByKey]=DiscreteStatsTable[[#This Row],[GroupByKey]])*DiscreteStatsTable[Average]))</f>
        <v>0</v>
      </c>
      <c r="T267" s="5" cm="1">
        <f t="array" ref="T267">MIN(IF((DiscreteStatsTable[GroupByKey]=DiscreteStatsTable[[#This Row],[GroupByKey]]),(DiscreteStatsTable[GroupByKey]=DiscreteStatsTable[[#This Row],[GroupByKey]])*DiscreteStatsTable[Minimum]))</f>
        <v>0</v>
      </c>
      <c r="U267" s="5" cm="1">
        <f t="array" ref="U267">MAX(IF((DiscreteStatsTable[GroupByKey]=DiscreteStatsTable[[#This Row],[GroupByKey]]),(DiscreteStatsTable[GroupByKey]=DiscreteStatsTable[[#This Row],[GroupByKey]])*DiscreteStatsTable[Maximum]))</f>
        <v>0</v>
      </c>
      <c r="V267" s="5" cm="1">
        <f t="array" ref="V267">IFERROR(AVERAGE(IF((DiscreteStatsTable[GroupByKey]=DiscreteStatsTable[[#This Row],[GroupByKey]]),(DiscreteStatsTable[GroupByKey]=DiscreteStatsTable[[#This Row],[GroupByKey]])*DiscreteStatsTable[NumberObservations])),0)</f>
        <v>16.157894736842106</v>
      </c>
      <c r="W267" s="5">
        <f>IF((DiscreteStatsTable[[#This Row],[RepsRequested]]&gt;1),DiscreteStatsTable[[#This Row],[HalfWidth]],DiscreteStatsTable[[#This Row],[BatchMeansHalfWidth]])</f>
        <v>0</v>
      </c>
      <c r="X267" s="5" cm="1">
        <f t="array" ref="X267">COUNT(IF((DiscreteStatsTable[GroupByKey]=DiscreteStatsTable[[#This Row],[GroupByKey]]),(DiscreteStatsTable[GroupByKey]=DiscreteStatsTable[[#This Row],[GroupByKey]])*DiscreteStatsTable[Replication]))</f>
        <v>19</v>
      </c>
      <c r="Y267" s="5">
        <f>IF(DiscreteStatsTable[[#This Row],[RepsRequested]]=DiscreteStatsTable[[#This Row],[RepsWithStatObserved]],1,0)</f>
        <v>1</v>
      </c>
    </row>
    <row r="268" spans="1:25" x14ac:dyDescent="0.25">
      <c r="A268" t="s">
        <v>67</v>
      </c>
      <c r="B268" t="s">
        <v>69</v>
      </c>
      <c r="C268">
        <v>1</v>
      </c>
      <c r="D268" t="s">
        <v>92</v>
      </c>
      <c r="E268" t="s">
        <v>90</v>
      </c>
      <c r="F268" t="s">
        <v>91</v>
      </c>
      <c r="G268">
        <v>2.4089144698203002</v>
      </c>
      <c r="H268">
        <v>2E+20</v>
      </c>
      <c r="I268">
        <v>0</v>
      </c>
      <c r="J268">
        <v>23.2129094911439</v>
      </c>
      <c r="K268">
        <v>300</v>
      </c>
      <c r="L26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compartida)Entrega pedido.QueueWaiting TimeQueue</v>
      </c>
      <c r="M268" s="5" cm="1">
        <f t="array" ref="M268">MAX(IF((ProjectInfoTable[ProjectName]=DiscreteStatsTable[[#This Row],[ProjectName]]),(ProjectInfoTable[ProjectName]=DiscreteStatsTable[[#This Row],[ProjectName]])*ProjectInfoTable[NumberOfReplications]))</f>
        <v>19</v>
      </c>
      <c r="N268" s="5" cm="1">
        <f t="array" ref="N268">IFERROR(AVERAGE(IF((DiscreteStatsTable[GroupByKey]=DiscreteStatsTable[[#This Row],[GroupByKey]]),(DiscreteStatsTable[GroupByKey]=DiscreteStatsTable[[#This Row],[GroupByKey]])*DiscreteStatsTable[Average])),0)</f>
        <v>1.0553731068142862</v>
      </c>
      <c r="O268" s="5" cm="1">
        <f t="array" ref="O268">IFERROR(_xlfn.STDEV.S(IF((DiscreteStatsTable[GroupByKey]=DiscreteStatsTable[[#This Row],[GroupByKey]]),(DiscreteStatsTable[GroupByKey]=DiscreteStatsTable[[#This Row],[GroupByKey]])*DiscreteStatsTable[Average])),0)</f>
        <v>0.39155855051719024</v>
      </c>
      <c r="P268" s="5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268" s="5" cm="1">
        <f t="array" ref="R268">MIN(IF((DiscreteStatsTable[GroupByKey]=DiscreteStatsTable[[#This Row],[GroupByKey]]),(DiscreteStatsTable[GroupByKey]=DiscreteStatsTable[[#This Row],[GroupByKey]])*DiscreteStatsTable[Average]))</f>
        <v>0.71661232804193897</v>
      </c>
      <c r="S268" s="5" cm="1">
        <f t="array" ref="S268">MAX(IF((DiscreteStatsTable[GroupByKey]=DiscreteStatsTable[[#This Row],[GroupByKey]]),(DiscreteStatsTable[GroupByKey]=DiscreteStatsTable[[#This Row],[GroupByKey]])*DiscreteStatsTable[Average]))</f>
        <v>2.4089144698203002</v>
      </c>
      <c r="T268" s="5" cm="1">
        <f t="array" ref="T268">MIN(IF((DiscreteStatsTable[GroupByKey]=DiscreteStatsTable[[#This Row],[GroupByKey]]),(DiscreteStatsTable[GroupByKey]=DiscreteStatsTable[[#This Row],[GroupByKey]])*DiscreteStatsTable[Minimum]))</f>
        <v>0</v>
      </c>
      <c r="U268" s="5" cm="1">
        <f t="array" ref="U268">MAX(IF((DiscreteStatsTable[GroupByKey]=DiscreteStatsTable[[#This Row],[GroupByKey]]),(DiscreteStatsTable[GroupByKey]=DiscreteStatsTable[[#This Row],[GroupByKey]])*DiscreteStatsTable[Maximum]))</f>
        <v>23.2129094911439</v>
      </c>
      <c r="V268" s="5" cm="1">
        <f t="array" ref="V268">IFERROR(AVERAGE(IF((DiscreteStatsTable[GroupByKey]=DiscreteStatsTable[[#This Row],[GroupByKey]]),(DiscreteStatsTable[GroupByKey]=DiscreteStatsTable[[#This Row],[GroupByKey]])*DiscreteStatsTable[NumberObservations])),0)</f>
        <v>244.63157894736841</v>
      </c>
      <c r="W268" s="5">
        <f>IF((DiscreteStatsTable[[#This Row],[RepsRequested]]&gt;1),DiscreteStatsTable[[#This Row],[HalfWidth]],DiscreteStatsTable[[#This Row],[BatchMeansHalfWidth]])</f>
        <v>0.18872518025347579</v>
      </c>
      <c r="X268" s="5" cm="1">
        <f t="array" ref="X268">COUNT(IF((DiscreteStatsTable[GroupByKey]=DiscreteStatsTable[[#This Row],[GroupByKey]]),(DiscreteStatsTable[GroupByKey]=DiscreteStatsTable[[#This Row],[GroupByKey]])*DiscreteStatsTable[Replication]))</f>
        <v>19</v>
      </c>
      <c r="Y268" s="5">
        <f>IF(DiscreteStatsTable[[#This Row],[RepsRequested]]=DiscreteStatsTable[[#This Row],[RepsWithStatObserved]],1,0)</f>
        <v>1</v>
      </c>
    </row>
    <row r="269" spans="1:25" x14ac:dyDescent="0.25">
      <c r="A269" t="s">
        <v>67</v>
      </c>
      <c r="B269" t="s">
        <v>69</v>
      </c>
      <c r="C269">
        <v>2</v>
      </c>
      <c r="D269" t="s">
        <v>92</v>
      </c>
      <c r="E269" t="s">
        <v>90</v>
      </c>
      <c r="F269" t="s">
        <v>91</v>
      </c>
      <c r="G269">
        <v>0.92510917530521797</v>
      </c>
      <c r="H269">
        <v>2E+20</v>
      </c>
      <c r="I269">
        <v>0</v>
      </c>
      <c r="J269">
        <v>6.4873195122957599</v>
      </c>
      <c r="K269">
        <v>222</v>
      </c>
      <c r="L26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compartida)Entrega pedido.QueueWaiting TimeQueue</v>
      </c>
      <c r="M269" s="5" cm="1">
        <f t="array" ref="M269">MAX(IF((ProjectInfoTable[ProjectName]=DiscreteStatsTable[[#This Row],[ProjectName]]),(ProjectInfoTable[ProjectName]=DiscreteStatsTable[[#This Row],[ProjectName]])*ProjectInfoTable[NumberOfReplications]))</f>
        <v>19</v>
      </c>
      <c r="N269" s="5" cm="1">
        <f t="array" ref="N269">IFERROR(AVERAGE(IF((DiscreteStatsTable[GroupByKey]=DiscreteStatsTable[[#This Row],[GroupByKey]]),(DiscreteStatsTable[GroupByKey]=DiscreteStatsTable[[#This Row],[GroupByKey]])*DiscreteStatsTable[Average])),0)</f>
        <v>1.0553731068142862</v>
      </c>
      <c r="O269" s="5" cm="1">
        <f t="array" ref="O269">IFERROR(_xlfn.STDEV.S(IF((DiscreteStatsTable[GroupByKey]=DiscreteStatsTable[[#This Row],[GroupByKey]]),(DiscreteStatsTable[GroupByKey]=DiscreteStatsTable[[#This Row],[GroupByKey]])*DiscreteStatsTable[Average])),0)</f>
        <v>0.39155855051719024</v>
      </c>
      <c r="P269" s="5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269" s="5" cm="1">
        <f t="array" ref="R269">MIN(IF((DiscreteStatsTable[GroupByKey]=DiscreteStatsTable[[#This Row],[GroupByKey]]),(DiscreteStatsTable[GroupByKey]=DiscreteStatsTable[[#This Row],[GroupByKey]])*DiscreteStatsTable[Average]))</f>
        <v>0.71661232804193897</v>
      </c>
      <c r="S269" s="5" cm="1">
        <f t="array" ref="S269">MAX(IF((DiscreteStatsTable[GroupByKey]=DiscreteStatsTable[[#This Row],[GroupByKey]]),(DiscreteStatsTable[GroupByKey]=DiscreteStatsTable[[#This Row],[GroupByKey]])*DiscreteStatsTable[Average]))</f>
        <v>2.4089144698203002</v>
      </c>
      <c r="T269" s="5" cm="1">
        <f t="array" ref="T269">MIN(IF((DiscreteStatsTable[GroupByKey]=DiscreteStatsTable[[#This Row],[GroupByKey]]),(DiscreteStatsTable[GroupByKey]=DiscreteStatsTable[[#This Row],[GroupByKey]])*DiscreteStatsTable[Minimum]))</f>
        <v>0</v>
      </c>
      <c r="U269" s="5" cm="1">
        <f t="array" ref="U269">MAX(IF((DiscreteStatsTable[GroupByKey]=DiscreteStatsTable[[#This Row],[GroupByKey]]),(DiscreteStatsTable[GroupByKey]=DiscreteStatsTable[[#This Row],[GroupByKey]])*DiscreteStatsTable[Maximum]))</f>
        <v>23.2129094911439</v>
      </c>
      <c r="V269" s="5" cm="1">
        <f t="array" ref="V269">IFERROR(AVERAGE(IF((DiscreteStatsTable[GroupByKey]=DiscreteStatsTable[[#This Row],[GroupByKey]]),(DiscreteStatsTable[GroupByKey]=DiscreteStatsTable[[#This Row],[GroupByKey]])*DiscreteStatsTable[NumberObservations])),0)</f>
        <v>244.63157894736841</v>
      </c>
      <c r="W269" s="5">
        <f>IF((DiscreteStatsTable[[#This Row],[RepsRequested]]&gt;1),DiscreteStatsTable[[#This Row],[HalfWidth]],DiscreteStatsTable[[#This Row],[BatchMeansHalfWidth]])</f>
        <v>0.18872518025347579</v>
      </c>
      <c r="X269" s="5" cm="1">
        <f t="array" ref="X269">COUNT(IF((DiscreteStatsTable[GroupByKey]=DiscreteStatsTable[[#This Row],[GroupByKey]]),(DiscreteStatsTable[GroupByKey]=DiscreteStatsTable[[#This Row],[GroupByKey]])*DiscreteStatsTable[Replication]))</f>
        <v>19</v>
      </c>
      <c r="Y269" s="5">
        <f>IF(DiscreteStatsTable[[#This Row],[RepsRequested]]=DiscreteStatsTable[[#This Row],[RepsWithStatObserved]],1,0)</f>
        <v>1</v>
      </c>
    </row>
    <row r="270" spans="1:25" x14ac:dyDescent="0.25">
      <c r="A270" t="s">
        <v>67</v>
      </c>
      <c r="B270" t="s">
        <v>69</v>
      </c>
      <c r="C270">
        <v>3</v>
      </c>
      <c r="D270" t="s">
        <v>92</v>
      </c>
      <c r="E270" t="s">
        <v>90</v>
      </c>
      <c r="F270" t="s">
        <v>91</v>
      </c>
      <c r="G270">
        <v>1.5814880643873701</v>
      </c>
      <c r="H270">
        <v>2E+20</v>
      </c>
      <c r="I270">
        <v>0</v>
      </c>
      <c r="J270">
        <v>11.2208501331306</v>
      </c>
      <c r="K270">
        <v>228</v>
      </c>
      <c r="L27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compartida)Entrega pedido.QueueWaiting TimeQueue</v>
      </c>
      <c r="M270" s="5" cm="1">
        <f t="array" ref="M270">MAX(IF((ProjectInfoTable[ProjectName]=DiscreteStatsTable[[#This Row],[ProjectName]]),(ProjectInfoTable[ProjectName]=DiscreteStatsTable[[#This Row],[ProjectName]])*ProjectInfoTable[NumberOfReplications]))</f>
        <v>19</v>
      </c>
      <c r="N270" s="5" cm="1">
        <f t="array" ref="N270">IFERROR(AVERAGE(IF((DiscreteStatsTable[GroupByKey]=DiscreteStatsTable[[#This Row],[GroupByKey]]),(DiscreteStatsTable[GroupByKey]=DiscreteStatsTable[[#This Row],[GroupByKey]])*DiscreteStatsTable[Average])),0)</f>
        <v>1.0553731068142862</v>
      </c>
      <c r="O270" s="5" cm="1">
        <f t="array" ref="O270">IFERROR(_xlfn.STDEV.S(IF((DiscreteStatsTable[GroupByKey]=DiscreteStatsTable[[#This Row],[GroupByKey]]),(DiscreteStatsTable[GroupByKey]=DiscreteStatsTable[[#This Row],[GroupByKey]])*DiscreteStatsTable[Average])),0)</f>
        <v>0.39155855051719024</v>
      </c>
      <c r="P270" s="5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270" s="5" cm="1">
        <f t="array" ref="R270">MIN(IF((DiscreteStatsTable[GroupByKey]=DiscreteStatsTable[[#This Row],[GroupByKey]]),(DiscreteStatsTable[GroupByKey]=DiscreteStatsTable[[#This Row],[GroupByKey]])*DiscreteStatsTable[Average]))</f>
        <v>0.71661232804193897</v>
      </c>
      <c r="S270" s="5" cm="1">
        <f t="array" ref="S270">MAX(IF((DiscreteStatsTable[GroupByKey]=DiscreteStatsTable[[#This Row],[GroupByKey]]),(DiscreteStatsTable[GroupByKey]=DiscreteStatsTable[[#This Row],[GroupByKey]])*DiscreteStatsTable[Average]))</f>
        <v>2.4089144698203002</v>
      </c>
      <c r="T270" s="5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s="5" cm="1">
        <f t="array" ref="U270">MAX(IF((DiscreteStatsTable[GroupByKey]=DiscreteStatsTable[[#This Row],[GroupByKey]]),(DiscreteStatsTable[GroupByKey]=DiscreteStatsTable[[#This Row],[GroupByKey]])*DiscreteStatsTable[Maximum]))</f>
        <v>23.2129094911439</v>
      </c>
      <c r="V270" s="5" cm="1">
        <f t="array" ref="V270">IFERROR(AVERAGE(IF((DiscreteStatsTable[GroupByKey]=DiscreteStatsTable[[#This Row],[GroupByKey]]),(DiscreteStatsTable[GroupByKey]=DiscreteStatsTable[[#This Row],[GroupByKey]])*DiscreteStatsTable[NumberObservations])),0)</f>
        <v>244.63157894736841</v>
      </c>
      <c r="W270" s="5">
        <f>IF((DiscreteStatsTable[[#This Row],[RepsRequested]]&gt;1),DiscreteStatsTable[[#This Row],[HalfWidth]],DiscreteStatsTable[[#This Row],[BatchMeansHalfWidth]])</f>
        <v>0.18872518025347579</v>
      </c>
      <c r="X270" s="5" cm="1">
        <f t="array" ref="X270">COUNT(IF((DiscreteStatsTable[GroupByKey]=DiscreteStatsTable[[#This Row],[GroupByKey]]),(DiscreteStatsTable[GroupByKey]=DiscreteStatsTable[[#This Row],[GroupByKey]])*DiscreteStatsTable[Replication]))</f>
        <v>19</v>
      </c>
      <c r="Y270" s="5">
        <f>IF(DiscreteStatsTable[[#This Row],[RepsRequested]]=DiscreteStatsTable[[#This Row],[RepsWithStatObserved]],1,0)</f>
        <v>1</v>
      </c>
    </row>
    <row r="271" spans="1:25" x14ac:dyDescent="0.25">
      <c r="A271" t="s">
        <v>67</v>
      </c>
      <c r="B271" t="s">
        <v>69</v>
      </c>
      <c r="C271">
        <v>4</v>
      </c>
      <c r="D271" t="s">
        <v>92</v>
      </c>
      <c r="E271" t="s">
        <v>90</v>
      </c>
      <c r="F271" t="s">
        <v>91</v>
      </c>
      <c r="G271">
        <v>0.854340954059847</v>
      </c>
      <c r="H271">
        <v>2E+20</v>
      </c>
      <c r="I271">
        <v>0</v>
      </c>
      <c r="J271">
        <v>6.83408458739558</v>
      </c>
      <c r="K271">
        <v>234</v>
      </c>
      <c r="L27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compartida)Entrega pedido.QueueWaiting TimeQueue</v>
      </c>
      <c r="M271" s="5" cm="1">
        <f t="array" ref="M271">MAX(IF((ProjectInfoTable[ProjectName]=DiscreteStatsTable[[#This Row],[ProjectName]]),(ProjectInfoTable[ProjectName]=DiscreteStatsTable[[#This Row],[ProjectName]])*ProjectInfoTable[NumberOfReplications]))</f>
        <v>19</v>
      </c>
      <c r="N271" s="5" cm="1">
        <f t="array" ref="N271">IFERROR(AVERAGE(IF((DiscreteStatsTable[GroupByKey]=DiscreteStatsTable[[#This Row],[GroupByKey]]),(DiscreteStatsTable[GroupByKey]=DiscreteStatsTable[[#This Row],[GroupByKey]])*DiscreteStatsTable[Average])),0)</f>
        <v>1.0553731068142862</v>
      </c>
      <c r="O271" s="5" cm="1">
        <f t="array" ref="O271">IFERROR(_xlfn.STDEV.S(IF((DiscreteStatsTable[GroupByKey]=DiscreteStatsTable[[#This Row],[GroupByKey]]),(DiscreteStatsTable[GroupByKey]=DiscreteStatsTable[[#This Row],[GroupByKey]])*DiscreteStatsTable[Average])),0)</f>
        <v>0.39155855051719024</v>
      </c>
      <c r="P271" s="5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271" s="5" cm="1">
        <f t="array" ref="R271">MIN(IF((DiscreteStatsTable[GroupByKey]=DiscreteStatsTable[[#This Row],[GroupByKey]]),(DiscreteStatsTable[GroupByKey]=DiscreteStatsTable[[#This Row],[GroupByKey]])*DiscreteStatsTable[Average]))</f>
        <v>0.71661232804193897</v>
      </c>
      <c r="S271" s="5" cm="1">
        <f t="array" ref="S271">MAX(IF((DiscreteStatsTable[GroupByKey]=DiscreteStatsTable[[#This Row],[GroupByKey]]),(DiscreteStatsTable[GroupByKey]=DiscreteStatsTable[[#This Row],[GroupByKey]])*DiscreteStatsTable[Average]))</f>
        <v>2.4089144698203002</v>
      </c>
      <c r="T271" s="5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s="5" cm="1">
        <f t="array" ref="U271">MAX(IF((DiscreteStatsTable[GroupByKey]=DiscreteStatsTable[[#This Row],[GroupByKey]]),(DiscreteStatsTable[GroupByKey]=DiscreteStatsTable[[#This Row],[GroupByKey]])*DiscreteStatsTable[Maximum]))</f>
        <v>23.2129094911439</v>
      </c>
      <c r="V271" s="5" cm="1">
        <f t="array" ref="V271">IFERROR(AVERAGE(IF((DiscreteStatsTable[GroupByKey]=DiscreteStatsTable[[#This Row],[GroupByKey]]),(DiscreteStatsTable[GroupByKey]=DiscreteStatsTable[[#This Row],[GroupByKey]])*DiscreteStatsTable[NumberObservations])),0)</f>
        <v>244.63157894736841</v>
      </c>
      <c r="W271" s="5">
        <f>IF((DiscreteStatsTable[[#This Row],[RepsRequested]]&gt;1),DiscreteStatsTable[[#This Row],[HalfWidth]],DiscreteStatsTable[[#This Row],[BatchMeansHalfWidth]])</f>
        <v>0.18872518025347579</v>
      </c>
      <c r="X271" s="5" cm="1">
        <f t="array" ref="X271">COUNT(IF((DiscreteStatsTable[GroupByKey]=DiscreteStatsTable[[#This Row],[GroupByKey]]),(DiscreteStatsTable[GroupByKey]=DiscreteStatsTable[[#This Row],[GroupByKey]])*DiscreteStatsTable[Replication]))</f>
        <v>19</v>
      </c>
      <c r="Y271" s="5">
        <f>IF(DiscreteStatsTable[[#This Row],[RepsRequested]]=DiscreteStatsTable[[#This Row],[RepsWithStatObserved]],1,0)</f>
        <v>1</v>
      </c>
    </row>
    <row r="272" spans="1:25" x14ac:dyDescent="0.25">
      <c r="A272" t="s">
        <v>67</v>
      </c>
      <c r="B272" t="s">
        <v>69</v>
      </c>
      <c r="C272">
        <v>5</v>
      </c>
      <c r="D272" t="s">
        <v>92</v>
      </c>
      <c r="E272" t="s">
        <v>90</v>
      </c>
      <c r="F272" t="s">
        <v>91</v>
      </c>
      <c r="G272">
        <v>0.73358419600607105</v>
      </c>
      <c r="H272">
        <v>2E+20</v>
      </c>
      <c r="I272">
        <v>0</v>
      </c>
      <c r="J272">
        <v>6.2443503324042</v>
      </c>
      <c r="K272">
        <v>262</v>
      </c>
      <c r="L27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compartida)Entrega pedido.QueueWaiting TimeQueue</v>
      </c>
      <c r="M272" s="5" cm="1">
        <f t="array" ref="M272">MAX(IF((ProjectInfoTable[ProjectName]=DiscreteStatsTable[[#This Row],[ProjectName]]),(ProjectInfoTable[ProjectName]=DiscreteStatsTable[[#This Row],[ProjectName]])*ProjectInfoTable[NumberOfReplications]))</f>
        <v>19</v>
      </c>
      <c r="N272" s="5" cm="1">
        <f t="array" ref="N272">IFERROR(AVERAGE(IF((DiscreteStatsTable[GroupByKey]=DiscreteStatsTable[[#This Row],[GroupByKey]]),(DiscreteStatsTable[GroupByKey]=DiscreteStatsTable[[#This Row],[GroupByKey]])*DiscreteStatsTable[Average])),0)</f>
        <v>1.0553731068142862</v>
      </c>
      <c r="O272" s="5" cm="1">
        <f t="array" ref="O272">IFERROR(_xlfn.STDEV.S(IF((DiscreteStatsTable[GroupByKey]=DiscreteStatsTable[[#This Row],[GroupByKey]]),(DiscreteStatsTable[GroupByKey]=DiscreteStatsTable[[#This Row],[GroupByKey]])*DiscreteStatsTable[Average])),0)</f>
        <v>0.39155855051719024</v>
      </c>
      <c r="P272" s="5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272" s="5" cm="1">
        <f t="array" ref="R272">MIN(IF((DiscreteStatsTable[GroupByKey]=DiscreteStatsTable[[#This Row],[GroupByKey]]),(DiscreteStatsTable[GroupByKey]=DiscreteStatsTable[[#This Row],[GroupByKey]])*DiscreteStatsTable[Average]))</f>
        <v>0.71661232804193897</v>
      </c>
      <c r="S272" s="5" cm="1">
        <f t="array" ref="S272">MAX(IF((DiscreteStatsTable[GroupByKey]=DiscreteStatsTable[[#This Row],[GroupByKey]]),(DiscreteStatsTable[GroupByKey]=DiscreteStatsTable[[#This Row],[GroupByKey]])*DiscreteStatsTable[Average]))</f>
        <v>2.4089144698203002</v>
      </c>
      <c r="T272" s="5" cm="1">
        <f t="array" ref="T272">MIN(IF((DiscreteStatsTable[GroupByKey]=DiscreteStatsTable[[#This Row],[GroupByKey]]),(DiscreteStatsTable[GroupByKey]=DiscreteStatsTable[[#This Row],[GroupByKey]])*DiscreteStatsTable[Minimum]))</f>
        <v>0</v>
      </c>
      <c r="U272" s="5" cm="1">
        <f t="array" ref="U272">MAX(IF((DiscreteStatsTable[GroupByKey]=DiscreteStatsTable[[#This Row],[GroupByKey]]),(DiscreteStatsTable[GroupByKey]=DiscreteStatsTable[[#This Row],[GroupByKey]])*DiscreteStatsTable[Maximum]))</f>
        <v>23.2129094911439</v>
      </c>
      <c r="V272" s="5" cm="1">
        <f t="array" ref="V272">IFERROR(AVERAGE(IF((DiscreteStatsTable[GroupByKey]=DiscreteStatsTable[[#This Row],[GroupByKey]]),(DiscreteStatsTable[GroupByKey]=DiscreteStatsTable[[#This Row],[GroupByKey]])*DiscreteStatsTable[NumberObservations])),0)</f>
        <v>244.63157894736841</v>
      </c>
      <c r="W272" s="5">
        <f>IF((DiscreteStatsTable[[#This Row],[RepsRequested]]&gt;1),DiscreteStatsTable[[#This Row],[HalfWidth]],DiscreteStatsTable[[#This Row],[BatchMeansHalfWidth]])</f>
        <v>0.18872518025347579</v>
      </c>
      <c r="X272" s="5" cm="1">
        <f t="array" ref="X272">COUNT(IF((DiscreteStatsTable[GroupByKey]=DiscreteStatsTable[[#This Row],[GroupByKey]]),(DiscreteStatsTable[GroupByKey]=DiscreteStatsTable[[#This Row],[GroupByKey]])*DiscreteStatsTable[Replication]))</f>
        <v>19</v>
      </c>
      <c r="Y272" s="5">
        <f>IF(DiscreteStatsTable[[#This Row],[RepsRequested]]=DiscreteStatsTable[[#This Row],[RepsWithStatObserved]],1,0)</f>
        <v>1</v>
      </c>
    </row>
    <row r="273" spans="1:25" x14ac:dyDescent="0.25">
      <c r="A273" t="s">
        <v>67</v>
      </c>
      <c r="B273" t="s">
        <v>69</v>
      </c>
      <c r="C273">
        <v>6</v>
      </c>
      <c r="D273" t="s">
        <v>92</v>
      </c>
      <c r="E273" t="s">
        <v>90</v>
      </c>
      <c r="F273" t="s">
        <v>91</v>
      </c>
      <c r="G273">
        <v>0.73077425352352998</v>
      </c>
      <c r="H273">
        <v>2E+20</v>
      </c>
      <c r="I273">
        <v>0</v>
      </c>
      <c r="J273">
        <v>6.5976064291158396</v>
      </c>
      <c r="K273">
        <v>230</v>
      </c>
      <c r="L27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compartida)Entrega pedido.QueueWaiting TimeQueue</v>
      </c>
      <c r="M273" s="5" cm="1">
        <f t="array" ref="M273">MAX(IF((ProjectInfoTable[ProjectName]=DiscreteStatsTable[[#This Row],[ProjectName]]),(ProjectInfoTable[ProjectName]=DiscreteStatsTable[[#This Row],[ProjectName]])*ProjectInfoTable[NumberOfReplications]))</f>
        <v>19</v>
      </c>
      <c r="N273" s="5" cm="1">
        <f t="array" ref="N273">IFERROR(AVERAGE(IF((DiscreteStatsTable[GroupByKey]=DiscreteStatsTable[[#This Row],[GroupByKey]]),(DiscreteStatsTable[GroupByKey]=DiscreteStatsTable[[#This Row],[GroupByKey]])*DiscreteStatsTable[Average])),0)</f>
        <v>1.0553731068142862</v>
      </c>
      <c r="O273" s="5" cm="1">
        <f t="array" ref="O273">IFERROR(_xlfn.STDEV.S(IF((DiscreteStatsTable[GroupByKey]=DiscreteStatsTable[[#This Row],[GroupByKey]]),(DiscreteStatsTable[GroupByKey]=DiscreteStatsTable[[#This Row],[GroupByKey]])*DiscreteStatsTable[Average])),0)</f>
        <v>0.39155855051719024</v>
      </c>
      <c r="P273" s="5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273" s="5" cm="1">
        <f t="array" ref="R273">MIN(IF((DiscreteStatsTable[GroupByKey]=DiscreteStatsTable[[#This Row],[GroupByKey]]),(DiscreteStatsTable[GroupByKey]=DiscreteStatsTable[[#This Row],[GroupByKey]])*DiscreteStatsTable[Average]))</f>
        <v>0.71661232804193897</v>
      </c>
      <c r="S273" s="5" cm="1">
        <f t="array" ref="S273">MAX(IF((DiscreteStatsTable[GroupByKey]=DiscreteStatsTable[[#This Row],[GroupByKey]]),(DiscreteStatsTable[GroupByKey]=DiscreteStatsTable[[#This Row],[GroupByKey]])*DiscreteStatsTable[Average]))</f>
        <v>2.4089144698203002</v>
      </c>
      <c r="T273" s="5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s="5" cm="1">
        <f t="array" ref="U273">MAX(IF((DiscreteStatsTable[GroupByKey]=DiscreteStatsTable[[#This Row],[GroupByKey]]),(DiscreteStatsTable[GroupByKey]=DiscreteStatsTable[[#This Row],[GroupByKey]])*DiscreteStatsTable[Maximum]))</f>
        <v>23.2129094911439</v>
      </c>
      <c r="V273" s="5" cm="1">
        <f t="array" ref="V273">IFERROR(AVERAGE(IF((DiscreteStatsTable[GroupByKey]=DiscreteStatsTable[[#This Row],[GroupByKey]]),(DiscreteStatsTable[GroupByKey]=DiscreteStatsTable[[#This Row],[GroupByKey]])*DiscreteStatsTable[NumberObservations])),0)</f>
        <v>244.63157894736841</v>
      </c>
      <c r="W273" s="5">
        <f>IF((DiscreteStatsTable[[#This Row],[RepsRequested]]&gt;1),DiscreteStatsTable[[#This Row],[HalfWidth]],DiscreteStatsTable[[#This Row],[BatchMeansHalfWidth]])</f>
        <v>0.18872518025347579</v>
      </c>
      <c r="X273" s="5" cm="1">
        <f t="array" ref="X273">COUNT(IF((DiscreteStatsTable[GroupByKey]=DiscreteStatsTable[[#This Row],[GroupByKey]]),(DiscreteStatsTable[GroupByKey]=DiscreteStatsTable[[#This Row],[GroupByKey]])*DiscreteStatsTable[Replication]))</f>
        <v>19</v>
      </c>
      <c r="Y273" s="5">
        <f>IF(DiscreteStatsTable[[#This Row],[RepsRequested]]=DiscreteStatsTable[[#This Row],[RepsWithStatObserved]],1,0)</f>
        <v>1</v>
      </c>
    </row>
    <row r="274" spans="1:25" x14ac:dyDescent="0.25">
      <c r="A274" t="s">
        <v>67</v>
      </c>
      <c r="B274" t="s">
        <v>69</v>
      </c>
      <c r="C274">
        <v>7</v>
      </c>
      <c r="D274" t="s">
        <v>92</v>
      </c>
      <c r="E274" t="s">
        <v>90</v>
      </c>
      <c r="F274" t="s">
        <v>91</v>
      </c>
      <c r="G274">
        <v>0.79965687926924001</v>
      </c>
      <c r="H274">
        <v>2E+20</v>
      </c>
      <c r="I274">
        <v>0</v>
      </c>
      <c r="J274">
        <v>6.2193780335653104</v>
      </c>
      <c r="K274">
        <v>228</v>
      </c>
      <c r="L27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compartida)Entrega pedido.QueueWaiting TimeQueue</v>
      </c>
      <c r="M274" s="5" cm="1">
        <f t="array" ref="M274">MAX(IF((ProjectInfoTable[ProjectName]=DiscreteStatsTable[[#This Row],[ProjectName]]),(ProjectInfoTable[ProjectName]=DiscreteStatsTable[[#This Row],[ProjectName]])*ProjectInfoTable[NumberOfReplications]))</f>
        <v>19</v>
      </c>
      <c r="N274" s="5" cm="1">
        <f t="array" ref="N274">IFERROR(AVERAGE(IF((DiscreteStatsTable[GroupByKey]=DiscreteStatsTable[[#This Row],[GroupByKey]]),(DiscreteStatsTable[GroupByKey]=DiscreteStatsTable[[#This Row],[GroupByKey]])*DiscreteStatsTable[Average])),0)</f>
        <v>1.0553731068142862</v>
      </c>
      <c r="O274" s="5" cm="1">
        <f t="array" ref="O274">IFERROR(_xlfn.STDEV.S(IF((DiscreteStatsTable[GroupByKey]=DiscreteStatsTable[[#This Row],[GroupByKey]]),(DiscreteStatsTable[GroupByKey]=DiscreteStatsTable[[#This Row],[GroupByKey]])*DiscreteStatsTable[Average])),0)</f>
        <v>0.39155855051719024</v>
      </c>
      <c r="P274" s="5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274" s="5" cm="1">
        <f t="array" ref="R274">MIN(IF((DiscreteStatsTable[GroupByKey]=DiscreteStatsTable[[#This Row],[GroupByKey]]),(DiscreteStatsTable[GroupByKey]=DiscreteStatsTable[[#This Row],[GroupByKey]])*DiscreteStatsTable[Average]))</f>
        <v>0.71661232804193897</v>
      </c>
      <c r="S274" s="5" cm="1">
        <f t="array" ref="S274">MAX(IF((DiscreteStatsTable[GroupByKey]=DiscreteStatsTable[[#This Row],[GroupByKey]]),(DiscreteStatsTable[GroupByKey]=DiscreteStatsTable[[#This Row],[GroupByKey]])*DiscreteStatsTable[Average]))</f>
        <v>2.4089144698203002</v>
      </c>
      <c r="T274" s="5" cm="1">
        <f t="array" ref="T274">MIN(IF((DiscreteStatsTable[GroupByKey]=DiscreteStatsTable[[#This Row],[GroupByKey]]),(DiscreteStatsTable[GroupByKey]=DiscreteStatsTable[[#This Row],[GroupByKey]])*DiscreteStatsTable[Minimum]))</f>
        <v>0</v>
      </c>
      <c r="U274" s="5" cm="1">
        <f t="array" ref="U274">MAX(IF((DiscreteStatsTable[GroupByKey]=DiscreteStatsTable[[#This Row],[GroupByKey]]),(DiscreteStatsTable[GroupByKey]=DiscreteStatsTable[[#This Row],[GroupByKey]])*DiscreteStatsTable[Maximum]))</f>
        <v>23.2129094911439</v>
      </c>
      <c r="V274" s="5" cm="1">
        <f t="array" ref="V274">IFERROR(AVERAGE(IF((DiscreteStatsTable[GroupByKey]=DiscreteStatsTable[[#This Row],[GroupByKey]]),(DiscreteStatsTable[GroupByKey]=DiscreteStatsTable[[#This Row],[GroupByKey]])*DiscreteStatsTable[NumberObservations])),0)</f>
        <v>244.63157894736841</v>
      </c>
      <c r="W274" s="5">
        <f>IF((DiscreteStatsTable[[#This Row],[RepsRequested]]&gt;1),DiscreteStatsTable[[#This Row],[HalfWidth]],DiscreteStatsTable[[#This Row],[BatchMeansHalfWidth]])</f>
        <v>0.18872518025347579</v>
      </c>
      <c r="X274" s="5" cm="1">
        <f t="array" ref="X274">COUNT(IF((DiscreteStatsTable[GroupByKey]=DiscreteStatsTable[[#This Row],[GroupByKey]]),(DiscreteStatsTable[GroupByKey]=DiscreteStatsTable[[#This Row],[GroupByKey]])*DiscreteStatsTable[Replication]))</f>
        <v>19</v>
      </c>
      <c r="Y274" s="5">
        <f>IF(DiscreteStatsTable[[#This Row],[RepsRequested]]=DiscreteStatsTable[[#This Row],[RepsWithStatObserved]],1,0)</f>
        <v>1</v>
      </c>
    </row>
    <row r="275" spans="1:25" x14ac:dyDescent="0.25">
      <c r="A275" t="s">
        <v>67</v>
      </c>
      <c r="B275" t="s">
        <v>69</v>
      </c>
      <c r="C275">
        <v>8</v>
      </c>
      <c r="D275" t="s">
        <v>92</v>
      </c>
      <c r="E275" t="s">
        <v>90</v>
      </c>
      <c r="F275" t="s">
        <v>91</v>
      </c>
      <c r="G275">
        <v>1.0589092224192</v>
      </c>
      <c r="H275">
        <v>2E+20</v>
      </c>
      <c r="I275">
        <v>0</v>
      </c>
      <c r="J275">
        <v>8.1450320600404797</v>
      </c>
      <c r="K275">
        <v>272</v>
      </c>
      <c r="L27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compartida)Entrega pedido.QueueWaiting TimeQueue</v>
      </c>
      <c r="M275" s="5" cm="1">
        <f t="array" ref="M275">MAX(IF((ProjectInfoTable[ProjectName]=DiscreteStatsTable[[#This Row],[ProjectName]]),(ProjectInfoTable[ProjectName]=DiscreteStatsTable[[#This Row],[ProjectName]])*ProjectInfoTable[NumberOfReplications]))</f>
        <v>19</v>
      </c>
      <c r="N275" s="5" cm="1">
        <f t="array" ref="N275">IFERROR(AVERAGE(IF((DiscreteStatsTable[GroupByKey]=DiscreteStatsTable[[#This Row],[GroupByKey]]),(DiscreteStatsTable[GroupByKey]=DiscreteStatsTable[[#This Row],[GroupByKey]])*DiscreteStatsTable[Average])),0)</f>
        <v>1.0553731068142862</v>
      </c>
      <c r="O275" s="5" cm="1">
        <f t="array" ref="O275">IFERROR(_xlfn.STDEV.S(IF((DiscreteStatsTable[GroupByKey]=DiscreteStatsTable[[#This Row],[GroupByKey]]),(DiscreteStatsTable[GroupByKey]=DiscreteStatsTable[[#This Row],[GroupByKey]])*DiscreteStatsTable[Average])),0)</f>
        <v>0.39155855051719024</v>
      </c>
      <c r="P275" s="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275" s="5" cm="1">
        <f t="array" ref="R275">MIN(IF((DiscreteStatsTable[GroupByKey]=DiscreteStatsTable[[#This Row],[GroupByKey]]),(DiscreteStatsTable[GroupByKey]=DiscreteStatsTable[[#This Row],[GroupByKey]])*DiscreteStatsTable[Average]))</f>
        <v>0.71661232804193897</v>
      </c>
      <c r="S275" s="5" cm="1">
        <f t="array" ref="S275">MAX(IF((DiscreteStatsTable[GroupByKey]=DiscreteStatsTable[[#This Row],[GroupByKey]]),(DiscreteStatsTable[GroupByKey]=DiscreteStatsTable[[#This Row],[GroupByKey]])*DiscreteStatsTable[Average]))</f>
        <v>2.4089144698203002</v>
      </c>
      <c r="T275" s="5" cm="1">
        <f t="array" ref="T275">MIN(IF((DiscreteStatsTable[GroupByKey]=DiscreteStatsTable[[#This Row],[GroupByKey]]),(DiscreteStatsTable[GroupByKey]=DiscreteStatsTable[[#This Row],[GroupByKey]])*DiscreteStatsTable[Minimum]))</f>
        <v>0</v>
      </c>
      <c r="U275" s="5" cm="1">
        <f t="array" ref="U275">MAX(IF((DiscreteStatsTable[GroupByKey]=DiscreteStatsTable[[#This Row],[GroupByKey]]),(DiscreteStatsTable[GroupByKey]=DiscreteStatsTable[[#This Row],[GroupByKey]])*DiscreteStatsTable[Maximum]))</f>
        <v>23.2129094911439</v>
      </c>
      <c r="V275" s="5" cm="1">
        <f t="array" ref="V275">IFERROR(AVERAGE(IF((DiscreteStatsTable[GroupByKey]=DiscreteStatsTable[[#This Row],[GroupByKey]]),(DiscreteStatsTable[GroupByKey]=DiscreteStatsTable[[#This Row],[GroupByKey]])*DiscreteStatsTable[NumberObservations])),0)</f>
        <v>244.63157894736841</v>
      </c>
      <c r="W275" s="5">
        <f>IF((DiscreteStatsTable[[#This Row],[RepsRequested]]&gt;1),DiscreteStatsTable[[#This Row],[HalfWidth]],DiscreteStatsTable[[#This Row],[BatchMeansHalfWidth]])</f>
        <v>0.18872518025347579</v>
      </c>
      <c r="X275" s="5" cm="1">
        <f t="array" ref="X275">COUNT(IF((DiscreteStatsTable[GroupByKey]=DiscreteStatsTable[[#This Row],[GroupByKey]]),(DiscreteStatsTable[GroupByKey]=DiscreteStatsTable[[#This Row],[GroupByKey]])*DiscreteStatsTable[Replication]))</f>
        <v>19</v>
      </c>
      <c r="Y275" s="5">
        <f>IF(DiscreteStatsTable[[#This Row],[RepsRequested]]=DiscreteStatsTable[[#This Row],[RepsWithStatObserved]],1,0)</f>
        <v>1</v>
      </c>
    </row>
    <row r="276" spans="1:25" x14ac:dyDescent="0.25">
      <c r="A276" t="s">
        <v>67</v>
      </c>
      <c r="B276" t="s">
        <v>69</v>
      </c>
      <c r="C276">
        <v>9</v>
      </c>
      <c r="D276" t="s">
        <v>92</v>
      </c>
      <c r="E276" t="s">
        <v>90</v>
      </c>
      <c r="F276" t="s">
        <v>91</v>
      </c>
      <c r="G276">
        <v>0.970088805178833</v>
      </c>
      <c r="H276">
        <v>2E+20</v>
      </c>
      <c r="I276">
        <v>0</v>
      </c>
      <c r="J276">
        <v>9.1257198049252395</v>
      </c>
      <c r="K276">
        <v>222</v>
      </c>
      <c r="L27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compartida)Entrega pedido.QueueWaiting TimeQueue</v>
      </c>
      <c r="M276" s="5" cm="1">
        <f t="array" ref="M276">MAX(IF((ProjectInfoTable[ProjectName]=DiscreteStatsTable[[#This Row],[ProjectName]]),(ProjectInfoTable[ProjectName]=DiscreteStatsTable[[#This Row],[ProjectName]])*ProjectInfoTable[NumberOfReplications]))</f>
        <v>19</v>
      </c>
      <c r="N276" s="5" cm="1">
        <f t="array" ref="N276">IFERROR(AVERAGE(IF((DiscreteStatsTable[GroupByKey]=DiscreteStatsTable[[#This Row],[GroupByKey]]),(DiscreteStatsTable[GroupByKey]=DiscreteStatsTable[[#This Row],[GroupByKey]])*DiscreteStatsTable[Average])),0)</f>
        <v>1.0553731068142862</v>
      </c>
      <c r="O276" s="5" cm="1">
        <f t="array" ref="O276">IFERROR(_xlfn.STDEV.S(IF((DiscreteStatsTable[GroupByKey]=DiscreteStatsTable[[#This Row],[GroupByKey]]),(DiscreteStatsTable[GroupByKey]=DiscreteStatsTable[[#This Row],[GroupByKey]])*DiscreteStatsTable[Average])),0)</f>
        <v>0.39155855051719024</v>
      </c>
      <c r="P276" s="5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276" s="5" cm="1">
        <f t="array" ref="R276">MIN(IF((DiscreteStatsTable[GroupByKey]=DiscreteStatsTable[[#This Row],[GroupByKey]]),(DiscreteStatsTable[GroupByKey]=DiscreteStatsTable[[#This Row],[GroupByKey]])*DiscreteStatsTable[Average]))</f>
        <v>0.71661232804193897</v>
      </c>
      <c r="S276" s="5" cm="1">
        <f t="array" ref="S276">MAX(IF((DiscreteStatsTable[GroupByKey]=DiscreteStatsTable[[#This Row],[GroupByKey]]),(DiscreteStatsTable[GroupByKey]=DiscreteStatsTable[[#This Row],[GroupByKey]])*DiscreteStatsTable[Average]))</f>
        <v>2.4089144698203002</v>
      </c>
      <c r="T276" s="5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s="5" cm="1">
        <f t="array" ref="U276">MAX(IF((DiscreteStatsTable[GroupByKey]=DiscreteStatsTable[[#This Row],[GroupByKey]]),(DiscreteStatsTable[GroupByKey]=DiscreteStatsTable[[#This Row],[GroupByKey]])*DiscreteStatsTable[Maximum]))</f>
        <v>23.2129094911439</v>
      </c>
      <c r="V276" s="5" cm="1">
        <f t="array" ref="V276">IFERROR(AVERAGE(IF((DiscreteStatsTable[GroupByKey]=DiscreteStatsTable[[#This Row],[GroupByKey]]),(DiscreteStatsTable[GroupByKey]=DiscreteStatsTable[[#This Row],[GroupByKey]])*DiscreteStatsTable[NumberObservations])),0)</f>
        <v>244.63157894736841</v>
      </c>
      <c r="W276" s="5">
        <f>IF((DiscreteStatsTable[[#This Row],[RepsRequested]]&gt;1),DiscreteStatsTable[[#This Row],[HalfWidth]],DiscreteStatsTable[[#This Row],[BatchMeansHalfWidth]])</f>
        <v>0.18872518025347579</v>
      </c>
      <c r="X276" s="5" cm="1">
        <f t="array" ref="X276">COUNT(IF((DiscreteStatsTable[GroupByKey]=DiscreteStatsTable[[#This Row],[GroupByKey]]),(DiscreteStatsTable[GroupByKey]=DiscreteStatsTable[[#This Row],[GroupByKey]])*DiscreteStatsTable[Replication]))</f>
        <v>19</v>
      </c>
      <c r="Y276" s="5">
        <f>IF(DiscreteStatsTable[[#This Row],[RepsRequested]]=DiscreteStatsTable[[#This Row],[RepsWithStatObserved]],1,0)</f>
        <v>1</v>
      </c>
    </row>
    <row r="277" spans="1:25" x14ac:dyDescent="0.25">
      <c r="A277" t="s">
        <v>67</v>
      </c>
      <c r="B277" t="s">
        <v>69</v>
      </c>
      <c r="C277">
        <v>10</v>
      </c>
      <c r="D277" t="s">
        <v>92</v>
      </c>
      <c r="E277" t="s">
        <v>90</v>
      </c>
      <c r="F277" t="s">
        <v>91</v>
      </c>
      <c r="G277">
        <v>1.2309699533994301</v>
      </c>
      <c r="H277">
        <v>2E+20</v>
      </c>
      <c r="I277">
        <v>0</v>
      </c>
      <c r="J277">
        <v>11.2525761581628</v>
      </c>
      <c r="K277">
        <v>236</v>
      </c>
      <c r="L27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compartida)Entrega pedido.QueueWaiting TimeQueue</v>
      </c>
      <c r="M277" s="5" cm="1">
        <f t="array" ref="M277">MAX(IF((ProjectInfoTable[ProjectName]=DiscreteStatsTable[[#This Row],[ProjectName]]),(ProjectInfoTable[ProjectName]=DiscreteStatsTable[[#This Row],[ProjectName]])*ProjectInfoTable[NumberOfReplications]))</f>
        <v>19</v>
      </c>
      <c r="N277" s="5" cm="1">
        <f t="array" ref="N277">IFERROR(AVERAGE(IF((DiscreteStatsTable[GroupByKey]=DiscreteStatsTable[[#This Row],[GroupByKey]]),(DiscreteStatsTable[GroupByKey]=DiscreteStatsTable[[#This Row],[GroupByKey]])*DiscreteStatsTable[Average])),0)</f>
        <v>1.0553731068142862</v>
      </c>
      <c r="O277" s="5" cm="1">
        <f t="array" ref="O277">IFERROR(_xlfn.STDEV.S(IF((DiscreteStatsTable[GroupByKey]=DiscreteStatsTable[[#This Row],[GroupByKey]]),(DiscreteStatsTable[GroupByKey]=DiscreteStatsTable[[#This Row],[GroupByKey]])*DiscreteStatsTable[Average])),0)</f>
        <v>0.39155855051719024</v>
      </c>
      <c r="P277" s="5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277" s="5" cm="1">
        <f t="array" ref="R277">MIN(IF((DiscreteStatsTable[GroupByKey]=DiscreteStatsTable[[#This Row],[GroupByKey]]),(DiscreteStatsTable[GroupByKey]=DiscreteStatsTable[[#This Row],[GroupByKey]])*DiscreteStatsTable[Average]))</f>
        <v>0.71661232804193897</v>
      </c>
      <c r="S277" s="5" cm="1">
        <f t="array" ref="S277">MAX(IF((DiscreteStatsTable[GroupByKey]=DiscreteStatsTable[[#This Row],[GroupByKey]]),(DiscreteStatsTable[GroupByKey]=DiscreteStatsTable[[#This Row],[GroupByKey]])*DiscreteStatsTable[Average]))</f>
        <v>2.4089144698203002</v>
      </c>
      <c r="T277" s="5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s="5" cm="1">
        <f t="array" ref="U277">MAX(IF((DiscreteStatsTable[GroupByKey]=DiscreteStatsTable[[#This Row],[GroupByKey]]),(DiscreteStatsTable[GroupByKey]=DiscreteStatsTable[[#This Row],[GroupByKey]])*DiscreteStatsTable[Maximum]))</f>
        <v>23.2129094911439</v>
      </c>
      <c r="V277" s="5" cm="1">
        <f t="array" ref="V277">IFERROR(AVERAGE(IF((DiscreteStatsTable[GroupByKey]=DiscreteStatsTable[[#This Row],[GroupByKey]]),(DiscreteStatsTable[GroupByKey]=DiscreteStatsTable[[#This Row],[GroupByKey]])*DiscreteStatsTable[NumberObservations])),0)</f>
        <v>244.63157894736841</v>
      </c>
      <c r="W277" s="5">
        <f>IF((DiscreteStatsTable[[#This Row],[RepsRequested]]&gt;1),DiscreteStatsTable[[#This Row],[HalfWidth]],DiscreteStatsTable[[#This Row],[BatchMeansHalfWidth]])</f>
        <v>0.18872518025347579</v>
      </c>
      <c r="X277" s="5" cm="1">
        <f t="array" ref="X277">COUNT(IF((DiscreteStatsTable[GroupByKey]=DiscreteStatsTable[[#This Row],[GroupByKey]]),(DiscreteStatsTable[GroupByKey]=DiscreteStatsTable[[#This Row],[GroupByKey]])*DiscreteStatsTable[Replication]))</f>
        <v>19</v>
      </c>
      <c r="Y277" s="5">
        <f>IF(DiscreteStatsTable[[#This Row],[RepsRequested]]=DiscreteStatsTable[[#This Row],[RepsWithStatObserved]],1,0)</f>
        <v>1</v>
      </c>
    </row>
    <row r="278" spans="1:25" x14ac:dyDescent="0.25">
      <c r="A278" t="s">
        <v>67</v>
      </c>
      <c r="B278" t="s">
        <v>69</v>
      </c>
      <c r="C278">
        <v>11</v>
      </c>
      <c r="D278" t="s">
        <v>92</v>
      </c>
      <c r="E278" t="s">
        <v>90</v>
      </c>
      <c r="F278" t="s">
        <v>91</v>
      </c>
      <c r="G278">
        <v>0.994434138356042</v>
      </c>
      <c r="H278">
        <v>2E+20</v>
      </c>
      <c r="I278">
        <v>0</v>
      </c>
      <c r="J278">
        <v>14.123022005394301</v>
      </c>
      <c r="K278">
        <v>232</v>
      </c>
      <c r="L27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compartida)Entrega pedido.QueueWaiting TimeQueue</v>
      </c>
      <c r="M278" s="5" cm="1">
        <f t="array" ref="M278">MAX(IF((ProjectInfoTable[ProjectName]=DiscreteStatsTable[[#This Row],[ProjectName]]),(ProjectInfoTable[ProjectName]=DiscreteStatsTable[[#This Row],[ProjectName]])*ProjectInfoTable[NumberOfReplications]))</f>
        <v>19</v>
      </c>
      <c r="N278" s="5" cm="1">
        <f t="array" ref="N278">IFERROR(AVERAGE(IF((DiscreteStatsTable[GroupByKey]=DiscreteStatsTable[[#This Row],[GroupByKey]]),(DiscreteStatsTable[GroupByKey]=DiscreteStatsTable[[#This Row],[GroupByKey]])*DiscreteStatsTable[Average])),0)</f>
        <v>1.0553731068142862</v>
      </c>
      <c r="O278" s="5" cm="1">
        <f t="array" ref="O278">IFERROR(_xlfn.STDEV.S(IF((DiscreteStatsTable[GroupByKey]=DiscreteStatsTable[[#This Row],[GroupByKey]]),(DiscreteStatsTable[GroupByKey]=DiscreteStatsTable[[#This Row],[GroupByKey]])*DiscreteStatsTable[Average])),0)</f>
        <v>0.39155855051719024</v>
      </c>
      <c r="P278" s="5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278" s="5" cm="1">
        <f t="array" ref="R278">MIN(IF((DiscreteStatsTable[GroupByKey]=DiscreteStatsTable[[#This Row],[GroupByKey]]),(DiscreteStatsTable[GroupByKey]=DiscreteStatsTable[[#This Row],[GroupByKey]])*DiscreteStatsTable[Average]))</f>
        <v>0.71661232804193897</v>
      </c>
      <c r="S278" s="5" cm="1">
        <f t="array" ref="S278">MAX(IF((DiscreteStatsTable[GroupByKey]=DiscreteStatsTable[[#This Row],[GroupByKey]]),(DiscreteStatsTable[GroupByKey]=DiscreteStatsTable[[#This Row],[GroupByKey]])*DiscreteStatsTable[Average]))</f>
        <v>2.4089144698203002</v>
      </c>
      <c r="T278" s="5" cm="1">
        <f t="array" ref="T278">MIN(IF((DiscreteStatsTable[GroupByKey]=DiscreteStatsTable[[#This Row],[GroupByKey]]),(DiscreteStatsTable[GroupByKey]=DiscreteStatsTable[[#This Row],[GroupByKey]])*DiscreteStatsTable[Minimum]))</f>
        <v>0</v>
      </c>
      <c r="U278" s="5" cm="1">
        <f t="array" ref="U278">MAX(IF((DiscreteStatsTable[GroupByKey]=DiscreteStatsTable[[#This Row],[GroupByKey]]),(DiscreteStatsTable[GroupByKey]=DiscreteStatsTable[[#This Row],[GroupByKey]])*DiscreteStatsTable[Maximum]))</f>
        <v>23.2129094911439</v>
      </c>
      <c r="V278" s="5" cm="1">
        <f t="array" ref="V278">IFERROR(AVERAGE(IF((DiscreteStatsTable[GroupByKey]=DiscreteStatsTable[[#This Row],[GroupByKey]]),(DiscreteStatsTable[GroupByKey]=DiscreteStatsTable[[#This Row],[GroupByKey]])*DiscreteStatsTable[NumberObservations])),0)</f>
        <v>244.63157894736841</v>
      </c>
      <c r="W278" s="5">
        <f>IF((DiscreteStatsTable[[#This Row],[RepsRequested]]&gt;1),DiscreteStatsTable[[#This Row],[HalfWidth]],DiscreteStatsTable[[#This Row],[BatchMeansHalfWidth]])</f>
        <v>0.18872518025347579</v>
      </c>
      <c r="X278" s="5" cm="1">
        <f t="array" ref="X278">COUNT(IF((DiscreteStatsTable[GroupByKey]=DiscreteStatsTable[[#This Row],[GroupByKey]]),(DiscreteStatsTable[GroupByKey]=DiscreteStatsTable[[#This Row],[GroupByKey]])*DiscreteStatsTable[Replication]))</f>
        <v>19</v>
      </c>
      <c r="Y278" s="5">
        <f>IF(DiscreteStatsTable[[#This Row],[RepsRequested]]=DiscreteStatsTable[[#This Row],[RepsWithStatObserved]],1,0)</f>
        <v>1</v>
      </c>
    </row>
    <row r="279" spans="1:25" x14ac:dyDescent="0.25">
      <c r="A279" t="s">
        <v>67</v>
      </c>
      <c r="B279" t="s">
        <v>69</v>
      </c>
      <c r="C279">
        <v>12</v>
      </c>
      <c r="D279" t="s">
        <v>92</v>
      </c>
      <c r="E279" t="s">
        <v>90</v>
      </c>
      <c r="F279" t="s">
        <v>91</v>
      </c>
      <c r="G279">
        <v>1.1244215407757401</v>
      </c>
      <c r="H279">
        <v>2E+20</v>
      </c>
      <c r="I279">
        <v>0</v>
      </c>
      <c r="J279">
        <v>12.6821812869631</v>
      </c>
      <c r="K279">
        <v>238</v>
      </c>
      <c r="L27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compartida)Entrega pedido.QueueWaiting TimeQueue</v>
      </c>
      <c r="M279" s="5" cm="1">
        <f t="array" ref="M279">MAX(IF((ProjectInfoTable[ProjectName]=DiscreteStatsTable[[#This Row],[ProjectName]]),(ProjectInfoTable[ProjectName]=DiscreteStatsTable[[#This Row],[ProjectName]])*ProjectInfoTable[NumberOfReplications]))</f>
        <v>19</v>
      </c>
      <c r="N279" s="5" cm="1">
        <f t="array" ref="N279">IFERROR(AVERAGE(IF((DiscreteStatsTable[GroupByKey]=DiscreteStatsTable[[#This Row],[GroupByKey]]),(DiscreteStatsTable[GroupByKey]=DiscreteStatsTable[[#This Row],[GroupByKey]])*DiscreteStatsTable[Average])),0)</f>
        <v>1.0553731068142862</v>
      </c>
      <c r="O279" s="5" cm="1">
        <f t="array" ref="O279">IFERROR(_xlfn.STDEV.S(IF((DiscreteStatsTable[GroupByKey]=DiscreteStatsTable[[#This Row],[GroupByKey]]),(DiscreteStatsTable[GroupByKey]=DiscreteStatsTable[[#This Row],[GroupByKey]])*DiscreteStatsTable[Average])),0)</f>
        <v>0.39155855051719024</v>
      </c>
      <c r="P279" s="5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279" s="5" cm="1">
        <f t="array" ref="R279">MIN(IF((DiscreteStatsTable[GroupByKey]=DiscreteStatsTable[[#This Row],[GroupByKey]]),(DiscreteStatsTable[GroupByKey]=DiscreteStatsTable[[#This Row],[GroupByKey]])*DiscreteStatsTable[Average]))</f>
        <v>0.71661232804193897</v>
      </c>
      <c r="S279" s="5" cm="1">
        <f t="array" ref="S279">MAX(IF((DiscreteStatsTable[GroupByKey]=DiscreteStatsTable[[#This Row],[GroupByKey]]),(DiscreteStatsTable[GroupByKey]=DiscreteStatsTable[[#This Row],[GroupByKey]])*DiscreteStatsTable[Average]))</f>
        <v>2.4089144698203002</v>
      </c>
      <c r="T279" s="5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s="5" cm="1">
        <f t="array" ref="U279">MAX(IF((DiscreteStatsTable[GroupByKey]=DiscreteStatsTable[[#This Row],[GroupByKey]]),(DiscreteStatsTable[GroupByKey]=DiscreteStatsTable[[#This Row],[GroupByKey]])*DiscreteStatsTable[Maximum]))</f>
        <v>23.2129094911439</v>
      </c>
      <c r="V279" s="5" cm="1">
        <f t="array" ref="V279">IFERROR(AVERAGE(IF((DiscreteStatsTable[GroupByKey]=DiscreteStatsTable[[#This Row],[GroupByKey]]),(DiscreteStatsTable[GroupByKey]=DiscreteStatsTable[[#This Row],[GroupByKey]])*DiscreteStatsTable[NumberObservations])),0)</f>
        <v>244.63157894736841</v>
      </c>
      <c r="W279" s="5">
        <f>IF((DiscreteStatsTable[[#This Row],[RepsRequested]]&gt;1),DiscreteStatsTable[[#This Row],[HalfWidth]],DiscreteStatsTable[[#This Row],[BatchMeansHalfWidth]])</f>
        <v>0.18872518025347579</v>
      </c>
      <c r="X279" s="5" cm="1">
        <f t="array" ref="X279">COUNT(IF((DiscreteStatsTable[GroupByKey]=DiscreteStatsTable[[#This Row],[GroupByKey]]),(DiscreteStatsTable[GroupByKey]=DiscreteStatsTable[[#This Row],[GroupByKey]])*DiscreteStatsTable[Replication]))</f>
        <v>19</v>
      </c>
      <c r="Y279" s="5">
        <f>IF(DiscreteStatsTable[[#This Row],[RepsRequested]]=DiscreteStatsTable[[#This Row],[RepsWithStatObserved]],1,0)</f>
        <v>1</v>
      </c>
    </row>
    <row r="280" spans="1:25" x14ac:dyDescent="0.25">
      <c r="A280" t="s">
        <v>67</v>
      </c>
      <c r="B280" t="s">
        <v>69</v>
      </c>
      <c r="C280">
        <v>13</v>
      </c>
      <c r="D280" t="s">
        <v>92</v>
      </c>
      <c r="E280" t="s">
        <v>90</v>
      </c>
      <c r="F280" t="s">
        <v>91</v>
      </c>
      <c r="G280">
        <v>0.97596321573669798</v>
      </c>
      <c r="H280">
        <v>2E+20</v>
      </c>
      <c r="I280">
        <v>0</v>
      </c>
      <c r="J280">
        <v>9.0808567199161399</v>
      </c>
      <c r="K280">
        <v>230</v>
      </c>
      <c r="L28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compartida)Entrega pedido.QueueWaiting TimeQueue</v>
      </c>
      <c r="M280" s="5" cm="1">
        <f t="array" ref="M280">MAX(IF((ProjectInfoTable[ProjectName]=DiscreteStatsTable[[#This Row],[ProjectName]]),(ProjectInfoTable[ProjectName]=DiscreteStatsTable[[#This Row],[ProjectName]])*ProjectInfoTable[NumberOfReplications]))</f>
        <v>19</v>
      </c>
      <c r="N280" s="5" cm="1">
        <f t="array" ref="N280">IFERROR(AVERAGE(IF((DiscreteStatsTable[GroupByKey]=DiscreteStatsTable[[#This Row],[GroupByKey]]),(DiscreteStatsTable[GroupByKey]=DiscreteStatsTable[[#This Row],[GroupByKey]])*DiscreteStatsTable[Average])),0)</f>
        <v>1.0553731068142862</v>
      </c>
      <c r="O280" s="5" cm="1">
        <f t="array" ref="O280">IFERROR(_xlfn.STDEV.S(IF((DiscreteStatsTable[GroupByKey]=DiscreteStatsTable[[#This Row],[GroupByKey]]),(DiscreteStatsTable[GroupByKey]=DiscreteStatsTable[[#This Row],[GroupByKey]])*DiscreteStatsTable[Average])),0)</f>
        <v>0.39155855051719024</v>
      </c>
      <c r="P280" s="5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280" s="5" cm="1">
        <f t="array" ref="R280">MIN(IF((DiscreteStatsTable[GroupByKey]=DiscreteStatsTable[[#This Row],[GroupByKey]]),(DiscreteStatsTable[GroupByKey]=DiscreteStatsTable[[#This Row],[GroupByKey]])*DiscreteStatsTable[Average]))</f>
        <v>0.71661232804193897</v>
      </c>
      <c r="S280" s="5" cm="1">
        <f t="array" ref="S280">MAX(IF((DiscreteStatsTable[GroupByKey]=DiscreteStatsTable[[#This Row],[GroupByKey]]),(DiscreteStatsTable[GroupByKey]=DiscreteStatsTable[[#This Row],[GroupByKey]])*DiscreteStatsTable[Average]))</f>
        <v>2.4089144698203002</v>
      </c>
      <c r="T280" s="5" cm="1">
        <f t="array" ref="T280">MIN(IF((DiscreteStatsTable[GroupByKey]=DiscreteStatsTable[[#This Row],[GroupByKey]]),(DiscreteStatsTable[GroupByKey]=DiscreteStatsTable[[#This Row],[GroupByKey]])*DiscreteStatsTable[Minimum]))</f>
        <v>0</v>
      </c>
      <c r="U280" s="5" cm="1">
        <f t="array" ref="U280">MAX(IF((DiscreteStatsTable[GroupByKey]=DiscreteStatsTable[[#This Row],[GroupByKey]]),(DiscreteStatsTable[GroupByKey]=DiscreteStatsTable[[#This Row],[GroupByKey]])*DiscreteStatsTable[Maximum]))</f>
        <v>23.2129094911439</v>
      </c>
      <c r="V280" s="5" cm="1">
        <f t="array" ref="V280">IFERROR(AVERAGE(IF((DiscreteStatsTable[GroupByKey]=DiscreteStatsTable[[#This Row],[GroupByKey]]),(DiscreteStatsTable[GroupByKey]=DiscreteStatsTable[[#This Row],[GroupByKey]])*DiscreteStatsTable[NumberObservations])),0)</f>
        <v>244.63157894736841</v>
      </c>
      <c r="W280" s="5">
        <f>IF((DiscreteStatsTable[[#This Row],[RepsRequested]]&gt;1),DiscreteStatsTable[[#This Row],[HalfWidth]],DiscreteStatsTable[[#This Row],[BatchMeansHalfWidth]])</f>
        <v>0.18872518025347579</v>
      </c>
      <c r="X280" s="5" cm="1">
        <f t="array" ref="X280">COUNT(IF((DiscreteStatsTable[GroupByKey]=DiscreteStatsTable[[#This Row],[GroupByKey]]),(DiscreteStatsTable[GroupByKey]=DiscreteStatsTable[[#This Row],[GroupByKey]])*DiscreteStatsTable[Replication]))</f>
        <v>19</v>
      </c>
      <c r="Y280" s="5">
        <f>IF(DiscreteStatsTable[[#This Row],[RepsRequested]]=DiscreteStatsTable[[#This Row],[RepsWithStatObserved]],1,0)</f>
        <v>1</v>
      </c>
    </row>
    <row r="281" spans="1:25" x14ac:dyDescent="0.25">
      <c r="A281" t="s">
        <v>67</v>
      </c>
      <c r="B281" t="s">
        <v>69</v>
      </c>
      <c r="C281">
        <v>14</v>
      </c>
      <c r="D281" t="s">
        <v>92</v>
      </c>
      <c r="E281" t="s">
        <v>90</v>
      </c>
      <c r="F281" t="s">
        <v>91</v>
      </c>
      <c r="G281">
        <v>1.0697575399633801</v>
      </c>
      <c r="H281">
        <v>2E+20</v>
      </c>
      <c r="I281">
        <v>0</v>
      </c>
      <c r="J281">
        <v>9.03232418554677</v>
      </c>
      <c r="K281">
        <v>266</v>
      </c>
      <c r="L28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compartida)Entrega pedido.QueueWaiting TimeQueue</v>
      </c>
      <c r="M281" s="5" cm="1">
        <f t="array" ref="M281">MAX(IF((ProjectInfoTable[ProjectName]=DiscreteStatsTable[[#This Row],[ProjectName]]),(ProjectInfoTable[ProjectName]=DiscreteStatsTable[[#This Row],[ProjectName]])*ProjectInfoTable[NumberOfReplications]))</f>
        <v>19</v>
      </c>
      <c r="N281" s="5" cm="1">
        <f t="array" ref="N281">IFERROR(AVERAGE(IF((DiscreteStatsTable[GroupByKey]=DiscreteStatsTable[[#This Row],[GroupByKey]]),(DiscreteStatsTable[GroupByKey]=DiscreteStatsTable[[#This Row],[GroupByKey]])*DiscreteStatsTable[Average])),0)</f>
        <v>1.0553731068142862</v>
      </c>
      <c r="O281" s="5" cm="1">
        <f t="array" ref="O281">IFERROR(_xlfn.STDEV.S(IF((DiscreteStatsTable[GroupByKey]=DiscreteStatsTable[[#This Row],[GroupByKey]]),(DiscreteStatsTable[GroupByKey]=DiscreteStatsTable[[#This Row],[GroupByKey]])*DiscreteStatsTable[Average])),0)</f>
        <v>0.39155855051719024</v>
      </c>
      <c r="P281" s="5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281" s="5" cm="1">
        <f t="array" ref="R281">MIN(IF((DiscreteStatsTable[GroupByKey]=DiscreteStatsTable[[#This Row],[GroupByKey]]),(DiscreteStatsTable[GroupByKey]=DiscreteStatsTable[[#This Row],[GroupByKey]])*DiscreteStatsTable[Average]))</f>
        <v>0.71661232804193897</v>
      </c>
      <c r="S281" s="5" cm="1">
        <f t="array" ref="S281">MAX(IF((DiscreteStatsTable[GroupByKey]=DiscreteStatsTable[[#This Row],[GroupByKey]]),(DiscreteStatsTable[GroupByKey]=DiscreteStatsTable[[#This Row],[GroupByKey]])*DiscreteStatsTable[Average]))</f>
        <v>2.4089144698203002</v>
      </c>
      <c r="T281" s="5" cm="1">
        <f t="array" ref="T281">MIN(IF((DiscreteStatsTable[GroupByKey]=DiscreteStatsTable[[#This Row],[GroupByKey]]),(DiscreteStatsTable[GroupByKey]=DiscreteStatsTable[[#This Row],[GroupByKey]])*DiscreteStatsTable[Minimum]))</f>
        <v>0</v>
      </c>
      <c r="U281" s="5" cm="1">
        <f t="array" ref="U281">MAX(IF((DiscreteStatsTable[GroupByKey]=DiscreteStatsTable[[#This Row],[GroupByKey]]),(DiscreteStatsTable[GroupByKey]=DiscreteStatsTable[[#This Row],[GroupByKey]])*DiscreteStatsTable[Maximum]))</f>
        <v>23.2129094911439</v>
      </c>
      <c r="V281" s="5" cm="1">
        <f t="array" ref="V281">IFERROR(AVERAGE(IF((DiscreteStatsTable[GroupByKey]=DiscreteStatsTable[[#This Row],[GroupByKey]]),(DiscreteStatsTable[GroupByKey]=DiscreteStatsTable[[#This Row],[GroupByKey]])*DiscreteStatsTable[NumberObservations])),0)</f>
        <v>244.63157894736841</v>
      </c>
      <c r="W281" s="5">
        <f>IF((DiscreteStatsTable[[#This Row],[RepsRequested]]&gt;1),DiscreteStatsTable[[#This Row],[HalfWidth]],DiscreteStatsTable[[#This Row],[BatchMeansHalfWidth]])</f>
        <v>0.18872518025347579</v>
      </c>
      <c r="X281" s="5" cm="1">
        <f t="array" ref="X281">COUNT(IF((DiscreteStatsTable[GroupByKey]=DiscreteStatsTable[[#This Row],[GroupByKey]]),(DiscreteStatsTable[GroupByKey]=DiscreteStatsTable[[#This Row],[GroupByKey]])*DiscreteStatsTable[Replication]))</f>
        <v>19</v>
      </c>
      <c r="Y281" s="5">
        <f>IF(DiscreteStatsTable[[#This Row],[RepsRequested]]=DiscreteStatsTable[[#This Row],[RepsWithStatObserved]],1,0)</f>
        <v>1</v>
      </c>
    </row>
    <row r="282" spans="1:25" x14ac:dyDescent="0.25">
      <c r="A282" t="s">
        <v>67</v>
      </c>
      <c r="B282" t="s">
        <v>69</v>
      </c>
      <c r="C282">
        <v>15</v>
      </c>
      <c r="D282" t="s">
        <v>92</v>
      </c>
      <c r="E282" t="s">
        <v>90</v>
      </c>
      <c r="F282" t="s">
        <v>91</v>
      </c>
      <c r="G282">
        <v>0.93362777695488197</v>
      </c>
      <c r="H282">
        <v>2E+20</v>
      </c>
      <c r="I282">
        <v>0</v>
      </c>
      <c r="J282">
        <v>7.1732898936158502</v>
      </c>
      <c r="K282">
        <v>254</v>
      </c>
      <c r="L28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compartida)Entrega pedido.QueueWaiting TimeQueue</v>
      </c>
      <c r="M282" s="5" cm="1">
        <f t="array" ref="M282">MAX(IF((ProjectInfoTable[ProjectName]=DiscreteStatsTable[[#This Row],[ProjectName]]),(ProjectInfoTable[ProjectName]=DiscreteStatsTable[[#This Row],[ProjectName]])*ProjectInfoTable[NumberOfReplications]))</f>
        <v>19</v>
      </c>
      <c r="N282" s="5" cm="1">
        <f t="array" ref="N282">IFERROR(AVERAGE(IF((DiscreteStatsTable[GroupByKey]=DiscreteStatsTable[[#This Row],[GroupByKey]]),(DiscreteStatsTable[GroupByKey]=DiscreteStatsTable[[#This Row],[GroupByKey]])*DiscreteStatsTable[Average])),0)</f>
        <v>1.0553731068142862</v>
      </c>
      <c r="O282" s="5" cm="1">
        <f t="array" ref="O282">IFERROR(_xlfn.STDEV.S(IF((DiscreteStatsTable[GroupByKey]=DiscreteStatsTable[[#This Row],[GroupByKey]]),(DiscreteStatsTable[GroupByKey]=DiscreteStatsTable[[#This Row],[GroupByKey]])*DiscreteStatsTable[Average])),0)</f>
        <v>0.39155855051719024</v>
      </c>
      <c r="P282" s="5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282" s="5" cm="1">
        <f t="array" ref="R282">MIN(IF((DiscreteStatsTable[GroupByKey]=DiscreteStatsTable[[#This Row],[GroupByKey]]),(DiscreteStatsTable[GroupByKey]=DiscreteStatsTable[[#This Row],[GroupByKey]])*DiscreteStatsTable[Average]))</f>
        <v>0.71661232804193897</v>
      </c>
      <c r="S282" s="5" cm="1">
        <f t="array" ref="S282">MAX(IF((DiscreteStatsTable[GroupByKey]=DiscreteStatsTable[[#This Row],[GroupByKey]]),(DiscreteStatsTable[GroupByKey]=DiscreteStatsTable[[#This Row],[GroupByKey]])*DiscreteStatsTable[Average]))</f>
        <v>2.4089144698203002</v>
      </c>
      <c r="T282" s="5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s="5" cm="1">
        <f t="array" ref="U282">MAX(IF((DiscreteStatsTable[GroupByKey]=DiscreteStatsTable[[#This Row],[GroupByKey]]),(DiscreteStatsTable[GroupByKey]=DiscreteStatsTable[[#This Row],[GroupByKey]])*DiscreteStatsTable[Maximum]))</f>
        <v>23.2129094911439</v>
      </c>
      <c r="V282" s="5" cm="1">
        <f t="array" ref="V282">IFERROR(AVERAGE(IF((DiscreteStatsTable[GroupByKey]=DiscreteStatsTable[[#This Row],[GroupByKey]]),(DiscreteStatsTable[GroupByKey]=DiscreteStatsTable[[#This Row],[GroupByKey]])*DiscreteStatsTable[NumberObservations])),0)</f>
        <v>244.63157894736841</v>
      </c>
      <c r="W282" s="5">
        <f>IF((DiscreteStatsTable[[#This Row],[RepsRequested]]&gt;1),DiscreteStatsTable[[#This Row],[HalfWidth]],DiscreteStatsTable[[#This Row],[BatchMeansHalfWidth]])</f>
        <v>0.18872518025347579</v>
      </c>
      <c r="X282" s="5" cm="1">
        <f t="array" ref="X282">COUNT(IF((DiscreteStatsTable[GroupByKey]=DiscreteStatsTable[[#This Row],[GroupByKey]]),(DiscreteStatsTable[GroupByKey]=DiscreteStatsTable[[#This Row],[GroupByKey]])*DiscreteStatsTable[Replication]))</f>
        <v>19</v>
      </c>
      <c r="Y282" s="5">
        <f>IF(DiscreteStatsTable[[#This Row],[RepsRequested]]=DiscreteStatsTable[[#This Row],[RepsWithStatObserved]],1,0)</f>
        <v>1</v>
      </c>
    </row>
    <row r="283" spans="1:25" x14ac:dyDescent="0.25">
      <c r="A283" t="s">
        <v>67</v>
      </c>
      <c r="B283" t="s">
        <v>69</v>
      </c>
      <c r="C283">
        <v>16</v>
      </c>
      <c r="D283" t="s">
        <v>92</v>
      </c>
      <c r="E283" t="s">
        <v>90</v>
      </c>
      <c r="F283" t="s">
        <v>91</v>
      </c>
      <c r="G283">
        <v>0.71661232804193897</v>
      </c>
      <c r="H283">
        <v>2E+20</v>
      </c>
      <c r="I283">
        <v>0</v>
      </c>
      <c r="J283">
        <v>7.7517602388961997</v>
      </c>
      <c r="K283">
        <v>262</v>
      </c>
      <c r="L28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compartida)Entrega pedido.QueueWaiting TimeQueue</v>
      </c>
      <c r="M283" s="5" cm="1">
        <f t="array" ref="M283">MAX(IF((ProjectInfoTable[ProjectName]=DiscreteStatsTable[[#This Row],[ProjectName]]),(ProjectInfoTable[ProjectName]=DiscreteStatsTable[[#This Row],[ProjectName]])*ProjectInfoTable[NumberOfReplications]))</f>
        <v>19</v>
      </c>
      <c r="N283" s="5" cm="1">
        <f t="array" ref="N283">IFERROR(AVERAGE(IF((DiscreteStatsTable[GroupByKey]=DiscreteStatsTable[[#This Row],[GroupByKey]]),(DiscreteStatsTable[GroupByKey]=DiscreteStatsTable[[#This Row],[GroupByKey]])*DiscreteStatsTable[Average])),0)</f>
        <v>1.0553731068142862</v>
      </c>
      <c r="O283" s="5" cm="1">
        <f t="array" ref="O283">IFERROR(_xlfn.STDEV.S(IF((DiscreteStatsTable[GroupByKey]=DiscreteStatsTable[[#This Row],[GroupByKey]]),(DiscreteStatsTable[GroupByKey]=DiscreteStatsTable[[#This Row],[GroupByKey]])*DiscreteStatsTable[Average])),0)</f>
        <v>0.39155855051719024</v>
      </c>
      <c r="P283" s="5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283" s="5" cm="1">
        <f t="array" ref="R283">MIN(IF((DiscreteStatsTable[GroupByKey]=DiscreteStatsTable[[#This Row],[GroupByKey]]),(DiscreteStatsTable[GroupByKey]=DiscreteStatsTable[[#This Row],[GroupByKey]])*DiscreteStatsTable[Average]))</f>
        <v>0.71661232804193897</v>
      </c>
      <c r="S283" s="5" cm="1">
        <f t="array" ref="S283">MAX(IF((DiscreteStatsTable[GroupByKey]=DiscreteStatsTable[[#This Row],[GroupByKey]]),(DiscreteStatsTable[GroupByKey]=DiscreteStatsTable[[#This Row],[GroupByKey]])*DiscreteStatsTable[Average]))</f>
        <v>2.4089144698203002</v>
      </c>
      <c r="T283" s="5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s="5" cm="1">
        <f t="array" ref="U283">MAX(IF((DiscreteStatsTable[GroupByKey]=DiscreteStatsTable[[#This Row],[GroupByKey]]),(DiscreteStatsTable[GroupByKey]=DiscreteStatsTable[[#This Row],[GroupByKey]])*DiscreteStatsTable[Maximum]))</f>
        <v>23.2129094911439</v>
      </c>
      <c r="V283" s="5" cm="1">
        <f t="array" ref="V283">IFERROR(AVERAGE(IF((DiscreteStatsTable[GroupByKey]=DiscreteStatsTable[[#This Row],[GroupByKey]]),(DiscreteStatsTable[GroupByKey]=DiscreteStatsTable[[#This Row],[GroupByKey]])*DiscreteStatsTable[NumberObservations])),0)</f>
        <v>244.63157894736841</v>
      </c>
      <c r="W283" s="5">
        <f>IF((DiscreteStatsTable[[#This Row],[RepsRequested]]&gt;1),DiscreteStatsTable[[#This Row],[HalfWidth]],DiscreteStatsTable[[#This Row],[BatchMeansHalfWidth]])</f>
        <v>0.18872518025347579</v>
      </c>
      <c r="X283" s="5" cm="1">
        <f t="array" ref="X283">COUNT(IF((DiscreteStatsTable[GroupByKey]=DiscreteStatsTable[[#This Row],[GroupByKey]]),(DiscreteStatsTable[GroupByKey]=DiscreteStatsTable[[#This Row],[GroupByKey]])*DiscreteStatsTable[Replication]))</f>
        <v>19</v>
      </c>
      <c r="Y283" s="5">
        <f>IF(DiscreteStatsTable[[#This Row],[RepsRequested]]=DiscreteStatsTable[[#This Row],[RepsWithStatObserved]],1,0)</f>
        <v>1</v>
      </c>
    </row>
    <row r="284" spans="1:25" x14ac:dyDescent="0.25">
      <c r="A284" t="s">
        <v>67</v>
      </c>
      <c r="B284" t="s">
        <v>69</v>
      </c>
      <c r="C284">
        <v>17</v>
      </c>
      <c r="D284" t="s">
        <v>92</v>
      </c>
      <c r="E284" t="s">
        <v>90</v>
      </c>
      <c r="F284" t="s">
        <v>91</v>
      </c>
      <c r="G284">
        <v>0.93616934288476195</v>
      </c>
      <c r="H284">
        <v>2E+20</v>
      </c>
      <c r="I284">
        <v>0</v>
      </c>
      <c r="J284">
        <v>8.8989636301693906</v>
      </c>
      <c r="K284">
        <v>248</v>
      </c>
      <c r="L28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compartida)Entrega pedido.QueueWaiting TimeQueue</v>
      </c>
      <c r="M284" s="5" cm="1">
        <f t="array" ref="M284">MAX(IF((ProjectInfoTable[ProjectName]=DiscreteStatsTable[[#This Row],[ProjectName]]),(ProjectInfoTable[ProjectName]=DiscreteStatsTable[[#This Row],[ProjectName]])*ProjectInfoTable[NumberOfReplications]))</f>
        <v>19</v>
      </c>
      <c r="N284" s="5" cm="1">
        <f t="array" ref="N284">IFERROR(AVERAGE(IF((DiscreteStatsTable[GroupByKey]=DiscreteStatsTable[[#This Row],[GroupByKey]]),(DiscreteStatsTable[GroupByKey]=DiscreteStatsTable[[#This Row],[GroupByKey]])*DiscreteStatsTable[Average])),0)</f>
        <v>1.0553731068142862</v>
      </c>
      <c r="O284" s="5" cm="1">
        <f t="array" ref="O284">IFERROR(_xlfn.STDEV.S(IF((DiscreteStatsTable[GroupByKey]=DiscreteStatsTable[[#This Row],[GroupByKey]]),(DiscreteStatsTable[GroupByKey]=DiscreteStatsTable[[#This Row],[GroupByKey]])*DiscreteStatsTable[Average])),0)</f>
        <v>0.39155855051719024</v>
      </c>
      <c r="P284" s="5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284" s="5" cm="1">
        <f t="array" ref="R284">MIN(IF((DiscreteStatsTable[GroupByKey]=DiscreteStatsTable[[#This Row],[GroupByKey]]),(DiscreteStatsTable[GroupByKey]=DiscreteStatsTable[[#This Row],[GroupByKey]])*DiscreteStatsTable[Average]))</f>
        <v>0.71661232804193897</v>
      </c>
      <c r="S284" s="5" cm="1">
        <f t="array" ref="S284">MAX(IF((DiscreteStatsTable[GroupByKey]=DiscreteStatsTable[[#This Row],[GroupByKey]]),(DiscreteStatsTable[GroupByKey]=DiscreteStatsTable[[#This Row],[GroupByKey]])*DiscreteStatsTable[Average]))</f>
        <v>2.4089144698203002</v>
      </c>
      <c r="T284" s="5" cm="1">
        <f t="array" ref="T284">MIN(IF((DiscreteStatsTable[GroupByKey]=DiscreteStatsTable[[#This Row],[GroupByKey]]),(DiscreteStatsTable[GroupByKey]=DiscreteStatsTable[[#This Row],[GroupByKey]])*DiscreteStatsTable[Minimum]))</f>
        <v>0</v>
      </c>
      <c r="U284" s="5" cm="1">
        <f t="array" ref="U284">MAX(IF((DiscreteStatsTable[GroupByKey]=DiscreteStatsTable[[#This Row],[GroupByKey]]),(DiscreteStatsTable[GroupByKey]=DiscreteStatsTable[[#This Row],[GroupByKey]])*DiscreteStatsTable[Maximum]))</f>
        <v>23.2129094911439</v>
      </c>
      <c r="V284" s="5" cm="1">
        <f t="array" ref="V284">IFERROR(AVERAGE(IF((DiscreteStatsTable[GroupByKey]=DiscreteStatsTable[[#This Row],[GroupByKey]]),(DiscreteStatsTable[GroupByKey]=DiscreteStatsTable[[#This Row],[GroupByKey]])*DiscreteStatsTable[NumberObservations])),0)</f>
        <v>244.63157894736841</v>
      </c>
      <c r="W284" s="5">
        <f>IF((DiscreteStatsTable[[#This Row],[RepsRequested]]&gt;1),DiscreteStatsTable[[#This Row],[HalfWidth]],DiscreteStatsTable[[#This Row],[BatchMeansHalfWidth]])</f>
        <v>0.18872518025347579</v>
      </c>
      <c r="X284" s="5" cm="1">
        <f t="array" ref="X284">COUNT(IF((DiscreteStatsTable[GroupByKey]=DiscreteStatsTable[[#This Row],[GroupByKey]]),(DiscreteStatsTable[GroupByKey]=DiscreteStatsTable[[#This Row],[GroupByKey]])*DiscreteStatsTable[Replication]))</f>
        <v>19</v>
      </c>
      <c r="Y284" s="5">
        <f>IF(DiscreteStatsTable[[#This Row],[RepsRequested]]=DiscreteStatsTable[[#This Row],[RepsWithStatObserved]],1,0)</f>
        <v>1</v>
      </c>
    </row>
    <row r="285" spans="1:25" x14ac:dyDescent="0.25">
      <c r="A285" t="s">
        <v>67</v>
      </c>
      <c r="B285" t="s">
        <v>69</v>
      </c>
      <c r="C285">
        <v>18</v>
      </c>
      <c r="D285" t="s">
        <v>92</v>
      </c>
      <c r="E285" t="s">
        <v>90</v>
      </c>
      <c r="F285" t="s">
        <v>91</v>
      </c>
      <c r="G285">
        <v>1.2454084172419999</v>
      </c>
      <c r="H285">
        <v>2E+20</v>
      </c>
      <c r="I285">
        <v>0</v>
      </c>
      <c r="J285">
        <v>14.477038373604699</v>
      </c>
      <c r="K285">
        <v>242</v>
      </c>
      <c r="L28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compartida)Entrega pedido.QueueWaiting TimeQueue</v>
      </c>
      <c r="M285" s="5" cm="1">
        <f t="array" ref="M285">MAX(IF((ProjectInfoTable[ProjectName]=DiscreteStatsTable[[#This Row],[ProjectName]]),(ProjectInfoTable[ProjectName]=DiscreteStatsTable[[#This Row],[ProjectName]])*ProjectInfoTable[NumberOfReplications]))</f>
        <v>19</v>
      </c>
      <c r="N285" s="5" cm="1">
        <f t="array" ref="N285">IFERROR(AVERAGE(IF((DiscreteStatsTable[GroupByKey]=DiscreteStatsTable[[#This Row],[GroupByKey]]),(DiscreteStatsTable[GroupByKey]=DiscreteStatsTable[[#This Row],[GroupByKey]])*DiscreteStatsTable[Average])),0)</f>
        <v>1.0553731068142862</v>
      </c>
      <c r="O285" s="5" cm="1">
        <f t="array" ref="O285">IFERROR(_xlfn.STDEV.S(IF((DiscreteStatsTable[GroupByKey]=DiscreteStatsTable[[#This Row],[GroupByKey]]),(DiscreteStatsTable[GroupByKey]=DiscreteStatsTable[[#This Row],[GroupByKey]])*DiscreteStatsTable[Average])),0)</f>
        <v>0.39155855051719024</v>
      </c>
      <c r="P285" s="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285" s="5" cm="1">
        <f t="array" ref="R285">MIN(IF((DiscreteStatsTable[GroupByKey]=DiscreteStatsTable[[#This Row],[GroupByKey]]),(DiscreteStatsTable[GroupByKey]=DiscreteStatsTable[[#This Row],[GroupByKey]])*DiscreteStatsTable[Average]))</f>
        <v>0.71661232804193897</v>
      </c>
      <c r="S285" s="5" cm="1">
        <f t="array" ref="S285">MAX(IF((DiscreteStatsTable[GroupByKey]=DiscreteStatsTable[[#This Row],[GroupByKey]]),(DiscreteStatsTable[GroupByKey]=DiscreteStatsTable[[#This Row],[GroupByKey]])*DiscreteStatsTable[Average]))</f>
        <v>2.4089144698203002</v>
      </c>
      <c r="T285" s="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s="5" cm="1">
        <f t="array" ref="U285">MAX(IF((DiscreteStatsTable[GroupByKey]=DiscreteStatsTable[[#This Row],[GroupByKey]]),(DiscreteStatsTable[GroupByKey]=DiscreteStatsTable[[#This Row],[GroupByKey]])*DiscreteStatsTable[Maximum]))</f>
        <v>23.2129094911439</v>
      </c>
      <c r="V285" s="5" cm="1">
        <f t="array" ref="V285">IFERROR(AVERAGE(IF((DiscreteStatsTable[GroupByKey]=DiscreteStatsTable[[#This Row],[GroupByKey]]),(DiscreteStatsTable[GroupByKey]=DiscreteStatsTable[[#This Row],[GroupByKey]])*DiscreteStatsTable[NumberObservations])),0)</f>
        <v>244.63157894736841</v>
      </c>
      <c r="W285" s="5">
        <f>IF((DiscreteStatsTable[[#This Row],[RepsRequested]]&gt;1),DiscreteStatsTable[[#This Row],[HalfWidth]],DiscreteStatsTable[[#This Row],[BatchMeansHalfWidth]])</f>
        <v>0.18872518025347579</v>
      </c>
      <c r="X285" s="5" cm="1">
        <f t="array" ref="X285">COUNT(IF((DiscreteStatsTable[GroupByKey]=DiscreteStatsTable[[#This Row],[GroupByKey]]),(DiscreteStatsTable[GroupByKey]=DiscreteStatsTable[[#This Row],[GroupByKey]])*DiscreteStatsTable[Replication]))</f>
        <v>19</v>
      </c>
      <c r="Y285" s="5">
        <f>IF(DiscreteStatsTable[[#This Row],[RepsRequested]]=DiscreteStatsTable[[#This Row],[RepsWithStatObserved]],1,0)</f>
        <v>1</v>
      </c>
    </row>
    <row r="286" spans="1:25" x14ac:dyDescent="0.25">
      <c r="A286" t="s">
        <v>67</v>
      </c>
      <c r="B286" t="s">
        <v>69</v>
      </c>
      <c r="C286">
        <v>19</v>
      </c>
      <c r="D286" t="s">
        <v>92</v>
      </c>
      <c r="E286" t="s">
        <v>90</v>
      </c>
      <c r="F286" t="s">
        <v>91</v>
      </c>
      <c r="G286">
        <v>0.76185875614695997</v>
      </c>
      <c r="H286">
        <v>2E+20</v>
      </c>
      <c r="I286">
        <v>0</v>
      </c>
      <c r="J286">
        <v>8.4225645302066905</v>
      </c>
      <c r="K286">
        <v>242</v>
      </c>
      <c r="L28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compartida)Entrega pedido.QueueWaiting TimeQueue</v>
      </c>
      <c r="M286" s="5" cm="1">
        <f t="array" ref="M286">MAX(IF((ProjectInfoTable[ProjectName]=DiscreteStatsTable[[#This Row],[ProjectName]]),(ProjectInfoTable[ProjectName]=DiscreteStatsTable[[#This Row],[ProjectName]])*ProjectInfoTable[NumberOfReplications]))</f>
        <v>19</v>
      </c>
      <c r="N286" s="5" cm="1">
        <f t="array" ref="N286">IFERROR(AVERAGE(IF((DiscreteStatsTable[GroupByKey]=DiscreteStatsTable[[#This Row],[GroupByKey]]),(DiscreteStatsTable[GroupByKey]=DiscreteStatsTable[[#This Row],[GroupByKey]])*DiscreteStatsTable[Average])),0)</f>
        <v>1.0553731068142862</v>
      </c>
      <c r="O286" s="5" cm="1">
        <f t="array" ref="O286">IFERROR(_xlfn.STDEV.S(IF((DiscreteStatsTable[GroupByKey]=DiscreteStatsTable[[#This Row],[GroupByKey]]),(DiscreteStatsTable[GroupByKey]=DiscreteStatsTable[[#This Row],[GroupByKey]])*DiscreteStatsTable[Average])),0)</f>
        <v>0.39155855051719024</v>
      </c>
      <c r="P286" s="5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286" s="5" cm="1">
        <f t="array" ref="R286">MIN(IF((DiscreteStatsTable[GroupByKey]=DiscreteStatsTable[[#This Row],[GroupByKey]]),(DiscreteStatsTable[GroupByKey]=DiscreteStatsTable[[#This Row],[GroupByKey]])*DiscreteStatsTable[Average]))</f>
        <v>0.71661232804193897</v>
      </c>
      <c r="S286" s="5" cm="1">
        <f t="array" ref="S286">MAX(IF((DiscreteStatsTable[GroupByKey]=DiscreteStatsTable[[#This Row],[GroupByKey]]),(DiscreteStatsTable[GroupByKey]=DiscreteStatsTable[[#This Row],[GroupByKey]])*DiscreteStatsTable[Average]))</f>
        <v>2.4089144698203002</v>
      </c>
      <c r="T286" s="5" cm="1">
        <f t="array" ref="T286">MIN(IF((DiscreteStatsTable[GroupByKey]=DiscreteStatsTable[[#This Row],[GroupByKey]]),(DiscreteStatsTable[GroupByKey]=DiscreteStatsTable[[#This Row],[GroupByKey]])*DiscreteStatsTable[Minimum]))</f>
        <v>0</v>
      </c>
      <c r="U286" s="5" cm="1">
        <f t="array" ref="U286">MAX(IF((DiscreteStatsTable[GroupByKey]=DiscreteStatsTable[[#This Row],[GroupByKey]]),(DiscreteStatsTable[GroupByKey]=DiscreteStatsTable[[#This Row],[GroupByKey]])*DiscreteStatsTable[Maximum]))</f>
        <v>23.2129094911439</v>
      </c>
      <c r="V286" s="5" cm="1">
        <f t="array" ref="V286">IFERROR(AVERAGE(IF((DiscreteStatsTable[GroupByKey]=DiscreteStatsTable[[#This Row],[GroupByKey]]),(DiscreteStatsTable[GroupByKey]=DiscreteStatsTable[[#This Row],[GroupByKey]])*DiscreteStatsTable[NumberObservations])),0)</f>
        <v>244.63157894736841</v>
      </c>
      <c r="W286" s="5">
        <f>IF((DiscreteStatsTable[[#This Row],[RepsRequested]]&gt;1),DiscreteStatsTable[[#This Row],[HalfWidth]],DiscreteStatsTable[[#This Row],[BatchMeansHalfWidth]])</f>
        <v>0.18872518025347579</v>
      </c>
      <c r="X286" s="5" cm="1">
        <f t="array" ref="X286">COUNT(IF((DiscreteStatsTable[GroupByKey]=DiscreteStatsTable[[#This Row],[GroupByKey]]),(DiscreteStatsTable[GroupByKey]=DiscreteStatsTable[[#This Row],[GroupByKey]])*DiscreteStatsTable[Replication]))</f>
        <v>19</v>
      </c>
      <c r="Y286" s="5">
        <f>IF(DiscreteStatsTable[[#This Row],[RepsRequested]]=DiscreteStatsTable[[#This Row],[RepsWithStatObserved]],1,0)</f>
        <v>1</v>
      </c>
    </row>
    <row r="287" spans="1:25" x14ac:dyDescent="0.25">
      <c r="A287" t="s">
        <v>67</v>
      </c>
      <c r="B287" t="s">
        <v>69</v>
      </c>
      <c r="C287">
        <v>1</v>
      </c>
      <c r="D287" t="s">
        <v>93</v>
      </c>
      <c r="E287" t="s">
        <v>79</v>
      </c>
      <c r="F287" t="s">
        <v>80</v>
      </c>
      <c r="G287">
        <v>4.6814959629385502</v>
      </c>
      <c r="H287">
        <v>2E+20</v>
      </c>
      <c r="I287">
        <v>4.6814959629385502</v>
      </c>
      <c r="J287">
        <v>4.6814959629385502</v>
      </c>
      <c r="K287">
        <v>1</v>
      </c>
      <c r="L28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compartida)EsperaPedidoH1ExpressionUser Specified</v>
      </c>
      <c r="M287" s="5" cm="1">
        <f t="array" ref="M287">MAX(IF((ProjectInfoTable[ProjectName]=DiscreteStatsTable[[#This Row],[ProjectName]]),(ProjectInfoTable[ProjectName]=DiscreteStatsTable[[#This Row],[ProjectName]])*ProjectInfoTable[NumberOfReplications]))</f>
        <v>19</v>
      </c>
      <c r="N287" s="5" cm="1">
        <f t="array" ref="N287">IFERROR(AVERAGE(IF((DiscreteStatsTable[GroupByKey]=DiscreteStatsTable[[#This Row],[GroupByKey]]),(DiscreteStatsTable[GroupByKey]=DiscreteStatsTable[[#This Row],[GroupByKey]])*DiscreteStatsTable[Average])),0)</f>
        <v>1.2223055609756739</v>
      </c>
      <c r="O287" s="5" cm="1">
        <f t="array" ref="O287">IFERROR(_xlfn.STDEV.S(IF((DiscreteStatsTable[GroupByKey]=DiscreteStatsTable[[#This Row],[GroupByKey]]),(DiscreteStatsTable[GroupByKey]=DiscreteStatsTable[[#This Row],[GroupByKey]])*DiscreteStatsTable[Average])),0)</f>
        <v>0.97779302871771601</v>
      </c>
      <c r="P287" s="5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0.47128115412522836</v>
      </c>
      <c r="R287" s="5" cm="1">
        <f t="array" ref="R287">MIN(IF((DiscreteStatsTable[GroupByKey]=DiscreteStatsTable[[#This Row],[GroupByKey]]),(DiscreteStatsTable[GroupByKey]=DiscreteStatsTable[[#This Row],[GroupByKey]])*DiscreteStatsTable[Average]))</f>
        <v>0.65114275444322001</v>
      </c>
      <c r="S287" s="5" cm="1">
        <f t="array" ref="S287">MAX(IF((DiscreteStatsTable[GroupByKey]=DiscreteStatsTable[[#This Row],[GroupByKey]]),(DiscreteStatsTable[GroupByKey]=DiscreteStatsTable[[#This Row],[GroupByKey]])*DiscreteStatsTable[Average]))</f>
        <v>4.6814959629385502</v>
      </c>
      <c r="T287" s="5" cm="1">
        <f t="array" ref="T287">MIN(IF((DiscreteStatsTable[GroupByKey]=DiscreteStatsTable[[#This Row],[GroupByKey]]),(DiscreteStatsTable[GroupByKey]=DiscreteStatsTable[[#This Row],[GroupByKey]])*DiscreteStatsTable[Minimum]))</f>
        <v>0.65114275444322001</v>
      </c>
      <c r="U287" s="5" cm="1">
        <f t="array" ref="U287">MAX(IF((DiscreteStatsTable[GroupByKey]=DiscreteStatsTable[[#This Row],[GroupByKey]]),(DiscreteStatsTable[GroupByKey]=DiscreteStatsTable[[#This Row],[GroupByKey]])*DiscreteStatsTable[Maximum]))</f>
        <v>4.6814959629385502</v>
      </c>
      <c r="V287" s="5" cm="1">
        <f t="array" ref="V287">IFERROR(AVERAGE(IF((DiscreteStatsTable[GroupByKey]=DiscreteStatsTable[[#This Row],[GroupByKey]]),(DiscreteStatsTable[GroupByKey]=DiscreteStatsTable[[#This Row],[GroupByKey]])*DiscreteStatsTable[NumberObservations])),0)</f>
        <v>1</v>
      </c>
      <c r="W287" s="5">
        <f>IF((DiscreteStatsTable[[#This Row],[RepsRequested]]&gt;1),DiscreteStatsTable[[#This Row],[HalfWidth]],DiscreteStatsTable[[#This Row],[BatchMeansHalfWidth]])</f>
        <v>0.47128115412522836</v>
      </c>
      <c r="X287" s="5" cm="1">
        <f t="array" ref="X287">COUNT(IF((DiscreteStatsTable[GroupByKey]=DiscreteStatsTable[[#This Row],[GroupByKey]]),(DiscreteStatsTable[GroupByKey]=DiscreteStatsTable[[#This Row],[GroupByKey]])*DiscreteStatsTable[Replication]))</f>
        <v>19</v>
      </c>
      <c r="Y287" s="5">
        <f>IF(DiscreteStatsTable[[#This Row],[RepsRequested]]=DiscreteStatsTable[[#This Row],[RepsWithStatObserved]],1,0)</f>
        <v>1</v>
      </c>
    </row>
    <row r="288" spans="1:25" x14ac:dyDescent="0.25">
      <c r="A288" t="s">
        <v>67</v>
      </c>
      <c r="B288" t="s">
        <v>69</v>
      </c>
      <c r="C288">
        <v>2</v>
      </c>
      <c r="D288" t="s">
        <v>93</v>
      </c>
      <c r="E288" t="s">
        <v>79</v>
      </c>
      <c r="F288" t="s">
        <v>80</v>
      </c>
      <c r="G288">
        <v>0.76248135412678297</v>
      </c>
      <c r="H288">
        <v>2E+20</v>
      </c>
      <c r="I288">
        <v>0.76248135412678297</v>
      </c>
      <c r="J288">
        <v>0.76248135412678297</v>
      </c>
      <c r="K288">
        <v>1</v>
      </c>
      <c r="L28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compartida)EsperaPedidoH1ExpressionUser Specified</v>
      </c>
      <c r="M288" s="5" cm="1">
        <f t="array" ref="M288">MAX(IF((ProjectInfoTable[ProjectName]=DiscreteStatsTable[[#This Row],[ProjectName]]),(ProjectInfoTable[ProjectName]=DiscreteStatsTable[[#This Row],[ProjectName]])*ProjectInfoTable[NumberOfReplications]))</f>
        <v>19</v>
      </c>
      <c r="N288" s="5" cm="1">
        <f t="array" ref="N288">IFERROR(AVERAGE(IF((DiscreteStatsTable[GroupByKey]=DiscreteStatsTable[[#This Row],[GroupByKey]]),(DiscreteStatsTable[GroupByKey]=DiscreteStatsTable[[#This Row],[GroupByKey]])*DiscreteStatsTable[Average])),0)</f>
        <v>1.2223055609756739</v>
      </c>
      <c r="O288" s="5" cm="1">
        <f t="array" ref="O288">IFERROR(_xlfn.STDEV.S(IF((DiscreteStatsTable[GroupByKey]=DiscreteStatsTable[[#This Row],[GroupByKey]]),(DiscreteStatsTable[GroupByKey]=DiscreteStatsTable[[#This Row],[GroupByKey]])*DiscreteStatsTable[Average])),0)</f>
        <v>0.97779302871771601</v>
      </c>
      <c r="P288" s="5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0.47128115412522836</v>
      </c>
      <c r="R288" s="5" cm="1">
        <f t="array" ref="R288">MIN(IF((DiscreteStatsTable[GroupByKey]=DiscreteStatsTable[[#This Row],[GroupByKey]]),(DiscreteStatsTable[GroupByKey]=DiscreteStatsTable[[#This Row],[GroupByKey]])*DiscreteStatsTable[Average]))</f>
        <v>0.65114275444322001</v>
      </c>
      <c r="S288" s="5" cm="1">
        <f t="array" ref="S288">MAX(IF((DiscreteStatsTable[GroupByKey]=DiscreteStatsTable[[#This Row],[GroupByKey]]),(DiscreteStatsTable[GroupByKey]=DiscreteStatsTable[[#This Row],[GroupByKey]])*DiscreteStatsTable[Average]))</f>
        <v>4.6814959629385502</v>
      </c>
      <c r="T288" s="5" cm="1">
        <f t="array" ref="T288">MIN(IF((DiscreteStatsTable[GroupByKey]=DiscreteStatsTable[[#This Row],[GroupByKey]]),(DiscreteStatsTable[GroupByKey]=DiscreteStatsTable[[#This Row],[GroupByKey]])*DiscreteStatsTable[Minimum]))</f>
        <v>0.65114275444322001</v>
      </c>
      <c r="U288" s="5" cm="1">
        <f t="array" ref="U288">MAX(IF((DiscreteStatsTable[GroupByKey]=DiscreteStatsTable[[#This Row],[GroupByKey]]),(DiscreteStatsTable[GroupByKey]=DiscreteStatsTable[[#This Row],[GroupByKey]])*DiscreteStatsTable[Maximum]))</f>
        <v>4.6814959629385502</v>
      </c>
      <c r="V288" s="5" cm="1">
        <f t="array" ref="V288">IFERROR(AVERAGE(IF((DiscreteStatsTable[GroupByKey]=DiscreteStatsTable[[#This Row],[GroupByKey]]),(DiscreteStatsTable[GroupByKey]=DiscreteStatsTable[[#This Row],[GroupByKey]])*DiscreteStatsTable[NumberObservations])),0)</f>
        <v>1</v>
      </c>
      <c r="W288" s="5">
        <f>IF((DiscreteStatsTable[[#This Row],[RepsRequested]]&gt;1),DiscreteStatsTable[[#This Row],[HalfWidth]],DiscreteStatsTable[[#This Row],[BatchMeansHalfWidth]])</f>
        <v>0.47128115412522836</v>
      </c>
      <c r="X288" s="5" cm="1">
        <f t="array" ref="X288">COUNT(IF((DiscreteStatsTable[GroupByKey]=DiscreteStatsTable[[#This Row],[GroupByKey]]),(DiscreteStatsTable[GroupByKey]=DiscreteStatsTable[[#This Row],[GroupByKey]])*DiscreteStatsTable[Replication]))</f>
        <v>19</v>
      </c>
      <c r="Y288" s="5">
        <f>IF(DiscreteStatsTable[[#This Row],[RepsRequested]]=DiscreteStatsTable[[#This Row],[RepsWithStatObserved]],1,0)</f>
        <v>1</v>
      </c>
    </row>
    <row r="289" spans="1:25" x14ac:dyDescent="0.25">
      <c r="A289" t="s">
        <v>67</v>
      </c>
      <c r="B289" t="s">
        <v>69</v>
      </c>
      <c r="C289">
        <v>3</v>
      </c>
      <c r="D289" t="s">
        <v>93</v>
      </c>
      <c r="E289" t="s">
        <v>79</v>
      </c>
      <c r="F289" t="s">
        <v>80</v>
      </c>
      <c r="G289">
        <v>2.8352599908715601</v>
      </c>
      <c r="H289">
        <v>2E+20</v>
      </c>
      <c r="I289">
        <v>2.8352599908715601</v>
      </c>
      <c r="J289">
        <v>2.8352599908715601</v>
      </c>
      <c r="K289">
        <v>1</v>
      </c>
      <c r="L28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compartida)EsperaPedidoH1ExpressionUser Specified</v>
      </c>
      <c r="M289" s="5" cm="1">
        <f t="array" ref="M289">MAX(IF((ProjectInfoTable[ProjectName]=DiscreteStatsTable[[#This Row],[ProjectName]]),(ProjectInfoTable[ProjectName]=DiscreteStatsTable[[#This Row],[ProjectName]])*ProjectInfoTable[NumberOfReplications]))</f>
        <v>19</v>
      </c>
      <c r="N289" s="5" cm="1">
        <f t="array" ref="N289">IFERROR(AVERAGE(IF((DiscreteStatsTable[GroupByKey]=DiscreteStatsTable[[#This Row],[GroupByKey]]),(DiscreteStatsTable[GroupByKey]=DiscreteStatsTable[[#This Row],[GroupByKey]])*DiscreteStatsTable[Average])),0)</f>
        <v>1.2223055609756739</v>
      </c>
      <c r="O289" s="5" cm="1">
        <f t="array" ref="O289">IFERROR(_xlfn.STDEV.S(IF((DiscreteStatsTable[GroupByKey]=DiscreteStatsTable[[#This Row],[GroupByKey]]),(DiscreteStatsTable[GroupByKey]=DiscreteStatsTable[[#This Row],[GroupByKey]])*DiscreteStatsTable[Average])),0)</f>
        <v>0.97779302871771601</v>
      </c>
      <c r="P289" s="5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0.47128115412522836</v>
      </c>
      <c r="R289" s="5" cm="1">
        <f t="array" ref="R289">MIN(IF((DiscreteStatsTable[GroupByKey]=DiscreteStatsTable[[#This Row],[GroupByKey]]),(DiscreteStatsTable[GroupByKey]=DiscreteStatsTable[[#This Row],[GroupByKey]])*DiscreteStatsTable[Average]))</f>
        <v>0.65114275444322001</v>
      </c>
      <c r="S289" s="5" cm="1">
        <f t="array" ref="S289">MAX(IF((DiscreteStatsTable[GroupByKey]=DiscreteStatsTable[[#This Row],[GroupByKey]]),(DiscreteStatsTable[GroupByKey]=DiscreteStatsTable[[#This Row],[GroupByKey]])*DiscreteStatsTable[Average]))</f>
        <v>4.6814959629385502</v>
      </c>
      <c r="T289" s="5" cm="1">
        <f t="array" ref="T289">MIN(IF((DiscreteStatsTable[GroupByKey]=DiscreteStatsTable[[#This Row],[GroupByKey]]),(DiscreteStatsTable[GroupByKey]=DiscreteStatsTable[[#This Row],[GroupByKey]])*DiscreteStatsTable[Minimum]))</f>
        <v>0.65114275444322001</v>
      </c>
      <c r="U289" s="5" cm="1">
        <f t="array" ref="U289">MAX(IF((DiscreteStatsTable[GroupByKey]=DiscreteStatsTable[[#This Row],[GroupByKey]]),(DiscreteStatsTable[GroupByKey]=DiscreteStatsTable[[#This Row],[GroupByKey]])*DiscreteStatsTable[Maximum]))</f>
        <v>4.6814959629385502</v>
      </c>
      <c r="V289" s="5" cm="1">
        <f t="array" ref="V289">IFERROR(AVERAGE(IF((DiscreteStatsTable[GroupByKey]=DiscreteStatsTable[[#This Row],[GroupByKey]]),(DiscreteStatsTable[GroupByKey]=DiscreteStatsTable[[#This Row],[GroupByKey]])*DiscreteStatsTable[NumberObservations])),0)</f>
        <v>1</v>
      </c>
      <c r="W289" s="5">
        <f>IF((DiscreteStatsTable[[#This Row],[RepsRequested]]&gt;1),DiscreteStatsTable[[#This Row],[HalfWidth]],DiscreteStatsTable[[#This Row],[BatchMeansHalfWidth]])</f>
        <v>0.47128115412522836</v>
      </c>
      <c r="X289" s="5" cm="1">
        <f t="array" ref="X289">COUNT(IF((DiscreteStatsTable[GroupByKey]=DiscreteStatsTable[[#This Row],[GroupByKey]]),(DiscreteStatsTable[GroupByKey]=DiscreteStatsTable[[#This Row],[GroupByKey]])*DiscreteStatsTable[Replication]))</f>
        <v>19</v>
      </c>
      <c r="Y289" s="5">
        <f>IF(DiscreteStatsTable[[#This Row],[RepsRequested]]=DiscreteStatsTable[[#This Row],[RepsWithStatObserved]],1,0)</f>
        <v>1</v>
      </c>
    </row>
    <row r="290" spans="1:25" x14ac:dyDescent="0.25">
      <c r="A290" t="s">
        <v>67</v>
      </c>
      <c r="B290" t="s">
        <v>69</v>
      </c>
      <c r="C290">
        <v>4</v>
      </c>
      <c r="D290" t="s">
        <v>93</v>
      </c>
      <c r="E290" t="s">
        <v>79</v>
      </c>
      <c r="F290" t="s">
        <v>80</v>
      </c>
      <c r="G290">
        <v>0.94242200588763902</v>
      </c>
      <c r="H290">
        <v>2E+20</v>
      </c>
      <c r="I290">
        <v>0.94242200588763902</v>
      </c>
      <c r="J290">
        <v>0.94242200588763902</v>
      </c>
      <c r="K290">
        <v>1</v>
      </c>
      <c r="L29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compartida)EsperaPedidoH1ExpressionUser Specified</v>
      </c>
      <c r="M290" s="5" cm="1">
        <f t="array" ref="M290">MAX(IF((ProjectInfoTable[ProjectName]=DiscreteStatsTable[[#This Row],[ProjectName]]),(ProjectInfoTable[ProjectName]=DiscreteStatsTable[[#This Row],[ProjectName]])*ProjectInfoTable[NumberOfReplications]))</f>
        <v>19</v>
      </c>
      <c r="N290" s="5" cm="1">
        <f t="array" ref="N290">IFERROR(AVERAGE(IF((DiscreteStatsTable[GroupByKey]=DiscreteStatsTable[[#This Row],[GroupByKey]]),(DiscreteStatsTable[GroupByKey]=DiscreteStatsTable[[#This Row],[GroupByKey]])*DiscreteStatsTable[Average])),0)</f>
        <v>1.2223055609756739</v>
      </c>
      <c r="O290" s="5" cm="1">
        <f t="array" ref="O290">IFERROR(_xlfn.STDEV.S(IF((DiscreteStatsTable[GroupByKey]=DiscreteStatsTable[[#This Row],[GroupByKey]]),(DiscreteStatsTable[GroupByKey]=DiscreteStatsTable[[#This Row],[GroupByKey]])*DiscreteStatsTable[Average])),0)</f>
        <v>0.97779302871771601</v>
      </c>
      <c r="P290" s="5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0.47128115412522836</v>
      </c>
      <c r="R290" s="5" cm="1">
        <f t="array" ref="R290">MIN(IF((DiscreteStatsTable[GroupByKey]=DiscreteStatsTable[[#This Row],[GroupByKey]]),(DiscreteStatsTable[GroupByKey]=DiscreteStatsTable[[#This Row],[GroupByKey]])*DiscreteStatsTable[Average]))</f>
        <v>0.65114275444322001</v>
      </c>
      <c r="S290" s="5" cm="1">
        <f t="array" ref="S290">MAX(IF((DiscreteStatsTable[GroupByKey]=DiscreteStatsTable[[#This Row],[GroupByKey]]),(DiscreteStatsTable[GroupByKey]=DiscreteStatsTable[[#This Row],[GroupByKey]])*DiscreteStatsTable[Average]))</f>
        <v>4.6814959629385502</v>
      </c>
      <c r="T290" s="5" cm="1">
        <f t="array" ref="T290">MIN(IF((DiscreteStatsTable[GroupByKey]=DiscreteStatsTable[[#This Row],[GroupByKey]]),(DiscreteStatsTable[GroupByKey]=DiscreteStatsTable[[#This Row],[GroupByKey]])*DiscreteStatsTable[Minimum]))</f>
        <v>0.65114275444322001</v>
      </c>
      <c r="U290" s="5" cm="1">
        <f t="array" ref="U290">MAX(IF((DiscreteStatsTable[GroupByKey]=DiscreteStatsTable[[#This Row],[GroupByKey]]),(DiscreteStatsTable[GroupByKey]=DiscreteStatsTable[[#This Row],[GroupByKey]])*DiscreteStatsTable[Maximum]))</f>
        <v>4.6814959629385502</v>
      </c>
      <c r="V290" s="5" cm="1">
        <f t="array" ref="V290">IFERROR(AVERAGE(IF((DiscreteStatsTable[GroupByKey]=DiscreteStatsTable[[#This Row],[GroupByKey]]),(DiscreteStatsTable[GroupByKey]=DiscreteStatsTable[[#This Row],[GroupByKey]])*DiscreteStatsTable[NumberObservations])),0)</f>
        <v>1</v>
      </c>
      <c r="W290" s="5">
        <f>IF((DiscreteStatsTable[[#This Row],[RepsRequested]]&gt;1),DiscreteStatsTable[[#This Row],[HalfWidth]],DiscreteStatsTable[[#This Row],[BatchMeansHalfWidth]])</f>
        <v>0.47128115412522836</v>
      </c>
      <c r="X290" s="5" cm="1">
        <f t="array" ref="X290">COUNT(IF((DiscreteStatsTable[GroupByKey]=DiscreteStatsTable[[#This Row],[GroupByKey]]),(DiscreteStatsTable[GroupByKey]=DiscreteStatsTable[[#This Row],[GroupByKey]])*DiscreteStatsTable[Replication]))</f>
        <v>19</v>
      </c>
      <c r="Y290" s="5">
        <f>IF(DiscreteStatsTable[[#This Row],[RepsRequested]]=DiscreteStatsTable[[#This Row],[RepsWithStatObserved]],1,0)</f>
        <v>1</v>
      </c>
    </row>
    <row r="291" spans="1:25" x14ac:dyDescent="0.25">
      <c r="A291" t="s">
        <v>67</v>
      </c>
      <c r="B291" t="s">
        <v>69</v>
      </c>
      <c r="C291">
        <v>5</v>
      </c>
      <c r="D291" t="s">
        <v>93</v>
      </c>
      <c r="E291" t="s">
        <v>79</v>
      </c>
      <c r="F291" t="s">
        <v>80</v>
      </c>
      <c r="G291">
        <v>0.70019119936382601</v>
      </c>
      <c r="H291">
        <v>2E+20</v>
      </c>
      <c r="I291">
        <v>0.70019119936382601</v>
      </c>
      <c r="J291">
        <v>0.70019119936382601</v>
      </c>
      <c r="K291">
        <v>1</v>
      </c>
      <c r="L29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compartida)EsperaPedidoH1ExpressionUser Specified</v>
      </c>
      <c r="M291" s="5" cm="1">
        <f t="array" ref="M291">MAX(IF((ProjectInfoTable[ProjectName]=DiscreteStatsTable[[#This Row],[ProjectName]]),(ProjectInfoTable[ProjectName]=DiscreteStatsTable[[#This Row],[ProjectName]])*ProjectInfoTable[NumberOfReplications]))</f>
        <v>19</v>
      </c>
      <c r="N291" s="5" cm="1">
        <f t="array" ref="N291">IFERROR(AVERAGE(IF((DiscreteStatsTable[GroupByKey]=DiscreteStatsTable[[#This Row],[GroupByKey]]),(DiscreteStatsTable[GroupByKey]=DiscreteStatsTable[[#This Row],[GroupByKey]])*DiscreteStatsTable[Average])),0)</f>
        <v>1.2223055609756739</v>
      </c>
      <c r="O291" s="5" cm="1">
        <f t="array" ref="O291">IFERROR(_xlfn.STDEV.S(IF((DiscreteStatsTable[GroupByKey]=DiscreteStatsTable[[#This Row],[GroupByKey]]),(DiscreteStatsTable[GroupByKey]=DiscreteStatsTable[[#This Row],[GroupByKey]])*DiscreteStatsTable[Average])),0)</f>
        <v>0.97779302871771601</v>
      </c>
      <c r="P291" s="5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0.47128115412522836</v>
      </c>
      <c r="R291" s="5" cm="1">
        <f t="array" ref="R291">MIN(IF((DiscreteStatsTable[GroupByKey]=DiscreteStatsTable[[#This Row],[GroupByKey]]),(DiscreteStatsTable[GroupByKey]=DiscreteStatsTable[[#This Row],[GroupByKey]])*DiscreteStatsTable[Average]))</f>
        <v>0.65114275444322001</v>
      </c>
      <c r="S291" s="5" cm="1">
        <f t="array" ref="S291">MAX(IF((DiscreteStatsTable[GroupByKey]=DiscreteStatsTable[[#This Row],[GroupByKey]]),(DiscreteStatsTable[GroupByKey]=DiscreteStatsTable[[#This Row],[GroupByKey]])*DiscreteStatsTable[Average]))</f>
        <v>4.6814959629385502</v>
      </c>
      <c r="T291" s="5" cm="1">
        <f t="array" ref="T291">MIN(IF((DiscreteStatsTable[GroupByKey]=DiscreteStatsTable[[#This Row],[GroupByKey]]),(DiscreteStatsTable[GroupByKey]=DiscreteStatsTable[[#This Row],[GroupByKey]])*DiscreteStatsTable[Minimum]))</f>
        <v>0.65114275444322001</v>
      </c>
      <c r="U291" s="5" cm="1">
        <f t="array" ref="U291">MAX(IF((DiscreteStatsTable[GroupByKey]=DiscreteStatsTable[[#This Row],[GroupByKey]]),(DiscreteStatsTable[GroupByKey]=DiscreteStatsTable[[#This Row],[GroupByKey]])*DiscreteStatsTable[Maximum]))</f>
        <v>4.6814959629385502</v>
      </c>
      <c r="V291" s="5" cm="1">
        <f t="array" ref="V291">IFERROR(AVERAGE(IF((DiscreteStatsTable[GroupByKey]=DiscreteStatsTable[[#This Row],[GroupByKey]]),(DiscreteStatsTable[GroupByKey]=DiscreteStatsTable[[#This Row],[GroupByKey]])*DiscreteStatsTable[NumberObservations])),0)</f>
        <v>1</v>
      </c>
      <c r="W291" s="5">
        <f>IF((DiscreteStatsTable[[#This Row],[RepsRequested]]&gt;1),DiscreteStatsTable[[#This Row],[HalfWidth]],DiscreteStatsTable[[#This Row],[BatchMeansHalfWidth]])</f>
        <v>0.47128115412522836</v>
      </c>
      <c r="X291" s="5" cm="1">
        <f t="array" ref="X291">COUNT(IF((DiscreteStatsTable[GroupByKey]=DiscreteStatsTable[[#This Row],[GroupByKey]]),(DiscreteStatsTable[GroupByKey]=DiscreteStatsTable[[#This Row],[GroupByKey]])*DiscreteStatsTable[Replication]))</f>
        <v>19</v>
      </c>
      <c r="Y291" s="5">
        <f>IF(DiscreteStatsTable[[#This Row],[RepsRequested]]=DiscreteStatsTable[[#This Row],[RepsWithStatObserved]],1,0)</f>
        <v>1</v>
      </c>
    </row>
    <row r="292" spans="1:25" x14ac:dyDescent="0.25">
      <c r="A292" t="s">
        <v>67</v>
      </c>
      <c r="B292" t="s">
        <v>69</v>
      </c>
      <c r="C292">
        <v>6</v>
      </c>
      <c r="D292" t="s">
        <v>93</v>
      </c>
      <c r="E292" t="s">
        <v>79</v>
      </c>
      <c r="F292" t="s">
        <v>80</v>
      </c>
      <c r="G292">
        <v>0.96885627262412599</v>
      </c>
      <c r="H292">
        <v>2E+20</v>
      </c>
      <c r="I292">
        <v>0.96885627262412599</v>
      </c>
      <c r="J292">
        <v>0.96885627262412599</v>
      </c>
      <c r="K292">
        <v>1</v>
      </c>
      <c r="L29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compartida)EsperaPedidoH1ExpressionUser Specified</v>
      </c>
      <c r="M292" s="5" cm="1">
        <f t="array" ref="M292">MAX(IF((ProjectInfoTable[ProjectName]=DiscreteStatsTable[[#This Row],[ProjectName]]),(ProjectInfoTable[ProjectName]=DiscreteStatsTable[[#This Row],[ProjectName]])*ProjectInfoTable[NumberOfReplications]))</f>
        <v>19</v>
      </c>
      <c r="N292" s="5" cm="1">
        <f t="array" ref="N292">IFERROR(AVERAGE(IF((DiscreteStatsTable[GroupByKey]=DiscreteStatsTable[[#This Row],[GroupByKey]]),(DiscreteStatsTable[GroupByKey]=DiscreteStatsTable[[#This Row],[GroupByKey]])*DiscreteStatsTable[Average])),0)</f>
        <v>1.2223055609756739</v>
      </c>
      <c r="O292" s="5" cm="1">
        <f t="array" ref="O292">IFERROR(_xlfn.STDEV.S(IF((DiscreteStatsTable[GroupByKey]=DiscreteStatsTable[[#This Row],[GroupByKey]]),(DiscreteStatsTable[GroupByKey]=DiscreteStatsTable[[#This Row],[GroupByKey]])*DiscreteStatsTable[Average])),0)</f>
        <v>0.97779302871771601</v>
      </c>
      <c r="P292" s="5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0.47128115412522836</v>
      </c>
      <c r="R292" s="5" cm="1">
        <f t="array" ref="R292">MIN(IF((DiscreteStatsTable[GroupByKey]=DiscreteStatsTable[[#This Row],[GroupByKey]]),(DiscreteStatsTable[GroupByKey]=DiscreteStatsTable[[#This Row],[GroupByKey]])*DiscreteStatsTable[Average]))</f>
        <v>0.65114275444322001</v>
      </c>
      <c r="S292" s="5" cm="1">
        <f t="array" ref="S292">MAX(IF((DiscreteStatsTable[GroupByKey]=DiscreteStatsTable[[#This Row],[GroupByKey]]),(DiscreteStatsTable[GroupByKey]=DiscreteStatsTable[[#This Row],[GroupByKey]])*DiscreteStatsTable[Average]))</f>
        <v>4.6814959629385502</v>
      </c>
      <c r="T292" s="5" cm="1">
        <f t="array" ref="T292">MIN(IF((DiscreteStatsTable[GroupByKey]=DiscreteStatsTable[[#This Row],[GroupByKey]]),(DiscreteStatsTable[GroupByKey]=DiscreteStatsTable[[#This Row],[GroupByKey]])*DiscreteStatsTable[Minimum]))</f>
        <v>0.65114275444322001</v>
      </c>
      <c r="U292" s="5" cm="1">
        <f t="array" ref="U292">MAX(IF((DiscreteStatsTable[GroupByKey]=DiscreteStatsTable[[#This Row],[GroupByKey]]),(DiscreteStatsTable[GroupByKey]=DiscreteStatsTable[[#This Row],[GroupByKey]])*DiscreteStatsTable[Maximum]))</f>
        <v>4.6814959629385502</v>
      </c>
      <c r="V292" s="5" cm="1">
        <f t="array" ref="V292">IFERROR(AVERAGE(IF((DiscreteStatsTable[GroupByKey]=DiscreteStatsTable[[#This Row],[GroupByKey]]),(DiscreteStatsTable[GroupByKey]=DiscreteStatsTable[[#This Row],[GroupByKey]])*DiscreteStatsTable[NumberObservations])),0)</f>
        <v>1</v>
      </c>
      <c r="W292" s="5">
        <f>IF((DiscreteStatsTable[[#This Row],[RepsRequested]]&gt;1),DiscreteStatsTable[[#This Row],[HalfWidth]],DiscreteStatsTable[[#This Row],[BatchMeansHalfWidth]])</f>
        <v>0.47128115412522836</v>
      </c>
      <c r="X292" s="5" cm="1">
        <f t="array" ref="X292">COUNT(IF((DiscreteStatsTable[GroupByKey]=DiscreteStatsTable[[#This Row],[GroupByKey]]),(DiscreteStatsTable[GroupByKey]=DiscreteStatsTable[[#This Row],[GroupByKey]])*DiscreteStatsTable[Replication]))</f>
        <v>19</v>
      </c>
      <c r="Y292" s="5">
        <f>IF(DiscreteStatsTable[[#This Row],[RepsRequested]]=DiscreteStatsTable[[#This Row],[RepsWithStatObserved]],1,0)</f>
        <v>1</v>
      </c>
    </row>
    <row r="293" spans="1:25" x14ac:dyDescent="0.25">
      <c r="A293" t="s">
        <v>67</v>
      </c>
      <c r="B293" t="s">
        <v>69</v>
      </c>
      <c r="C293">
        <v>7</v>
      </c>
      <c r="D293" t="s">
        <v>93</v>
      </c>
      <c r="E293" t="s">
        <v>79</v>
      </c>
      <c r="F293" t="s">
        <v>80</v>
      </c>
      <c r="G293">
        <v>0.68696530389735699</v>
      </c>
      <c r="H293">
        <v>2E+20</v>
      </c>
      <c r="I293">
        <v>0.68696530389735699</v>
      </c>
      <c r="J293">
        <v>0.68696530389735699</v>
      </c>
      <c r="K293">
        <v>1</v>
      </c>
      <c r="L29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compartida)EsperaPedidoH1ExpressionUser Specified</v>
      </c>
      <c r="M293" s="5" cm="1">
        <f t="array" ref="M293">MAX(IF((ProjectInfoTable[ProjectName]=DiscreteStatsTable[[#This Row],[ProjectName]]),(ProjectInfoTable[ProjectName]=DiscreteStatsTable[[#This Row],[ProjectName]])*ProjectInfoTable[NumberOfReplications]))</f>
        <v>19</v>
      </c>
      <c r="N293" s="5" cm="1">
        <f t="array" ref="N293">IFERROR(AVERAGE(IF((DiscreteStatsTable[GroupByKey]=DiscreteStatsTable[[#This Row],[GroupByKey]]),(DiscreteStatsTable[GroupByKey]=DiscreteStatsTable[[#This Row],[GroupByKey]])*DiscreteStatsTable[Average])),0)</f>
        <v>1.2223055609756739</v>
      </c>
      <c r="O293" s="5" cm="1">
        <f t="array" ref="O293">IFERROR(_xlfn.STDEV.S(IF((DiscreteStatsTable[GroupByKey]=DiscreteStatsTable[[#This Row],[GroupByKey]]),(DiscreteStatsTable[GroupByKey]=DiscreteStatsTable[[#This Row],[GroupByKey]])*DiscreteStatsTable[Average])),0)</f>
        <v>0.97779302871771601</v>
      </c>
      <c r="P293" s="5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0.47128115412522836</v>
      </c>
      <c r="R293" s="5" cm="1">
        <f t="array" ref="R293">MIN(IF((DiscreteStatsTable[GroupByKey]=DiscreteStatsTable[[#This Row],[GroupByKey]]),(DiscreteStatsTable[GroupByKey]=DiscreteStatsTable[[#This Row],[GroupByKey]])*DiscreteStatsTable[Average]))</f>
        <v>0.65114275444322001</v>
      </c>
      <c r="S293" s="5" cm="1">
        <f t="array" ref="S293">MAX(IF((DiscreteStatsTable[GroupByKey]=DiscreteStatsTable[[#This Row],[GroupByKey]]),(DiscreteStatsTable[GroupByKey]=DiscreteStatsTable[[#This Row],[GroupByKey]])*DiscreteStatsTable[Average]))</f>
        <v>4.6814959629385502</v>
      </c>
      <c r="T293" s="5" cm="1">
        <f t="array" ref="T293">MIN(IF((DiscreteStatsTable[GroupByKey]=DiscreteStatsTable[[#This Row],[GroupByKey]]),(DiscreteStatsTable[GroupByKey]=DiscreteStatsTable[[#This Row],[GroupByKey]])*DiscreteStatsTable[Minimum]))</f>
        <v>0.65114275444322001</v>
      </c>
      <c r="U293" s="5" cm="1">
        <f t="array" ref="U293">MAX(IF((DiscreteStatsTable[GroupByKey]=DiscreteStatsTable[[#This Row],[GroupByKey]]),(DiscreteStatsTable[GroupByKey]=DiscreteStatsTable[[#This Row],[GroupByKey]])*DiscreteStatsTable[Maximum]))</f>
        <v>4.6814959629385502</v>
      </c>
      <c r="V293" s="5" cm="1">
        <f t="array" ref="V293">IFERROR(AVERAGE(IF((DiscreteStatsTable[GroupByKey]=DiscreteStatsTable[[#This Row],[GroupByKey]]),(DiscreteStatsTable[GroupByKey]=DiscreteStatsTable[[#This Row],[GroupByKey]])*DiscreteStatsTable[NumberObservations])),0)</f>
        <v>1</v>
      </c>
      <c r="W293" s="5">
        <f>IF((DiscreteStatsTable[[#This Row],[RepsRequested]]&gt;1),DiscreteStatsTable[[#This Row],[HalfWidth]],DiscreteStatsTable[[#This Row],[BatchMeansHalfWidth]])</f>
        <v>0.47128115412522836</v>
      </c>
      <c r="X293" s="5" cm="1">
        <f t="array" ref="X293">COUNT(IF((DiscreteStatsTable[GroupByKey]=DiscreteStatsTable[[#This Row],[GroupByKey]]),(DiscreteStatsTable[GroupByKey]=DiscreteStatsTable[[#This Row],[GroupByKey]])*DiscreteStatsTable[Replication]))</f>
        <v>19</v>
      </c>
      <c r="Y293" s="5">
        <f>IF(DiscreteStatsTable[[#This Row],[RepsRequested]]=DiscreteStatsTable[[#This Row],[RepsWithStatObserved]],1,0)</f>
        <v>1</v>
      </c>
    </row>
    <row r="294" spans="1:25" x14ac:dyDescent="0.25">
      <c r="A294" t="s">
        <v>67</v>
      </c>
      <c r="B294" t="s">
        <v>69</v>
      </c>
      <c r="C294">
        <v>8</v>
      </c>
      <c r="D294" t="s">
        <v>93</v>
      </c>
      <c r="E294" t="s">
        <v>79</v>
      </c>
      <c r="F294" t="s">
        <v>80</v>
      </c>
      <c r="G294">
        <v>1.0691093513688199</v>
      </c>
      <c r="H294">
        <v>2E+20</v>
      </c>
      <c r="I294">
        <v>1.0691093513688199</v>
      </c>
      <c r="J294">
        <v>1.0691093513688199</v>
      </c>
      <c r="K294">
        <v>1</v>
      </c>
      <c r="L29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compartida)EsperaPedidoH1ExpressionUser Specified</v>
      </c>
      <c r="M294" s="5" cm="1">
        <f t="array" ref="M294">MAX(IF((ProjectInfoTable[ProjectName]=DiscreteStatsTable[[#This Row],[ProjectName]]),(ProjectInfoTable[ProjectName]=DiscreteStatsTable[[#This Row],[ProjectName]])*ProjectInfoTable[NumberOfReplications]))</f>
        <v>19</v>
      </c>
      <c r="N294" s="5" cm="1">
        <f t="array" ref="N294">IFERROR(AVERAGE(IF((DiscreteStatsTable[GroupByKey]=DiscreteStatsTable[[#This Row],[GroupByKey]]),(DiscreteStatsTable[GroupByKey]=DiscreteStatsTable[[#This Row],[GroupByKey]])*DiscreteStatsTable[Average])),0)</f>
        <v>1.2223055609756739</v>
      </c>
      <c r="O294" s="5" cm="1">
        <f t="array" ref="O294">IFERROR(_xlfn.STDEV.S(IF((DiscreteStatsTable[GroupByKey]=DiscreteStatsTable[[#This Row],[GroupByKey]]),(DiscreteStatsTable[GroupByKey]=DiscreteStatsTable[[#This Row],[GroupByKey]])*DiscreteStatsTable[Average])),0)</f>
        <v>0.97779302871771601</v>
      </c>
      <c r="P294" s="5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0.47128115412522836</v>
      </c>
      <c r="R294" s="5" cm="1">
        <f t="array" ref="R294">MIN(IF((DiscreteStatsTable[GroupByKey]=DiscreteStatsTable[[#This Row],[GroupByKey]]),(DiscreteStatsTable[GroupByKey]=DiscreteStatsTable[[#This Row],[GroupByKey]])*DiscreteStatsTable[Average]))</f>
        <v>0.65114275444322001</v>
      </c>
      <c r="S294" s="5" cm="1">
        <f t="array" ref="S294">MAX(IF((DiscreteStatsTable[GroupByKey]=DiscreteStatsTable[[#This Row],[GroupByKey]]),(DiscreteStatsTable[GroupByKey]=DiscreteStatsTable[[#This Row],[GroupByKey]])*DiscreteStatsTable[Average]))</f>
        <v>4.6814959629385502</v>
      </c>
      <c r="T294" s="5" cm="1">
        <f t="array" ref="T294">MIN(IF((DiscreteStatsTable[GroupByKey]=DiscreteStatsTable[[#This Row],[GroupByKey]]),(DiscreteStatsTable[GroupByKey]=DiscreteStatsTable[[#This Row],[GroupByKey]])*DiscreteStatsTable[Minimum]))</f>
        <v>0.65114275444322001</v>
      </c>
      <c r="U294" s="5" cm="1">
        <f t="array" ref="U294">MAX(IF((DiscreteStatsTable[GroupByKey]=DiscreteStatsTable[[#This Row],[GroupByKey]]),(DiscreteStatsTable[GroupByKey]=DiscreteStatsTable[[#This Row],[GroupByKey]])*DiscreteStatsTable[Maximum]))</f>
        <v>4.6814959629385502</v>
      </c>
      <c r="V294" s="5" cm="1">
        <f t="array" ref="V294">IFERROR(AVERAGE(IF((DiscreteStatsTable[GroupByKey]=DiscreteStatsTable[[#This Row],[GroupByKey]]),(DiscreteStatsTable[GroupByKey]=DiscreteStatsTable[[#This Row],[GroupByKey]])*DiscreteStatsTable[NumberObservations])),0)</f>
        <v>1</v>
      </c>
      <c r="W294" s="5">
        <f>IF((DiscreteStatsTable[[#This Row],[RepsRequested]]&gt;1),DiscreteStatsTable[[#This Row],[HalfWidth]],DiscreteStatsTable[[#This Row],[BatchMeansHalfWidth]])</f>
        <v>0.47128115412522836</v>
      </c>
      <c r="X294" s="5" cm="1">
        <f t="array" ref="X294">COUNT(IF((DiscreteStatsTable[GroupByKey]=DiscreteStatsTable[[#This Row],[GroupByKey]]),(DiscreteStatsTable[GroupByKey]=DiscreteStatsTable[[#This Row],[GroupByKey]])*DiscreteStatsTable[Replication]))</f>
        <v>19</v>
      </c>
      <c r="Y294" s="5">
        <f>IF(DiscreteStatsTable[[#This Row],[RepsRequested]]=DiscreteStatsTable[[#This Row],[RepsWithStatObserved]],1,0)</f>
        <v>1</v>
      </c>
    </row>
    <row r="295" spans="1:25" x14ac:dyDescent="0.25">
      <c r="A295" t="s">
        <v>67</v>
      </c>
      <c r="B295" t="s">
        <v>69</v>
      </c>
      <c r="C295">
        <v>9</v>
      </c>
      <c r="D295" t="s">
        <v>93</v>
      </c>
      <c r="E295" t="s">
        <v>79</v>
      </c>
      <c r="F295" t="s">
        <v>80</v>
      </c>
      <c r="G295">
        <v>1.0465602576123101</v>
      </c>
      <c r="H295">
        <v>2E+20</v>
      </c>
      <c r="I295">
        <v>1.0465602576123101</v>
      </c>
      <c r="J295">
        <v>1.0465602576123101</v>
      </c>
      <c r="K295">
        <v>1</v>
      </c>
      <c r="L29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compartida)EsperaPedidoH1ExpressionUser Specified</v>
      </c>
      <c r="M295" s="5" cm="1">
        <f t="array" ref="M295">MAX(IF((ProjectInfoTable[ProjectName]=DiscreteStatsTable[[#This Row],[ProjectName]]),(ProjectInfoTable[ProjectName]=DiscreteStatsTable[[#This Row],[ProjectName]])*ProjectInfoTable[NumberOfReplications]))</f>
        <v>19</v>
      </c>
      <c r="N295" s="5" cm="1">
        <f t="array" ref="N295">IFERROR(AVERAGE(IF((DiscreteStatsTable[GroupByKey]=DiscreteStatsTable[[#This Row],[GroupByKey]]),(DiscreteStatsTable[GroupByKey]=DiscreteStatsTable[[#This Row],[GroupByKey]])*DiscreteStatsTable[Average])),0)</f>
        <v>1.2223055609756739</v>
      </c>
      <c r="O295" s="5" cm="1">
        <f t="array" ref="O295">IFERROR(_xlfn.STDEV.S(IF((DiscreteStatsTable[GroupByKey]=DiscreteStatsTable[[#This Row],[GroupByKey]]),(DiscreteStatsTable[GroupByKey]=DiscreteStatsTable[[#This Row],[GroupByKey]])*DiscreteStatsTable[Average])),0)</f>
        <v>0.97779302871771601</v>
      </c>
      <c r="P295" s="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0.47128115412522836</v>
      </c>
      <c r="R295" s="5" cm="1">
        <f t="array" ref="R295">MIN(IF((DiscreteStatsTable[GroupByKey]=DiscreteStatsTable[[#This Row],[GroupByKey]]),(DiscreteStatsTable[GroupByKey]=DiscreteStatsTable[[#This Row],[GroupByKey]])*DiscreteStatsTable[Average]))</f>
        <v>0.65114275444322001</v>
      </c>
      <c r="S295" s="5" cm="1">
        <f t="array" ref="S295">MAX(IF((DiscreteStatsTable[GroupByKey]=DiscreteStatsTable[[#This Row],[GroupByKey]]),(DiscreteStatsTable[GroupByKey]=DiscreteStatsTable[[#This Row],[GroupByKey]])*DiscreteStatsTable[Average]))</f>
        <v>4.6814959629385502</v>
      </c>
      <c r="T295" s="5" cm="1">
        <f t="array" ref="T295">MIN(IF((DiscreteStatsTable[GroupByKey]=DiscreteStatsTable[[#This Row],[GroupByKey]]),(DiscreteStatsTable[GroupByKey]=DiscreteStatsTable[[#This Row],[GroupByKey]])*DiscreteStatsTable[Minimum]))</f>
        <v>0.65114275444322001</v>
      </c>
      <c r="U295" s="5" cm="1">
        <f t="array" ref="U295">MAX(IF((DiscreteStatsTable[GroupByKey]=DiscreteStatsTable[[#This Row],[GroupByKey]]),(DiscreteStatsTable[GroupByKey]=DiscreteStatsTable[[#This Row],[GroupByKey]])*DiscreteStatsTable[Maximum]))</f>
        <v>4.6814959629385502</v>
      </c>
      <c r="V295" s="5" cm="1">
        <f t="array" ref="V295">IFERROR(AVERAGE(IF((DiscreteStatsTable[GroupByKey]=DiscreteStatsTable[[#This Row],[GroupByKey]]),(DiscreteStatsTable[GroupByKey]=DiscreteStatsTable[[#This Row],[GroupByKey]])*DiscreteStatsTable[NumberObservations])),0)</f>
        <v>1</v>
      </c>
      <c r="W295" s="5">
        <f>IF((DiscreteStatsTable[[#This Row],[RepsRequested]]&gt;1),DiscreteStatsTable[[#This Row],[HalfWidth]],DiscreteStatsTable[[#This Row],[BatchMeansHalfWidth]])</f>
        <v>0.47128115412522836</v>
      </c>
      <c r="X295" s="5" cm="1">
        <f t="array" ref="X295">COUNT(IF((DiscreteStatsTable[GroupByKey]=DiscreteStatsTable[[#This Row],[GroupByKey]]),(DiscreteStatsTable[GroupByKey]=DiscreteStatsTable[[#This Row],[GroupByKey]])*DiscreteStatsTable[Replication]))</f>
        <v>19</v>
      </c>
      <c r="Y295" s="5">
        <f>IF(DiscreteStatsTable[[#This Row],[RepsRequested]]=DiscreteStatsTable[[#This Row],[RepsWithStatObserved]],1,0)</f>
        <v>1</v>
      </c>
    </row>
    <row r="296" spans="1:25" x14ac:dyDescent="0.25">
      <c r="A296" t="s">
        <v>67</v>
      </c>
      <c r="B296" t="s">
        <v>69</v>
      </c>
      <c r="C296">
        <v>10</v>
      </c>
      <c r="D296" t="s">
        <v>93</v>
      </c>
      <c r="E296" t="s">
        <v>79</v>
      </c>
      <c r="F296" t="s">
        <v>80</v>
      </c>
      <c r="G296">
        <v>0.90822526195320097</v>
      </c>
      <c r="H296">
        <v>2E+20</v>
      </c>
      <c r="I296">
        <v>0.90822526195320097</v>
      </c>
      <c r="J296">
        <v>0.90822526195320097</v>
      </c>
      <c r="K296">
        <v>1</v>
      </c>
      <c r="L29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compartida)EsperaPedidoH1ExpressionUser Specified</v>
      </c>
      <c r="M296" s="5" cm="1">
        <f t="array" ref="M296">MAX(IF((ProjectInfoTable[ProjectName]=DiscreteStatsTable[[#This Row],[ProjectName]]),(ProjectInfoTable[ProjectName]=DiscreteStatsTable[[#This Row],[ProjectName]])*ProjectInfoTable[NumberOfReplications]))</f>
        <v>19</v>
      </c>
      <c r="N296" s="5" cm="1">
        <f t="array" ref="N296">IFERROR(AVERAGE(IF((DiscreteStatsTable[GroupByKey]=DiscreteStatsTable[[#This Row],[GroupByKey]]),(DiscreteStatsTable[GroupByKey]=DiscreteStatsTable[[#This Row],[GroupByKey]])*DiscreteStatsTable[Average])),0)</f>
        <v>1.2223055609756739</v>
      </c>
      <c r="O296" s="5" cm="1">
        <f t="array" ref="O296">IFERROR(_xlfn.STDEV.S(IF((DiscreteStatsTable[GroupByKey]=DiscreteStatsTable[[#This Row],[GroupByKey]]),(DiscreteStatsTable[GroupByKey]=DiscreteStatsTable[[#This Row],[GroupByKey]])*DiscreteStatsTable[Average])),0)</f>
        <v>0.97779302871771601</v>
      </c>
      <c r="P296" s="5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0.47128115412522836</v>
      </c>
      <c r="R296" s="5" cm="1">
        <f t="array" ref="R296">MIN(IF((DiscreteStatsTable[GroupByKey]=DiscreteStatsTable[[#This Row],[GroupByKey]]),(DiscreteStatsTable[GroupByKey]=DiscreteStatsTable[[#This Row],[GroupByKey]])*DiscreteStatsTable[Average]))</f>
        <v>0.65114275444322001</v>
      </c>
      <c r="S296" s="5" cm="1">
        <f t="array" ref="S296">MAX(IF((DiscreteStatsTable[GroupByKey]=DiscreteStatsTable[[#This Row],[GroupByKey]]),(DiscreteStatsTable[GroupByKey]=DiscreteStatsTable[[#This Row],[GroupByKey]])*DiscreteStatsTable[Average]))</f>
        <v>4.6814959629385502</v>
      </c>
      <c r="T296" s="5" cm="1">
        <f t="array" ref="T296">MIN(IF((DiscreteStatsTable[GroupByKey]=DiscreteStatsTable[[#This Row],[GroupByKey]]),(DiscreteStatsTable[GroupByKey]=DiscreteStatsTable[[#This Row],[GroupByKey]])*DiscreteStatsTable[Minimum]))</f>
        <v>0.65114275444322001</v>
      </c>
      <c r="U296" s="5" cm="1">
        <f t="array" ref="U296">MAX(IF((DiscreteStatsTable[GroupByKey]=DiscreteStatsTable[[#This Row],[GroupByKey]]),(DiscreteStatsTable[GroupByKey]=DiscreteStatsTable[[#This Row],[GroupByKey]])*DiscreteStatsTable[Maximum]))</f>
        <v>4.6814959629385502</v>
      </c>
      <c r="V296" s="5" cm="1">
        <f t="array" ref="V296">IFERROR(AVERAGE(IF((DiscreteStatsTable[GroupByKey]=DiscreteStatsTable[[#This Row],[GroupByKey]]),(DiscreteStatsTable[GroupByKey]=DiscreteStatsTable[[#This Row],[GroupByKey]])*DiscreteStatsTable[NumberObservations])),0)</f>
        <v>1</v>
      </c>
      <c r="W296" s="5">
        <f>IF((DiscreteStatsTable[[#This Row],[RepsRequested]]&gt;1),DiscreteStatsTable[[#This Row],[HalfWidth]],DiscreteStatsTable[[#This Row],[BatchMeansHalfWidth]])</f>
        <v>0.47128115412522836</v>
      </c>
      <c r="X296" s="5" cm="1">
        <f t="array" ref="X296">COUNT(IF((DiscreteStatsTable[GroupByKey]=DiscreteStatsTable[[#This Row],[GroupByKey]]),(DiscreteStatsTable[GroupByKey]=DiscreteStatsTable[[#This Row],[GroupByKey]])*DiscreteStatsTable[Replication]))</f>
        <v>19</v>
      </c>
      <c r="Y296" s="5">
        <f>IF(DiscreteStatsTable[[#This Row],[RepsRequested]]=DiscreteStatsTable[[#This Row],[RepsWithStatObserved]],1,0)</f>
        <v>1</v>
      </c>
    </row>
    <row r="297" spans="1:25" x14ac:dyDescent="0.25">
      <c r="A297" t="s">
        <v>67</v>
      </c>
      <c r="B297" t="s">
        <v>69</v>
      </c>
      <c r="C297">
        <v>11</v>
      </c>
      <c r="D297" t="s">
        <v>93</v>
      </c>
      <c r="E297" t="s">
        <v>79</v>
      </c>
      <c r="F297" t="s">
        <v>80</v>
      </c>
      <c r="G297">
        <v>0.65114275444322001</v>
      </c>
      <c r="H297">
        <v>2E+20</v>
      </c>
      <c r="I297">
        <v>0.65114275444322001</v>
      </c>
      <c r="J297">
        <v>0.65114275444322001</v>
      </c>
      <c r="K297">
        <v>1</v>
      </c>
      <c r="L29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compartida)EsperaPedidoH1ExpressionUser Specified</v>
      </c>
      <c r="M297" s="5" cm="1">
        <f t="array" ref="M297">MAX(IF((ProjectInfoTable[ProjectName]=DiscreteStatsTable[[#This Row],[ProjectName]]),(ProjectInfoTable[ProjectName]=DiscreteStatsTable[[#This Row],[ProjectName]])*ProjectInfoTable[NumberOfReplications]))</f>
        <v>19</v>
      </c>
      <c r="N297" s="5" cm="1">
        <f t="array" ref="N297">IFERROR(AVERAGE(IF((DiscreteStatsTable[GroupByKey]=DiscreteStatsTable[[#This Row],[GroupByKey]]),(DiscreteStatsTable[GroupByKey]=DiscreteStatsTable[[#This Row],[GroupByKey]])*DiscreteStatsTable[Average])),0)</f>
        <v>1.2223055609756739</v>
      </c>
      <c r="O297" s="5" cm="1">
        <f t="array" ref="O297">IFERROR(_xlfn.STDEV.S(IF((DiscreteStatsTable[GroupByKey]=DiscreteStatsTable[[#This Row],[GroupByKey]]),(DiscreteStatsTable[GroupByKey]=DiscreteStatsTable[[#This Row],[GroupByKey]])*DiscreteStatsTable[Average])),0)</f>
        <v>0.97779302871771601</v>
      </c>
      <c r="P297" s="5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0.47128115412522836</v>
      </c>
      <c r="R297" s="5" cm="1">
        <f t="array" ref="R297">MIN(IF((DiscreteStatsTable[GroupByKey]=DiscreteStatsTable[[#This Row],[GroupByKey]]),(DiscreteStatsTable[GroupByKey]=DiscreteStatsTable[[#This Row],[GroupByKey]])*DiscreteStatsTable[Average]))</f>
        <v>0.65114275444322001</v>
      </c>
      <c r="S297" s="5" cm="1">
        <f t="array" ref="S297">MAX(IF((DiscreteStatsTable[GroupByKey]=DiscreteStatsTable[[#This Row],[GroupByKey]]),(DiscreteStatsTable[GroupByKey]=DiscreteStatsTable[[#This Row],[GroupByKey]])*DiscreteStatsTable[Average]))</f>
        <v>4.6814959629385502</v>
      </c>
      <c r="T297" s="5" cm="1">
        <f t="array" ref="T297">MIN(IF((DiscreteStatsTable[GroupByKey]=DiscreteStatsTable[[#This Row],[GroupByKey]]),(DiscreteStatsTable[GroupByKey]=DiscreteStatsTable[[#This Row],[GroupByKey]])*DiscreteStatsTable[Minimum]))</f>
        <v>0.65114275444322001</v>
      </c>
      <c r="U297" s="5" cm="1">
        <f t="array" ref="U297">MAX(IF((DiscreteStatsTable[GroupByKey]=DiscreteStatsTable[[#This Row],[GroupByKey]]),(DiscreteStatsTable[GroupByKey]=DiscreteStatsTable[[#This Row],[GroupByKey]])*DiscreteStatsTable[Maximum]))</f>
        <v>4.6814959629385502</v>
      </c>
      <c r="V297" s="5" cm="1">
        <f t="array" ref="V297">IFERROR(AVERAGE(IF((DiscreteStatsTable[GroupByKey]=DiscreteStatsTable[[#This Row],[GroupByKey]]),(DiscreteStatsTable[GroupByKey]=DiscreteStatsTable[[#This Row],[GroupByKey]])*DiscreteStatsTable[NumberObservations])),0)</f>
        <v>1</v>
      </c>
      <c r="W297" s="5">
        <f>IF((DiscreteStatsTable[[#This Row],[RepsRequested]]&gt;1),DiscreteStatsTable[[#This Row],[HalfWidth]],DiscreteStatsTable[[#This Row],[BatchMeansHalfWidth]])</f>
        <v>0.47128115412522836</v>
      </c>
      <c r="X297" s="5" cm="1">
        <f t="array" ref="X297">COUNT(IF((DiscreteStatsTable[GroupByKey]=DiscreteStatsTable[[#This Row],[GroupByKey]]),(DiscreteStatsTable[GroupByKey]=DiscreteStatsTable[[#This Row],[GroupByKey]])*DiscreteStatsTable[Replication]))</f>
        <v>19</v>
      </c>
      <c r="Y297" s="5">
        <f>IF(DiscreteStatsTable[[#This Row],[RepsRequested]]=DiscreteStatsTable[[#This Row],[RepsWithStatObserved]],1,0)</f>
        <v>1</v>
      </c>
    </row>
    <row r="298" spans="1:25" x14ac:dyDescent="0.25">
      <c r="A298" t="s">
        <v>67</v>
      </c>
      <c r="B298" t="s">
        <v>69</v>
      </c>
      <c r="C298">
        <v>12</v>
      </c>
      <c r="D298" t="s">
        <v>93</v>
      </c>
      <c r="E298" t="s">
        <v>79</v>
      </c>
      <c r="F298" t="s">
        <v>80</v>
      </c>
      <c r="G298">
        <v>1.6018376278089701</v>
      </c>
      <c r="H298">
        <v>2E+20</v>
      </c>
      <c r="I298">
        <v>1.6018376278089701</v>
      </c>
      <c r="J298">
        <v>1.6018376278089701</v>
      </c>
      <c r="K298">
        <v>1</v>
      </c>
      <c r="L29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compartida)EsperaPedidoH1ExpressionUser Specified</v>
      </c>
      <c r="M298" s="5" cm="1">
        <f t="array" ref="M298">MAX(IF((ProjectInfoTable[ProjectName]=DiscreteStatsTable[[#This Row],[ProjectName]]),(ProjectInfoTable[ProjectName]=DiscreteStatsTable[[#This Row],[ProjectName]])*ProjectInfoTable[NumberOfReplications]))</f>
        <v>19</v>
      </c>
      <c r="N298" s="5" cm="1">
        <f t="array" ref="N298">IFERROR(AVERAGE(IF((DiscreteStatsTable[GroupByKey]=DiscreteStatsTable[[#This Row],[GroupByKey]]),(DiscreteStatsTable[GroupByKey]=DiscreteStatsTable[[#This Row],[GroupByKey]])*DiscreteStatsTable[Average])),0)</f>
        <v>1.2223055609756739</v>
      </c>
      <c r="O298" s="5" cm="1">
        <f t="array" ref="O298">IFERROR(_xlfn.STDEV.S(IF((DiscreteStatsTable[GroupByKey]=DiscreteStatsTable[[#This Row],[GroupByKey]]),(DiscreteStatsTable[GroupByKey]=DiscreteStatsTable[[#This Row],[GroupByKey]])*DiscreteStatsTable[Average])),0)</f>
        <v>0.97779302871771601</v>
      </c>
      <c r="P298" s="5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0.47128115412522836</v>
      </c>
      <c r="R298" s="5" cm="1">
        <f t="array" ref="R298">MIN(IF((DiscreteStatsTable[GroupByKey]=DiscreteStatsTable[[#This Row],[GroupByKey]]),(DiscreteStatsTable[GroupByKey]=DiscreteStatsTable[[#This Row],[GroupByKey]])*DiscreteStatsTable[Average]))</f>
        <v>0.65114275444322001</v>
      </c>
      <c r="S298" s="5" cm="1">
        <f t="array" ref="S298">MAX(IF((DiscreteStatsTable[GroupByKey]=DiscreteStatsTable[[#This Row],[GroupByKey]]),(DiscreteStatsTable[GroupByKey]=DiscreteStatsTable[[#This Row],[GroupByKey]])*DiscreteStatsTable[Average]))</f>
        <v>4.6814959629385502</v>
      </c>
      <c r="T298" s="5" cm="1">
        <f t="array" ref="T298">MIN(IF((DiscreteStatsTable[GroupByKey]=DiscreteStatsTable[[#This Row],[GroupByKey]]),(DiscreteStatsTable[GroupByKey]=DiscreteStatsTable[[#This Row],[GroupByKey]])*DiscreteStatsTable[Minimum]))</f>
        <v>0.65114275444322001</v>
      </c>
      <c r="U298" s="5" cm="1">
        <f t="array" ref="U298">MAX(IF((DiscreteStatsTable[GroupByKey]=DiscreteStatsTable[[#This Row],[GroupByKey]]),(DiscreteStatsTable[GroupByKey]=DiscreteStatsTable[[#This Row],[GroupByKey]])*DiscreteStatsTable[Maximum]))</f>
        <v>4.6814959629385502</v>
      </c>
      <c r="V298" s="5" cm="1">
        <f t="array" ref="V298">IFERROR(AVERAGE(IF((DiscreteStatsTable[GroupByKey]=DiscreteStatsTable[[#This Row],[GroupByKey]]),(DiscreteStatsTable[GroupByKey]=DiscreteStatsTable[[#This Row],[GroupByKey]])*DiscreteStatsTable[NumberObservations])),0)</f>
        <v>1</v>
      </c>
      <c r="W298" s="5">
        <f>IF((DiscreteStatsTable[[#This Row],[RepsRequested]]&gt;1),DiscreteStatsTable[[#This Row],[HalfWidth]],DiscreteStatsTable[[#This Row],[BatchMeansHalfWidth]])</f>
        <v>0.47128115412522836</v>
      </c>
      <c r="X298" s="5" cm="1">
        <f t="array" ref="X298">COUNT(IF((DiscreteStatsTable[GroupByKey]=DiscreteStatsTable[[#This Row],[GroupByKey]]),(DiscreteStatsTable[GroupByKey]=DiscreteStatsTable[[#This Row],[GroupByKey]])*DiscreteStatsTable[Replication]))</f>
        <v>19</v>
      </c>
      <c r="Y298" s="5">
        <f>IF(DiscreteStatsTable[[#This Row],[RepsRequested]]=DiscreteStatsTable[[#This Row],[RepsWithStatObserved]],1,0)</f>
        <v>1</v>
      </c>
    </row>
    <row r="299" spans="1:25" x14ac:dyDescent="0.25">
      <c r="A299" t="s">
        <v>67</v>
      </c>
      <c r="B299" t="s">
        <v>69</v>
      </c>
      <c r="C299">
        <v>13</v>
      </c>
      <c r="D299" t="s">
        <v>93</v>
      </c>
      <c r="E299" t="s">
        <v>79</v>
      </c>
      <c r="F299" t="s">
        <v>80</v>
      </c>
      <c r="G299">
        <v>0.70878336543450404</v>
      </c>
      <c r="H299">
        <v>2E+20</v>
      </c>
      <c r="I299">
        <v>0.70878336543450404</v>
      </c>
      <c r="J299">
        <v>0.70878336543450404</v>
      </c>
      <c r="K299">
        <v>1</v>
      </c>
      <c r="L29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compartida)EsperaPedidoH1ExpressionUser Specified</v>
      </c>
      <c r="M299" s="5" cm="1">
        <f t="array" ref="M299">MAX(IF((ProjectInfoTable[ProjectName]=DiscreteStatsTable[[#This Row],[ProjectName]]),(ProjectInfoTable[ProjectName]=DiscreteStatsTable[[#This Row],[ProjectName]])*ProjectInfoTable[NumberOfReplications]))</f>
        <v>19</v>
      </c>
      <c r="N299" s="5" cm="1">
        <f t="array" ref="N299">IFERROR(AVERAGE(IF((DiscreteStatsTable[GroupByKey]=DiscreteStatsTable[[#This Row],[GroupByKey]]),(DiscreteStatsTable[GroupByKey]=DiscreteStatsTable[[#This Row],[GroupByKey]])*DiscreteStatsTable[Average])),0)</f>
        <v>1.2223055609756739</v>
      </c>
      <c r="O299" s="5" cm="1">
        <f t="array" ref="O299">IFERROR(_xlfn.STDEV.S(IF((DiscreteStatsTable[GroupByKey]=DiscreteStatsTable[[#This Row],[GroupByKey]]),(DiscreteStatsTable[GroupByKey]=DiscreteStatsTable[[#This Row],[GroupByKey]])*DiscreteStatsTable[Average])),0)</f>
        <v>0.97779302871771601</v>
      </c>
      <c r="P299" s="5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0.47128115412522836</v>
      </c>
      <c r="R299" s="5" cm="1">
        <f t="array" ref="R299">MIN(IF((DiscreteStatsTable[GroupByKey]=DiscreteStatsTable[[#This Row],[GroupByKey]]),(DiscreteStatsTable[GroupByKey]=DiscreteStatsTable[[#This Row],[GroupByKey]])*DiscreteStatsTable[Average]))</f>
        <v>0.65114275444322001</v>
      </c>
      <c r="S299" s="5" cm="1">
        <f t="array" ref="S299">MAX(IF((DiscreteStatsTable[GroupByKey]=DiscreteStatsTable[[#This Row],[GroupByKey]]),(DiscreteStatsTable[GroupByKey]=DiscreteStatsTable[[#This Row],[GroupByKey]])*DiscreteStatsTable[Average]))</f>
        <v>4.6814959629385502</v>
      </c>
      <c r="T299" s="5" cm="1">
        <f t="array" ref="T299">MIN(IF((DiscreteStatsTable[GroupByKey]=DiscreteStatsTable[[#This Row],[GroupByKey]]),(DiscreteStatsTable[GroupByKey]=DiscreteStatsTable[[#This Row],[GroupByKey]])*DiscreteStatsTable[Minimum]))</f>
        <v>0.65114275444322001</v>
      </c>
      <c r="U299" s="5" cm="1">
        <f t="array" ref="U299">MAX(IF((DiscreteStatsTable[GroupByKey]=DiscreteStatsTable[[#This Row],[GroupByKey]]),(DiscreteStatsTable[GroupByKey]=DiscreteStatsTable[[#This Row],[GroupByKey]])*DiscreteStatsTable[Maximum]))</f>
        <v>4.6814959629385502</v>
      </c>
      <c r="V299" s="5" cm="1">
        <f t="array" ref="V299">IFERROR(AVERAGE(IF((DiscreteStatsTable[GroupByKey]=DiscreteStatsTable[[#This Row],[GroupByKey]]),(DiscreteStatsTable[GroupByKey]=DiscreteStatsTable[[#This Row],[GroupByKey]])*DiscreteStatsTable[NumberObservations])),0)</f>
        <v>1</v>
      </c>
      <c r="W299" s="5">
        <f>IF((DiscreteStatsTable[[#This Row],[RepsRequested]]&gt;1),DiscreteStatsTable[[#This Row],[HalfWidth]],DiscreteStatsTable[[#This Row],[BatchMeansHalfWidth]])</f>
        <v>0.47128115412522836</v>
      </c>
      <c r="X299" s="5" cm="1">
        <f t="array" ref="X299">COUNT(IF((DiscreteStatsTable[GroupByKey]=DiscreteStatsTable[[#This Row],[GroupByKey]]),(DiscreteStatsTable[GroupByKey]=DiscreteStatsTable[[#This Row],[GroupByKey]])*DiscreteStatsTable[Replication]))</f>
        <v>19</v>
      </c>
      <c r="Y299" s="5">
        <f>IF(DiscreteStatsTable[[#This Row],[RepsRequested]]=DiscreteStatsTable[[#This Row],[RepsWithStatObserved]],1,0)</f>
        <v>1</v>
      </c>
    </row>
    <row r="300" spans="1:25" x14ac:dyDescent="0.25">
      <c r="A300" t="s">
        <v>67</v>
      </c>
      <c r="B300" t="s">
        <v>69</v>
      </c>
      <c r="C300">
        <v>14</v>
      </c>
      <c r="D300" t="s">
        <v>93</v>
      </c>
      <c r="E300" t="s">
        <v>79</v>
      </c>
      <c r="F300" t="s">
        <v>80</v>
      </c>
      <c r="G300">
        <v>0.77493637831742301</v>
      </c>
      <c r="H300">
        <v>2E+20</v>
      </c>
      <c r="I300">
        <v>0.77493637831742301</v>
      </c>
      <c r="J300">
        <v>0.77493637831742301</v>
      </c>
      <c r="K300">
        <v>1</v>
      </c>
      <c r="L30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compartida)EsperaPedidoH1ExpressionUser Specified</v>
      </c>
      <c r="M300" s="5" cm="1">
        <f t="array" ref="M300">MAX(IF((ProjectInfoTable[ProjectName]=DiscreteStatsTable[[#This Row],[ProjectName]]),(ProjectInfoTable[ProjectName]=DiscreteStatsTable[[#This Row],[ProjectName]])*ProjectInfoTable[NumberOfReplications]))</f>
        <v>19</v>
      </c>
      <c r="N300" s="5" cm="1">
        <f t="array" ref="N300">IFERROR(AVERAGE(IF((DiscreteStatsTable[GroupByKey]=DiscreteStatsTable[[#This Row],[GroupByKey]]),(DiscreteStatsTable[GroupByKey]=DiscreteStatsTable[[#This Row],[GroupByKey]])*DiscreteStatsTable[Average])),0)</f>
        <v>1.2223055609756739</v>
      </c>
      <c r="O300" s="5" cm="1">
        <f t="array" ref="O300">IFERROR(_xlfn.STDEV.S(IF((DiscreteStatsTable[GroupByKey]=DiscreteStatsTable[[#This Row],[GroupByKey]]),(DiscreteStatsTable[GroupByKey]=DiscreteStatsTable[[#This Row],[GroupByKey]])*DiscreteStatsTable[Average])),0)</f>
        <v>0.97779302871771601</v>
      </c>
      <c r="P300" s="5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0.47128115412522836</v>
      </c>
      <c r="R300" s="5" cm="1">
        <f t="array" ref="R300">MIN(IF((DiscreteStatsTable[GroupByKey]=DiscreteStatsTable[[#This Row],[GroupByKey]]),(DiscreteStatsTable[GroupByKey]=DiscreteStatsTable[[#This Row],[GroupByKey]])*DiscreteStatsTable[Average]))</f>
        <v>0.65114275444322001</v>
      </c>
      <c r="S300" s="5" cm="1">
        <f t="array" ref="S300">MAX(IF((DiscreteStatsTable[GroupByKey]=DiscreteStatsTable[[#This Row],[GroupByKey]]),(DiscreteStatsTable[GroupByKey]=DiscreteStatsTable[[#This Row],[GroupByKey]])*DiscreteStatsTable[Average]))</f>
        <v>4.6814959629385502</v>
      </c>
      <c r="T300" s="5" cm="1">
        <f t="array" ref="T300">MIN(IF((DiscreteStatsTable[GroupByKey]=DiscreteStatsTable[[#This Row],[GroupByKey]]),(DiscreteStatsTable[GroupByKey]=DiscreteStatsTable[[#This Row],[GroupByKey]])*DiscreteStatsTable[Minimum]))</f>
        <v>0.65114275444322001</v>
      </c>
      <c r="U300" s="5" cm="1">
        <f t="array" ref="U300">MAX(IF((DiscreteStatsTable[GroupByKey]=DiscreteStatsTable[[#This Row],[GroupByKey]]),(DiscreteStatsTable[GroupByKey]=DiscreteStatsTable[[#This Row],[GroupByKey]])*DiscreteStatsTable[Maximum]))</f>
        <v>4.6814959629385502</v>
      </c>
      <c r="V300" s="5" cm="1">
        <f t="array" ref="V300">IFERROR(AVERAGE(IF((DiscreteStatsTable[GroupByKey]=DiscreteStatsTable[[#This Row],[GroupByKey]]),(DiscreteStatsTable[GroupByKey]=DiscreteStatsTable[[#This Row],[GroupByKey]])*DiscreteStatsTable[NumberObservations])),0)</f>
        <v>1</v>
      </c>
      <c r="W300" s="5">
        <f>IF((DiscreteStatsTable[[#This Row],[RepsRequested]]&gt;1),DiscreteStatsTable[[#This Row],[HalfWidth]],DiscreteStatsTable[[#This Row],[BatchMeansHalfWidth]])</f>
        <v>0.47128115412522836</v>
      </c>
      <c r="X300" s="5" cm="1">
        <f t="array" ref="X300">COUNT(IF((DiscreteStatsTable[GroupByKey]=DiscreteStatsTable[[#This Row],[GroupByKey]]),(DiscreteStatsTable[GroupByKey]=DiscreteStatsTable[[#This Row],[GroupByKey]])*DiscreteStatsTable[Replication]))</f>
        <v>19</v>
      </c>
      <c r="Y300" s="5">
        <f>IF(DiscreteStatsTable[[#This Row],[RepsRequested]]=DiscreteStatsTable[[#This Row],[RepsWithStatObserved]],1,0)</f>
        <v>1</v>
      </c>
    </row>
    <row r="301" spans="1:25" x14ac:dyDescent="0.25">
      <c r="A301" t="s">
        <v>67</v>
      </c>
      <c r="B301" t="s">
        <v>69</v>
      </c>
      <c r="C301">
        <v>15</v>
      </c>
      <c r="D301" t="s">
        <v>93</v>
      </c>
      <c r="E301" t="s">
        <v>79</v>
      </c>
      <c r="F301" t="s">
        <v>80</v>
      </c>
      <c r="G301">
        <v>1.0586722321981501</v>
      </c>
      <c r="H301">
        <v>2E+20</v>
      </c>
      <c r="I301">
        <v>1.0586722321981501</v>
      </c>
      <c r="J301">
        <v>1.0586722321981501</v>
      </c>
      <c r="K301">
        <v>1</v>
      </c>
      <c r="L30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compartida)EsperaPedidoH1ExpressionUser Specified</v>
      </c>
      <c r="M301" s="5" cm="1">
        <f t="array" ref="M301">MAX(IF((ProjectInfoTable[ProjectName]=DiscreteStatsTable[[#This Row],[ProjectName]]),(ProjectInfoTable[ProjectName]=DiscreteStatsTable[[#This Row],[ProjectName]])*ProjectInfoTable[NumberOfReplications]))</f>
        <v>19</v>
      </c>
      <c r="N301" s="5" cm="1">
        <f t="array" ref="N301">IFERROR(AVERAGE(IF((DiscreteStatsTable[GroupByKey]=DiscreteStatsTable[[#This Row],[GroupByKey]]),(DiscreteStatsTable[GroupByKey]=DiscreteStatsTable[[#This Row],[GroupByKey]])*DiscreteStatsTable[Average])),0)</f>
        <v>1.2223055609756739</v>
      </c>
      <c r="O301" s="5" cm="1">
        <f t="array" ref="O301">IFERROR(_xlfn.STDEV.S(IF((DiscreteStatsTable[GroupByKey]=DiscreteStatsTable[[#This Row],[GroupByKey]]),(DiscreteStatsTable[GroupByKey]=DiscreteStatsTable[[#This Row],[GroupByKey]])*DiscreteStatsTable[Average])),0)</f>
        <v>0.97779302871771601</v>
      </c>
      <c r="P301" s="5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0.47128115412522836</v>
      </c>
      <c r="R301" s="5" cm="1">
        <f t="array" ref="R301">MIN(IF((DiscreteStatsTable[GroupByKey]=DiscreteStatsTable[[#This Row],[GroupByKey]]),(DiscreteStatsTable[GroupByKey]=DiscreteStatsTable[[#This Row],[GroupByKey]])*DiscreteStatsTable[Average]))</f>
        <v>0.65114275444322001</v>
      </c>
      <c r="S301" s="5" cm="1">
        <f t="array" ref="S301">MAX(IF((DiscreteStatsTable[GroupByKey]=DiscreteStatsTable[[#This Row],[GroupByKey]]),(DiscreteStatsTable[GroupByKey]=DiscreteStatsTable[[#This Row],[GroupByKey]])*DiscreteStatsTable[Average]))</f>
        <v>4.6814959629385502</v>
      </c>
      <c r="T301" s="5" cm="1">
        <f t="array" ref="T301">MIN(IF((DiscreteStatsTable[GroupByKey]=DiscreteStatsTable[[#This Row],[GroupByKey]]),(DiscreteStatsTable[GroupByKey]=DiscreteStatsTable[[#This Row],[GroupByKey]])*DiscreteStatsTable[Minimum]))</f>
        <v>0.65114275444322001</v>
      </c>
      <c r="U301" s="5" cm="1">
        <f t="array" ref="U301">MAX(IF((DiscreteStatsTable[GroupByKey]=DiscreteStatsTable[[#This Row],[GroupByKey]]),(DiscreteStatsTable[GroupByKey]=DiscreteStatsTable[[#This Row],[GroupByKey]])*DiscreteStatsTable[Maximum]))</f>
        <v>4.6814959629385502</v>
      </c>
      <c r="V301" s="5" cm="1">
        <f t="array" ref="V301">IFERROR(AVERAGE(IF((DiscreteStatsTable[GroupByKey]=DiscreteStatsTable[[#This Row],[GroupByKey]]),(DiscreteStatsTable[GroupByKey]=DiscreteStatsTable[[#This Row],[GroupByKey]])*DiscreteStatsTable[NumberObservations])),0)</f>
        <v>1</v>
      </c>
      <c r="W301" s="5">
        <f>IF((DiscreteStatsTable[[#This Row],[RepsRequested]]&gt;1),DiscreteStatsTable[[#This Row],[HalfWidth]],DiscreteStatsTable[[#This Row],[BatchMeansHalfWidth]])</f>
        <v>0.47128115412522836</v>
      </c>
      <c r="X301" s="5" cm="1">
        <f t="array" ref="X301">COUNT(IF((DiscreteStatsTable[GroupByKey]=DiscreteStatsTable[[#This Row],[GroupByKey]]),(DiscreteStatsTable[GroupByKey]=DiscreteStatsTable[[#This Row],[GroupByKey]])*DiscreteStatsTable[Replication]))</f>
        <v>19</v>
      </c>
      <c r="Y301" s="5">
        <f>IF(DiscreteStatsTable[[#This Row],[RepsRequested]]=DiscreteStatsTable[[#This Row],[RepsWithStatObserved]],1,0)</f>
        <v>1</v>
      </c>
    </row>
    <row r="302" spans="1:25" x14ac:dyDescent="0.25">
      <c r="A302" t="s">
        <v>67</v>
      </c>
      <c r="B302" t="s">
        <v>69</v>
      </c>
      <c r="C302">
        <v>16</v>
      </c>
      <c r="D302" t="s">
        <v>93</v>
      </c>
      <c r="E302" t="s">
        <v>79</v>
      </c>
      <c r="F302" t="s">
        <v>80</v>
      </c>
      <c r="G302">
        <v>0.78961473466621201</v>
      </c>
      <c r="H302">
        <v>2E+20</v>
      </c>
      <c r="I302">
        <v>0.78961473466621201</v>
      </c>
      <c r="J302">
        <v>0.78961473466621201</v>
      </c>
      <c r="K302">
        <v>1</v>
      </c>
      <c r="L30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compartida)EsperaPedidoH1ExpressionUser Specified</v>
      </c>
      <c r="M302" s="5" cm="1">
        <f t="array" ref="M302">MAX(IF((ProjectInfoTable[ProjectName]=DiscreteStatsTable[[#This Row],[ProjectName]]),(ProjectInfoTable[ProjectName]=DiscreteStatsTable[[#This Row],[ProjectName]])*ProjectInfoTable[NumberOfReplications]))</f>
        <v>19</v>
      </c>
      <c r="N302" s="5" cm="1">
        <f t="array" ref="N302">IFERROR(AVERAGE(IF((DiscreteStatsTable[GroupByKey]=DiscreteStatsTable[[#This Row],[GroupByKey]]),(DiscreteStatsTable[GroupByKey]=DiscreteStatsTable[[#This Row],[GroupByKey]])*DiscreteStatsTable[Average])),0)</f>
        <v>1.2223055609756739</v>
      </c>
      <c r="O302" s="5" cm="1">
        <f t="array" ref="O302">IFERROR(_xlfn.STDEV.S(IF((DiscreteStatsTable[GroupByKey]=DiscreteStatsTable[[#This Row],[GroupByKey]]),(DiscreteStatsTable[GroupByKey]=DiscreteStatsTable[[#This Row],[GroupByKey]])*DiscreteStatsTable[Average])),0)</f>
        <v>0.97779302871771601</v>
      </c>
      <c r="P302" s="5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0.47128115412522836</v>
      </c>
      <c r="R302" s="5" cm="1">
        <f t="array" ref="R302">MIN(IF((DiscreteStatsTable[GroupByKey]=DiscreteStatsTable[[#This Row],[GroupByKey]]),(DiscreteStatsTable[GroupByKey]=DiscreteStatsTable[[#This Row],[GroupByKey]])*DiscreteStatsTable[Average]))</f>
        <v>0.65114275444322001</v>
      </c>
      <c r="S302" s="5" cm="1">
        <f t="array" ref="S302">MAX(IF((DiscreteStatsTable[GroupByKey]=DiscreteStatsTable[[#This Row],[GroupByKey]]),(DiscreteStatsTable[GroupByKey]=DiscreteStatsTable[[#This Row],[GroupByKey]])*DiscreteStatsTable[Average]))</f>
        <v>4.6814959629385502</v>
      </c>
      <c r="T302" s="5" cm="1">
        <f t="array" ref="T302">MIN(IF((DiscreteStatsTable[GroupByKey]=DiscreteStatsTable[[#This Row],[GroupByKey]]),(DiscreteStatsTable[GroupByKey]=DiscreteStatsTable[[#This Row],[GroupByKey]])*DiscreteStatsTable[Minimum]))</f>
        <v>0.65114275444322001</v>
      </c>
      <c r="U302" s="5" cm="1">
        <f t="array" ref="U302">MAX(IF((DiscreteStatsTable[GroupByKey]=DiscreteStatsTable[[#This Row],[GroupByKey]]),(DiscreteStatsTable[GroupByKey]=DiscreteStatsTable[[#This Row],[GroupByKey]])*DiscreteStatsTable[Maximum]))</f>
        <v>4.6814959629385502</v>
      </c>
      <c r="V302" s="5" cm="1">
        <f t="array" ref="V302">IFERROR(AVERAGE(IF((DiscreteStatsTable[GroupByKey]=DiscreteStatsTable[[#This Row],[GroupByKey]]),(DiscreteStatsTable[GroupByKey]=DiscreteStatsTable[[#This Row],[GroupByKey]])*DiscreteStatsTable[NumberObservations])),0)</f>
        <v>1</v>
      </c>
      <c r="W302" s="5">
        <f>IF((DiscreteStatsTable[[#This Row],[RepsRequested]]&gt;1),DiscreteStatsTable[[#This Row],[HalfWidth]],DiscreteStatsTable[[#This Row],[BatchMeansHalfWidth]])</f>
        <v>0.47128115412522836</v>
      </c>
      <c r="X302" s="5" cm="1">
        <f t="array" ref="X302">COUNT(IF((DiscreteStatsTable[GroupByKey]=DiscreteStatsTable[[#This Row],[GroupByKey]]),(DiscreteStatsTable[GroupByKey]=DiscreteStatsTable[[#This Row],[GroupByKey]])*DiscreteStatsTable[Replication]))</f>
        <v>19</v>
      </c>
      <c r="Y302" s="5">
        <f>IF(DiscreteStatsTable[[#This Row],[RepsRequested]]=DiscreteStatsTable[[#This Row],[RepsWithStatObserved]],1,0)</f>
        <v>1</v>
      </c>
    </row>
    <row r="303" spans="1:25" x14ac:dyDescent="0.25">
      <c r="A303" t="s">
        <v>67</v>
      </c>
      <c r="B303" t="s">
        <v>69</v>
      </c>
      <c r="C303">
        <v>17</v>
      </c>
      <c r="D303" t="s">
        <v>93</v>
      </c>
      <c r="E303" t="s">
        <v>79</v>
      </c>
      <c r="F303" t="s">
        <v>80</v>
      </c>
      <c r="G303">
        <v>0.91356523061647299</v>
      </c>
      <c r="H303">
        <v>2E+20</v>
      </c>
      <c r="I303">
        <v>0.91356523061647299</v>
      </c>
      <c r="J303">
        <v>0.91356523061647299</v>
      </c>
      <c r="K303">
        <v>1</v>
      </c>
      <c r="L30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compartida)EsperaPedidoH1ExpressionUser Specified</v>
      </c>
      <c r="M303" s="5" cm="1">
        <f t="array" ref="M303">MAX(IF((ProjectInfoTable[ProjectName]=DiscreteStatsTable[[#This Row],[ProjectName]]),(ProjectInfoTable[ProjectName]=DiscreteStatsTable[[#This Row],[ProjectName]])*ProjectInfoTable[NumberOfReplications]))</f>
        <v>19</v>
      </c>
      <c r="N303" s="5" cm="1">
        <f t="array" ref="N303">IFERROR(AVERAGE(IF((DiscreteStatsTable[GroupByKey]=DiscreteStatsTable[[#This Row],[GroupByKey]]),(DiscreteStatsTable[GroupByKey]=DiscreteStatsTable[[#This Row],[GroupByKey]])*DiscreteStatsTable[Average])),0)</f>
        <v>1.2223055609756739</v>
      </c>
      <c r="O303" s="5" cm="1">
        <f t="array" ref="O303">IFERROR(_xlfn.STDEV.S(IF((DiscreteStatsTable[GroupByKey]=DiscreteStatsTable[[#This Row],[GroupByKey]]),(DiscreteStatsTable[GroupByKey]=DiscreteStatsTable[[#This Row],[GroupByKey]])*DiscreteStatsTable[Average])),0)</f>
        <v>0.97779302871771601</v>
      </c>
      <c r="P303" s="5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0.47128115412522836</v>
      </c>
      <c r="R303" s="5" cm="1">
        <f t="array" ref="R303">MIN(IF((DiscreteStatsTable[GroupByKey]=DiscreteStatsTable[[#This Row],[GroupByKey]]),(DiscreteStatsTable[GroupByKey]=DiscreteStatsTable[[#This Row],[GroupByKey]])*DiscreteStatsTable[Average]))</f>
        <v>0.65114275444322001</v>
      </c>
      <c r="S303" s="5" cm="1">
        <f t="array" ref="S303">MAX(IF((DiscreteStatsTable[GroupByKey]=DiscreteStatsTable[[#This Row],[GroupByKey]]),(DiscreteStatsTable[GroupByKey]=DiscreteStatsTable[[#This Row],[GroupByKey]])*DiscreteStatsTable[Average]))</f>
        <v>4.6814959629385502</v>
      </c>
      <c r="T303" s="5" cm="1">
        <f t="array" ref="T303">MIN(IF((DiscreteStatsTable[GroupByKey]=DiscreteStatsTable[[#This Row],[GroupByKey]]),(DiscreteStatsTable[GroupByKey]=DiscreteStatsTable[[#This Row],[GroupByKey]])*DiscreteStatsTable[Minimum]))</f>
        <v>0.65114275444322001</v>
      </c>
      <c r="U303" s="5" cm="1">
        <f t="array" ref="U303">MAX(IF((DiscreteStatsTable[GroupByKey]=DiscreteStatsTable[[#This Row],[GroupByKey]]),(DiscreteStatsTable[GroupByKey]=DiscreteStatsTable[[#This Row],[GroupByKey]])*DiscreteStatsTable[Maximum]))</f>
        <v>4.6814959629385502</v>
      </c>
      <c r="V303" s="5" cm="1">
        <f t="array" ref="V303">IFERROR(AVERAGE(IF((DiscreteStatsTable[GroupByKey]=DiscreteStatsTable[[#This Row],[GroupByKey]]),(DiscreteStatsTable[GroupByKey]=DiscreteStatsTable[[#This Row],[GroupByKey]])*DiscreteStatsTable[NumberObservations])),0)</f>
        <v>1</v>
      </c>
      <c r="W303" s="5">
        <f>IF((DiscreteStatsTable[[#This Row],[RepsRequested]]&gt;1),DiscreteStatsTable[[#This Row],[HalfWidth]],DiscreteStatsTable[[#This Row],[BatchMeansHalfWidth]])</f>
        <v>0.47128115412522836</v>
      </c>
      <c r="X303" s="5" cm="1">
        <f t="array" ref="X303">COUNT(IF((DiscreteStatsTable[GroupByKey]=DiscreteStatsTable[[#This Row],[GroupByKey]]),(DiscreteStatsTable[GroupByKey]=DiscreteStatsTable[[#This Row],[GroupByKey]])*DiscreteStatsTable[Replication]))</f>
        <v>19</v>
      </c>
      <c r="Y303" s="5">
        <f>IF(DiscreteStatsTable[[#This Row],[RepsRequested]]=DiscreteStatsTable[[#This Row],[RepsWithStatObserved]],1,0)</f>
        <v>1</v>
      </c>
    </row>
    <row r="304" spans="1:25" x14ac:dyDescent="0.25">
      <c r="A304" t="s">
        <v>67</v>
      </c>
      <c r="B304" t="s">
        <v>69</v>
      </c>
      <c r="C304">
        <v>18</v>
      </c>
      <c r="D304" t="s">
        <v>93</v>
      </c>
      <c r="E304" t="s">
        <v>79</v>
      </c>
      <c r="F304" t="s">
        <v>80</v>
      </c>
      <c r="G304">
        <v>1.43645725446873</v>
      </c>
      <c r="H304">
        <v>2E+20</v>
      </c>
      <c r="I304">
        <v>1.43645725446873</v>
      </c>
      <c r="J304">
        <v>1.43645725446873</v>
      </c>
      <c r="K304">
        <v>1</v>
      </c>
      <c r="L30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compartida)EsperaPedidoH1ExpressionUser Specified</v>
      </c>
      <c r="M304" s="5" cm="1">
        <f t="array" ref="M304">MAX(IF((ProjectInfoTable[ProjectName]=DiscreteStatsTable[[#This Row],[ProjectName]]),(ProjectInfoTable[ProjectName]=DiscreteStatsTable[[#This Row],[ProjectName]])*ProjectInfoTable[NumberOfReplications]))</f>
        <v>19</v>
      </c>
      <c r="N304" s="5" cm="1">
        <f t="array" ref="N304">IFERROR(AVERAGE(IF((DiscreteStatsTable[GroupByKey]=DiscreteStatsTable[[#This Row],[GroupByKey]]),(DiscreteStatsTable[GroupByKey]=DiscreteStatsTable[[#This Row],[GroupByKey]])*DiscreteStatsTable[Average])),0)</f>
        <v>1.2223055609756739</v>
      </c>
      <c r="O304" s="5" cm="1">
        <f t="array" ref="O304">IFERROR(_xlfn.STDEV.S(IF((DiscreteStatsTable[GroupByKey]=DiscreteStatsTable[[#This Row],[GroupByKey]]),(DiscreteStatsTable[GroupByKey]=DiscreteStatsTable[[#This Row],[GroupByKey]])*DiscreteStatsTable[Average])),0)</f>
        <v>0.97779302871771601</v>
      </c>
      <c r="P304" s="5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0.47128115412522836</v>
      </c>
      <c r="R304" s="5" cm="1">
        <f t="array" ref="R304">MIN(IF((DiscreteStatsTable[GroupByKey]=DiscreteStatsTable[[#This Row],[GroupByKey]]),(DiscreteStatsTable[GroupByKey]=DiscreteStatsTable[[#This Row],[GroupByKey]])*DiscreteStatsTable[Average]))</f>
        <v>0.65114275444322001</v>
      </c>
      <c r="S304" s="5" cm="1">
        <f t="array" ref="S304">MAX(IF((DiscreteStatsTable[GroupByKey]=DiscreteStatsTable[[#This Row],[GroupByKey]]),(DiscreteStatsTable[GroupByKey]=DiscreteStatsTable[[#This Row],[GroupByKey]])*DiscreteStatsTable[Average]))</f>
        <v>4.6814959629385502</v>
      </c>
      <c r="T304" s="5" cm="1">
        <f t="array" ref="T304">MIN(IF((DiscreteStatsTable[GroupByKey]=DiscreteStatsTable[[#This Row],[GroupByKey]]),(DiscreteStatsTable[GroupByKey]=DiscreteStatsTable[[#This Row],[GroupByKey]])*DiscreteStatsTable[Minimum]))</f>
        <v>0.65114275444322001</v>
      </c>
      <c r="U304" s="5" cm="1">
        <f t="array" ref="U304">MAX(IF((DiscreteStatsTable[GroupByKey]=DiscreteStatsTable[[#This Row],[GroupByKey]]),(DiscreteStatsTable[GroupByKey]=DiscreteStatsTable[[#This Row],[GroupByKey]])*DiscreteStatsTable[Maximum]))</f>
        <v>4.6814959629385502</v>
      </c>
      <c r="V304" s="5" cm="1">
        <f t="array" ref="V304">IFERROR(AVERAGE(IF((DiscreteStatsTable[GroupByKey]=DiscreteStatsTable[[#This Row],[GroupByKey]]),(DiscreteStatsTable[GroupByKey]=DiscreteStatsTable[[#This Row],[GroupByKey]])*DiscreteStatsTable[NumberObservations])),0)</f>
        <v>1</v>
      </c>
      <c r="W304" s="5">
        <f>IF((DiscreteStatsTable[[#This Row],[RepsRequested]]&gt;1),DiscreteStatsTable[[#This Row],[HalfWidth]],DiscreteStatsTable[[#This Row],[BatchMeansHalfWidth]])</f>
        <v>0.47128115412522836</v>
      </c>
      <c r="X304" s="5" cm="1">
        <f t="array" ref="X304">COUNT(IF((DiscreteStatsTable[GroupByKey]=DiscreteStatsTable[[#This Row],[GroupByKey]]),(DiscreteStatsTable[GroupByKey]=DiscreteStatsTable[[#This Row],[GroupByKey]])*DiscreteStatsTable[Replication]))</f>
        <v>19</v>
      </c>
      <c r="Y304" s="5">
        <f>IF(DiscreteStatsTable[[#This Row],[RepsRequested]]=DiscreteStatsTable[[#This Row],[RepsWithStatObserved]],1,0)</f>
        <v>1</v>
      </c>
    </row>
    <row r="305" spans="1:25" x14ac:dyDescent="0.25">
      <c r="A305" t="s">
        <v>67</v>
      </c>
      <c r="B305" t="s">
        <v>69</v>
      </c>
      <c r="C305">
        <v>19</v>
      </c>
      <c r="D305" t="s">
        <v>93</v>
      </c>
      <c r="E305" t="s">
        <v>79</v>
      </c>
      <c r="F305" t="s">
        <v>80</v>
      </c>
      <c r="G305">
        <v>0.68722911993995095</v>
      </c>
      <c r="H305">
        <v>2E+20</v>
      </c>
      <c r="I305">
        <v>0.68722911993995095</v>
      </c>
      <c r="J305">
        <v>0.68722911993995095</v>
      </c>
      <c r="K305">
        <v>1</v>
      </c>
      <c r="L30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compartida)EsperaPedidoH1ExpressionUser Specified</v>
      </c>
      <c r="M305" s="5" cm="1">
        <f t="array" ref="M305">MAX(IF((ProjectInfoTable[ProjectName]=DiscreteStatsTable[[#This Row],[ProjectName]]),(ProjectInfoTable[ProjectName]=DiscreteStatsTable[[#This Row],[ProjectName]])*ProjectInfoTable[NumberOfReplications]))</f>
        <v>19</v>
      </c>
      <c r="N305" s="5" cm="1">
        <f t="array" ref="N305">IFERROR(AVERAGE(IF((DiscreteStatsTable[GroupByKey]=DiscreteStatsTable[[#This Row],[GroupByKey]]),(DiscreteStatsTable[GroupByKey]=DiscreteStatsTable[[#This Row],[GroupByKey]])*DiscreteStatsTable[Average])),0)</f>
        <v>1.2223055609756739</v>
      </c>
      <c r="O305" s="5" cm="1">
        <f t="array" ref="O305">IFERROR(_xlfn.STDEV.S(IF((DiscreteStatsTable[GroupByKey]=DiscreteStatsTable[[#This Row],[GroupByKey]]),(DiscreteStatsTable[GroupByKey]=DiscreteStatsTable[[#This Row],[GroupByKey]])*DiscreteStatsTable[Average])),0)</f>
        <v>0.97779302871771601</v>
      </c>
      <c r="P305" s="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0.47128115412522836</v>
      </c>
      <c r="R305" s="5" cm="1">
        <f t="array" ref="R305">MIN(IF((DiscreteStatsTable[GroupByKey]=DiscreteStatsTable[[#This Row],[GroupByKey]]),(DiscreteStatsTable[GroupByKey]=DiscreteStatsTable[[#This Row],[GroupByKey]])*DiscreteStatsTable[Average]))</f>
        <v>0.65114275444322001</v>
      </c>
      <c r="S305" s="5" cm="1">
        <f t="array" ref="S305">MAX(IF((DiscreteStatsTable[GroupByKey]=DiscreteStatsTable[[#This Row],[GroupByKey]]),(DiscreteStatsTable[GroupByKey]=DiscreteStatsTable[[#This Row],[GroupByKey]])*DiscreteStatsTable[Average]))</f>
        <v>4.6814959629385502</v>
      </c>
      <c r="T305" s="5" cm="1">
        <f t="array" ref="T305">MIN(IF((DiscreteStatsTable[GroupByKey]=DiscreteStatsTable[[#This Row],[GroupByKey]]),(DiscreteStatsTable[GroupByKey]=DiscreteStatsTable[[#This Row],[GroupByKey]])*DiscreteStatsTable[Minimum]))</f>
        <v>0.65114275444322001</v>
      </c>
      <c r="U305" s="5" cm="1">
        <f t="array" ref="U305">MAX(IF((DiscreteStatsTable[GroupByKey]=DiscreteStatsTable[[#This Row],[GroupByKey]]),(DiscreteStatsTable[GroupByKey]=DiscreteStatsTable[[#This Row],[GroupByKey]])*DiscreteStatsTable[Maximum]))</f>
        <v>4.6814959629385502</v>
      </c>
      <c r="V305" s="5" cm="1">
        <f t="array" ref="V305">IFERROR(AVERAGE(IF((DiscreteStatsTable[GroupByKey]=DiscreteStatsTable[[#This Row],[GroupByKey]]),(DiscreteStatsTable[GroupByKey]=DiscreteStatsTable[[#This Row],[GroupByKey]])*DiscreteStatsTable[NumberObservations])),0)</f>
        <v>1</v>
      </c>
      <c r="W305" s="5">
        <f>IF((DiscreteStatsTable[[#This Row],[RepsRequested]]&gt;1),DiscreteStatsTable[[#This Row],[HalfWidth]],DiscreteStatsTable[[#This Row],[BatchMeansHalfWidth]])</f>
        <v>0.47128115412522836</v>
      </c>
      <c r="X305" s="5" cm="1">
        <f t="array" ref="X305">COUNT(IF((DiscreteStatsTable[GroupByKey]=DiscreteStatsTable[[#This Row],[GroupByKey]]),(DiscreteStatsTable[GroupByKey]=DiscreteStatsTable[[#This Row],[GroupByKey]])*DiscreteStatsTable[Replication]))</f>
        <v>19</v>
      </c>
      <c r="Y305" s="5">
        <f>IF(DiscreteStatsTable[[#This Row],[RepsRequested]]=DiscreteStatsTable[[#This Row],[RepsWithStatObserved]],1,0)</f>
        <v>1</v>
      </c>
    </row>
    <row r="306" spans="1:25" x14ac:dyDescent="0.25">
      <c r="A306" t="s">
        <v>67</v>
      </c>
      <c r="B306" t="s">
        <v>69</v>
      </c>
      <c r="C306">
        <v>1</v>
      </c>
      <c r="D306" t="s">
        <v>94</v>
      </c>
      <c r="E306" t="s">
        <v>79</v>
      </c>
      <c r="F306" t="s">
        <v>80</v>
      </c>
      <c r="G306">
        <v>2.9908248106951598</v>
      </c>
      <c r="H306">
        <v>2E+20</v>
      </c>
      <c r="I306">
        <v>2.9908248106951598</v>
      </c>
      <c r="J306">
        <v>2.9908248106951598</v>
      </c>
      <c r="K306">
        <v>1</v>
      </c>
      <c r="L30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compartida)EsperaPedidoH2ExpressionUser Specified</v>
      </c>
      <c r="M306" s="5" cm="1">
        <f t="array" ref="M306">MAX(IF((ProjectInfoTable[ProjectName]=DiscreteStatsTable[[#This Row],[ProjectName]]),(ProjectInfoTable[ProjectName]=DiscreteStatsTable[[#This Row],[ProjectName]])*ProjectInfoTable[NumberOfReplications]))</f>
        <v>19</v>
      </c>
      <c r="N306" s="5" cm="1">
        <f t="array" ref="N306">IFERROR(AVERAGE(IF((DiscreteStatsTable[GroupByKey]=DiscreteStatsTable[[#This Row],[GroupByKey]]),(DiscreteStatsTable[GroupByKey]=DiscreteStatsTable[[#This Row],[GroupByKey]])*DiscreteStatsTable[Average])),0)</f>
        <v>1.0655123115765994</v>
      </c>
      <c r="O306" s="5" cm="1">
        <f t="array" ref="O306">IFERROR(_xlfn.STDEV.S(IF((DiscreteStatsTable[GroupByKey]=DiscreteStatsTable[[#This Row],[GroupByKey]]),(DiscreteStatsTable[GroupByKey]=DiscreteStatsTable[[#This Row],[GroupByKey]])*DiscreteStatsTable[Average])),0)</f>
        <v>0.54338905810041349</v>
      </c>
      <c r="P306" s="5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0.2619051424169187</v>
      </c>
      <c r="R306" s="5" cm="1">
        <f t="array" ref="R306">MIN(IF((DiscreteStatsTable[GroupByKey]=DiscreteStatsTable[[#This Row],[GroupByKey]]),(DiscreteStatsTable[GroupByKey]=DiscreteStatsTable[[#This Row],[GroupByKey]])*DiscreteStatsTable[Average]))</f>
        <v>0.68067339484149003</v>
      </c>
      <c r="S306" s="5" cm="1">
        <f t="array" ref="S306">MAX(IF((DiscreteStatsTable[GroupByKey]=DiscreteStatsTable[[#This Row],[GroupByKey]]),(DiscreteStatsTable[GroupByKey]=DiscreteStatsTable[[#This Row],[GroupByKey]])*DiscreteStatsTable[Average]))</f>
        <v>2.9908248106951598</v>
      </c>
      <c r="T306" s="5" cm="1">
        <f t="array" ref="T306">MIN(IF((DiscreteStatsTable[GroupByKey]=DiscreteStatsTable[[#This Row],[GroupByKey]]),(DiscreteStatsTable[GroupByKey]=DiscreteStatsTable[[#This Row],[GroupByKey]])*DiscreteStatsTable[Minimum]))</f>
        <v>0.68067339484149003</v>
      </c>
      <c r="U306" s="5" cm="1">
        <f t="array" ref="U306">MAX(IF((DiscreteStatsTable[GroupByKey]=DiscreteStatsTable[[#This Row],[GroupByKey]]),(DiscreteStatsTable[GroupByKey]=DiscreteStatsTable[[#This Row],[GroupByKey]])*DiscreteStatsTable[Maximum]))</f>
        <v>2.9908248106951598</v>
      </c>
      <c r="V306" s="5" cm="1">
        <f t="array" ref="V306">IFERROR(AVERAGE(IF((DiscreteStatsTable[GroupByKey]=DiscreteStatsTable[[#This Row],[GroupByKey]]),(DiscreteStatsTable[GroupByKey]=DiscreteStatsTable[[#This Row],[GroupByKey]])*DiscreteStatsTable[NumberObservations])),0)</f>
        <v>1</v>
      </c>
      <c r="W306" s="5">
        <f>IF((DiscreteStatsTable[[#This Row],[RepsRequested]]&gt;1),DiscreteStatsTable[[#This Row],[HalfWidth]],DiscreteStatsTable[[#This Row],[BatchMeansHalfWidth]])</f>
        <v>0.2619051424169187</v>
      </c>
      <c r="X306" s="5" cm="1">
        <f t="array" ref="X306">COUNT(IF((DiscreteStatsTable[GroupByKey]=DiscreteStatsTable[[#This Row],[GroupByKey]]),(DiscreteStatsTable[GroupByKey]=DiscreteStatsTable[[#This Row],[GroupByKey]])*DiscreteStatsTable[Replication]))</f>
        <v>19</v>
      </c>
      <c r="Y306" s="5">
        <f>IF(DiscreteStatsTable[[#This Row],[RepsRequested]]=DiscreteStatsTable[[#This Row],[RepsWithStatObserved]],1,0)</f>
        <v>1</v>
      </c>
    </row>
    <row r="307" spans="1:25" x14ac:dyDescent="0.25">
      <c r="A307" t="s">
        <v>67</v>
      </c>
      <c r="B307" t="s">
        <v>69</v>
      </c>
      <c r="C307">
        <v>2</v>
      </c>
      <c r="D307" t="s">
        <v>94</v>
      </c>
      <c r="E307" t="s">
        <v>79</v>
      </c>
      <c r="F307" t="s">
        <v>80</v>
      </c>
      <c r="G307">
        <v>0.77811635271899804</v>
      </c>
      <c r="H307">
        <v>2E+20</v>
      </c>
      <c r="I307">
        <v>0.77811635271899804</v>
      </c>
      <c r="J307">
        <v>0.77811635271899804</v>
      </c>
      <c r="K307">
        <v>1</v>
      </c>
      <c r="L30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compartida)EsperaPedidoH2ExpressionUser Specified</v>
      </c>
      <c r="M307" s="5" cm="1">
        <f t="array" ref="M307">MAX(IF((ProjectInfoTable[ProjectName]=DiscreteStatsTable[[#This Row],[ProjectName]]),(ProjectInfoTable[ProjectName]=DiscreteStatsTable[[#This Row],[ProjectName]])*ProjectInfoTable[NumberOfReplications]))</f>
        <v>19</v>
      </c>
      <c r="N307" s="5" cm="1">
        <f t="array" ref="N307">IFERROR(AVERAGE(IF((DiscreteStatsTable[GroupByKey]=DiscreteStatsTable[[#This Row],[GroupByKey]]),(DiscreteStatsTable[GroupByKey]=DiscreteStatsTable[[#This Row],[GroupByKey]])*DiscreteStatsTable[Average])),0)</f>
        <v>1.0655123115765994</v>
      </c>
      <c r="O307" s="5" cm="1">
        <f t="array" ref="O307">IFERROR(_xlfn.STDEV.S(IF((DiscreteStatsTable[GroupByKey]=DiscreteStatsTable[[#This Row],[GroupByKey]]),(DiscreteStatsTable[GroupByKey]=DiscreteStatsTable[[#This Row],[GroupByKey]])*DiscreteStatsTable[Average])),0)</f>
        <v>0.54338905810041349</v>
      </c>
      <c r="P307" s="5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0.2619051424169187</v>
      </c>
      <c r="R307" s="5" cm="1">
        <f t="array" ref="R307">MIN(IF((DiscreteStatsTable[GroupByKey]=DiscreteStatsTable[[#This Row],[GroupByKey]]),(DiscreteStatsTable[GroupByKey]=DiscreteStatsTable[[#This Row],[GroupByKey]])*DiscreteStatsTable[Average]))</f>
        <v>0.68067339484149003</v>
      </c>
      <c r="S307" s="5" cm="1">
        <f t="array" ref="S307">MAX(IF((DiscreteStatsTable[GroupByKey]=DiscreteStatsTable[[#This Row],[GroupByKey]]),(DiscreteStatsTable[GroupByKey]=DiscreteStatsTable[[#This Row],[GroupByKey]])*DiscreteStatsTable[Average]))</f>
        <v>2.9908248106951598</v>
      </c>
      <c r="T307" s="5" cm="1">
        <f t="array" ref="T307">MIN(IF((DiscreteStatsTable[GroupByKey]=DiscreteStatsTable[[#This Row],[GroupByKey]]),(DiscreteStatsTable[GroupByKey]=DiscreteStatsTable[[#This Row],[GroupByKey]])*DiscreteStatsTable[Minimum]))</f>
        <v>0.68067339484149003</v>
      </c>
      <c r="U307" s="5" cm="1">
        <f t="array" ref="U307">MAX(IF((DiscreteStatsTable[GroupByKey]=DiscreteStatsTable[[#This Row],[GroupByKey]]),(DiscreteStatsTable[GroupByKey]=DiscreteStatsTable[[#This Row],[GroupByKey]])*DiscreteStatsTable[Maximum]))</f>
        <v>2.9908248106951598</v>
      </c>
      <c r="V307" s="5" cm="1">
        <f t="array" ref="V307">IFERROR(AVERAGE(IF((DiscreteStatsTable[GroupByKey]=DiscreteStatsTable[[#This Row],[GroupByKey]]),(DiscreteStatsTable[GroupByKey]=DiscreteStatsTable[[#This Row],[GroupByKey]])*DiscreteStatsTable[NumberObservations])),0)</f>
        <v>1</v>
      </c>
      <c r="W307" s="5">
        <f>IF((DiscreteStatsTable[[#This Row],[RepsRequested]]&gt;1),DiscreteStatsTable[[#This Row],[HalfWidth]],DiscreteStatsTable[[#This Row],[BatchMeansHalfWidth]])</f>
        <v>0.2619051424169187</v>
      </c>
      <c r="X307" s="5" cm="1">
        <f t="array" ref="X307">COUNT(IF((DiscreteStatsTable[GroupByKey]=DiscreteStatsTable[[#This Row],[GroupByKey]]),(DiscreteStatsTable[GroupByKey]=DiscreteStatsTable[[#This Row],[GroupByKey]])*DiscreteStatsTable[Replication]))</f>
        <v>19</v>
      </c>
      <c r="Y307" s="5">
        <f>IF(DiscreteStatsTable[[#This Row],[RepsRequested]]=DiscreteStatsTable[[#This Row],[RepsWithStatObserved]],1,0)</f>
        <v>1</v>
      </c>
    </row>
    <row r="308" spans="1:25" x14ac:dyDescent="0.25">
      <c r="A308" t="s">
        <v>67</v>
      </c>
      <c r="B308" t="s">
        <v>69</v>
      </c>
      <c r="C308">
        <v>3</v>
      </c>
      <c r="D308" t="s">
        <v>94</v>
      </c>
      <c r="E308" t="s">
        <v>79</v>
      </c>
      <c r="F308" t="s">
        <v>80</v>
      </c>
      <c r="G308">
        <v>1.83235249260623</v>
      </c>
      <c r="H308">
        <v>2E+20</v>
      </c>
      <c r="I308">
        <v>1.83235249260623</v>
      </c>
      <c r="J308">
        <v>1.83235249260623</v>
      </c>
      <c r="K308">
        <v>1</v>
      </c>
      <c r="L30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compartida)EsperaPedidoH2ExpressionUser Specified</v>
      </c>
      <c r="M308" s="5" cm="1">
        <f t="array" ref="M308">MAX(IF((ProjectInfoTable[ProjectName]=DiscreteStatsTable[[#This Row],[ProjectName]]),(ProjectInfoTable[ProjectName]=DiscreteStatsTable[[#This Row],[ProjectName]])*ProjectInfoTable[NumberOfReplications]))</f>
        <v>19</v>
      </c>
      <c r="N308" s="5" cm="1">
        <f t="array" ref="N308">IFERROR(AVERAGE(IF((DiscreteStatsTable[GroupByKey]=DiscreteStatsTable[[#This Row],[GroupByKey]]),(DiscreteStatsTable[GroupByKey]=DiscreteStatsTable[[#This Row],[GroupByKey]])*DiscreteStatsTable[Average])),0)</f>
        <v>1.0655123115765994</v>
      </c>
      <c r="O308" s="5" cm="1">
        <f t="array" ref="O308">IFERROR(_xlfn.STDEV.S(IF((DiscreteStatsTable[GroupByKey]=DiscreteStatsTable[[#This Row],[GroupByKey]]),(DiscreteStatsTable[GroupByKey]=DiscreteStatsTable[[#This Row],[GroupByKey]])*DiscreteStatsTable[Average])),0)</f>
        <v>0.54338905810041349</v>
      </c>
      <c r="P308" s="5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0.2619051424169187</v>
      </c>
      <c r="R308" s="5" cm="1">
        <f t="array" ref="R308">MIN(IF((DiscreteStatsTable[GroupByKey]=DiscreteStatsTable[[#This Row],[GroupByKey]]),(DiscreteStatsTable[GroupByKey]=DiscreteStatsTable[[#This Row],[GroupByKey]])*DiscreteStatsTable[Average]))</f>
        <v>0.68067339484149003</v>
      </c>
      <c r="S308" s="5" cm="1">
        <f t="array" ref="S308">MAX(IF((DiscreteStatsTable[GroupByKey]=DiscreteStatsTable[[#This Row],[GroupByKey]]),(DiscreteStatsTable[GroupByKey]=DiscreteStatsTable[[#This Row],[GroupByKey]])*DiscreteStatsTable[Average]))</f>
        <v>2.9908248106951598</v>
      </c>
      <c r="T308" s="5" cm="1">
        <f t="array" ref="T308">MIN(IF((DiscreteStatsTable[GroupByKey]=DiscreteStatsTable[[#This Row],[GroupByKey]]),(DiscreteStatsTable[GroupByKey]=DiscreteStatsTable[[#This Row],[GroupByKey]])*DiscreteStatsTable[Minimum]))</f>
        <v>0.68067339484149003</v>
      </c>
      <c r="U308" s="5" cm="1">
        <f t="array" ref="U308">MAX(IF((DiscreteStatsTable[GroupByKey]=DiscreteStatsTable[[#This Row],[GroupByKey]]),(DiscreteStatsTable[GroupByKey]=DiscreteStatsTable[[#This Row],[GroupByKey]])*DiscreteStatsTable[Maximum]))</f>
        <v>2.9908248106951598</v>
      </c>
      <c r="V308" s="5" cm="1">
        <f t="array" ref="V308">IFERROR(AVERAGE(IF((DiscreteStatsTable[GroupByKey]=DiscreteStatsTable[[#This Row],[GroupByKey]]),(DiscreteStatsTable[GroupByKey]=DiscreteStatsTable[[#This Row],[GroupByKey]])*DiscreteStatsTable[NumberObservations])),0)</f>
        <v>1</v>
      </c>
      <c r="W308" s="5">
        <f>IF((DiscreteStatsTable[[#This Row],[RepsRequested]]&gt;1),DiscreteStatsTable[[#This Row],[HalfWidth]],DiscreteStatsTable[[#This Row],[BatchMeansHalfWidth]])</f>
        <v>0.2619051424169187</v>
      </c>
      <c r="X308" s="5" cm="1">
        <f t="array" ref="X308">COUNT(IF((DiscreteStatsTable[GroupByKey]=DiscreteStatsTable[[#This Row],[GroupByKey]]),(DiscreteStatsTable[GroupByKey]=DiscreteStatsTable[[#This Row],[GroupByKey]])*DiscreteStatsTable[Replication]))</f>
        <v>19</v>
      </c>
      <c r="Y308" s="5">
        <f>IF(DiscreteStatsTable[[#This Row],[RepsRequested]]=DiscreteStatsTable[[#This Row],[RepsWithStatObserved]],1,0)</f>
        <v>1</v>
      </c>
    </row>
    <row r="309" spans="1:25" x14ac:dyDescent="0.25">
      <c r="A309" t="s">
        <v>67</v>
      </c>
      <c r="B309" t="s">
        <v>69</v>
      </c>
      <c r="C309">
        <v>4</v>
      </c>
      <c r="D309" t="s">
        <v>94</v>
      </c>
      <c r="E309" t="s">
        <v>79</v>
      </c>
      <c r="F309" t="s">
        <v>80</v>
      </c>
      <c r="G309">
        <v>0.870954171258153</v>
      </c>
      <c r="H309">
        <v>2E+20</v>
      </c>
      <c r="I309">
        <v>0.870954171258153</v>
      </c>
      <c r="J309">
        <v>0.870954171258153</v>
      </c>
      <c r="K309">
        <v>1</v>
      </c>
      <c r="L30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compartida)EsperaPedidoH2ExpressionUser Specified</v>
      </c>
      <c r="M309" s="5" cm="1">
        <f t="array" ref="M309">MAX(IF((ProjectInfoTable[ProjectName]=DiscreteStatsTable[[#This Row],[ProjectName]]),(ProjectInfoTable[ProjectName]=DiscreteStatsTable[[#This Row],[ProjectName]])*ProjectInfoTable[NumberOfReplications]))</f>
        <v>19</v>
      </c>
      <c r="N309" s="5" cm="1">
        <f t="array" ref="N309">IFERROR(AVERAGE(IF((DiscreteStatsTable[GroupByKey]=DiscreteStatsTable[[#This Row],[GroupByKey]]),(DiscreteStatsTable[GroupByKey]=DiscreteStatsTable[[#This Row],[GroupByKey]])*DiscreteStatsTable[Average])),0)</f>
        <v>1.0655123115765994</v>
      </c>
      <c r="O309" s="5" cm="1">
        <f t="array" ref="O309">IFERROR(_xlfn.STDEV.S(IF((DiscreteStatsTable[GroupByKey]=DiscreteStatsTable[[#This Row],[GroupByKey]]),(DiscreteStatsTable[GroupByKey]=DiscreteStatsTable[[#This Row],[GroupByKey]])*DiscreteStatsTable[Average])),0)</f>
        <v>0.54338905810041349</v>
      </c>
      <c r="P309" s="5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0.2619051424169187</v>
      </c>
      <c r="R309" s="5" cm="1">
        <f t="array" ref="R309">MIN(IF((DiscreteStatsTable[GroupByKey]=DiscreteStatsTable[[#This Row],[GroupByKey]]),(DiscreteStatsTable[GroupByKey]=DiscreteStatsTable[[#This Row],[GroupByKey]])*DiscreteStatsTable[Average]))</f>
        <v>0.68067339484149003</v>
      </c>
      <c r="S309" s="5" cm="1">
        <f t="array" ref="S309">MAX(IF((DiscreteStatsTable[GroupByKey]=DiscreteStatsTable[[#This Row],[GroupByKey]]),(DiscreteStatsTable[GroupByKey]=DiscreteStatsTable[[#This Row],[GroupByKey]])*DiscreteStatsTable[Average]))</f>
        <v>2.9908248106951598</v>
      </c>
      <c r="T309" s="5" cm="1">
        <f t="array" ref="T309">MIN(IF((DiscreteStatsTable[GroupByKey]=DiscreteStatsTable[[#This Row],[GroupByKey]]),(DiscreteStatsTable[GroupByKey]=DiscreteStatsTable[[#This Row],[GroupByKey]])*DiscreteStatsTable[Minimum]))</f>
        <v>0.68067339484149003</v>
      </c>
      <c r="U309" s="5" cm="1">
        <f t="array" ref="U309">MAX(IF((DiscreteStatsTable[GroupByKey]=DiscreteStatsTable[[#This Row],[GroupByKey]]),(DiscreteStatsTable[GroupByKey]=DiscreteStatsTable[[#This Row],[GroupByKey]])*DiscreteStatsTable[Maximum]))</f>
        <v>2.9908248106951598</v>
      </c>
      <c r="V309" s="5" cm="1">
        <f t="array" ref="V309">IFERROR(AVERAGE(IF((DiscreteStatsTable[GroupByKey]=DiscreteStatsTable[[#This Row],[GroupByKey]]),(DiscreteStatsTable[GroupByKey]=DiscreteStatsTable[[#This Row],[GroupByKey]])*DiscreteStatsTable[NumberObservations])),0)</f>
        <v>1</v>
      </c>
      <c r="W309" s="5">
        <f>IF((DiscreteStatsTable[[#This Row],[RepsRequested]]&gt;1),DiscreteStatsTable[[#This Row],[HalfWidth]],DiscreteStatsTable[[#This Row],[BatchMeansHalfWidth]])</f>
        <v>0.2619051424169187</v>
      </c>
      <c r="X309" s="5" cm="1">
        <f t="array" ref="X309">COUNT(IF((DiscreteStatsTable[GroupByKey]=DiscreteStatsTable[[#This Row],[GroupByKey]]),(DiscreteStatsTable[GroupByKey]=DiscreteStatsTable[[#This Row],[GroupByKey]])*DiscreteStatsTable[Replication]))</f>
        <v>19</v>
      </c>
      <c r="Y309" s="5">
        <f>IF(DiscreteStatsTable[[#This Row],[RepsRequested]]=DiscreteStatsTable[[#This Row],[RepsWithStatObserved]],1,0)</f>
        <v>1</v>
      </c>
    </row>
    <row r="310" spans="1:25" x14ac:dyDescent="0.25">
      <c r="A310" t="s">
        <v>67</v>
      </c>
      <c r="B310" t="s">
        <v>69</v>
      </c>
      <c r="C310">
        <v>5</v>
      </c>
      <c r="D310" t="s">
        <v>94</v>
      </c>
      <c r="E310" t="s">
        <v>79</v>
      </c>
      <c r="F310" t="s">
        <v>80</v>
      </c>
      <c r="G310">
        <v>0.68067339484149003</v>
      </c>
      <c r="H310">
        <v>2E+20</v>
      </c>
      <c r="I310">
        <v>0.68067339484149003</v>
      </c>
      <c r="J310">
        <v>0.68067339484149003</v>
      </c>
      <c r="K310">
        <v>1</v>
      </c>
      <c r="L31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compartida)EsperaPedidoH2ExpressionUser Specified</v>
      </c>
      <c r="M310" s="5" cm="1">
        <f t="array" ref="M310">MAX(IF((ProjectInfoTable[ProjectName]=DiscreteStatsTable[[#This Row],[ProjectName]]),(ProjectInfoTable[ProjectName]=DiscreteStatsTable[[#This Row],[ProjectName]])*ProjectInfoTable[NumberOfReplications]))</f>
        <v>19</v>
      </c>
      <c r="N310" s="5" cm="1">
        <f t="array" ref="N310">IFERROR(AVERAGE(IF((DiscreteStatsTable[GroupByKey]=DiscreteStatsTable[[#This Row],[GroupByKey]]),(DiscreteStatsTable[GroupByKey]=DiscreteStatsTable[[#This Row],[GroupByKey]])*DiscreteStatsTable[Average])),0)</f>
        <v>1.0655123115765994</v>
      </c>
      <c r="O310" s="5" cm="1">
        <f t="array" ref="O310">IFERROR(_xlfn.STDEV.S(IF((DiscreteStatsTable[GroupByKey]=DiscreteStatsTable[[#This Row],[GroupByKey]]),(DiscreteStatsTable[GroupByKey]=DiscreteStatsTable[[#This Row],[GroupByKey]])*DiscreteStatsTable[Average])),0)</f>
        <v>0.54338905810041349</v>
      </c>
      <c r="P310" s="5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0.2619051424169187</v>
      </c>
      <c r="R310" s="5" cm="1">
        <f t="array" ref="R310">MIN(IF((DiscreteStatsTable[GroupByKey]=DiscreteStatsTable[[#This Row],[GroupByKey]]),(DiscreteStatsTable[GroupByKey]=DiscreteStatsTable[[#This Row],[GroupByKey]])*DiscreteStatsTable[Average]))</f>
        <v>0.68067339484149003</v>
      </c>
      <c r="S310" s="5" cm="1">
        <f t="array" ref="S310">MAX(IF((DiscreteStatsTable[GroupByKey]=DiscreteStatsTable[[#This Row],[GroupByKey]]),(DiscreteStatsTable[GroupByKey]=DiscreteStatsTable[[#This Row],[GroupByKey]])*DiscreteStatsTable[Average]))</f>
        <v>2.9908248106951598</v>
      </c>
      <c r="T310" s="5" cm="1">
        <f t="array" ref="T310">MIN(IF((DiscreteStatsTable[GroupByKey]=DiscreteStatsTable[[#This Row],[GroupByKey]]),(DiscreteStatsTable[GroupByKey]=DiscreteStatsTable[[#This Row],[GroupByKey]])*DiscreteStatsTable[Minimum]))</f>
        <v>0.68067339484149003</v>
      </c>
      <c r="U310" s="5" cm="1">
        <f t="array" ref="U310">MAX(IF((DiscreteStatsTable[GroupByKey]=DiscreteStatsTable[[#This Row],[GroupByKey]]),(DiscreteStatsTable[GroupByKey]=DiscreteStatsTable[[#This Row],[GroupByKey]])*DiscreteStatsTable[Maximum]))</f>
        <v>2.9908248106951598</v>
      </c>
      <c r="V310" s="5" cm="1">
        <f t="array" ref="V310">IFERROR(AVERAGE(IF((DiscreteStatsTable[GroupByKey]=DiscreteStatsTable[[#This Row],[GroupByKey]]),(DiscreteStatsTable[GroupByKey]=DiscreteStatsTable[[#This Row],[GroupByKey]])*DiscreteStatsTable[NumberObservations])),0)</f>
        <v>1</v>
      </c>
      <c r="W310" s="5">
        <f>IF((DiscreteStatsTable[[#This Row],[RepsRequested]]&gt;1),DiscreteStatsTable[[#This Row],[HalfWidth]],DiscreteStatsTable[[#This Row],[BatchMeansHalfWidth]])</f>
        <v>0.2619051424169187</v>
      </c>
      <c r="X310" s="5" cm="1">
        <f t="array" ref="X310">COUNT(IF((DiscreteStatsTable[GroupByKey]=DiscreteStatsTable[[#This Row],[GroupByKey]]),(DiscreteStatsTable[GroupByKey]=DiscreteStatsTable[[#This Row],[GroupByKey]])*DiscreteStatsTable[Replication]))</f>
        <v>19</v>
      </c>
      <c r="Y310" s="5">
        <f>IF(DiscreteStatsTable[[#This Row],[RepsRequested]]=DiscreteStatsTable[[#This Row],[RepsWithStatObserved]],1,0)</f>
        <v>1</v>
      </c>
    </row>
    <row r="311" spans="1:25" x14ac:dyDescent="0.25">
      <c r="A311" t="s">
        <v>67</v>
      </c>
      <c r="B311" t="s">
        <v>69</v>
      </c>
      <c r="C311">
        <v>6</v>
      </c>
      <c r="D311" t="s">
        <v>94</v>
      </c>
      <c r="E311" t="s">
        <v>79</v>
      </c>
      <c r="F311" t="s">
        <v>80</v>
      </c>
      <c r="G311">
        <v>0.77743078317300596</v>
      </c>
      <c r="H311">
        <v>2E+20</v>
      </c>
      <c r="I311">
        <v>0.77743078317300596</v>
      </c>
      <c r="J311">
        <v>0.77743078317300596</v>
      </c>
      <c r="K311">
        <v>1</v>
      </c>
      <c r="L31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compartida)EsperaPedidoH2ExpressionUser Specified</v>
      </c>
      <c r="M311" s="5" cm="1">
        <f t="array" ref="M311">MAX(IF((ProjectInfoTable[ProjectName]=DiscreteStatsTable[[#This Row],[ProjectName]]),(ProjectInfoTable[ProjectName]=DiscreteStatsTable[[#This Row],[ProjectName]])*ProjectInfoTable[NumberOfReplications]))</f>
        <v>19</v>
      </c>
      <c r="N311" s="5" cm="1">
        <f t="array" ref="N311">IFERROR(AVERAGE(IF((DiscreteStatsTable[GroupByKey]=DiscreteStatsTable[[#This Row],[GroupByKey]]),(DiscreteStatsTable[GroupByKey]=DiscreteStatsTable[[#This Row],[GroupByKey]])*DiscreteStatsTable[Average])),0)</f>
        <v>1.0655123115765994</v>
      </c>
      <c r="O311" s="5" cm="1">
        <f t="array" ref="O311">IFERROR(_xlfn.STDEV.S(IF((DiscreteStatsTable[GroupByKey]=DiscreteStatsTable[[#This Row],[GroupByKey]]),(DiscreteStatsTable[GroupByKey]=DiscreteStatsTable[[#This Row],[GroupByKey]])*DiscreteStatsTable[Average])),0)</f>
        <v>0.54338905810041349</v>
      </c>
      <c r="P311" s="5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0.2619051424169187</v>
      </c>
      <c r="R311" s="5" cm="1">
        <f t="array" ref="R311">MIN(IF((DiscreteStatsTable[GroupByKey]=DiscreteStatsTable[[#This Row],[GroupByKey]]),(DiscreteStatsTable[GroupByKey]=DiscreteStatsTable[[#This Row],[GroupByKey]])*DiscreteStatsTable[Average]))</f>
        <v>0.68067339484149003</v>
      </c>
      <c r="S311" s="5" cm="1">
        <f t="array" ref="S311">MAX(IF((DiscreteStatsTable[GroupByKey]=DiscreteStatsTable[[#This Row],[GroupByKey]]),(DiscreteStatsTable[GroupByKey]=DiscreteStatsTable[[#This Row],[GroupByKey]])*DiscreteStatsTable[Average]))</f>
        <v>2.9908248106951598</v>
      </c>
      <c r="T311" s="5" cm="1">
        <f t="array" ref="T311">MIN(IF((DiscreteStatsTable[GroupByKey]=DiscreteStatsTable[[#This Row],[GroupByKey]]),(DiscreteStatsTable[GroupByKey]=DiscreteStatsTable[[#This Row],[GroupByKey]])*DiscreteStatsTable[Minimum]))</f>
        <v>0.68067339484149003</v>
      </c>
      <c r="U311" s="5" cm="1">
        <f t="array" ref="U311">MAX(IF((DiscreteStatsTable[GroupByKey]=DiscreteStatsTable[[#This Row],[GroupByKey]]),(DiscreteStatsTable[GroupByKey]=DiscreteStatsTable[[#This Row],[GroupByKey]])*DiscreteStatsTable[Maximum]))</f>
        <v>2.9908248106951598</v>
      </c>
      <c r="V311" s="5" cm="1">
        <f t="array" ref="V311">IFERROR(AVERAGE(IF((DiscreteStatsTable[GroupByKey]=DiscreteStatsTable[[#This Row],[GroupByKey]]),(DiscreteStatsTable[GroupByKey]=DiscreteStatsTable[[#This Row],[GroupByKey]])*DiscreteStatsTable[NumberObservations])),0)</f>
        <v>1</v>
      </c>
      <c r="W311" s="5">
        <f>IF((DiscreteStatsTable[[#This Row],[RepsRequested]]&gt;1),DiscreteStatsTable[[#This Row],[HalfWidth]],DiscreteStatsTable[[#This Row],[BatchMeansHalfWidth]])</f>
        <v>0.2619051424169187</v>
      </c>
      <c r="X311" s="5" cm="1">
        <f t="array" ref="X311">COUNT(IF((DiscreteStatsTable[GroupByKey]=DiscreteStatsTable[[#This Row],[GroupByKey]]),(DiscreteStatsTable[GroupByKey]=DiscreteStatsTable[[#This Row],[GroupByKey]])*DiscreteStatsTable[Replication]))</f>
        <v>19</v>
      </c>
      <c r="Y311" s="5">
        <f>IF(DiscreteStatsTable[[#This Row],[RepsRequested]]=DiscreteStatsTable[[#This Row],[RepsWithStatObserved]],1,0)</f>
        <v>1</v>
      </c>
    </row>
    <row r="312" spans="1:25" x14ac:dyDescent="0.25">
      <c r="A312" t="s">
        <v>67</v>
      </c>
      <c r="B312" t="s">
        <v>69</v>
      </c>
      <c r="C312">
        <v>7</v>
      </c>
      <c r="D312" t="s">
        <v>94</v>
      </c>
      <c r="E312" t="s">
        <v>79</v>
      </c>
      <c r="F312" t="s">
        <v>80</v>
      </c>
      <c r="G312">
        <v>0.81335827408874595</v>
      </c>
      <c r="H312">
        <v>2E+20</v>
      </c>
      <c r="I312">
        <v>0.81335827408874595</v>
      </c>
      <c r="J312">
        <v>0.81335827408874595</v>
      </c>
      <c r="K312">
        <v>1</v>
      </c>
      <c r="L31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compartida)EsperaPedidoH2ExpressionUser Specified</v>
      </c>
      <c r="M312" s="5" cm="1">
        <f t="array" ref="M312">MAX(IF((ProjectInfoTable[ProjectName]=DiscreteStatsTable[[#This Row],[ProjectName]]),(ProjectInfoTable[ProjectName]=DiscreteStatsTable[[#This Row],[ProjectName]])*ProjectInfoTable[NumberOfReplications]))</f>
        <v>19</v>
      </c>
      <c r="N312" s="5" cm="1">
        <f t="array" ref="N312">IFERROR(AVERAGE(IF((DiscreteStatsTable[GroupByKey]=DiscreteStatsTable[[#This Row],[GroupByKey]]),(DiscreteStatsTable[GroupByKey]=DiscreteStatsTable[[#This Row],[GroupByKey]])*DiscreteStatsTable[Average])),0)</f>
        <v>1.0655123115765994</v>
      </c>
      <c r="O312" s="5" cm="1">
        <f t="array" ref="O312">IFERROR(_xlfn.STDEV.S(IF((DiscreteStatsTable[GroupByKey]=DiscreteStatsTable[[#This Row],[GroupByKey]]),(DiscreteStatsTable[GroupByKey]=DiscreteStatsTable[[#This Row],[GroupByKey]])*DiscreteStatsTable[Average])),0)</f>
        <v>0.54338905810041349</v>
      </c>
      <c r="P312" s="5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 s="5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0.2619051424169187</v>
      </c>
      <c r="R312" s="5" cm="1">
        <f t="array" ref="R312">MIN(IF((DiscreteStatsTable[GroupByKey]=DiscreteStatsTable[[#This Row],[GroupByKey]]),(DiscreteStatsTable[GroupByKey]=DiscreteStatsTable[[#This Row],[GroupByKey]])*DiscreteStatsTable[Average]))</f>
        <v>0.68067339484149003</v>
      </c>
      <c r="S312" s="5" cm="1">
        <f t="array" ref="S312">MAX(IF((DiscreteStatsTable[GroupByKey]=DiscreteStatsTable[[#This Row],[GroupByKey]]),(DiscreteStatsTable[GroupByKey]=DiscreteStatsTable[[#This Row],[GroupByKey]])*DiscreteStatsTable[Average]))</f>
        <v>2.9908248106951598</v>
      </c>
      <c r="T312" s="5" cm="1">
        <f t="array" ref="T312">MIN(IF((DiscreteStatsTable[GroupByKey]=DiscreteStatsTable[[#This Row],[GroupByKey]]),(DiscreteStatsTable[GroupByKey]=DiscreteStatsTable[[#This Row],[GroupByKey]])*DiscreteStatsTable[Minimum]))</f>
        <v>0.68067339484149003</v>
      </c>
      <c r="U312" s="5" cm="1">
        <f t="array" ref="U312">MAX(IF((DiscreteStatsTable[GroupByKey]=DiscreteStatsTable[[#This Row],[GroupByKey]]),(DiscreteStatsTable[GroupByKey]=DiscreteStatsTable[[#This Row],[GroupByKey]])*DiscreteStatsTable[Maximum]))</f>
        <v>2.9908248106951598</v>
      </c>
      <c r="V312" s="5" cm="1">
        <f t="array" ref="V312">IFERROR(AVERAGE(IF((DiscreteStatsTable[GroupByKey]=DiscreteStatsTable[[#This Row],[GroupByKey]]),(DiscreteStatsTable[GroupByKey]=DiscreteStatsTable[[#This Row],[GroupByKey]])*DiscreteStatsTable[NumberObservations])),0)</f>
        <v>1</v>
      </c>
      <c r="W312" s="5">
        <f>IF((DiscreteStatsTable[[#This Row],[RepsRequested]]&gt;1),DiscreteStatsTable[[#This Row],[HalfWidth]],DiscreteStatsTable[[#This Row],[BatchMeansHalfWidth]])</f>
        <v>0.2619051424169187</v>
      </c>
      <c r="X312" s="5" cm="1">
        <f t="array" ref="X312">COUNT(IF((DiscreteStatsTable[GroupByKey]=DiscreteStatsTable[[#This Row],[GroupByKey]]),(DiscreteStatsTable[GroupByKey]=DiscreteStatsTable[[#This Row],[GroupByKey]])*DiscreteStatsTable[Replication]))</f>
        <v>19</v>
      </c>
      <c r="Y312" s="5">
        <f>IF(DiscreteStatsTable[[#This Row],[RepsRequested]]=DiscreteStatsTable[[#This Row],[RepsWithStatObserved]],1,0)</f>
        <v>1</v>
      </c>
    </row>
    <row r="313" spans="1:25" x14ac:dyDescent="0.25">
      <c r="A313" t="s">
        <v>67</v>
      </c>
      <c r="B313" t="s">
        <v>69</v>
      </c>
      <c r="C313">
        <v>8</v>
      </c>
      <c r="D313" t="s">
        <v>94</v>
      </c>
      <c r="E313" t="s">
        <v>79</v>
      </c>
      <c r="F313" t="s">
        <v>80</v>
      </c>
      <c r="G313">
        <v>1.1866882479216401</v>
      </c>
      <c r="H313">
        <v>2E+20</v>
      </c>
      <c r="I313">
        <v>1.1866882479216401</v>
      </c>
      <c r="J313">
        <v>1.1866882479216401</v>
      </c>
      <c r="K313">
        <v>1</v>
      </c>
      <c r="L31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compartida)EsperaPedidoH2ExpressionUser Specified</v>
      </c>
      <c r="M313" s="5" cm="1">
        <f t="array" ref="M313">MAX(IF((ProjectInfoTable[ProjectName]=DiscreteStatsTable[[#This Row],[ProjectName]]),(ProjectInfoTable[ProjectName]=DiscreteStatsTable[[#This Row],[ProjectName]])*ProjectInfoTable[NumberOfReplications]))</f>
        <v>19</v>
      </c>
      <c r="N313" s="5" cm="1">
        <f t="array" ref="N313">IFERROR(AVERAGE(IF((DiscreteStatsTable[GroupByKey]=DiscreteStatsTable[[#This Row],[GroupByKey]]),(DiscreteStatsTable[GroupByKey]=DiscreteStatsTable[[#This Row],[GroupByKey]])*DiscreteStatsTable[Average])),0)</f>
        <v>1.0655123115765994</v>
      </c>
      <c r="O313" s="5" cm="1">
        <f t="array" ref="O313">IFERROR(_xlfn.STDEV.S(IF((DiscreteStatsTable[GroupByKey]=DiscreteStatsTable[[#This Row],[GroupByKey]]),(DiscreteStatsTable[GroupByKey]=DiscreteStatsTable[[#This Row],[GroupByKey]])*DiscreteStatsTable[Average])),0)</f>
        <v>0.54338905810041349</v>
      </c>
      <c r="P313" s="5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 s="5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0.2619051424169187</v>
      </c>
      <c r="R313" s="5" cm="1">
        <f t="array" ref="R313">MIN(IF((DiscreteStatsTable[GroupByKey]=DiscreteStatsTable[[#This Row],[GroupByKey]]),(DiscreteStatsTable[GroupByKey]=DiscreteStatsTable[[#This Row],[GroupByKey]])*DiscreteStatsTable[Average]))</f>
        <v>0.68067339484149003</v>
      </c>
      <c r="S313" s="5" cm="1">
        <f t="array" ref="S313">MAX(IF((DiscreteStatsTable[GroupByKey]=DiscreteStatsTable[[#This Row],[GroupByKey]]),(DiscreteStatsTable[GroupByKey]=DiscreteStatsTable[[#This Row],[GroupByKey]])*DiscreteStatsTable[Average]))</f>
        <v>2.9908248106951598</v>
      </c>
      <c r="T313" s="5" cm="1">
        <f t="array" ref="T313">MIN(IF((DiscreteStatsTable[GroupByKey]=DiscreteStatsTable[[#This Row],[GroupByKey]]),(DiscreteStatsTable[GroupByKey]=DiscreteStatsTable[[#This Row],[GroupByKey]])*DiscreteStatsTable[Minimum]))</f>
        <v>0.68067339484149003</v>
      </c>
      <c r="U313" s="5" cm="1">
        <f t="array" ref="U313">MAX(IF((DiscreteStatsTable[GroupByKey]=DiscreteStatsTable[[#This Row],[GroupByKey]]),(DiscreteStatsTable[GroupByKey]=DiscreteStatsTable[[#This Row],[GroupByKey]])*DiscreteStatsTable[Maximum]))</f>
        <v>2.9908248106951598</v>
      </c>
      <c r="V313" s="5" cm="1">
        <f t="array" ref="V313">IFERROR(AVERAGE(IF((DiscreteStatsTable[GroupByKey]=DiscreteStatsTable[[#This Row],[GroupByKey]]),(DiscreteStatsTable[GroupByKey]=DiscreteStatsTable[[#This Row],[GroupByKey]])*DiscreteStatsTable[NumberObservations])),0)</f>
        <v>1</v>
      </c>
      <c r="W313" s="5">
        <f>IF((DiscreteStatsTable[[#This Row],[RepsRequested]]&gt;1),DiscreteStatsTable[[#This Row],[HalfWidth]],DiscreteStatsTable[[#This Row],[BatchMeansHalfWidth]])</f>
        <v>0.2619051424169187</v>
      </c>
      <c r="X313" s="5" cm="1">
        <f t="array" ref="X313">COUNT(IF((DiscreteStatsTable[GroupByKey]=DiscreteStatsTable[[#This Row],[GroupByKey]]),(DiscreteStatsTable[GroupByKey]=DiscreteStatsTable[[#This Row],[GroupByKey]])*DiscreteStatsTable[Replication]))</f>
        <v>19</v>
      </c>
      <c r="Y313" s="5">
        <f>IF(DiscreteStatsTable[[#This Row],[RepsRequested]]=DiscreteStatsTable[[#This Row],[RepsWithStatObserved]],1,0)</f>
        <v>1</v>
      </c>
    </row>
    <row r="314" spans="1:25" x14ac:dyDescent="0.25">
      <c r="A314" t="s">
        <v>67</v>
      </c>
      <c r="B314" t="s">
        <v>69</v>
      </c>
      <c r="C314">
        <v>9</v>
      </c>
      <c r="D314" t="s">
        <v>94</v>
      </c>
      <c r="E314" t="s">
        <v>79</v>
      </c>
      <c r="F314" t="s">
        <v>80</v>
      </c>
      <c r="G314">
        <v>0.967940241912288</v>
      </c>
      <c r="H314">
        <v>2E+20</v>
      </c>
      <c r="I314">
        <v>0.967940241912288</v>
      </c>
      <c r="J314">
        <v>0.967940241912288</v>
      </c>
      <c r="K314">
        <v>1</v>
      </c>
      <c r="L31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compartida)EsperaPedidoH2ExpressionUser Specified</v>
      </c>
      <c r="M314" s="5" cm="1">
        <f t="array" ref="M314">MAX(IF((ProjectInfoTable[ProjectName]=DiscreteStatsTable[[#This Row],[ProjectName]]),(ProjectInfoTable[ProjectName]=DiscreteStatsTable[[#This Row],[ProjectName]])*ProjectInfoTable[NumberOfReplications]))</f>
        <v>19</v>
      </c>
      <c r="N314" s="5" cm="1">
        <f t="array" ref="N314">IFERROR(AVERAGE(IF((DiscreteStatsTable[GroupByKey]=DiscreteStatsTable[[#This Row],[GroupByKey]]),(DiscreteStatsTable[GroupByKey]=DiscreteStatsTable[[#This Row],[GroupByKey]])*DiscreteStatsTable[Average])),0)</f>
        <v>1.0655123115765994</v>
      </c>
      <c r="O314" s="5" cm="1">
        <f t="array" ref="O314">IFERROR(_xlfn.STDEV.S(IF((DiscreteStatsTable[GroupByKey]=DiscreteStatsTable[[#This Row],[GroupByKey]]),(DiscreteStatsTable[GroupByKey]=DiscreteStatsTable[[#This Row],[GroupByKey]])*DiscreteStatsTable[Average])),0)</f>
        <v>0.54338905810041349</v>
      </c>
      <c r="P314" s="5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 s="5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0.2619051424169187</v>
      </c>
      <c r="R314" s="5" cm="1">
        <f t="array" ref="R314">MIN(IF((DiscreteStatsTable[GroupByKey]=DiscreteStatsTable[[#This Row],[GroupByKey]]),(DiscreteStatsTable[GroupByKey]=DiscreteStatsTable[[#This Row],[GroupByKey]])*DiscreteStatsTable[Average]))</f>
        <v>0.68067339484149003</v>
      </c>
      <c r="S314" s="5" cm="1">
        <f t="array" ref="S314">MAX(IF((DiscreteStatsTable[GroupByKey]=DiscreteStatsTable[[#This Row],[GroupByKey]]),(DiscreteStatsTable[GroupByKey]=DiscreteStatsTable[[#This Row],[GroupByKey]])*DiscreteStatsTable[Average]))</f>
        <v>2.9908248106951598</v>
      </c>
      <c r="T314" s="5" cm="1">
        <f t="array" ref="T314">MIN(IF((DiscreteStatsTable[GroupByKey]=DiscreteStatsTable[[#This Row],[GroupByKey]]),(DiscreteStatsTable[GroupByKey]=DiscreteStatsTable[[#This Row],[GroupByKey]])*DiscreteStatsTable[Minimum]))</f>
        <v>0.68067339484149003</v>
      </c>
      <c r="U314" s="5" cm="1">
        <f t="array" ref="U314">MAX(IF((DiscreteStatsTable[GroupByKey]=DiscreteStatsTable[[#This Row],[GroupByKey]]),(DiscreteStatsTable[GroupByKey]=DiscreteStatsTable[[#This Row],[GroupByKey]])*DiscreteStatsTable[Maximum]))</f>
        <v>2.9908248106951598</v>
      </c>
      <c r="V314" s="5" cm="1">
        <f t="array" ref="V314">IFERROR(AVERAGE(IF((DiscreteStatsTable[GroupByKey]=DiscreteStatsTable[[#This Row],[GroupByKey]]),(DiscreteStatsTable[GroupByKey]=DiscreteStatsTable[[#This Row],[GroupByKey]])*DiscreteStatsTable[NumberObservations])),0)</f>
        <v>1</v>
      </c>
      <c r="W314" s="5">
        <f>IF((DiscreteStatsTable[[#This Row],[RepsRequested]]&gt;1),DiscreteStatsTable[[#This Row],[HalfWidth]],DiscreteStatsTable[[#This Row],[BatchMeansHalfWidth]])</f>
        <v>0.2619051424169187</v>
      </c>
      <c r="X314" s="5" cm="1">
        <f t="array" ref="X314">COUNT(IF((DiscreteStatsTable[GroupByKey]=DiscreteStatsTable[[#This Row],[GroupByKey]]),(DiscreteStatsTable[GroupByKey]=DiscreteStatsTable[[#This Row],[GroupByKey]])*DiscreteStatsTable[Replication]))</f>
        <v>19</v>
      </c>
      <c r="Y314" s="5">
        <f>IF(DiscreteStatsTable[[#This Row],[RepsRequested]]=DiscreteStatsTable[[#This Row],[RepsWithStatObserved]],1,0)</f>
        <v>1</v>
      </c>
    </row>
    <row r="315" spans="1:25" x14ac:dyDescent="0.25">
      <c r="A315" t="s">
        <v>67</v>
      </c>
      <c r="B315" t="s">
        <v>69</v>
      </c>
      <c r="C315">
        <v>10</v>
      </c>
      <c r="D315" t="s">
        <v>94</v>
      </c>
      <c r="E315" t="s">
        <v>79</v>
      </c>
      <c r="F315" t="s">
        <v>80</v>
      </c>
      <c r="G315">
        <v>1.0608016231803501</v>
      </c>
      <c r="H315">
        <v>2E+20</v>
      </c>
      <c r="I315">
        <v>1.0608016231803501</v>
      </c>
      <c r="J315">
        <v>1.0608016231803501</v>
      </c>
      <c r="K315">
        <v>1</v>
      </c>
      <c r="L31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compartida)EsperaPedidoH2ExpressionUser Specified</v>
      </c>
      <c r="M315" s="5" cm="1">
        <f t="array" ref="M315">MAX(IF((ProjectInfoTable[ProjectName]=DiscreteStatsTable[[#This Row],[ProjectName]]),(ProjectInfoTable[ProjectName]=DiscreteStatsTable[[#This Row],[ProjectName]])*ProjectInfoTable[NumberOfReplications]))</f>
        <v>19</v>
      </c>
      <c r="N315" s="5" cm="1">
        <f t="array" ref="N315">IFERROR(AVERAGE(IF((DiscreteStatsTable[GroupByKey]=DiscreteStatsTable[[#This Row],[GroupByKey]]),(DiscreteStatsTable[GroupByKey]=DiscreteStatsTable[[#This Row],[GroupByKey]])*DiscreteStatsTable[Average])),0)</f>
        <v>1.0655123115765994</v>
      </c>
      <c r="O315" s="5" cm="1">
        <f t="array" ref="O315">IFERROR(_xlfn.STDEV.S(IF((DiscreteStatsTable[GroupByKey]=DiscreteStatsTable[[#This Row],[GroupByKey]]),(DiscreteStatsTable[GroupByKey]=DiscreteStatsTable[[#This Row],[GroupByKey]])*DiscreteStatsTable[Average])),0)</f>
        <v>0.54338905810041349</v>
      </c>
      <c r="P315" s="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 s="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0.2619051424169187</v>
      </c>
      <c r="R315" s="5" cm="1">
        <f t="array" ref="R315">MIN(IF((DiscreteStatsTable[GroupByKey]=DiscreteStatsTable[[#This Row],[GroupByKey]]),(DiscreteStatsTable[GroupByKey]=DiscreteStatsTable[[#This Row],[GroupByKey]])*DiscreteStatsTable[Average]))</f>
        <v>0.68067339484149003</v>
      </c>
      <c r="S315" s="5" cm="1">
        <f t="array" ref="S315">MAX(IF((DiscreteStatsTable[GroupByKey]=DiscreteStatsTable[[#This Row],[GroupByKey]]),(DiscreteStatsTable[GroupByKey]=DiscreteStatsTable[[#This Row],[GroupByKey]])*DiscreteStatsTable[Average]))</f>
        <v>2.9908248106951598</v>
      </c>
      <c r="T315" s="5" cm="1">
        <f t="array" ref="T315">MIN(IF((DiscreteStatsTable[GroupByKey]=DiscreteStatsTable[[#This Row],[GroupByKey]]),(DiscreteStatsTable[GroupByKey]=DiscreteStatsTable[[#This Row],[GroupByKey]])*DiscreteStatsTable[Minimum]))</f>
        <v>0.68067339484149003</v>
      </c>
      <c r="U315" s="5" cm="1">
        <f t="array" ref="U315">MAX(IF((DiscreteStatsTable[GroupByKey]=DiscreteStatsTable[[#This Row],[GroupByKey]]),(DiscreteStatsTable[GroupByKey]=DiscreteStatsTable[[#This Row],[GroupByKey]])*DiscreteStatsTable[Maximum]))</f>
        <v>2.9908248106951598</v>
      </c>
      <c r="V315" s="5" cm="1">
        <f t="array" ref="V315">IFERROR(AVERAGE(IF((DiscreteStatsTable[GroupByKey]=DiscreteStatsTable[[#This Row],[GroupByKey]]),(DiscreteStatsTable[GroupByKey]=DiscreteStatsTable[[#This Row],[GroupByKey]])*DiscreteStatsTable[NumberObservations])),0)</f>
        <v>1</v>
      </c>
      <c r="W315" s="5">
        <f>IF((DiscreteStatsTable[[#This Row],[RepsRequested]]&gt;1),DiscreteStatsTable[[#This Row],[HalfWidth]],DiscreteStatsTable[[#This Row],[BatchMeansHalfWidth]])</f>
        <v>0.2619051424169187</v>
      </c>
      <c r="X315" s="5" cm="1">
        <f t="array" ref="X315">COUNT(IF((DiscreteStatsTable[GroupByKey]=DiscreteStatsTable[[#This Row],[GroupByKey]]),(DiscreteStatsTable[GroupByKey]=DiscreteStatsTable[[#This Row],[GroupByKey]])*DiscreteStatsTable[Replication]))</f>
        <v>19</v>
      </c>
      <c r="Y315" s="5">
        <f>IF(DiscreteStatsTable[[#This Row],[RepsRequested]]=DiscreteStatsTable[[#This Row],[RepsWithStatObserved]],1,0)</f>
        <v>1</v>
      </c>
    </row>
    <row r="316" spans="1:25" x14ac:dyDescent="0.25">
      <c r="A316" t="s">
        <v>67</v>
      </c>
      <c r="B316" t="s">
        <v>69</v>
      </c>
      <c r="C316">
        <v>11</v>
      </c>
      <c r="D316" t="s">
        <v>94</v>
      </c>
      <c r="E316" t="s">
        <v>79</v>
      </c>
      <c r="F316" t="s">
        <v>80</v>
      </c>
      <c r="G316">
        <v>0.71598201521652305</v>
      </c>
      <c r="H316">
        <v>2E+20</v>
      </c>
      <c r="I316">
        <v>0.71598201521652305</v>
      </c>
      <c r="J316">
        <v>0.71598201521652305</v>
      </c>
      <c r="K316">
        <v>1</v>
      </c>
      <c r="L31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compartida)EsperaPedidoH2ExpressionUser Specified</v>
      </c>
      <c r="M316" s="5" cm="1">
        <f t="array" ref="M316">MAX(IF((ProjectInfoTable[ProjectName]=DiscreteStatsTable[[#This Row],[ProjectName]]),(ProjectInfoTable[ProjectName]=DiscreteStatsTable[[#This Row],[ProjectName]])*ProjectInfoTable[NumberOfReplications]))</f>
        <v>19</v>
      </c>
      <c r="N316" s="5" cm="1">
        <f t="array" ref="N316">IFERROR(AVERAGE(IF((DiscreteStatsTable[GroupByKey]=DiscreteStatsTable[[#This Row],[GroupByKey]]),(DiscreteStatsTable[GroupByKey]=DiscreteStatsTable[[#This Row],[GroupByKey]])*DiscreteStatsTable[Average])),0)</f>
        <v>1.0655123115765994</v>
      </c>
      <c r="O316" s="5" cm="1">
        <f t="array" ref="O316">IFERROR(_xlfn.STDEV.S(IF((DiscreteStatsTable[GroupByKey]=DiscreteStatsTable[[#This Row],[GroupByKey]]),(DiscreteStatsTable[GroupByKey]=DiscreteStatsTable[[#This Row],[GroupByKey]])*DiscreteStatsTable[Average])),0)</f>
        <v>0.54338905810041349</v>
      </c>
      <c r="P316" s="5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 s="5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0.2619051424169187</v>
      </c>
      <c r="R316" s="5" cm="1">
        <f t="array" ref="R316">MIN(IF((DiscreteStatsTable[GroupByKey]=DiscreteStatsTable[[#This Row],[GroupByKey]]),(DiscreteStatsTable[GroupByKey]=DiscreteStatsTable[[#This Row],[GroupByKey]])*DiscreteStatsTable[Average]))</f>
        <v>0.68067339484149003</v>
      </c>
      <c r="S316" s="5" cm="1">
        <f t="array" ref="S316">MAX(IF((DiscreteStatsTable[GroupByKey]=DiscreteStatsTable[[#This Row],[GroupByKey]]),(DiscreteStatsTable[GroupByKey]=DiscreteStatsTable[[#This Row],[GroupByKey]])*DiscreteStatsTable[Average]))</f>
        <v>2.9908248106951598</v>
      </c>
      <c r="T316" s="5" cm="1">
        <f t="array" ref="T316">MIN(IF((DiscreteStatsTable[GroupByKey]=DiscreteStatsTable[[#This Row],[GroupByKey]]),(DiscreteStatsTable[GroupByKey]=DiscreteStatsTable[[#This Row],[GroupByKey]])*DiscreteStatsTable[Minimum]))</f>
        <v>0.68067339484149003</v>
      </c>
      <c r="U316" s="5" cm="1">
        <f t="array" ref="U316">MAX(IF((DiscreteStatsTable[GroupByKey]=DiscreteStatsTable[[#This Row],[GroupByKey]]),(DiscreteStatsTable[GroupByKey]=DiscreteStatsTable[[#This Row],[GroupByKey]])*DiscreteStatsTable[Maximum]))</f>
        <v>2.9908248106951598</v>
      </c>
      <c r="V316" s="5" cm="1">
        <f t="array" ref="V316">IFERROR(AVERAGE(IF((DiscreteStatsTable[GroupByKey]=DiscreteStatsTable[[#This Row],[GroupByKey]]),(DiscreteStatsTable[GroupByKey]=DiscreteStatsTable[[#This Row],[GroupByKey]])*DiscreteStatsTable[NumberObservations])),0)</f>
        <v>1</v>
      </c>
      <c r="W316" s="5">
        <f>IF((DiscreteStatsTable[[#This Row],[RepsRequested]]&gt;1),DiscreteStatsTable[[#This Row],[HalfWidth]],DiscreteStatsTable[[#This Row],[BatchMeansHalfWidth]])</f>
        <v>0.2619051424169187</v>
      </c>
      <c r="X316" s="5" cm="1">
        <f t="array" ref="X316">COUNT(IF((DiscreteStatsTable[GroupByKey]=DiscreteStatsTable[[#This Row],[GroupByKey]]),(DiscreteStatsTable[GroupByKey]=DiscreteStatsTable[[#This Row],[GroupByKey]])*DiscreteStatsTable[Replication]))</f>
        <v>19</v>
      </c>
      <c r="Y316" s="5">
        <f>IF(DiscreteStatsTable[[#This Row],[RepsRequested]]=DiscreteStatsTable[[#This Row],[RepsWithStatObserved]],1,0)</f>
        <v>1</v>
      </c>
    </row>
    <row r="317" spans="1:25" x14ac:dyDescent="0.25">
      <c r="A317" t="s">
        <v>67</v>
      </c>
      <c r="B317" t="s">
        <v>69</v>
      </c>
      <c r="C317">
        <v>12</v>
      </c>
      <c r="D317" t="s">
        <v>94</v>
      </c>
      <c r="E317" t="s">
        <v>79</v>
      </c>
      <c r="F317" t="s">
        <v>80</v>
      </c>
      <c r="G317">
        <v>1.2977535954505901</v>
      </c>
      <c r="H317">
        <v>2E+20</v>
      </c>
      <c r="I317">
        <v>1.2977535954505901</v>
      </c>
      <c r="J317">
        <v>1.2977535954505901</v>
      </c>
      <c r="K317">
        <v>1</v>
      </c>
      <c r="L31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compartida)EsperaPedidoH2ExpressionUser Specified</v>
      </c>
      <c r="M317" s="5" cm="1">
        <f t="array" ref="M317">MAX(IF((ProjectInfoTable[ProjectName]=DiscreteStatsTable[[#This Row],[ProjectName]]),(ProjectInfoTable[ProjectName]=DiscreteStatsTable[[#This Row],[ProjectName]])*ProjectInfoTable[NumberOfReplications]))</f>
        <v>19</v>
      </c>
      <c r="N317" s="5" cm="1">
        <f t="array" ref="N317">IFERROR(AVERAGE(IF((DiscreteStatsTable[GroupByKey]=DiscreteStatsTable[[#This Row],[GroupByKey]]),(DiscreteStatsTable[GroupByKey]=DiscreteStatsTable[[#This Row],[GroupByKey]])*DiscreteStatsTable[Average])),0)</f>
        <v>1.0655123115765994</v>
      </c>
      <c r="O317" s="5" cm="1">
        <f t="array" ref="O317">IFERROR(_xlfn.STDEV.S(IF((DiscreteStatsTable[GroupByKey]=DiscreteStatsTable[[#This Row],[GroupByKey]]),(DiscreteStatsTable[GroupByKey]=DiscreteStatsTable[[#This Row],[GroupByKey]])*DiscreteStatsTable[Average])),0)</f>
        <v>0.54338905810041349</v>
      </c>
      <c r="P317" s="5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 s="5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0.2619051424169187</v>
      </c>
      <c r="R317" s="5" cm="1">
        <f t="array" ref="R317">MIN(IF((DiscreteStatsTable[GroupByKey]=DiscreteStatsTable[[#This Row],[GroupByKey]]),(DiscreteStatsTable[GroupByKey]=DiscreteStatsTable[[#This Row],[GroupByKey]])*DiscreteStatsTable[Average]))</f>
        <v>0.68067339484149003</v>
      </c>
      <c r="S317" s="5" cm="1">
        <f t="array" ref="S317">MAX(IF((DiscreteStatsTable[GroupByKey]=DiscreteStatsTable[[#This Row],[GroupByKey]]),(DiscreteStatsTable[GroupByKey]=DiscreteStatsTable[[#This Row],[GroupByKey]])*DiscreteStatsTable[Average]))</f>
        <v>2.9908248106951598</v>
      </c>
      <c r="T317" s="5" cm="1">
        <f t="array" ref="T317">MIN(IF((DiscreteStatsTable[GroupByKey]=DiscreteStatsTable[[#This Row],[GroupByKey]]),(DiscreteStatsTable[GroupByKey]=DiscreteStatsTable[[#This Row],[GroupByKey]])*DiscreteStatsTable[Minimum]))</f>
        <v>0.68067339484149003</v>
      </c>
      <c r="U317" s="5" cm="1">
        <f t="array" ref="U317">MAX(IF((DiscreteStatsTable[GroupByKey]=DiscreteStatsTable[[#This Row],[GroupByKey]]),(DiscreteStatsTable[GroupByKey]=DiscreteStatsTable[[#This Row],[GroupByKey]])*DiscreteStatsTable[Maximum]))</f>
        <v>2.9908248106951598</v>
      </c>
      <c r="V317" s="5" cm="1">
        <f t="array" ref="V317">IFERROR(AVERAGE(IF((DiscreteStatsTable[GroupByKey]=DiscreteStatsTable[[#This Row],[GroupByKey]]),(DiscreteStatsTable[GroupByKey]=DiscreteStatsTable[[#This Row],[GroupByKey]])*DiscreteStatsTable[NumberObservations])),0)</f>
        <v>1</v>
      </c>
      <c r="W317" s="5">
        <f>IF((DiscreteStatsTable[[#This Row],[RepsRequested]]&gt;1),DiscreteStatsTable[[#This Row],[HalfWidth]],DiscreteStatsTable[[#This Row],[BatchMeansHalfWidth]])</f>
        <v>0.2619051424169187</v>
      </c>
      <c r="X317" s="5" cm="1">
        <f t="array" ref="X317">COUNT(IF((DiscreteStatsTable[GroupByKey]=DiscreteStatsTable[[#This Row],[GroupByKey]]),(DiscreteStatsTable[GroupByKey]=DiscreteStatsTable[[#This Row],[GroupByKey]])*DiscreteStatsTable[Replication]))</f>
        <v>19</v>
      </c>
      <c r="Y317" s="5">
        <f>IF(DiscreteStatsTable[[#This Row],[RepsRequested]]=DiscreteStatsTable[[#This Row],[RepsWithStatObserved]],1,0)</f>
        <v>1</v>
      </c>
    </row>
    <row r="318" spans="1:25" x14ac:dyDescent="0.25">
      <c r="A318" t="s">
        <v>67</v>
      </c>
      <c r="B318" t="s">
        <v>69</v>
      </c>
      <c r="C318">
        <v>13</v>
      </c>
      <c r="D318" t="s">
        <v>94</v>
      </c>
      <c r="E318" t="s">
        <v>79</v>
      </c>
      <c r="F318" t="s">
        <v>80</v>
      </c>
      <c r="G318">
        <v>0.79917478816041398</v>
      </c>
      <c r="H318">
        <v>2E+20</v>
      </c>
      <c r="I318">
        <v>0.79917478816041398</v>
      </c>
      <c r="J318">
        <v>0.79917478816041398</v>
      </c>
      <c r="K318">
        <v>1</v>
      </c>
      <c r="L31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compartida)EsperaPedidoH2ExpressionUser Specified</v>
      </c>
      <c r="M318" s="5" cm="1">
        <f t="array" ref="M318">MAX(IF((ProjectInfoTable[ProjectName]=DiscreteStatsTable[[#This Row],[ProjectName]]),(ProjectInfoTable[ProjectName]=DiscreteStatsTable[[#This Row],[ProjectName]])*ProjectInfoTable[NumberOfReplications]))</f>
        <v>19</v>
      </c>
      <c r="N318" s="5" cm="1">
        <f t="array" ref="N318">IFERROR(AVERAGE(IF((DiscreteStatsTable[GroupByKey]=DiscreteStatsTable[[#This Row],[GroupByKey]]),(DiscreteStatsTable[GroupByKey]=DiscreteStatsTable[[#This Row],[GroupByKey]])*DiscreteStatsTable[Average])),0)</f>
        <v>1.0655123115765994</v>
      </c>
      <c r="O318" s="5" cm="1">
        <f t="array" ref="O318">IFERROR(_xlfn.STDEV.S(IF((DiscreteStatsTable[GroupByKey]=DiscreteStatsTable[[#This Row],[GroupByKey]]),(DiscreteStatsTable[GroupByKey]=DiscreteStatsTable[[#This Row],[GroupByKey]])*DiscreteStatsTable[Average])),0)</f>
        <v>0.54338905810041349</v>
      </c>
      <c r="P318" s="5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 s="5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0.2619051424169187</v>
      </c>
      <c r="R318" s="5" cm="1">
        <f t="array" ref="R318">MIN(IF((DiscreteStatsTable[GroupByKey]=DiscreteStatsTable[[#This Row],[GroupByKey]]),(DiscreteStatsTable[GroupByKey]=DiscreteStatsTable[[#This Row],[GroupByKey]])*DiscreteStatsTable[Average]))</f>
        <v>0.68067339484149003</v>
      </c>
      <c r="S318" s="5" cm="1">
        <f t="array" ref="S318">MAX(IF((DiscreteStatsTable[GroupByKey]=DiscreteStatsTable[[#This Row],[GroupByKey]]),(DiscreteStatsTable[GroupByKey]=DiscreteStatsTable[[#This Row],[GroupByKey]])*DiscreteStatsTable[Average]))</f>
        <v>2.9908248106951598</v>
      </c>
      <c r="T318" s="5" cm="1">
        <f t="array" ref="T318">MIN(IF((DiscreteStatsTable[GroupByKey]=DiscreteStatsTable[[#This Row],[GroupByKey]]),(DiscreteStatsTable[GroupByKey]=DiscreteStatsTable[[#This Row],[GroupByKey]])*DiscreteStatsTable[Minimum]))</f>
        <v>0.68067339484149003</v>
      </c>
      <c r="U318" s="5" cm="1">
        <f t="array" ref="U318">MAX(IF((DiscreteStatsTable[GroupByKey]=DiscreteStatsTable[[#This Row],[GroupByKey]]),(DiscreteStatsTable[GroupByKey]=DiscreteStatsTable[[#This Row],[GroupByKey]])*DiscreteStatsTable[Maximum]))</f>
        <v>2.9908248106951598</v>
      </c>
      <c r="V318" s="5" cm="1">
        <f t="array" ref="V318">IFERROR(AVERAGE(IF((DiscreteStatsTable[GroupByKey]=DiscreteStatsTable[[#This Row],[GroupByKey]]),(DiscreteStatsTable[GroupByKey]=DiscreteStatsTable[[#This Row],[GroupByKey]])*DiscreteStatsTable[NumberObservations])),0)</f>
        <v>1</v>
      </c>
      <c r="W318" s="5">
        <f>IF((DiscreteStatsTable[[#This Row],[RepsRequested]]&gt;1),DiscreteStatsTable[[#This Row],[HalfWidth]],DiscreteStatsTable[[#This Row],[BatchMeansHalfWidth]])</f>
        <v>0.2619051424169187</v>
      </c>
      <c r="X318" s="5" cm="1">
        <f t="array" ref="X318">COUNT(IF((DiscreteStatsTable[GroupByKey]=DiscreteStatsTable[[#This Row],[GroupByKey]]),(DiscreteStatsTable[GroupByKey]=DiscreteStatsTable[[#This Row],[GroupByKey]])*DiscreteStatsTable[Replication]))</f>
        <v>19</v>
      </c>
      <c r="Y318" s="5">
        <f>IF(DiscreteStatsTable[[#This Row],[RepsRequested]]=DiscreteStatsTable[[#This Row],[RepsWithStatObserved]],1,0)</f>
        <v>1</v>
      </c>
    </row>
    <row r="319" spans="1:25" x14ac:dyDescent="0.25">
      <c r="A319" t="s">
        <v>67</v>
      </c>
      <c r="B319" t="s">
        <v>69</v>
      </c>
      <c r="C319">
        <v>14</v>
      </c>
      <c r="D319" t="s">
        <v>94</v>
      </c>
      <c r="E319" t="s">
        <v>79</v>
      </c>
      <c r="F319" t="s">
        <v>80</v>
      </c>
      <c r="G319">
        <v>0.77593084904788501</v>
      </c>
      <c r="H319">
        <v>2E+20</v>
      </c>
      <c r="I319">
        <v>0.77593084904788501</v>
      </c>
      <c r="J319">
        <v>0.77593084904788501</v>
      </c>
      <c r="K319">
        <v>1</v>
      </c>
      <c r="L31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compartida)EsperaPedidoH2ExpressionUser Specified</v>
      </c>
      <c r="M319" s="5" cm="1">
        <f t="array" ref="M319">MAX(IF((ProjectInfoTable[ProjectName]=DiscreteStatsTable[[#This Row],[ProjectName]]),(ProjectInfoTable[ProjectName]=DiscreteStatsTable[[#This Row],[ProjectName]])*ProjectInfoTable[NumberOfReplications]))</f>
        <v>19</v>
      </c>
      <c r="N319" s="5" cm="1">
        <f t="array" ref="N319">IFERROR(AVERAGE(IF((DiscreteStatsTable[GroupByKey]=DiscreteStatsTable[[#This Row],[GroupByKey]]),(DiscreteStatsTable[GroupByKey]=DiscreteStatsTable[[#This Row],[GroupByKey]])*DiscreteStatsTable[Average])),0)</f>
        <v>1.0655123115765994</v>
      </c>
      <c r="O319" s="5" cm="1">
        <f t="array" ref="O319">IFERROR(_xlfn.STDEV.S(IF((DiscreteStatsTable[GroupByKey]=DiscreteStatsTable[[#This Row],[GroupByKey]]),(DiscreteStatsTable[GroupByKey]=DiscreteStatsTable[[#This Row],[GroupByKey]])*DiscreteStatsTable[Average])),0)</f>
        <v>0.54338905810041349</v>
      </c>
      <c r="P319" s="5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 s="5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0.2619051424169187</v>
      </c>
      <c r="R319" s="5" cm="1">
        <f t="array" ref="R319">MIN(IF((DiscreteStatsTable[GroupByKey]=DiscreteStatsTable[[#This Row],[GroupByKey]]),(DiscreteStatsTable[GroupByKey]=DiscreteStatsTable[[#This Row],[GroupByKey]])*DiscreteStatsTable[Average]))</f>
        <v>0.68067339484149003</v>
      </c>
      <c r="S319" s="5" cm="1">
        <f t="array" ref="S319">MAX(IF((DiscreteStatsTable[GroupByKey]=DiscreteStatsTable[[#This Row],[GroupByKey]]),(DiscreteStatsTable[GroupByKey]=DiscreteStatsTable[[#This Row],[GroupByKey]])*DiscreteStatsTable[Average]))</f>
        <v>2.9908248106951598</v>
      </c>
      <c r="T319" s="5" cm="1">
        <f t="array" ref="T319">MIN(IF((DiscreteStatsTable[GroupByKey]=DiscreteStatsTable[[#This Row],[GroupByKey]]),(DiscreteStatsTable[GroupByKey]=DiscreteStatsTable[[#This Row],[GroupByKey]])*DiscreteStatsTable[Minimum]))</f>
        <v>0.68067339484149003</v>
      </c>
      <c r="U319" s="5" cm="1">
        <f t="array" ref="U319">MAX(IF((DiscreteStatsTable[GroupByKey]=DiscreteStatsTable[[#This Row],[GroupByKey]]),(DiscreteStatsTable[GroupByKey]=DiscreteStatsTable[[#This Row],[GroupByKey]])*DiscreteStatsTable[Maximum]))</f>
        <v>2.9908248106951598</v>
      </c>
      <c r="V319" s="5" cm="1">
        <f t="array" ref="V319">IFERROR(AVERAGE(IF((DiscreteStatsTable[GroupByKey]=DiscreteStatsTable[[#This Row],[GroupByKey]]),(DiscreteStatsTable[GroupByKey]=DiscreteStatsTable[[#This Row],[GroupByKey]])*DiscreteStatsTable[NumberObservations])),0)</f>
        <v>1</v>
      </c>
      <c r="W319" s="5">
        <f>IF((DiscreteStatsTable[[#This Row],[RepsRequested]]&gt;1),DiscreteStatsTable[[#This Row],[HalfWidth]],DiscreteStatsTable[[#This Row],[BatchMeansHalfWidth]])</f>
        <v>0.2619051424169187</v>
      </c>
      <c r="X319" s="5" cm="1">
        <f t="array" ref="X319">COUNT(IF((DiscreteStatsTable[GroupByKey]=DiscreteStatsTable[[#This Row],[GroupByKey]]),(DiscreteStatsTable[GroupByKey]=DiscreteStatsTable[[#This Row],[GroupByKey]])*DiscreteStatsTable[Replication]))</f>
        <v>19</v>
      </c>
      <c r="Y319" s="5">
        <f>IF(DiscreteStatsTable[[#This Row],[RepsRequested]]=DiscreteStatsTable[[#This Row],[RepsWithStatObserved]],1,0)</f>
        <v>1</v>
      </c>
    </row>
    <row r="320" spans="1:25" x14ac:dyDescent="0.25">
      <c r="A320" t="s">
        <v>67</v>
      </c>
      <c r="B320" t="s">
        <v>69</v>
      </c>
      <c r="C320">
        <v>15</v>
      </c>
      <c r="D320" t="s">
        <v>94</v>
      </c>
      <c r="E320" t="s">
        <v>79</v>
      </c>
      <c r="F320" t="s">
        <v>80</v>
      </c>
      <c r="G320">
        <v>0.89539836117288396</v>
      </c>
      <c r="H320">
        <v>2E+20</v>
      </c>
      <c r="I320">
        <v>0.89539836117288396</v>
      </c>
      <c r="J320">
        <v>0.89539836117288396</v>
      </c>
      <c r="K320">
        <v>1</v>
      </c>
      <c r="L32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compartida)EsperaPedidoH2ExpressionUser Specified</v>
      </c>
      <c r="M320" s="5" cm="1">
        <f t="array" ref="M320">MAX(IF((ProjectInfoTable[ProjectName]=DiscreteStatsTable[[#This Row],[ProjectName]]),(ProjectInfoTable[ProjectName]=DiscreteStatsTable[[#This Row],[ProjectName]])*ProjectInfoTable[NumberOfReplications]))</f>
        <v>19</v>
      </c>
      <c r="N320" s="5" cm="1">
        <f t="array" ref="N320">IFERROR(AVERAGE(IF((DiscreteStatsTable[GroupByKey]=DiscreteStatsTable[[#This Row],[GroupByKey]]),(DiscreteStatsTable[GroupByKey]=DiscreteStatsTable[[#This Row],[GroupByKey]])*DiscreteStatsTable[Average])),0)</f>
        <v>1.0655123115765994</v>
      </c>
      <c r="O320" s="5" cm="1">
        <f t="array" ref="O320">IFERROR(_xlfn.STDEV.S(IF((DiscreteStatsTable[GroupByKey]=DiscreteStatsTable[[#This Row],[GroupByKey]]),(DiscreteStatsTable[GroupByKey]=DiscreteStatsTable[[#This Row],[GroupByKey]])*DiscreteStatsTable[Average])),0)</f>
        <v>0.54338905810041349</v>
      </c>
      <c r="P320" s="5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 s="5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0.2619051424169187</v>
      </c>
      <c r="R320" s="5" cm="1">
        <f t="array" ref="R320">MIN(IF((DiscreteStatsTable[GroupByKey]=DiscreteStatsTable[[#This Row],[GroupByKey]]),(DiscreteStatsTable[GroupByKey]=DiscreteStatsTable[[#This Row],[GroupByKey]])*DiscreteStatsTable[Average]))</f>
        <v>0.68067339484149003</v>
      </c>
      <c r="S320" s="5" cm="1">
        <f t="array" ref="S320">MAX(IF((DiscreteStatsTable[GroupByKey]=DiscreteStatsTable[[#This Row],[GroupByKey]]),(DiscreteStatsTable[GroupByKey]=DiscreteStatsTable[[#This Row],[GroupByKey]])*DiscreteStatsTable[Average]))</f>
        <v>2.9908248106951598</v>
      </c>
      <c r="T320" s="5" cm="1">
        <f t="array" ref="T320">MIN(IF((DiscreteStatsTable[GroupByKey]=DiscreteStatsTable[[#This Row],[GroupByKey]]),(DiscreteStatsTable[GroupByKey]=DiscreteStatsTable[[#This Row],[GroupByKey]])*DiscreteStatsTable[Minimum]))</f>
        <v>0.68067339484149003</v>
      </c>
      <c r="U320" s="5" cm="1">
        <f t="array" ref="U320">MAX(IF((DiscreteStatsTable[GroupByKey]=DiscreteStatsTable[[#This Row],[GroupByKey]]),(DiscreteStatsTable[GroupByKey]=DiscreteStatsTable[[#This Row],[GroupByKey]])*DiscreteStatsTable[Maximum]))</f>
        <v>2.9908248106951598</v>
      </c>
      <c r="V320" s="5" cm="1">
        <f t="array" ref="V320">IFERROR(AVERAGE(IF((DiscreteStatsTable[GroupByKey]=DiscreteStatsTable[[#This Row],[GroupByKey]]),(DiscreteStatsTable[GroupByKey]=DiscreteStatsTable[[#This Row],[GroupByKey]])*DiscreteStatsTable[NumberObservations])),0)</f>
        <v>1</v>
      </c>
      <c r="W320" s="5">
        <f>IF((DiscreteStatsTable[[#This Row],[RepsRequested]]&gt;1),DiscreteStatsTable[[#This Row],[HalfWidth]],DiscreteStatsTable[[#This Row],[BatchMeansHalfWidth]])</f>
        <v>0.2619051424169187</v>
      </c>
      <c r="X320" s="5" cm="1">
        <f t="array" ref="X320">COUNT(IF((DiscreteStatsTable[GroupByKey]=DiscreteStatsTable[[#This Row],[GroupByKey]]),(DiscreteStatsTable[GroupByKey]=DiscreteStatsTable[[#This Row],[GroupByKey]])*DiscreteStatsTable[Replication]))</f>
        <v>19</v>
      </c>
      <c r="Y320" s="5">
        <f>IF(DiscreteStatsTable[[#This Row],[RepsRequested]]=DiscreteStatsTable[[#This Row],[RepsWithStatObserved]],1,0)</f>
        <v>1</v>
      </c>
    </row>
    <row r="321" spans="1:25" x14ac:dyDescent="0.25">
      <c r="A321" t="s">
        <v>67</v>
      </c>
      <c r="B321" t="s">
        <v>69</v>
      </c>
      <c r="C321">
        <v>16</v>
      </c>
      <c r="D321" t="s">
        <v>94</v>
      </c>
      <c r="E321" t="s">
        <v>79</v>
      </c>
      <c r="F321" t="s">
        <v>80</v>
      </c>
      <c r="G321">
        <v>0.702893126165408</v>
      </c>
      <c r="H321">
        <v>2E+20</v>
      </c>
      <c r="I321">
        <v>0.702893126165408</v>
      </c>
      <c r="J321">
        <v>0.702893126165408</v>
      </c>
      <c r="K321">
        <v>1</v>
      </c>
      <c r="L32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compartida)EsperaPedidoH2ExpressionUser Specified</v>
      </c>
      <c r="M321" s="5" cm="1">
        <f t="array" ref="M321">MAX(IF((ProjectInfoTable[ProjectName]=DiscreteStatsTable[[#This Row],[ProjectName]]),(ProjectInfoTable[ProjectName]=DiscreteStatsTable[[#This Row],[ProjectName]])*ProjectInfoTable[NumberOfReplications]))</f>
        <v>19</v>
      </c>
      <c r="N321" s="5" cm="1">
        <f t="array" ref="N321">IFERROR(AVERAGE(IF((DiscreteStatsTable[GroupByKey]=DiscreteStatsTable[[#This Row],[GroupByKey]]),(DiscreteStatsTable[GroupByKey]=DiscreteStatsTable[[#This Row],[GroupByKey]])*DiscreteStatsTable[Average])),0)</f>
        <v>1.0655123115765994</v>
      </c>
      <c r="O321" s="5" cm="1">
        <f t="array" ref="O321">IFERROR(_xlfn.STDEV.S(IF((DiscreteStatsTable[GroupByKey]=DiscreteStatsTable[[#This Row],[GroupByKey]]),(DiscreteStatsTable[GroupByKey]=DiscreteStatsTable[[#This Row],[GroupByKey]])*DiscreteStatsTable[Average])),0)</f>
        <v>0.54338905810041349</v>
      </c>
      <c r="P321" s="5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 s="5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0.2619051424169187</v>
      </c>
      <c r="R321" s="5" cm="1">
        <f t="array" ref="R321">MIN(IF((DiscreteStatsTable[GroupByKey]=DiscreteStatsTable[[#This Row],[GroupByKey]]),(DiscreteStatsTable[GroupByKey]=DiscreteStatsTable[[#This Row],[GroupByKey]])*DiscreteStatsTable[Average]))</f>
        <v>0.68067339484149003</v>
      </c>
      <c r="S321" s="5" cm="1">
        <f t="array" ref="S321">MAX(IF((DiscreteStatsTable[GroupByKey]=DiscreteStatsTable[[#This Row],[GroupByKey]]),(DiscreteStatsTable[GroupByKey]=DiscreteStatsTable[[#This Row],[GroupByKey]])*DiscreteStatsTable[Average]))</f>
        <v>2.9908248106951598</v>
      </c>
      <c r="T321" s="5" cm="1">
        <f t="array" ref="T321">MIN(IF((DiscreteStatsTable[GroupByKey]=DiscreteStatsTable[[#This Row],[GroupByKey]]),(DiscreteStatsTable[GroupByKey]=DiscreteStatsTable[[#This Row],[GroupByKey]])*DiscreteStatsTable[Minimum]))</f>
        <v>0.68067339484149003</v>
      </c>
      <c r="U321" s="5" cm="1">
        <f t="array" ref="U321">MAX(IF((DiscreteStatsTable[GroupByKey]=DiscreteStatsTable[[#This Row],[GroupByKey]]),(DiscreteStatsTable[GroupByKey]=DiscreteStatsTable[[#This Row],[GroupByKey]])*DiscreteStatsTable[Maximum]))</f>
        <v>2.9908248106951598</v>
      </c>
      <c r="V321" s="5" cm="1">
        <f t="array" ref="V321">IFERROR(AVERAGE(IF((DiscreteStatsTable[GroupByKey]=DiscreteStatsTable[[#This Row],[GroupByKey]]),(DiscreteStatsTable[GroupByKey]=DiscreteStatsTable[[#This Row],[GroupByKey]])*DiscreteStatsTable[NumberObservations])),0)</f>
        <v>1</v>
      </c>
      <c r="W321" s="5">
        <f>IF((DiscreteStatsTable[[#This Row],[RepsRequested]]&gt;1),DiscreteStatsTable[[#This Row],[HalfWidth]],DiscreteStatsTable[[#This Row],[BatchMeansHalfWidth]])</f>
        <v>0.2619051424169187</v>
      </c>
      <c r="X321" s="5" cm="1">
        <f t="array" ref="X321">COUNT(IF((DiscreteStatsTable[GroupByKey]=DiscreteStatsTable[[#This Row],[GroupByKey]]),(DiscreteStatsTable[GroupByKey]=DiscreteStatsTable[[#This Row],[GroupByKey]])*DiscreteStatsTable[Replication]))</f>
        <v>19</v>
      </c>
      <c r="Y321" s="5">
        <f>IF(DiscreteStatsTable[[#This Row],[RepsRequested]]=DiscreteStatsTable[[#This Row],[RepsWithStatObserved]],1,0)</f>
        <v>1</v>
      </c>
    </row>
    <row r="322" spans="1:25" x14ac:dyDescent="0.25">
      <c r="A322" t="s">
        <v>67</v>
      </c>
      <c r="B322" t="s">
        <v>69</v>
      </c>
      <c r="C322">
        <v>17</v>
      </c>
      <c r="D322" t="s">
        <v>94</v>
      </c>
      <c r="E322" t="s">
        <v>79</v>
      </c>
      <c r="F322" t="s">
        <v>80</v>
      </c>
      <c r="G322">
        <v>1.00526998666954</v>
      </c>
      <c r="H322">
        <v>2E+20</v>
      </c>
      <c r="I322">
        <v>1.00526998666954</v>
      </c>
      <c r="J322">
        <v>1.00526998666954</v>
      </c>
      <c r="K322">
        <v>1</v>
      </c>
      <c r="L32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compartida)EsperaPedidoH2ExpressionUser Specified</v>
      </c>
      <c r="M322" s="5" cm="1">
        <f t="array" ref="M322">MAX(IF((ProjectInfoTable[ProjectName]=DiscreteStatsTable[[#This Row],[ProjectName]]),(ProjectInfoTable[ProjectName]=DiscreteStatsTable[[#This Row],[ProjectName]])*ProjectInfoTable[NumberOfReplications]))</f>
        <v>19</v>
      </c>
      <c r="N322" s="5" cm="1">
        <f t="array" ref="N322">IFERROR(AVERAGE(IF((DiscreteStatsTable[GroupByKey]=DiscreteStatsTable[[#This Row],[GroupByKey]]),(DiscreteStatsTable[GroupByKey]=DiscreteStatsTable[[#This Row],[GroupByKey]])*DiscreteStatsTable[Average])),0)</f>
        <v>1.0655123115765994</v>
      </c>
      <c r="O322" s="5" cm="1">
        <f t="array" ref="O322">IFERROR(_xlfn.STDEV.S(IF((DiscreteStatsTable[GroupByKey]=DiscreteStatsTable[[#This Row],[GroupByKey]]),(DiscreteStatsTable[GroupByKey]=DiscreteStatsTable[[#This Row],[GroupByKey]])*DiscreteStatsTable[Average])),0)</f>
        <v>0.54338905810041349</v>
      </c>
      <c r="P322" s="5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 s="5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0.2619051424169187</v>
      </c>
      <c r="R322" s="5" cm="1">
        <f t="array" ref="R322">MIN(IF((DiscreteStatsTable[GroupByKey]=DiscreteStatsTable[[#This Row],[GroupByKey]]),(DiscreteStatsTable[GroupByKey]=DiscreteStatsTable[[#This Row],[GroupByKey]])*DiscreteStatsTable[Average]))</f>
        <v>0.68067339484149003</v>
      </c>
      <c r="S322" s="5" cm="1">
        <f t="array" ref="S322">MAX(IF((DiscreteStatsTable[GroupByKey]=DiscreteStatsTable[[#This Row],[GroupByKey]]),(DiscreteStatsTable[GroupByKey]=DiscreteStatsTable[[#This Row],[GroupByKey]])*DiscreteStatsTable[Average]))</f>
        <v>2.9908248106951598</v>
      </c>
      <c r="T322" s="5" cm="1">
        <f t="array" ref="T322">MIN(IF((DiscreteStatsTable[GroupByKey]=DiscreteStatsTable[[#This Row],[GroupByKey]]),(DiscreteStatsTable[GroupByKey]=DiscreteStatsTable[[#This Row],[GroupByKey]])*DiscreteStatsTable[Minimum]))</f>
        <v>0.68067339484149003</v>
      </c>
      <c r="U322" s="5" cm="1">
        <f t="array" ref="U322">MAX(IF((DiscreteStatsTable[GroupByKey]=DiscreteStatsTable[[#This Row],[GroupByKey]]),(DiscreteStatsTable[GroupByKey]=DiscreteStatsTable[[#This Row],[GroupByKey]])*DiscreteStatsTable[Maximum]))</f>
        <v>2.9908248106951598</v>
      </c>
      <c r="V322" s="5" cm="1">
        <f t="array" ref="V322">IFERROR(AVERAGE(IF((DiscreteStatsTable[GroupByKey]=DiscreteStatsTable[[#This Row],[GroupByKey]]),(DiscreteStatsTable[GroupByKey]=DiscreteStatsTable[[#This Row],[GroupByKey]])*DiscreteStatsTable[NumberObservations])),0)</f>
        <v>1</v>
      </c>
      <c r="W322" s="5">
        <f>IF((DiscreteStatsTable[[#This Row],[RepsRequested]]&gt;1),DiscreteStatsTable[[#This Row],[HalfWidth]],DiscreteStatsTable[[#This Row],[BatchMeansHalfWidth]])</f>
        <v>0.2619051424169187</v>
      </c>
      <c r="X322" s="5" cm="1">
        <f t="array" ref="X322">COUNT(IF((DiscreteStatsTable[GroupByKey]=DiscreteStatsTable[[#This Row],[GroupByKey]]),(DiscreteStatsTable[GroupByKey]=DiscreteStatsTable[[#This Row],[GroupByKey]])*DiscreteStatsTable[Replication]))</f>
        <v>19</v>
      </c>
      <c r="Y322" s="5">
        <f>IF(DiscreteStatsTable[[#This Row],[RepsRequested]]=DiscreteStatsTable[[#This Row],[RepsWithStatObserved]],1,0)</f>
        <v>1</v>
      </c>
    </row>
    <row r="323" spans="1:25" x14ac:dyDescent="0.25">
      <c r="A323" t="s">
        <v>67</v>
      </c>
      <c r="B323" t="s">
        <v>69</v>
      </c>
      <c r="C323">
        <v>18</v>
      </c>
      <c r="D323" t="s">
        <v>94</v>
      </c>
      <c r="E323" t="s">
        <v>79</v>
      </c>
      <c r="F323" t="s">
        <v>80</v>
      </c>
      <c r="G323">
        <v>1.25274111606768</v>
      </c>
      <c r="H323">
        <v>2E+20</v>
      </c>
      <c r="I323">
        <v>1.25274111606768</v>
      </c>
      <c r="J323">
        <v>1.25274111606768</v>
      </c>
      <c r="K323">
        <v>1</v>
      </c>
      <c r="L32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compartida)EsperaPedidoH2ExpressionUser Specified</v>
      </c>
      <c r="M323" s="5" cm="1">
        <f t="array" ref="M323">MAX(IF((ProjectInfoTable[ProjectName]=DiscreteStatsTable[[#This Row],[ProjectName]]),(ProjectInfoTable[ProjectName]=DiscreteStatsTable[[#This Row],[ProjectName]])*ProjectInfoTable[NumberOfReplications]))</f>
        <v>19</v>
      </c>
      <c r="N323" s="5" cm="1">
        <f t="array" ref="N323">IFERROR(AVERAGE(IF((DiscreteStatsTable[GroupByKey]=DiscreteStatsTable[[#This Row],[GroupByKey]]),(DiscreteStatsTable[GroupByKey]=DiscreteStatsTable[[#This Row],[GroupByKey]])*DiscreteStatsTable[Average])),0)</f>
        <v>1.0655123115765994</v>
      </c>
      <c r="O323" s="5" cm="1">
        <f t="array" ref="O323">IFERROR(_xlfn.STDEV.S(IF((DiscreteStatsTable[GroupByKey]=DiscreteStatsTable[[#This Row],[GroupByKey]]),(DiscreteStatsTable[GroupByKey]=DiscreteStatsTable[[#This Row],[GroupByKey]])*DiscreteStatsTable[Average])),0)</f>
        <v>0.54338905810041349</v>
      </c>
      <c r="P323" s="5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 s="5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0.2619051424169187</v>
      </c>
      <c r="R323" s="5" cm="1">
        <f t="array" ref="R323">MIN(IF((DiscreteStatsTable[GroupByKey]=DiscreteStatsTable[[#This Row],[GroupByKey]]),(DiscreteStatsTable[GroupByKey]=DiscreteStatsTable[[#This Row],[GroupByKey]])*DiscreteStatsTable[Average]))</f>
        <v>0.68067339484149003</v>
      </c>
      <c r="S323" s="5" cm="1">
        <f t="array" ref="S323">MAX(IF((DiscreteStatsTable[GroupByKey]=DiscreteStatsTable[[#This Row],[GroupByKey]]),(DiscreteStatsTable[GroupByKey]=DiscreteStatsTable[[#This Row],[GroupByKey]])*DiscreteStatsTable[Average]))</f>
        <v>2.9908248106951598</v>
      </c>
      <c r="T323" s="5" cm="1">
        <f t="array" ref="T323">MIN(IF((DiscreteStatsTable[GroupByKey]=DiscreteStatsTable[[#This Row],[GroupByKey]]),(DiscreteStatsTable[GroupByKey]=DiscreteStatsTable[[#This Row],[GroupByKey]])*DiscreteStatsTable[Minimum]))</f>
        <v>0.68067339484149003</v>
      </c>
      <c r="U323" s="5" cm="1">
        <f t="array" ref="U323">MAX(IF((DiscreteStatsTable[GroupByKey]=DiscreteStatsTable[[#This Row],[GroupByKey]]),(DiscreteStatsTable[GroupByKey]=DiscreteStatsTable[[#This Row],[GroupByKey]])*DiscreteStatsTable[Maximum]))</f>
        <v>2.9908248106951598</v>
      </c>
      <c r="V323" s="5" cm="1">
        <f t="array" ref="V323">IFERROR(AVERAGE(IF((DiscreteStatsTable[GroupByKey]=DiscreteStatsTable[[#This Row],[GroupByKey]]),(DiscreteStatsTable[GroupByKey]=DiscreteStatsTable[[#This Row],[GroupByKey]])*DiscreteStatsTable[NumberObservations])),0)</f>
        <v>1</v>
      </c>
      <c r="W323" s="5">
        <f>IF((DiscreteStatsTable[[#This Row],[RepsRequested]]&gt;1),DiscreteStatsTable[[#This Row],[HalfWidth]],DiscreteStatsTable[[#This Row],[BatchMeansHalfWidth]])</f>
        <v>0.2619051424169187</v>
      </c>
      <c r="X323" s="5" cm="1">
        <f t="array" ref="X323">COUNT(IF((DiscreteStatsTable[GroupByKey]=DiscreteStatsTable[[#This Row],[GroupByKey]]),(DiscreteStatsTable[GroupByKey]=DiscreteStatsTable[[#This Row],[GroupByKey]])*DiscreteStatsTable[Replication]))</f>
        <v>19</v>
      </c>
      <c r="Y323" s="5">
        <f>IF(DiscreteStatsTable[[#This Row],[RepsRequested]]=DiscreteStatsTable[[#This Row],[RepsWithStatObserved]],1,0)</f>
        <v>1</v>
      </c>
    </row>
    <row r="324" spans="1:25" x14ac:dyDescent="0.25">
      <c r="A324" t="s">
        <v>67</v>
      </c>
      <c r="B324" t="s">
        <v>69</v>
      </c>
      <c r="C324">
        <v>19</v>
      </c>
      <c r="D324" t="s">
        <v>94</v>
      </c>
      <c r="E324" t="s">
        <v>79</v>
      </c>
      <c r="F324" t="s">
        <v>80</v>
      </c>
      <c r="G324">
        <v>0.84044968960840905</v>
      </c>
      <c r="H324">
        <v>2E+20</v>
      </c>
      <c r="I324">
        <v>0.84044968960840905</v>
      </c>
      <c r="J324">
        <v>0.84044968960840905</v>
      </c>
      <c r="K324">
        <v>1</v>
      </c>
      <c r="L32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compartida)EsperaPedidoH2ExpressionUser Specified</v>
      </c>
      <c r="M324" s="5" cm="1">
        <f t="array" ref="M324">MAX(IF((ProjectInfoTable[ProjectName]=DiscreteStatsTable[[#This Row],[ProjectName]]),(ProjectInfoTable[ProjectName]=DiscreteStatsTable[[#This Row],[ProjectName]])*ProjectInfoTable[NumberOfReplications]))</f>
        <v>19</v>
      </c>
      <c r="N324" s="5" cm="1">
        <f t="array" ref="N324">IFERROR(AVERAGE(IF((DiscreteStatsTable[GroupByKey]=DiscreteStatsTable[[#This Row],[GroupByKey]]),(DiscreteStatsTable[GroupByKey]=DiscreteStatsTable[[#This Row],[GroupByKey]])*DiscreteStatsTable[Average])),0)</f>
        <v>1.0655123115765994</v>
      </c>
      <c r="O324" s="5" cm="1">
        <f t="array" ref="O324">IFERROR(_xlfn.STDEV.S(IF((DiscreteStatsTable[GroupByKey]=DiscreteStatsTable[[#This Row],[GroupByKey]]),(DiscreteStatsTable[GroupByKey]=DiscreteStatsTable[[#This Row],[GroupByKey]])*DiscreteStatsTable[Average])),0)</f>
        <v>0.54338905810041349</v>
      </c>
      <c r="P324" s="5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 s="5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0.2619051424169187</v>
      </c>
      <c r="R324" s="5" cm="1">
        <f t="array" ref="R324">MIN(IF((DiscreteStatsTable[GroupByKey]=DiscreteStatsTable[[#This Row],[GroupByKey]]),(DiscreteStatsTable[GroupByKey]=DiscreteStatsTable[[#This Row],[GroupByKey]])*DiscreteStatsTable[Average]))</f>
        <v>0.68067339484149003</v>
      </c>
      <c r="S324" s="5" cm="1">
        <f t="array" ref="S324">MAX(IF((DiscreteStatsTable[GroupByKey]=DiscreteStatsTable[[#This Row],[GroupByKey]]),(DiscreteStatsTable[GroupByKey]=DiscreteStatsTable[[#This Row],[GroupByKey]])*DiscreteStatsTable[Average]))</f>
        <v>2.9908248106951598</v>
      </c>
      <c r="T324" s="5" cm="1">
        <f t="array" ref="T324">MIN(IF((DiscreteStatsTable[GroupByKey]=DiscreteStatsTable[[#This Row],[GroupByKey]]),(DiscreteStatsTable[GroupByKey]=DiscreteStatsTable[[#This Row],[GroupByKey]])*DiscreteStatsTable[Minimum]))</f>
        <v>0.68067339484149003</v>
      </c>
      <c r="U324" s="5" cm="1">
        <f t="array" ref="U324">MAX(IF((DiscreteStatsTable[GroupByKey]=DiscreteStatsTable[[#This Row],[GroupByKey]]),(DiscreteStatsTable[GroupByKey]=DiscreteStatsTable[[#This Row],[GroupByKey]])*DiscreteStatsTable[Maximum]))</f>
        <v>2.9908248106951598</v>
      </c>
      <c r="V324" s="5" cm="1">
        <f t="array" ref="V324">IFERROR(AVERAGE(IF((DiscreteStatsTable[GroupByKey]=DiscreteStatsTable[[#This Row],[GroupByKey]]),(DiscreteStatsTable[GroupByKey]=DiscreteStatsTable[[#This Row],[GroupByKey]])*DiscreteStatsTable[NumberObservations])),0)</f>
        <v>1</v>
      </c>
      <c r="W324" s="5">
        <f>IF((DiscreteStatsTable[[#This Row],[RepsRequested]]&gt;1),DiscreteStatsTable[[#This Row],[HalfWidth]],DiscreteStatsTable[[#This Row],[BatchMeansHalfWidth]])</f>
        <v>0.2619051424169187</v>
      </c>
      <c r="X324" s="5" cm="1">
        <f t="array" ref="X324">COUNT(IF((DiscreteStatsTable[GroupByKey]=DiscreteStatsTable[[#This Row],[GroupByKey]]),(DiscreteStatsTable[GroupByKey]=DiscreteStatsTable[[#This Row],[GroupByKey]])*DiscreteStatsTable[Replication]))</f>
        <v>19</v>
      </c>
      <c r="Y324" s="5">
        <f>IF(DiscreteStatsTable[[#This Row],[RepsRequested]]=DiscreteStatsTable[[#This Row],[RepsWithStatObserved]],1,0)</f>
        <v>1</v>
      </c>
    </row>
    <row r="325" spans="1:25" x14ac:dyDescent="0.25">
      <c r="A325" t="s">
        <v>67</v>
      </c>
      <c r="B325" t="s">
        <v>69</v>
      </c>
      <c r="C325">
        <v>1</v>
      </c>
      <c r="D325" t="s">
        <v>95</v>
      </c>
      <c r="E325" t="s">
        <v>79</v>
      </c>
      <c r="F325" t="s">
        <v>80</v>
      </c>
      <c r="G325">
        <v>2.4089144698203002</v>
      </c>
      <c r="H325">
        <v>2E+20</v>
      </c>
      <c r="I325">
        <v>2.4089144698203002</v>
      </c>
      <c r="J325">
        <v>2.4089144698203002</v>
      </c>
      <c r="K325">
        <v>1</v>
      </c>
      <c r="L32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compartida)EsperaPedidoH3ExpressionUser Specified</v>
      </c>
      <c r="M325" s="5" cm="1">
        <f t="array" ref="M325">MAX(IF((ProjectInfoTable[ProjectName]=DiscreteStatsTable[[#This Row],[ProjectName]]),(ProjectInfoTable[ProjectName]=DiscreteStatsTable[[#This Row],[ProjectName]])*ProjectInfoTable[NumberOfReplications]))</f>
        <v>19</v>
      </c>
      <c r="N325" s="5" cm="1">
        <f t="array" ref="N325">IFERROR(AVERAGE(IF((DiscreteStatsTable[GroupByKey]=DiscreteStatsTable[[#This Row],[GroupByKey]]),(DiscreteStatsTable[GroupByKey]=DiscreteStatsTable[[#This Row],[GroupByKey]])*DiscreteStatsTable[Average])),0)</f>
        <v>1.0553731068142862</v>
      </c>
      <c r="O325" s="5" cm="1">
        <f t="array" ref="O325">IFERROR(_xlfn.STDEV.S(IF((DiscreteStatsTable[GroupByKey]=DiscreteStatsTable[[#This Row],[GroupByKey]]),(DiscreteStatsTable[GroupByKey]=DiscreteStatsTable[[#This Row],[GroupByKey]])*DiscreteStatsTable[Average])),0)</f>
        <v>0.39155855051719024</v>
      </c>
      <c r="P325" s="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 s="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325" s="5" cm="1">
        <f t="array" ref="R325">MIN(IF((DiscreteStatsTable[GroupByKey]=DiscreteStatsTable[[#This Row],[GroupByKey]]),(DiscreteStatsTable[GroupByKey]=DiscreteStatsTable[[#This Row],[GroupByKey]])*DiscreteStatsTable[Average]))</f>
        <v>0.71661232804193897</v>
      </c>
      <c r="S325" s="5" cm="1">
        <f t="array" ref="S325">MAX(IF((DiscreteStatsTable[GroupByKey]=DiscreteStatsTable[[#This Row],[GroupByKey]]),(DiscreteStatsTable[GroupByKey]=DiscreteStatsTable[[#This Row],[GroupByKey]])*DiscreteStatsTable[Average]))</f>
        <v>2.4089144698203002</v>
      </c>
      <c r="T325" s="5" cm="1">
        <f t="array" ref="T325">MIN(IF((DiscreteStatsTable[GroupByKey]=DiscreteStatsTable[[#This Row],[GroupByKey]]),(DiscreteStatsTable[GroupByKey]=DiscreteStatsTable[[#This Row],[GroupByKey]])*DiscreteStatsTable[Minimum]))</f>
        <v>0.71661232804193897</v>
      </c>
      <c r="U325" s="5" cm="1">
        <f t="array" ref="U325">MAX(IF((DiscreteStatsTable[GroupByKey]=DiscreteStatsTable[[#This Row],[GroupByKey]]),(DiscreteStatsTable[GroupByKey]=DiscreteStatsTable[[#This Row],[GroupByKey]])*DiscreteStatsTable[Maximum]))</f>
        <v>2.4089144698203002</v>
      </c>
      <c r="V325" s="5" cm="1">
        <f t="array" ref="V325">IFERROR(AVERAGE(IF((DiscreteStatsTable[GroupByKey]=DiscreteStatsTable[[#This Row],[GroupByKey]]),(DiscreteStatsTable[GroupByKey]=DiscreteStatsTable[[#This Row],[GroupByKey]])*DiscreteStatsTable[NumberObservations])),0)</f>
        <v>1</v>
      </c>
      <c r="W325" s="5">
        <f>IF((DiscreteStatsTable[[#This Row],[RepsRequested]]&gt;1),DiscreteStatsTable[[#This Row],[HalfWidth]],DiscreteStatsTable[[#This Row],[BatchMeansHalfWidth]])</f>
        <v>0.18872518025347579</v>
      </c>
      <c r="X325" s="5" cm="1">
        <f t="array" ref="X325">COUNT(IF((DiscreteStatsTable[GroupByKey]=DiscreteStatsTable[[#This Row],[GroupByKey]]),(DiscreteStatsTable[GroupByKey]=DiscreteStatsTable[[#This Row],[GroupByKey]])*DiscreteStatsTable[Replication]))</f>
        <v>19</v>
      </c>
      <c r="Y325" s="5">
        <f>IF(DiscreteStatsTable[[#This Row],[RepsRequested]]=DiscreteStatsTable[[#This Row],[RepsWithStatObserved]],1,0)</f>
        <v>1</v>
      </c>
    </row>
    <row r="326" spans="1:25" x14ac:dyDescent="0.25">
      <c r="A326" t="s">
        <v>67</v>
      </c>
      <c r="B326" t="s">
        <v>69</v>
      </c>
      <c r="C326">
        <v>2</v>
      </c>
      <c r="D326" t="s">
        <v>95</v>
      </c>
      <c r="E326" t="s">
        <v>79</v>
      </c>
      <c r="F326" t="s">
        <v>80</v>
      </c>
      <c r="G326">
        <v>0.92510917530521797</v>
      </c>
      <c r="H326">
        <v>2E+20</v>
      </c>
      <c r="I326">
        <v>0.92510917530521797</v>
      </c>
      <c r="J326">
        <v>0.92510917530521797</v>
      </c>
      <c r="K326">
        <v>1</v>
      </c>
      <c r="L32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compartida)EsperaPedidoH3ExpressionUser Specified</v>
      </c>
      <c r="M326" s="5" cm="1">
        <f t="array" ref="M326">MAX(IF((ProjectInfoTable[ProjectName]=DiscreteStatsTable[[#This Row],[ProjectName]]),(ProjectInfoTable[ProjectName]=DiscreteStatsTable[[#This Row],[ProjectName]])*ProjectInfoTable[NumberOfReplications]))</f>
        <v>19</v>
      </c>
      <c r="N326" s="5" cm="1">
        <f t="array" ref="N326">IFERROR(AVERAGE(IF((DiscreteStatsTable[GroupByKey]=DiscreteStatsTable[[#This Row],[GroupByKey]]),(DiscreteStatsTable[GroupByKey]=DiscreteStatsTable[[#This Row],[GroupByKey]])*DiscreteStatsTable[Average])),0)</f>
        <v>1.0553731068142862</v>
      </c>
      <c r="O326" s="5" cm="1">
        <f t="array" ref="O326">IFERROR(_xlfn.STDEV.S(IF((DiscreteStatsTable[GroupByKey]=DiscreteStatsTable[[#This Row],[GroupByKey]]),(DiscreteStatsTable[GroupByKey]=DiscreteStatsTable[[#This Row],[GroupByKey]])*DiscreteStatsTable[Average])),0)</f>
        <v>0.39155855051719024</v>
      </c>
      <c r="P326" s="5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 s="5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326" s="5" cm="1">
        <f t="array" ref="R326">MIN(IF((DiscreteStatsTable[GroupByKey]=DiscreteStatsTable[[#This Row],[GroupByKey]]),(DiscreteStatsTable[GroupByKey]=DiscreteStatsTable[[#This Row],[GroupByKey]])*DiscreteStatsTable[Average]))</f>
        <v>0.71661232804193897</v>
      </c>
      <c r="S326" s="5" cm="1">
        <f t="array" ref="S326">MAX(IF((DiscreteStatsTable[GroupByKey]=DiscreteStatsTable[[#This Row],[GroupByKey]]),(DiscreteStatsTable[GroupByKey]=DiscreteStatsTable[[#This Row],[GroupByKey]])*DiscreteStatsTable[Average]))</f>
        <v>2.4089144698203002</v>
      </c>
      <c r="T326" s="5" cm="1">
        <f t="array" ref="T326">MIN(IF((DiscreteStatsTable[GroupByKey]=DiscreteStatsTable[[#This Row],[GroupByKey]]),(DiscreteStatsTable[GroupByKey]=DiscreteStatsTable[[#This Row],[GroupByKey]])*DiscreteStatsTable[Minimum]))</f>
        <v>0.71661232804193897</v>
      </c>
      <c r="U326" s="5" cm="1">
        <f t="array" ref="U326">MAX(IF((DiscreteStatsTable[GroupByKey]=DiscreteStatsTable[[#This Row],[GroupByKey]]),(DiscreteStatsTable[GroupByKey]=DiscreteStatsTable[[#This Row],[GroupByKey]])*DiscreteStatsTable[Maximum]))</f>
        <v>2.4089144698203002</v>
      </c>
      <c r="V326" s="5" cm="1">
        <f t="array" ref="V326">IFERROR(AVERAGE(IF((DiscreteStatsTable[GroupByKey]=DiscreteStatsTable[[#This Row],[GroupByKey]]),(DiscreteStatsTable[GroupByKey]=DiscreteStatsTable[[#This Row],[GroupByKey]])*DiscreteStatsTable[NumberObservations])),0)</f>
        <v>1</v>
      </c>
      <c r="W326" s="5">
        <f>IF((DiscreteStatsTable[[#This Row],[RepsRequested]]&gt;1),DiscreteStatsTable[[#This Row],[HalfWidth]],DiscreteStatsTable[[#This Row],[BatchMeansHalfWidth]])</f>
        <v>0.18872518025347579</v>
      </c>
      <c r="X326" s="5" cm="1">
        <f t="array" ref="X326">COUNT(IF((DiscreteStatsTable[GroupByKey]=DiscreteStatsTable[[#This Row],[GroupByKey]]),(DiscreteStatsTable[GroupByKey]=DiscreteStatsTable[[#This Row],[GroupByKey]])*DiscreteStatsTable[Replication]))</f>
        <v>19</v>
      </c>
      <c r="Y326" s="5">
        <f>IF(DiscreteStatsTable[[#This Row],[RepsRequested]]=DiscreteStatsTable[[#This Row],[RepsWithStatObserved]],1,0)</f>
        <v>1</v>
      </c>
    </row>
    <row r="327" spans="1:25" x14ac:dyDescent="0.25">
      <c r="A327" t="s">
        <v>67</v>
      </c>
      <c r="B327" t="s">
        <v>69</v>
      </c>
      <c r="C327">
        <v>3</v>
      </c>
      <c r="D327" t="s">
        <v>95</v>
      </c>
      <c r="E327" t="s">
        <v>79</v>
      </c>
      <c r="F327" t="s">
        <v>80</v>
      </c>
      <c r="G327">
        <v>1.5814880643873701</v>
      </c>
      <c r="H327">
        <v>2E+20</v>
      </c>
      <c r="I327">
        <v>1.5814880643873701</v>
      </c>
      <c r="J327">
        <v>1.5814880643873701</v>
      </c>
      <c r="K327">
        <v>1</v>
      </c>
      <c r="L32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compartida)EsperaPedidoH3ExpressionUser Specified</v>
      </c>
      <c r="M327" s="5" cm="1">
        <f t="array" ref="M327">MAX(IF((ProjectInfoTable[ProjectName]=DiscreteStatsTable[[#This Row],[ProjectName]]),(ProjectInfoTable[ProjectName]=DiscreteStatsTable[[#This Row],[ProjectName]])*ProjectInfoTable[NumberOfReplications]))</f>
        <v>19</v>
      </c>
      <c r="N327" s="5" cm="1">
        <f t="array" ref="N327">IFERROR(AVERAGE(IF((DiscreteStatsTable[GroupByKey]=DiscreteStatsTable[[#This Row],[GroupByKey]]),(DiscreteStatsTable[GroupByKey]=DiscreteStatsTable[[#This Row],[GroupByKey]])*DiscreteStatsTable[Average])),0)</f>
        <v>1.0553731068142862</v>
      </c>
      <c r="O327" s="5" cm="1">
        <f t="array" ref="O327">IFERROR(_xlfn.STDEV.S(IF((DiscreteStatsTable[GroupByKey]=DiscreteStatsTable[[#This Row],[GroupByKey]]),(DiscreteStatsTable[GroupByKey]=DiscreteStatsTable[[#This Row],[GroupByKey]])*DiscreteStatsTable[Average])),0)</f>
        <v>0.39155855051719024</v>
      </c>
      <c r="P327" s="5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 s="5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327" s="5" cm="1">
        <f t="array" ref="R327">MIN(IF((DiscreteStatsTable[GroupByKey]=DiscreteStatsTable[[#This Row],[GroupByKey]]),(DiscreteStatsTable[GroupByKey]=DiscreteStatsTable[[#This Row],[GroupByKey]])*DiscreteStatsTable[Average]))</f>
        <v>0.71661232804193897</v>
      </c>
      <c r="S327" s="5" cm="1">
        <f t="array" ref="S327">MAX(IF((DiscreteStatsTable[GroupByKey]=DiscreteStatsTable[[#This Row],[GroupByKey]]),(DiscreteStatsTable[GroupByKey]=DiscreteStatsTable[[#This Row],[GroupByKey]])*DiscreteStatsTable[Average]))</f>
        <v>2.4089144698203002</v>
      </c>
      <c r="T327" s="5" cm="1">
        <f t="array" ref="T327">MIN(IF((DiscreteStatsTable[GroupByKey]=DiscreteStatsTable[[#This Row],[GroupByKey]]),(DiscreteStatsTable[GroupByKey]=DiscreteStatsTable[[#This Row],[GroupByKey]])*DiscreteStatsTable[Minimum]))</f>
        <v>0.71661232804193897</v>
      </c>
      <c r="U327" s="5" cm="1">
        <f t="array" ref="U327">MAX(IF((DiscreteStatsTable[GroupByKey]=DiscreteStatsTable[[#This Row],[GroupByKey]]),(DiscreteStatsTable[GroupByKey]=DiscreteStatsTable[[#This Row],[GroupByKey]])*DiscreteStatsTable[Maximum]))</f>
        <v>2.4089144698203002</v>
      </c>
      <c r="V327" s="5" cm="1">
        <f t="array" ref="V327">IFERROR(AVERAGE(IF((DiscreteStatsTable[GroupByKey]=DiscreteStatsTable[[#This Row],[GroupByKey]]),(DiscreteStatsTable[GroupByKey]=DiscreteStatsTable[[#This Row],[GroupByKey]])*DiscreteStatsTable[NumberObservations])),0)</f>
        <v>1</v>
      </c>
      <c r="W327" s="5">
        <f>IF((DiscreteStatsTable[[#This Row],[RepsRequested]]&gt;1),DiscreteStatsTable[[#This Row],[HalfWidth]],DiscreteStatsTable[[#This Row],[BatchMeansHalfWidth]])</f>
        <v>0.18872518025347579</v>
      </c>
      <c r="X327" s="5" cm="1">
        <f t="array" ref="X327">COUNT(IF((DiscreteStatsTable[GroupByKey]=DiscreteStatsTable[[#This Row],[GroupByKey]]),(DiscreteStatsTable[GroupByKey]=DiscreteStatsTable[[#This Row],[GroupByKey]])*DiscreteStatsTable[Replication]))</f>
        <v>19</v>
      </c>
      <c r="Y327" s="5">
        <f>IF(DiscreteStatsTable[[#This Row],[RepsRequested]]=DiscreteStatsTable[[#This Row],[RepsWithStatObserved]],1,0)</f>
        <v>1</v>
      </c>
    </row>
    <row r="328" spans="1:25" x14ac:dyDescent="0.25">
      <c r="A328" t="s">
        <v>67</v>
      </c>
      <c r="B328" t="s">
        <v>69</v>
      </c>
      <c r="C328">
        <v>4</v>
      </c>
      <c r="D328" t="s">
        <v>95</v>
      </c>
      <c r="E328" t="s">
        <v>79</v>
      </c>
      <c r="F328" t="s">
        <v>80</v>
      </c>
      <c r="G328">
        <v>0.854340954059847</v>
      </c>
      <c r="H328">
        <v>2E+20</v>
      </c>
      <c r="I328">
        <v>0.854340954059847</v>
      </c>
      <c r="J328">
        <v>0.854340954059847</v>
      </c>
      <c r="K328">
        <v>1</v>
      </c>
      <c r="L32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compartida)EsperaPedidoH3ExpressionUser Specified</v>
      </c>
      <c r="M328" s="5" cm="1">
        <f t="array" ref="M328">MAX(IF((ProjectInfoTable[ProjectName]=DiscreteStatsTable[[#This Row],[ProjectName]]),(ProjectInfoTable[ProjectName]=DiscreteStatsTable[[#This Row],[ProjectName]])*ProjectInfoTable[NumberOfReplications]))</f>
        <v>19</v>
      </c>
      <c r="N328" s="5" cm="1">
        <f t="array" ref="N328">IFERROR(AVERAGE(IF((DiscreteStatsTable[GroupByKey]=DiscreteStatsTable[[#This Row],[GroupByKey]]),(DiscreteStatsTable[GroupByKey]=DiscreteStatsTable[[#This Row],[GroupByKey]])*DiscreteStatsTable[Average])),0)</f>
        <v>1.0553731068142862</v>
      </c>
      <c r="O328" s="5" cm="1">
        <f t="array" ref="O328">IFERROR(_xlfn.STDEV.S(IF((DiscreteStatsTable[GroupByKey]=DiscreteStatsTable[[#This Row],[GroupByKey]]),(DiscreteStatsTable[GroupByKey]=DiscreteStatsTable[[#This Row],[GroupByKey]])*DiscreteStatsTable[Average])),0)</f>
        <v>0.39155855051719024</v>
      </c>
      <c r="P328" s="5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 s="5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328" s="5" cm="1">
        <f t="array" ref="R328">MIN(IF((DiscreteStatsTable[GroupByKey]=DiscreteStatsTable[[#This Row],[GroupByKey]]),(DiscreteStatsTable[GroupByKey]=DiscreteStatsTable[[#This Row],[GroupByKey]])*DiscreteStatsTable[Average]))</f>
        <v>0.71661232804193897</v>
      </c>
      <c r="S328" s="5" cm="1">
        <f t="array" ref="S328">MAX(IF((DiscreteStatsTable[GroupByKey]=DiscreteStatsTable[[#This Row],[GroupByKey]]),(DiscreteStatsTable[GroupByKey]=DiscreteStatsTable[[#This Row],[GroupByKey]])*DiscreteStatsTable[Average]))</f>
        <v>2.4089144698203002</v>
      </c>
      <c r="T328" s="5" cm="1">
        <f t="array" ref="T328">MIN(IF((DiscreteStatsTable[GroupByKey]=DiscreteStatsTable[[#This Row],[GroupByKey]]),(DiscreteStatsTable[GroupByKey]=DiscreteStatsTable[[#This Row],[GroupByKey]])*DiscreteStatsTable[Minimum]))</f>
        <v>0.71661232804193897</v>
      </c>
      <c r="U328" s="5" cm="1">
        <f t="array" ref="U328">MAX(IF((DiscreteStatsTable[GroupByKey]=DiscreteStatsTable[[#This Row],[GroupByKey]]),(DiscreteStatsTable[GroupByKey]=DiscreteStatsTable[[#This Row],[GroupByKey]])*DiscreteStatsTable[Maximum]))</f>
        <v>2.4089144698203002</v>
      </c>
      <c r="V328" s="5" cm="1">
        <f t="array" ref="V328">IFERROR(AVERAGE(IF((DiscreteStatsTable[GroupByKey]=DiscreteStatsTable[[#This Row],[GroupByKey]]),(DiscreteStatsTable[GroupByKey]=DiscreteStatsTable[[#This Row],[GroupByKey]])*DiscreteStatsTable[NumberObservations])),0)</f>
        <v>1</v>
      </c>
      <c r="W328" s="5">
        <f>IF((DiscreteStatsTable[[#This Row],[RepsRequested]]&gt;1),DiscreteStatsTable[[#This Row],[HalfWidth]],DiscreteStatsTable[[#This Row],[BatchMeansHalfWidth]])</f>
        <v>0.18872518025347579</v>
      </c>
      <c r="X328" s="5" cm="1">
        <f t="array" ref="X328">COUNT(IF((DiscreteStatsTable[GroupByKey]=DiscreteStatsTable[[#This Row],[GroupByKey]]),(DiscreteStatsTable[GroupByKey]=DiscreteStatsTable[[#This Row],[GroupByKey]])*DiscreteStatsTable[Replication]))</f>
        <v>19</v>
      </c>
      <c r="Y328" s="5">
        <f>IF(DiscreteStatsTable[[#This Row],[RepsRequested]]=DiscreteStatsTable[[#This Row],[RepsWithStatObserved]],1,0)</f>
        <v>1</v>
      </c>
    </row>
    <row r="329" spans="1:25" x14ac:dyDescent="0.25">
      <c r="A329" t="s">
        <v>67</v>
      </c>
      <c r="B329" t="s">
        <v>69</v>
      </c>
      <c r="C329">
        <v>5</v>
      </c>
      <c r="D329" t="s">
        <v>95</v>
      </c>
      <c r="E329" t="s">
        <v>79</v>
      </c>
      <c r="F329" t="s">
        <v>80</v>
      </c>
      <c r="G329">
        <v>0.73358419600607105</v>
      </c>
      <c r="H329">
        <v>2E+20</v>
      </c>
      <c r="I329">
        <v>0.73358419600607105</v>
      </c>
      <c r="J329">
        <v>0.73358419600607105</v>
      </c>
      <c r="K329">
        <v>1</v>
      </c>
      <c r="L32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compartida)EsperaPedidoH3ExpressionUser Specified</v>
      </c>
      <c r="M329" s="5" cm="1">
        <f t="array" ref="M329">MAX(IF((ProjectInfoTable[ProjectName]=DiscreteStatsTable[[#This Row],[ProjectName]]),(ProjectInfoTable[ProjectName]=DiscreteStatsTable[[#This Row],[ProjectName]])*ProjectInfoTable[NumberOfReplications]))</f>
        <v>19</v>
      </c>
      <c r="N329" s="5" cm="1">
        <f t="array" ref="N329">IFERROR(AVERAGE(IF((DiscreteStatsTable[GroupByKey]=DiscreteStatsTable[[#This Row],[GroupByKey]]),(DiscreteStatsTable[GroupByKey]=DiscreteStatsTable[[#This Row],[GroupByKey]])*DiscreteStatsTable[Average])),0)</f>
        <v>1.0553731068142862</v>
      </c>
      <c r="O329" s="5" cm="1">
        <f t="array" ref="O329">IFERROR(_xlfn.STDEV.S(IF((DiscreteStatsTable[GroupByKey]=DiscreteStatsTable[[#This Row],[GroupByKey]]),(DiscreteStatsTable[GroupByKey]=DiscreteStatsTable[[#This Row],[GroupByKey]])*DiscreteStatsTable[Average])),0)</f>
        <v>0.39155855051719024</v>
      </c>
      <c r="P329" s="5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 s="5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329" s="5" cm="1">
        <f t="array" ref="R329">MIN(IF((DiscreteStatsTable[GroupByKey]=DiscreteStatsTable[[#This Row],[GroupByKey]]),(DiscreteStatsTable[GroupByKey]=DiscreteStatsTable[[#This Row],[GroupByKey]])*DiscreteStatsTable[Average]))</f>
        <v>0.71661232804193897</v>
      </c>
      <c r="S329" s="5" cm="1">
        <f t="array" ref="S329">MAX(IF((DiscreteStatsTable[GroupByKey]=DiscreteStatsTable[[#This Row],[GroupByKey]]),(DiscreteStatsTable[GroupByKey]=DiscreteStatsTable[[#This Row],[GroupByKey]])*DiscreteStatsTable[Average]))</f>
        <v>2.4089144698203002</v>
      </c>
      <c r="T329" s="5" cm="1">
        <f t="array" ref="T329">MIN(IF((DiscreteStatsTable[GroupByKey]=DiscreteStatsTable[[#This Row],[GroupByKey]]),(DiscreteStatsTable[GroupByKey]=DiscreteStatsTable[[#This Row],[GroupByKey]])*DiscreteStatsTable[Minimum]))</f>
        <v>0.71661232804193897</v>
      </c>
      <c r="U329" s="5" cm="1">
        <f t="array" ref="U329">MAX(IF((DiscreteStatsTable[GroupByKey]=DiscreteStatsTable[[#This Row],[GroupByKey]]),(DiscreteStatsTable[GroupByKey]=DiscreteStatsTable[[#This Row],[GroupByKey]])*DiscreteStatsTable[Maximum]))</f>
        <v>2.4089144698203002</v>
      </c>
      <c r="V329" s="5" cm="1">
        <f t="array" ref="V329">IFERROR(AVERAGE(IF((DiscreteStatsTable[GroupByKey]=DiscreteStatsTable[[#This Row],[GroupByKey]]),(DiscreteStatsTable[GroupByKey]=DiscreteStatsTable[[#This Row],[GroupByKey]])*DiscreteStatsTable[NumberObservations])),0)</f>
        <v>1</v>
      </c>
      <c r="W329" s="5">
        <f>IF((DiscreteStatsTable[[#This Row],[RepsRequested]]&gt;1),DiscreteStatsTable[[#This Row],[HalfWidth]],DiscreteStatsTable[[#This Row],[BatchMeansHalfWidth]])</f>
        <v>0.18872518025347579</v>
      </c>
      <c r="X329" s="5" cm="1">
        <f t="array" ref="X329">COUNT(IF((DiscreteStatsTable[GroupByKey]=DiscreteStatsTable[[#This Row],[GroupByKey]]),(DiscreteStatsTable[GroupByKey]=DiscreteStatsTable[[#This Row],[GroupByKey]])*DiscreteStatsTable[Replication]))</f>
        <v>19</v>
      </c>
      <c r="Y329" s="5">
        <f>IF(DiscreteStatsTable[[#This Row],[RepsRequested]]=DiscreteStatsTable[[#This Row],[RepsWithStatObserved]],1,0)</f>
        <v>1</v>
      </c>
    </row>
    <row r="330" spans="1:25" x14ac:dyDescent="0.25">
      <c r="A330" t="s">
        <v>67</v>
      </c>
      <c r="B330" t="s">
        <v>69</v>
      </c>
      <c r="C330">
        <v>6</v>
      </c>
      <c r="D330" t="s">
        <v>95</v>
      </c>
      <c r="E330" t="s">
        <v>79</v>
      </c>
      <c r="F330" t="s">
        <v>80</v>
      </c>
      <c r="G330">
        <v>0.73077425352352998</v>
      </c>
      <c r="H330">
        <v>2E+20</v>
      </c>
      <c r="I330">
        <v>0.73077425352352998</v>
      </c>
      <c r="J330">
        <v>0.73077425352352998</v>
      </c>
      <c r="K330">
        <v>1</v>
      </c>
      <c r="L33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compartida)EsperaPedidoH3ExpressionUser Specified</v>
      </c>
      <c r="M330" s="5" cm="1">
        <f t="array" ref="M330">MAX(IF((ProjectInfoTable[ProjectName]=DiscreteStatsTable[[#This Row],[ProjectName]]),(ProjectInfoTable[ProjectName]=DiscreteStatsTable[[#This Row],[ProjectName]])*ProjectInfoTable[NumberOfReplications]))</f>
        <v>19</v>
      </c>
      <c r="N330" s="5" cm="1">
        <f t="array" ref="N330">IFERROR(AVERAGE(IF((DiscreteStatsTable[GroupByKey]=DiscreteStatsTable[[#This Row],[GroupByKey]]),(DiscreteStatsTable[GroupByKey]=DiscreteStatsTable[[#This Row],[GroupByKey]])*DiscreteStatsTable[Average])),0)</f>
        <v>1.0553731068142862</v>
      </c>
      <c r="O330" s="5" cm="1">
        <f t="array" ref="O330">IFERROR(_xlfn.STDEV.S(IF((DiscreteStatsTable[GroupByKey]=DiscreteStatsTable[[#This Row],[GroupByKey]]),(DiscreteStatsTable[GroupByKey]=DiscreteStatsTable[[#This Row],[GroupByKey]])*DiscreteStatsTable[Average])),0)</f>
        <v>0.39155855051719024</v>
      </c>
      <c r="P330" s="5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 s="5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330" s="5" cm="1">
        <f t="array" ref="R330">MIN(IF((DiscreteStatsTable[GroupByKey]=DiscreteStatsTable[[#This Row],[GroupByKey]]),(DiscreteStatsTable[GroupByKey]=DiscreteStatsTable[[#This Row],[GroupByKey]])*DiscreteStatsTable[Average]))</f>
        <v>0.71661232804193897</v>
      </c>
      <c r="S330" s="5" cm="1">
        <f t="array" ref="S330">MAX(IF((DiscreteStatsTable[GroupByKey]=DiscreteStatsTable[[#This Row],[GroupByKey]]),(DiscreteStatsTable[GroupByKey]=DiscreteStatsTable[[#This Row],[GroupByKey]])*DiscreteStatsTable[Average]))</f>
        <v>2.4089144698203002</v>
      </c>
      <c r="T330" s="5" cm="1">
        <f t="array" ref="T330">MIN(IF((DiscreteStatsTable[GroupByKey]=DiscreteStatsTable[[#This Row],[GroupByKey]]),(DiscreteStatsTable[GroupByKey]=DiscreteStatsTable[[#This Row],[GroupByKey]])*DiscreteStatsTable[Minimum]))</f>
        <v>0.71661232804193897</v>
      </c>
      <c r="U330" s="5" cm="1">
        <f t="array" ref="U330">MAX(IF((DiscreteStatsTable[GroupByKey]=DiscreteStatsTable[[#This Row],[GroupByKey]]),(DiscreteStatsTable[GroupByKey]=DiscreteStatsTable[[#This Row],[GroupByKey]])*DiscreteStatsTable[Maximum]))</f>
        <v>2.4089144698203002</v>
      </c>
      <c r="V330" s="5" cm="1">
        <f t="array" ref="V330">IFERROR(AVERAGE(IF((DiscreteStatsTable[GroupByKey]=DiscreteStatsTable[[#This Row],[GroupByKey]]),(DiscreteStatsTable[GroupByKey]=DiscreteStatsTable[[#This Row],[GroupByKey]])*DiscreteStatsTable[NumberObservations])),0)</f>
        <v>1</v>
      </c>
      <c r="W330" s="5">
        <f>IF((DiscreteStatsTable[[#This Row],[RepsRequested]]&gt;1),DiscreteStatsTable[[#This Row],[HalfWidth]],DiscreteStatsTable[[#This Row],[BatchMeansHalfWidth]])</f>
        <v>0.18872518025347579</v>
      </c>
      <c r="X330" s="5" cm="1">
        <f t="array" ref="X330">COUNT(IF((DiscreteStatsTable[GroupByKey]=DiscreteStatsTable[[#This Row],[GroupByKey]]),(DiscreteStatsTable[GroupByKey]=DiscreteStatsTable[[#This Row],[GroupByKey]])*DiscreteStatsTable[Replication]))</f>
        <v>19</v>
      </c>
      <c r="Y330" s="5">
        <f>IF(DiscreteStatsTable[[#This Row],[RepsRequested]]=DiscreteStatsTable[[#This Row],[RepsWithStatObserved]],1,0)</f>
        <v>1</v>
      </c>
    </row>
    <row r="331" spans="1:25" x14ac:dyDescent="0.25">
      <c r="A331" t="s">
        <v>67</v>
      </c>
      <c r="B331" t="s">
        <v>69</v>
      </c>
      <c r="C331">
        <v>7</v>
      </c>
      <c r="D331" t="s">
        <v>95</v>
      </c>
      <c r="E331" t="s">
        <v>79</v>
      </c>
      <c r="F331" t="s">
        <v>80</v>
      </c>
      <c r="G331">
        <v>0.79965687926924001</v>
      </c>
      <c r="H331">
        <v>2E+20</v>
      </c>
      <c r="I331">
        <v>0.79965687926924001</v>
      </c>
      <c r="J331">
        <v>0.79965687926924001</v>
      </c>
      <c r="K331">
        <v>1</v>
      </c>
      <c r="L33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compartida)EsperaPedidoH3ExpressionUser Specified</v>
      </c>
      <c r="M331" s="5" cm="1">
        <f t="array" ref="M331">MAX(IF((ProjectInfoTable[ProjectName]=DiscreteStatsTable[[#This Row],[ProjectName]]),(ProjectInfoTable[ProjectName]=DiscreteStatsTable[[#This Row],[ProjectName]])*ProjectInfoTable[NumberOfReplications]))</f>
        <v>19</v>
      </c>
      <c r="N331" s="5" cm="1">
        <f t="array" ref="N331">IFERROR(AVERAGE(IF((DiscreteStatsTable[GroupByKey]=DiscreteStatsTable[[#This Row],[GroupByKey]]),(DiscreteStatsTable[GroupByKey]=DiscreteStatsTable[[#This Row],[GroupByKey]])*DiscreteStatsTable[Average])),0)</f>
        <v>1.0553731068142862</v>
      </c>
      <c r="O331" s="5" cm="1">
        <f t="array" ref="O331">IFERROR(_xlfn.STDEV.S(IF((DiscreteStatsTable[GroupByKey]=DiscreteStatsTable[[#This Row],[GroupByKey]]),(DiscreteStatsTable[GroupByKey]=DiscreteStatsTable[[#This Row],[GroupByKey]])*DiscreteStatsTable[Average])),0)</f>
        <v>0.39155855051719024</v>
      </c>
      <c r="P331" s="5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 s="5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331" s="5" cm="1">
        <f t="array" ref="R331">MIN(IF((DiscreteStatsTable[GroupByKey]=DiscreteStatsTable[[#This Row],[GroupByKey]]),(DiscreteStatsTable[GroupByKey]=DiscreteStatsTable[[#This Row],[GroupByKey]])*DiscreteStatsTable[Average]))</f>
        <v>0.71661232804193897</v>
      </c>
      <c r="S331" s="5" cm="1">
        <f t="array" ref="S331">MAX(IF((DiscreteStatsTable[GroupByKey]=DiscreteStatsTable[[#This Row],[GroupByKey]]),(DiscreteStatsTable[GroupByKey]=DiscreteStatsTable[[#This Row],[GroupByKey]])*DiscreteStatsTable[Average]))</f>
        <v>2.4089144698203002</v>
      </c>
      <c r="T331" s="5" cm="1">
        <f t="array" ref="T331">MIN(IF((DiscreteStatsTable[GroupByKey]=DiscreteStatsTable[[#This Row],[GroupByKey]]),(DiscreteStatsTable[GroupByKey]=DiscreteStatsTable[[#This Row],[GroupByKey]])*DiscreteStatsTable[Minimum]))</f>
        <v>0.71661232804193897</v>
      </c>
      <c r="U331" s="5" cm="1">
        <f t="array" ref="U331">MAX(IF((DiscreteStatsTable[GroupByKey]=DiscreteStatsTable[[#This Row],[GroupByKey]]),(DiscreteStatsTable[GroupByKey]=DiscreteStatsTable[[#This Row],[GroupByKey]])*DiscreteStatsTable[Maximum]))</f>
        <v>2.4089144698203002</v>
      </c>
      <c r="V331" s="5" cm="1">
        <f t="array" ref="V331">IFERROR(AVERAGE(IF((DiscreteStatsTable[GroupByKey]=DiscreteStatsTable[[#This Row],[GroupByKey]]),(DiscreteStatsTable[GroupByKey]=DiscreteStatsTable[[#This Row],[GroupByKey]])*DiscreteStatsTable[NumberObservations])),0)</f>
        <v>1</v>
      </c>
      <c r="W331" s="5">
        <f>IF((DiscreteStatsTable[[#This Row],[RepsRequested]]&gt;1),DiscreteStatsTable[[#This Row],[HalfWidth]],DiscreteStatsTable[[#This Row],[BatchMeansHalfWidth]])</f>
        <v>0.18872518025347579</v>
      </c>
      <c r="X331" s="5" cm="1">
        <f t="array" ref="X331">COUNT(IF((DiscreteStatsTable[GroupByKey]=DiscreteStatsTable[[#This Row],[GroupByKey]]),(DiscreteStatsTable[GroupByKey]=DiscreteStatsTable[[#This Row],[GroupByKey]])*DiscreteStatsTable[Replication]))</f>
        <v>19</v>
      </c>
      <c r="Y331" s="5">
        <f>IF(DiscreteStatsTable[[#This Row],[RepsRequested]]=DiscreteStatsTable[[#This Row],[RepsWithStatObserved]],1,0)</f>
        <v>1</v>
      </c>
    </row>
    <row r="332" spans="1:25" x14ac:dyDescent="0.25">
      <c r="A332" t="s">
        <v>67</v>
      </c>
      <c r="B332" t="s">
        <v>69</v>
      </c>
      <c r="C332">
        <v>8</v>
      </c>
      <c r="D332" t="s">
        <v>95</v>
      </c>
      <c r="E332" t="s">
        <v>79</v>
      </c>
      <c r="F332" t="s">
        <v>80</v>
      </c>
      <c r="G332">
        <v>1.0589092224192</v>
      </c>
      <c r="H332">
        <v>2E+20</v>
      </c>
      <c r="I332">
        <v>1.0589092224192</v>
      </c>
      <c r="J332">
        <v>1.0589092224192</v>
      </c>
      <c r="K332">
        <v>1</v>
      </c>
      <c r="L33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compartida)EsperaPedidoH3ExpressionUser Specified</v>
      </c>
      <c r="M332" s="5" cm="1">
        <f t="array" ref="M332">MAX(IF((ProjectInfoTable[ProjectName]=DiscreteStatsTable[[#This Row],[ProjectName]]),(ProjectInfoTable[ProjectName]=DiscreteStatsTable[[#This Row],[ProjectName]])*ProjectInfoTable[NumberOfReplications]))</f>
        <v>19</v>
      </c>
      <c r="N332" s="5" cm="1">
        <f t="array" ref="N332">IFERROR(AVERAGE(IF((DiscreteStatsTable[GroupByKey]=DiscreteStatsTable[[#This Row],[GroupByKey]]),(DiscreteStatsTable[GroupByKey]=DiscreteStatsTable[[#This Row],[GroupByKey]])*DiscreteStatsTable[Average])),0)</f>
        <v>1.0553731068142862</v>
      </c>
      <c r="O332" s="5" cm="1">
        <f t="array" ref="O332">IFERROR(_xlfn.STDEV.S(IF((DiscreteStatsTable[GroupByKey]=DiscreteStatsTable[[#This Row],[GroupByKey]]),(DiscreteStatsTable[GroupByKey]=DiscreteStatsTable[[#This Row],[GroupByKey]])*DiscreteStatsTable[Average])),0)</f>
        <v>0.39155855051719024</v>
      </c>
      <c r="P332" s="5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 s="5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332" s="5" cm="1">
        <f t="array" ref="R332">MIN(IF((DiscreteStatsTable[GroupByKey]=DiscreteStatsTable[[#This Row],[GroupByKey]]),(DiscreteStatsTable[GroupByKey]=DiscreteStatsTable[[#This Row],[GroupByKey]])*DiscreteStatsTable[Average]))</f>
        <v>0.71661232804193897</v>
      </c>
      <c r="S332" s="5" cm="1">
        <f t="array" ref="S332">MAX(IF((DiscreteStatsTable[GroupByKey]=DiscreteStatsTable[[#This Row],[GroupByKey]]),(DiscreteStatsTable[GroupByKey]=DiscreteStatsTable[[#This Row],[GroupByKey]])*DiscreteStatsTable[Average]))</f>
        <v>2.4089144698203002</v>
      </c>
      <c r="T332" s="5" cm="1">
        <f t="array" ref="T332">MIN(IF((DiscreteStatsTable[GroupByKey]=DiscreteStatsTable[[#This Row],[GroupByKey]]),(DiscreteStatsTable[GroupByKey]=DiscreteStatsTable[[#This Row],[GroupByKey]])*DiscreteStatsTable[Minimum]))</f>
        <v>0.71661232804193897</v>
      </c>
      <c r="U332" s="5" cm="1">
        <f t="array" ref="U332">MAX(IF((DiscreteStatsTable[GroupByKey]=DiscreteStatsTable[[#This Row],[GroupByKey]]),(DiscreteStatsTable[GroupByKey]=DiscreteStatsTable[[#This Row],[GroupByKey]])*DiscreteStatsTable[Maximum]))</f>
        <v>2.4089144698203002</v>
      </c>
      <c r="V332" s="5" cm="1">
        <f t="array" ref="V332">IFERROR(AVERAGE(IF((DiscreteStatsTable[GroupByKey]=DiscreteStatsTable[[#This Row],[GroupByKey]]),(DiscreteStatsTable[GroupByKey]=DiscreteStatsTable[[#This Row],[GroupByKey]])*DiscreteStatsTable[NumberObservations])),0)</f>
        <v>1</v>
      </c>
      <c r="W332" s="5">
        <f>IF((DiscreteStatsTable[[#This Row],[RepsRequested]]&gt;1),DiscreteStatsTable[[#This Row],[HalfWidth]],DiscreteStatsTable[[#This Row],[BatchMeansHalfWidth]])</f>
        <v>0.18872518025347579</v>
      </c>
      <c r="X332" s="5" cm="1">
        <f t="array" ref="X332">COUNT(IF((DiscreteStatsTable[GroupByKey]=DiscreteStatsTable[[#This Row],[GroupByKey]]),(DiscreteStatsTable[GroupByKey]=DiscreteStatsTable[[#This Row],[GroupByKey]])*DiscreteStatsTable[Replication]))</f>
        <v>19</v>
      </c>
      <c r="Y332" s="5">
        <f>IF(DiscreteStatsTable[[#This Row],[RepsRequested]]=DiscreteStatsTable[[#This Row],[RepsWithStatObserved]],1,0)</f>
        <v>1</v>
      </c>
    </row>
    <row r="333" spans="1:25" x14ac:dyDescent="0.25">
      <c r="A333" t="s">
        <v>67</v>
      </c>
      <c r="B333" t="s">
        <v>69</v>
      </c>
      <c r="C333">
        <v>9</v>
      </c>
      <c r="D333" t="s">
        <v>95</v>
      </c>
      <c r="E333" t="s">
        <v>79</v>
      </c>
      <c r="F333" t="s">
        <v>80</v>
      </c>
      <c r="G333">
        <v>0.970088805178833</v>
      </c>
      <c r="H333">
        <v>2E+20</v>
      </c>
      <c r="I333">
        <v>0.970088805178833</v>
      </c>
      <c r="J333">
        <v>0.970088805178833</v>
      </c>
      <c r="K333">
        <v>1</v>
      </c>
      <c r="L33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compartida)EsperaPedidoH3ExpressionUser Specified</v>
      </c>
      <c r="M333" s="5" cm="1">
        <f t="array" ref="M333">MAX(IF((ProjectInfoTable[ProjectName]=DiscreteStatsTable[[#This Row],[ProjectName]]),(ProjectInfoTable[ProjectName]=DiscreteStatsTable[[#This Row],[ProjectName]])*ProjectInfoTable[NumberOfReplications]))</f>
        <v>19</v>
      </c>
      <c r="N333" s="5" cm="1">
        <f t="array" ref="N333">IFERROR(AVERAGE(IF((DiscreteStatsTable[GroupByKey]=DiscreteStatsTable[[#This Row],[GroupByKey]]),(DiscreteStatsTable[GroupByKey]=DiscreteStatsTable[[#This Row],[GroupByKey]])*DiscreteStatsTable[Average])),0)</f>
        <v>1.0553731068142862</v>
      </c>
      <c r="O333" s="5" cm="1">
        <f t="array" ref="O333">IFERROR(_xlfn.STDEV.S(IF((DiscreteStatsTable[GroupByKey]=DiscreteStatsTable[[#This Row],[GroupByKey]]),(DiscreteStatsTable[GroupByKey]=DiscreteStatsTable[[#This Row],[GroupByKey]])*DiscreteStatsTable[Average])),0)</f>
        <v>0.39155855051719024</v>
      </c>
      <c r="P333" s="5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 s="5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333" s="5" cm="1">
        <f t="array" ref="R333">MIN(IF((DiscreteStatsTable[GroupByKey]=DiscreteStatsTable[[#This Row],[GroupByKey]]),(DiscreteStatsTable[GroupByKey]=DiscreteStatsTable[[#This Row],[GroupByKey]])*DiscreteStatsTable[Average]))</f>
        <v>0.71661232804193897</v>
      </c>
      <c r="S333" s="5" cm="1">
        <f t="array" ref="S333">MAX(IF((DiscreteStatsTable[GroupByKey]=DiscreteStatsTable[[#This Row],[GroupByKey]]),(DiscreteStatsTable[GroupByKey]=DiscreteStatsTable[[#This Row],[GroupByKey]])*DiscreteStatsTable[Average]))</f>
        <v>2.4089144698203002</v>
      </c>
      <c r="T333" s="5" cm="1">
        <f t="array" ref="T333">MIN(IF((DiscreteStatsTable[GroupByKey]=DiscreteStatsTable[[#This Row],[GroupByKey]]),(DiscreteStatsTable[GroupByKey]=DiscreteStatsTable[[#This Row],[GroupByKey]])*DiscreteStatsTable[Minimum]))</f>
        <v>0.71661232804193897</v>
      </c>
      <c r="U333" s="5" cm="1">
        <f t="array" ref="U333">MAX(IF((DiscreteStatsTable[GroupByKey]=DiscreteStatsTable[[#This Row],[GroupByKey]]),(DiscreteStatsTable[GroupByKey]=DiscreteStatsTable[[#This Row],[GroupByKey]])*DiscreteStatsTable[Maximum]))</f>
        <v>2.4089144698203002</v>
      </c>
      <c r="V333" s="5" cm="1">
        <f t="array" ref="V333">IFERROR(AVERAGE(IF((DiscreteStatsTable[GroupByKey]=DiscreteStatsTable[[#This Row],[GroupByKey]]),(DiscreteStatsTable[GroupByKey]=DiscreteStatsTable[[#This Row],[GroupByKey]])*DiscreteStatsTable[NumberObservations])),0)</f>
        <v>1</v>
      </c>
      <c r="W333" s="5">
        <f>IF((DiscreteStatsTable[[#This Row],[RepsRequested]]&gt;1),DiscreteStatsTable[[#This Row],[HalfWidth]],DiscreteStatsTable[[#This Row],[BatchMeansHalfWidth]])</f>
        <v>0.18872518025347579</v>
      </c>
      <c r="X333" s="5" cm="1">
        <f t="array" ref="X333">COUNT(IF((DiscreteStatsTable[GroupByKey]=DiscreteStatsTable[[#This Row],[GroupByKey]]),(DiscreteStatsTable[GroupByKey]=DiscreteStatsTable[[#This Row],[GroupByKey]])*DiscreteStatsTable[Replication]))</f>
        <v>19</v>
      </c>
      <c r="Y333" s="5">
        <f>IF(DiscreteStatsTable[[#This Row],[RepsRequested]]=DiscreteStatsTable[[#This Row],[RepsWithStatObserved]],1,0)</f>
        <v>1</v>
      </c>
    </row>
    <row r="334" spans="1:25" x14ac:dyDescent="0.25">
      <c r="A334" t="s">
        <v>67</v>
      </c>
      <c r="B334" t="s">
        <v>69</v>
      </c>
      <c r="C334">
        <v>10</v>
      </c>
      <c r="D334" t="s">
        <v>95</v>
      </c>
      <c r="E334" t="s">
        <v>79</v>
      </c>
      <c r="F334" t="s">
        <v>80</v>
      </c>
      <c r="G334">
        <v>1.2309699533994301</v>
      </c>
      <c r="H334">
        <v>2E+20</v>
      </c>
      <c r="I334">
        <v>1.2309699533994301</v>
      </c>
      <c r="J334">
        <v>1.2309699533994301</v>
      </c>
      <c r="K334">
        <v>1</v>
      </c>
      <c r="L33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compartida)EsperaPedidoH3ExpressionUser Specified</v>
      </c>
      <c r="M334" s="5" cm="1">
        <f t="array" ref="M334">MAX(IF((ProjectInfoTable[ProjectName]=DiscreteStatsTable[[#This Row],[ProjectName]]),(ProjectInfoTable[ProjectName]=DiscreteStatsTable[[#This Row],[ProjectName]])*ProjectInfoTable[NumberOfReplications]))</f>
        <v>19</v>
      </c>
      <c r="N334" s="5" cm="1">
        <f t="array" ref="N334">IFERROR(AVERAGE(IF((DiscreteStatsTable[GroupByKey]=DiscreteStatsTable[[#This Row],[GroupByKey]]),(DiscreteStatsTable[GroupByKey]=DiscreteStatsTable[[#This Row],[GroupByKey]])*DiscreteStatsTable[Average])),0)</f>
        <v>1.0553731068142862</v>
      </c>
      <c r="O334" s="5" cm="1">
        <f t="array" ref="O334">IFERROR(_xlfn.STDEV.S(IF((DiscreteStatsTable[GroupByKey]=DiscreteStatsTable[[#This Row],[GroupByKey]]),(DiscreteStatsTable[GroupByKey]=DiscreteStatsTable[[#This Row],[GroupByKey]])*DiscreteStatsTable[Average])),0)</f>
        <v>0.39155855051719024</v>
      </c>
      <c r="P334" s="5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 s="5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334" s="5" cm="1">
        <f t="array" ref="R334">MIN(IF((DiscreteStatsTable[GroupByKey]=DiscreteStatsTable[[#This Row],[GroupByKey]]),(DiscreteStatsTable[GroupByKey]=DiscreteStatsTable[[#This Row],[GroupByKey]])*DiscreteStatsTable[Average]))</f>
        <v>0.71661232804193897</v>
      </c>
      <c r="S334" s="5" cm="1">
        <f t="array" ref="S334">MAX(IF((DiscreteStatsTable[GroupByKey]=DiscreteStatsTable[[#This Row],[GroupByKey]]),(DiscreteStatsTable[GroupByKey]=DiscreteStatsTable[[#This Row],[GroupByKey]])*DiscreteStatsTable[Average]))</f>
        <v>2.4089144698203002</v>
      </c>
      <c r="T334" s="5" cm="1">
        <f t="array" ref="T334">MIN(IF((DiscreteStatsTable[GroupByKey]=DiscreteStatsTable[[#This Row],[GroupByKey]]),(DiscreteStatsTable[GroupByKey]=DiscreteStatsTable[[#This Row],[GroupByKey]])*DiscreteStatsTable[Minimum]))</f>
        <v>0.71661232804193897</v>
      </c>
      <c r="U334" s="5" cm="1">
        <f t="array" ref="U334">MAX(IF((DiscreteStatsTable[GroupByKey]=DiscreteStatsTable[[#This Row],[GroupByKey]]),(DiscreteStatsTable[GroupByKey]=DiscreteStatsTable[[#This Row],[GroupByKey]])*DiscreteStatsTable[Maximum]))</f>
        <v>2.4089144698203002</v>
      </c>
      <c r="V334" s="5" cm="1">
        <f t="array" ref="V334">IFERROR(AVERAGE(IF((DiscreteStatsTable[GroupByKey]=DiscreteStatsTable[[#This Row],[GroupByKey]]),(DiscreteStatsTable[GroupByKey]=DiscreteStatsTable[[#This Row],[GroupByKey]])*DiscreteStatsTable[NumberObservations])),0)</f>
        <v>1</v>
      </c>
      <c r="W334" s="5">
        <f>IF((DiscreteStatsTable[[#This Row],[RepsRequested]]&gt;1),DiscreteStatsTable[[#This Row],[HalfWidth]],DiscreteStatsTable[[#This Row],[BatchMeansHalfWidth]])</f>
        <v>0.18872518025347579</v>
      </c>
      <c r="X334" s="5" cm="1">
        <f t="array" ref="X334">COUNT(IF((DiscreteStatsTable[GroupByKey]=DiscreteStatsTable[[#This Row],[GroupByKey]]),(DiscreteStatsTable[GroupByKey]=DiscreteStatsTable[[#This Row],[GroupByKey]])*DiscreteStatsTable[Replication]))</f>
        <v>19</v>
      </c>
      <c r="Y334" s="5">
        <f>IF(DiscreteStatsTable[[#This Row],[RepsRequested]]=DiscreteStatsTable[[#This Row],[RepsWithStatObserved]],1,0)</f>
        <v>1</v>
      </c>
    </row>
    <row r="335" spans="1:25" x14ac:dyDescent="0.25">
      <c r="A335" t="s">
        <v>67</v>
      </c>
      <c r="B335" t="s">
        <v>69</v>
      </c>
      <c r="C335">
        <v>11</v>
      </c>
      <c r="D335" t="s">
        <v>95</v>
      </c>
      <c r="E335" t="s">
        <v>79</v>
      </c>
      <c r="F335" t="s">
        <v>80</v>
      </c>
      <c r="G335">
        <v>0.994434138356042</v>
      </c>
      <c r="H335">
        <v>2E+20</v>
      </c>
      <c r="I335">
        <v>0.994434138356042</v>
      </c>
      <c r="J335">
        <v>0.994434138356042</v>
      </c>
      <c r="K335">
        <v>1</v>
      </c>
      <c r="L33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compartida)EsperaPedidoH3ExpressionUser Specified</v>
      </c>
      <c r="M335" s="5" cm="1">
        <f t="array" ref="M335">MAX(IF((ProjectInfoTable[ProjectName]=DiscreteStatsTable[[#This Row],[ProjectName]]),(ProjectInfoTable[ProjectName]=DiscreteStatsTable[[#This Row],[ProjectName]])*ProjectInfoTable[NumberOfReplications]))</f>
        <v>19</v>
      </c>
      <c r="N335" s="5" cm="1">
        <f t="array" ref="N335">IFERROR(AVERAGE(IF((DiscreteStatsTable[GroupByKey]=DiscreteStatsTable[[#This Row],[GroupByKey]]),(DiscreteStatsTable[GroupByKey]=DiscreteStatsTable[[#This Row],[GroupByKey]])*DiscreteStatsTable[Average])),0)</f>
        <v>1.0553731068142862</v>
      </c>
      <c r="O335" s="5" cm="1">
        <f t="array" ref="O335">IFERROR(_xlfn.STDEV.S(IF((DiscreteStatsTable[GroupByKey]=DiscreteStatsTable[[#This Row],[GroupByKey]]),(DiscreteStatsTable[GroupByKey]=DiscreteStatsTable[[#This Row],[GroupByKey]])*DiscreteStatsTable[Average])),0)</f>
        <v>0.39155855051719024</v>
      </c>
      <c r="P335" s="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 s="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335" s="5" cm="1">
        <f t="array" ref="R335">MIN(IF((DiscreteStatsTable[GroupByKey]=DiscreteStatsTable[[#This Row],[GroupByKey]]),(DiscreteStatsTable[GroupByKey]=DiscreteStatsTable[[#This Row],[GroupByKey]])*DiscreteStatsTable[Average]))</f>
        <v>0.71661232804193897</v>
      </c>
      <c r="S335" s="5" cm="1">
        <f t="array" ref="S335">MAX(IF((DiscreteStatsTable[GroupByKey]=DiscreteStatsTable[[#This Row],[GroupByKey]]),(DiscreteStatsTable[GroupByKey]=DiscreteStatsTable[[#This Row],[GroupByKey]])*DiscreteStatsTable[Average]))</f>
        <v>2.4089144698203002</v>
      </c>
      <c r="T335" s="5" cm="1">
        <f t="array" ref="T335">MIN(IF((DiscreteStatsTable[GroupByKey]=DiscreteStatsTable[[#This Row],[GroupByKey]]),(DiscreteStatsTable[GroupByKey]=DiscreteStatsTable[[#This Row],[GroupByKey]])*DiscreteStatsTable[Minimum]))</f>
        <v>0.71661232804193897</v>
      </c>
      <c r="U335" s="5" cm="1">
        <f t="array" ref="U335">MAX(IF((DiscreteStatsTable[GroupByKey]=DiscreteStatsTable[[#This Row],[GroupByKey]]),(DiscreteStatsTable[GroupByKey]=DiscreteStatsTable[[#This Row],[GroupByKey]])*DiscreteStatsTable[Maximum]))</f>
        <v>2.4089144698203002</v>
      </c>
      <c r="V335" s="5" cm="1">
        <f t="array" ref="V335">IFERROR(AVERAGE(IF((DiscreteStatsTable[GroupByKey]=DiscreteStatsTable[[#This Row],[GroupByKey]]),(DiscreteStatsTable[GroupByKey]=DiscreteStatsTable[[#This Row],[GroupByKey]])*DiscreteStatsTable[NumberObservations])),0)</f>
        <v>1</v>
      </c>
      <c r="W335" s="5">
        <f>IF((DiscreteStatsTable[[#This Row],[RepsRequested]]&gt;1),DiscreteStatsTable[[#This Row],[HalfWidth]],DiscreteStatsTable[[#This Row],[BatchMeansHalfWidth]])</f>
        <v>0.18872518025347579</v>
      </c>
      <c r="X335" s="5" cm="1">
        <f t="array" ref="X335">COUNT(IF((DiscreteStatsTable[GroupByKey]=DiscreteStatsTable[[#This Row],[GroupByKey]]),(DiscreteStatsTable[GroupByKey]=DiscreteStatsTable[[#This Row],[GroupByKey]])*DiscreteStatsTable[Replication]))</f>
        <v>19</v>
      </c>
      <c r="Y335" s="5">
        <f>IF(DiscreteStatsTable[[#This Row],[RepsRequested]]=DiscreteStatsTable[[#This Row],[RepsWithStatObserved]],1,0)</f>
        <v>1</v>
      </c>
    </row>
    <row r="336" spans="1:25" x14ac:dyDescent="0.25">
      <c r="A336" t="s">
        <v>67</v>
      </c>
      <c r="B336" t="s">
        <v>69</v>
      </c>
      <c r="C336">
        <v>12</v>
      </c>
      <c r="D336" t="s">
        <v>95</v>
      </c>
      <c r="E336" t="s">
        <v>79</v>
      </c>
      <c r="F336" t="s">
        <v>80</v>
      </c>
      <c r="G336">
        <v>1.1244215407757401</v>
      </c>
      <c r="H336">
        <v>2E+20</v>
      </c>
      <c r="I336">
        <v>1.1244215407757401</v>
      </c>
      <c r="J336">
        <v>1.1244215407757401</v>
      </c>
      <c r="K336">
        <v>1</v>
      </c>
      <c r="L33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compartida)EsperaPedidoH3ExpressionUser Specified</v>
      </c>
      <c r="M336" s="5" cm="1">
        <f t="array" ref="M336">MAX(IF((ProjectInfoTable[ProjectName]=DiscreteStatsTable[[#This Row],[ProjectName]]),(ProjectInfoTable[ProjectName]=DiscreteStatsTable[[#This Row],[ProjectName]])*ProjectInfoTable[NumberOfReplications]))</f>
        <v>19</v>
      </c>
      <c r="N336" s="5" cm="1">
        <f t="array" ref="N336">IFERROR(AVERAGE(IF((DiscreteStatsTable[GroupByKey]=DiscreteStatsTable[[#This Row],[GroupByKey]]),(DiscreteStatsTable[GroupByKey]=DiscreteStatsTable[[#This Row],[GroupByKey]])*DiscreteStatsTable[Average])),0)</f>
        <v>1.0553731068142862</v>
      </c>
      <c r="O336" s="5" cm="1">
        <f t="array" ref="O336">IFERROR(_xlfn.STDEV.S(IF((DiscreteStatsTable[GroupByKey]=DiscreteStatsTable[[#This Row],[GroupByKey]]),(DiscreteStatsTable[GroupByKey]=DiscreteStatsTable[[#This Row],[GroupByKey]])*DiscreteStatsTable[Average])),0)</f>
        <v>0.39155855051719024</v>
      </c>
      <c r="P336" s="5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 s="5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336" s="5" cm="1">
        <f t="array" ref="R336">MIN(IF((DiscreteStatsTable[GroupByKey]=DiscreteStatsTable[[#This Row],[GroupByKey]]),(DiscreteStatsTable[GroupByKey]=DiscreteStatsTable[[#This Row],[GroupByKey]])*DiscreteStatsTable[Average]))</f>
        <v>0.71661232804193897</v>
      </c>
      <c r="S336" s="5" cm="1">
        <f t="array" ref="S336">MAX(IF((DiscreteStatsTable[GroupByKey]=DiscreteStatsTable[[#This Row],[GroupByKey]]),(DiscreteStatsTable[GroupByKey]=DiscreteStatsTable[[#This Row],[GroupByKey]])*DiscreteStatsTable[Average]))</f>
        <v>2.4089144698203002</v>
      </c>
      <c r="T336" s="5" cm="1">
        <f t="array" ref="T336">MIN(IF((DiscreteStatsTable[GroupByKey]=DiscreteStatsTable[[#This Row],[GroupByKey]]),(DiscreteStatsTable[GroupByKey]=DiscreteStatsTable[[#This Row],[GroupByKey]])*DiscreteStatsTable[Minimum]))</f>
        <v>0.71661232804193897</v>
      </c>
      <c r="U336" s="5" cm="1">
        <f t="array" ref="U336">MAX(IF((DiscreteStatsTable[GroupByKey]=DiscreteStatsTable[[#This Row],[GroupByKey]]),(DiscreteStatsTable[GroupByKey]=DiscreteStatsTable[[#This Row],[GroupByKey]])*DiscreteStatsTable[Maximum]))</f>
        <v>2.4089144698203002</v>
      </c>
      <c r="V336" s="5" cm="1">
        <f t="array" ref="V336">IFERROR(AVERAGE(IF((DiscreteStatsTable[GroupByKey]=DiscreteStatsTable[[#This Row],[GroupByKey]]),(DiscreteStatsTable[GroupByKey]=DiscreteStatsTable[[#This Row],[GroupByKey]])*DiscreteStatsTable[NumberObservations])),0)</f>
        <v>1</v>
      </c>
      <c r="W336" s="5">
        <f>IF((DiscreteStatsTable[[#This Row],[RepsRequested]]&gt;1),DiscreteStatsTable[[#This Row],[HalfWidth]],DiscreteStatsTable[[#This Row],[BatchMeansHalfWidth]])</f>
        <v>0.18872518025347579</v>
      </c>
      <c r="X336" s="5" cm="1">
        <f t="array" ref="X336">COUNT(IF((DiscreteStatsTable[GroupByKey]=DiscreteStatsTable[[#This Row],[GroupByKey]]),(DiscreteStatsTable[GroupByKey]=DiscreteStatsTable[[#This Row],[GroupByKey]])*DiscreteStatsTable[Replication]))</f>
        <v>19</v>
      </c>
      <c r="Y336" s="5">
        <f>IF(DiscreteStatsTable[[#This Row],[RepsRequested]]=DiscreteStatsTable[[#This Row],[RepsWithStatObserved]],1,0)</f>
        <v>1</v>
      </c>
    </row>
    <row r="337" spans="1:25" x14ac:dyDescent="0.25">
      <c r="A337" t="s">
        <v>67</v>
      </c>
      <c r="B337" t="s">
        <v>69</v>
      </c>
      <c r="C337">
        <v>13</v>
      </c>
      <c r="D337" t="s">
        <v>95</v>
      </c>
      <c r="E337" t="s">
        <v>79</v>
      </c>
      <c r="F337" t="s">
        <v>80</v>
      </c>
      <c r="G337">
        <v>0.97596321573669798</v>
      </c>
      <c r="H337">
        <v>2E+20</v>
      </c>
      <c r="I337">
        <v>0.97596321573669798</v>
      </c>
      <c r="J337">
        <v>0.97596321573669798</v>
      </c>
      <c r="K337">
        <v>1</v>
      </c>
      <c r="L33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compartida)EsperaPedidoH3ExpressionUser Specified</v>
      </c>
      <c r="M337" s="5" cm="1">
        <f t="array" ref="M337">MAX(IF((ProjectInfoTable[ProjectName]=DiscreteStatsTable[[#This Row],[ProjectName]]),(ProjectInfoTable[ProjectName]=DiscreteStatsTable[[#This Row],[ProjectName]])*ProjectInfoTable[NumberOfReplications]))</f>
        <v>19</v>
      </c>
      <c r="N337" s="5" cm="1">
        <f t="array" ref="N337">IFERROR(AVERAGE(IF((DiscreteStatsTable[GroupByKey]=DiscreteStatsTable[[#This Row],[GroupByKey]]),(DiscreteStatsTable[GroupByKey]=DiscreteStatsTable[[#This Row],[GroupByKey]])*DiscreteStatsTable[Average])),0)</f>
        <v>1.0553731068142862</v>
      </c>
      <c r="O337" s="5" cm="1">
        <f t="array" ref="O337">IFERROR(_xlfn.STDEV.S(IF((DiscreteStatsTable[GroupByKey]=DiscreteStatsTable[[#This Row],[GroupByKey]]),(DiscreteStatsTable[GroupByKey]=DiscreteStatsTable[[#This Row],[GroupByKey]])*DiscreteStatsTable[Average])),0)</f>
        <v>0.39155855051719024</v>
      </c>
      <c r="P337" s="5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 s="5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337" s="5" cm="1">
        <f t="array" ref="R337">MIN(IF((DiscreteStatsTable[GroupByKey]=DiscreteStatsTable[[#This Row],[GroupByKey]]),(DiscreteStatsTable[GroupByKey]=DiscreteStatsTable[[#This Row],[GroupByKey]])*DiscreteStatsTable[Average]))</f>
        <v>0.71661232804193897</v>
      </c>
      <c r="S337" s="5" cm="1">
        <f t="array" ref="S337">MAX(IF((DiscreteStatsTable[GroupByKey]=DiscreteStatsTable[[#This Row],[GroupByKey]]),(DiscreteStatsTable[GroupByKey]=DiscreteStatsTable[[#This Row],[GroupByKey]])*DiscreteStatsTable[Average]))</f>
        <v>2.4089144698203002</v>
      </c>
      <c r="T337" s="5" cm="1">
        <f t="array" ref="T337">MIN(IF((DiscreteStatsTable[GroupByKey]=DiscreteStatsTable[[#This Row],[GroupByKey]]),(DiscreteStatsTable[GroupByKey]=DiscreteStatsTable[[#This Row],[GroupByKey]])*DiscreteStatsTable[Minimum]))</f>
        <v>0.71661232804193897</v>
      </c>
      <c r="U337" s="5" cm="1">
        <f t="array" ref="U337">MAX(IF((DiscreteStatsTable[GroupByKey]=DiscreteStatsTable[[#This Row],[GroupByKey]]),(DiscreteStatsTable[GroupByKey]=DiscreteStatsTable[[#This Row],[GroupByKey]])*DiscreteStatsTable[Maximum]))</f>
        <v>2.4089144698203002</v>
      </c>
      <c r="V337" s="5" cm="1">
        <f t="array" ref="V337">IFERROR(AVERAGE(IF((DiscreteStatsTable[GroupByKey]=DiscreteStatsTable[[#This Row],[GroupByKey]]),(DiscreteStatsTable[GroupByKey]=DiscreteStatsTable[[#This Row],[GroupByKey]])*DiscreteStatsTable[NumberObservations])),0)</f>
        <v>1</v>
      </c>
      <c r="W337" s="5">
        <f>IF((DiscreteStatsTable[[#This Row],[RepsRequested]]&gt;1),DiscreteStatsTable[[#This Row],[HalfWidth]],DiscreteStatsTable[[#This Row],[BatchMeansHalfWidth]])</f>
        <v>0.18872518025347579</v>
      </c>
      <c r="X337" s="5" cm="1">
        <f t="array" ref="X337">COUNT(IF((DiscreteStatsTable[GroupByKey]=DiscreteStatsTable[[#This Row],[GroupByKey]]),(DiscreteStatsTable[GroupByKey]=DiscreteStatsTable[[#This Row],[GroupByKey]])*DiscreteStatsTable[Replication]))</f>
        <v>19</v>
      </c>
      <c r="Y337" s="5">
        <f>IF(DiscreteStatsTable[[#This Row],[RepsRequested]]=DiscreteStatsTable[[#This Row],[RepsWithStatObserved]],1,0)</f>
        <v>1</v>
      </c>
    </row>
    <row r="338" spans="1:25" x14ac:dyDescent="0.25">
      <c r="A338" t="s">
        <v>67</v>
      </c>
      <c r="B338" t="s">
        <v>69</v>
      </c>
      <c r="C338">
        <v>14</v>
      </c>
      <c r="D338" t="s">
        <v>95</v>
      </c>
      <c r="E338" t="s">
        <v>79</v>
      </c>
      <c r="F338" t="s">
        <v>80</v>
      </c>
      <c r="G338">
        <v>1.0697575399633801</v>
      </c>
      <c r="H338">
        <v>2E+20</v>
      </c>
      <c r="I338">
        <v>1.0697575399633801</v>
      </c>
      <c r="J338">
        <v>1.0697575399633801</v>
      </c>
      <c r="K338">
        <v>1</v>
      </c>
      <c r="L33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compartida)EsperaPedidoH3ExpressionUser Specified</v>
      </c>
      <c r="M338" s="5" cm="1">
        <f t="array" ref="M338">MAX(IF((ProjectInfoTable[ProjectName]=DiscreteStatsTable[[#This Row],[ProjectName]]),(ProjectInfoTable[ProjectName]=DiscreteStatsTable[[#This Row],[ProjectName]])*ProjectInfoTable[NumberOfReplications]))</f>
        <v>19</v>
      </c>
      <c r="N338" s="5" cm="1">
        <f t="array" ref="N338">IFERROR(AVERAGE(IF((DiscreteStatsTable[GroupByKey]=DiscreteStatsTable[[#This Row],[GroupByKey]]),(DiscreteStatsTable[GroupByKey]=DiscreteStatsTable[[#This Row],[GroupByKey]])*DiscreteStatsTable[Average])),0)</f>
        <v>1.0553731068142862</v>
      </c>
      <c r="O338" s="5" cm="1">
        <f t="array" ref="O338">IFERROR(_xlfn.STDEV.S(IF((DiscreteStatsTable[GroupByKey]=DiscreteStatsTable[[#This Row],[GroupByKey]]),(DiscreteStatsTable[GroupByKey]=DiscreteStatsTable[[#This Row],[GroupByKey]])*DiscreteStatsTable[Average])),0)</f>
        <v>0.39155855051719024</v>
      </c>
      <c r="P338" s="5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 s="5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338" s="5" cm="1">
        <f t="array" ref="R338">MIN(IF((DiscreteStatsTable[GroupByKey]=DiscreteStatsTable[[#This Row],[GroupByKey]]),(DiscreteStatsTable[GroupByKey]=DiscreteStatsTable[[#This Row],[GroupByKey]])*DiscreteStatsTable[Average]))</f>
        <v>0.71661232804193897</v>
      </c>
      <c r="S338" s="5" cm="1">
        <f t="array" ref="S338">MAX(IF((DiscreteStatsTable[GroupByKey]=DiscreteStatsTable[[#This Row],[GroupByKey]]),(DiscreteStatsTable[GroupByKey]=DiscreteStatsTable[[#This Row],[GroupByKey]])*DiscreteStatsTable[Average]))</f>
        <v>2.4089144698203002</v>
      </c>
      <c r="T338" s="5" cm="1">
        <f t="array" ref="T338">MIN(IF((DiscreteStatsTable[GroupByKey]=DiscreteStatsTable[[#This Row],[GroupByKey]]),(DiscreteStatsTable[GroupByKey]=DiscreteStatsTable[[#This Row],[GroupByKey]])*DiscreteStatsTable[Minimum]))</f>
        <v>0.71661232804193897</v>
      </c>
      <c r="U338" s="5" cm="1">
        <f t="array" ref="U338">MAX(IF((DiscreteStatsTable[GroupByKey]=DiscreteStatsTable[[#This Row],[GroupByKey]]),(DiscreteStatsTable[GroupByKey]=DiscreteStatsTable[[#This Row],[GroupByKey]])*DiscreteStatsTable[Maximum]))</f>
        <v>2.4089144698203002</v>
      </c>
      <c r="V338" s="5" cm="1">
        <f t="array" ref="V338">IFERROR(AVERAGE(IF((DiscreteStatsTable[GroupByKey]=DiscreteStatsTable[[#This Row],[GroupByKey]]),(DiscreteStatsTable[GroupByKey]=DiscreteStatsTable[[#This Row],[GroupByKey]])*DiscreteStatsTable[NumberObservations])),0)</f>
        <v>1</v>
      </c>
      <c r="W338" s="5">
        <f>IF((DiscreteStatsTable[[#This Row],[RepsRequested]]&gt;1),DiscreteStatsTable[[#This Row],[HalfWidth]],DiscreteStatsTable[[#This Row],[BatchMeansHalfWidth]])</f>
        <v>0.18872518025347579</v>
      </c>
      <c r="X338" s="5" cm="1">
        <f t="array" ref="X338">COUNT(IF((DiscreteStatsTable[GroupByKey]=DiscreteStatsTable[[#This Row],[GroupByKey]]),(DiscreteStatsTable[GroupByKey]=DiscreteStatsTable[[#This Row],[GroupByKey]])*DiscreteStatsTable[Replication]))</f>
        <v>19</v>
      </c>
      <c r="Y338" s="5">
        <f>IF(DiscreteStatsTable[[#This Row],[RepsRequested]]=DiscreteStatsTable[[#This Row],[RepsWithStatObserved]],1,0)</f>
        <v>1</v>
      </c>
    </row>
    <row r="339" spans="1:25" x14ac:dyDescent="0.25">
      <c r="A339" t="s">
        <v>67</v>
      </c>
      <c r="B339" t="s">
        <v>69</v>
      </c>
      <c r="C339">
        <v>15</v>
      </c>
      <c r="D339" t="s">
        <v>95</v>
      </c>
      <c r="E339" t="s">
        <v>79</v>
      </c>
      <c r="F339" t="s">
        <v>80</v>
      </c>
      <c r="G339">
        <v>0.93362777695488197</v>
      </c>
      <c r="H339">
        <v>2E+20</v>
      </c>
      <c r="I339">
        <v>0.93362777695488197</v>
      </c>
      <c r="J339">
        <v>0.93362777695488197</v>
      </c>
      <c r="K339">
        <v>1</v>
      </c>
      <c r="L33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compartida)EsperaPedidoH3ExpressionUser Specified</v>
      </c>
      <c r="M339" s="5" cm="1">
        <f t="array" ref="M339">MAX(IF((ProjectInfoTable[ProjectName]=DiscreteStatsTable[[#This Row],[ProjectName]]),(ProjectInfoTable[ProjectName]=DiscreteStatsTable[[#This Row],[ProjectName]])*ProjectInfoTable[NumberOfReplications]))</f>
        <v>19</v>
      </c>
      <c r="N339" s="5" cm="1">
        <f t="array" ref="N339">IFERROR(AVERAGE(IF((DiscreteStatsTable[GroupByKey]=DiscreteStatsTable[[#This Row],[GroupByKey]]),(DiscreteStatsTable[GroupByKey]=DiscreteStatsTable[[#This Row],[GroupByKey]])*DiscreteStatsTable[Average])),0)</f>
        <v>1.0553731068142862</v>
      </c>
      <c r="O339" s="5" cm="1">
        <f t="array" ref="O339">IFERROR(_xlfn.STDEV.S(IF((DiscreteStatsTable[GroupByKey]=DiscreteStatsTable[[#This Row],[GroupByKey]]),(DiscreteStatsTable[GroupByKey]=DiscreteStatsTable[[#This Row],[GroupByKey]])*DiscreteStatsTable[Average])),0)</f>
        <v>0.39155855051719024</v>
      </c>
      <c r="P339" s="5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 s="5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339" s="5" cm="1">
        <f t="array" ref="R339">MIN(IF((DiscreteStatsTable[GroupByKey]=DiscreteStatsTable[[#This Row],[GroupByKey]]),(DiscreteStatsTable[GroupByKey]=DiscreteStatsTable[[#This Row],[GroupByKey]])*DiscreteStatsTable[Average]))</f>
        <v>0.71661232804193897</v>
      </c>
      <c r="S339" s="5" cm="1">
        <f t="array" ref="S339">MAX(IF((DiscreteStatsTable[GroupByKey]=DiscreteStatsTable[[#This Row],[GroupByKey]]),(DiscreteStatsTable[GroupByKey]=DiscreteStatsTable[[#This Row],[GroupByKey]])*DiscreteStatsTable[Average]))</f>
        <v>2.4089144698203002</v>
      </c>
      <c r="T339" s="5" cm="1">
        <f t="array" ref="T339">MIN(IF((DiscreteStatsTable[GroupByKey]=DiscreteStatsTable[[#This Row],[GroupByKey]]),(DiscreteStatsTable[GroupByKey]=DiscreteStatsTable[[#This Row],[GroupByKey]])*DiscreteStatsTable[Minimum]))</f>
        <v>0.71661232804193897</v>
      </c>
      <c r="U339" s="5" cm="1">
        <f t="array" ref="U339">MAX(IF((DiscreteStatsTable[GroupByKey]=DiscreteStatsTable[[#This Row],[GroupByKey]]),(DiscreteStatsTable[GroupByKey]=DiscreteStatsTable[[#This Row],[GroupByKey]])*DiscreteStatsTable[Maximum]))</f>
        <v>2.4089144698203002</v>
      </c>
      <c r="V339" s="5" cm="1">
        <f t="array" ref="V339">IFERROR(AVERAGE(IF((DiscreteStatsTable[GroupByKey]=DiscreteStatsTable[[#This Row],[GroupByKey]]),(DiscreteStatsTable[GroupByKey]=DiscreteStatsTable[[#This Row],[GroupByKey]])*DiscreteStatsTable[NumberObservations])),0)</f>
        <v>1</v>
      </c>
      <c r="W339" s="5">
        <f>IF((DiscreteStatsTable[[#This Row],[RepsRequested]]&gt;1),DiscreteStatsTable[[#This Row],[HalfWidth]],DiscreteStatsTable[[#This Row],[BatchMeansHalfWidth]])</f>
        <v>0.18872518025347579</v>
      </c>
      <c r="X339" s="5" cm="1">
        <f t="array" ref="X339">COUNT(IF((DiscreteStatsTable[GroupByKey]=DiscreteStatsTable[[#This Row],[GroupByKey]]),(DiscreteStatsTable[GroupByKey]=DiscreteStatsTable[[#This Row],[GroupByKey]])*DiscreteStatsTable[Replication]))</f>
        <v>19</v>
      </c>
      <c r="Y339" s="5">
        <f>IF(DiscreteStatsTable[[#This Row],[RepsRequested]]=DiscreteStatsTable[[#This Row],[RepsWithStatObserved]],1,0)</f>
        <v>1</v>
      </c>
    </row>
    <row r="340" spans="1:25" x14ac:dyDescent="0.25">
      <c r="A340" t="s">
        <v>67</v>
      </c>
      <c r="B340" t="s">
        <v>69</v>
      </c>
      <c r="C340">
        <v>16</v>
      </c>
      <c r="D340" t="s">
        <v>95</v>
      </c>
      <c r="E340" t="s">
        <v>79</v>
      </c>
      <c r="F340" t="s">
        <v>80</v>
      </c>
      <c r="G340">
        <v>0.71661232804193897</v>
      </c>
      <c r="H340">
        <v>2E+20</v>
      </c>
      <c r="I340">
        <v>0.71661232804193897</v>
      </c>
      <c r="J340">
        <v>0.71661232804193897</v>
      </c>
      <c r="K340">
        <v>1</v>
      </c>
      <c r="L34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compartida)EsperaPedidoH3ExpressionUser Specified</v>
      </c>
      <c r="M340" s="5" cm="1">
        <f t="array" ref="M340">MAX(IF((ProjectInfoTable[ProjectName]=DiscreteStatsTable[[#This Row],[ProjectName]]),(ProjectInfoTable[ProjectName]=DiscreteStatsTable[[#This Row],[ProjectName]])*ProjectInfoTable[NumberOfReplications]))</f>
        <v>19</v>
      </c>
      <c r="N340" s="5" cm="1">
        <f t="array" ref="N340">IFERROR(AVERAGE(IF((DiscreteStatsTable[GroupByKey]=DiscreteStatsTable[[#This Row],[GroupByKey]]),(DiscreteStatsTable[GroupByKey]=DiscreteStatsTable[[#This Row],[GroupByKey]])*DiscreteStatsTable[Average])),0)</f>
        <v>1.0553731068142862</v>
      </c>
      <c r="O340" s="5" cm="1">
        <f t="array" ref="O340">IFERROR(_xlfn.STDEV.S(IF((DiscreteStatsTable[GroupByKey]=DiscreteStatsTable[[#This Row],[GroupByKey]]),(DiscreteStatsTable[GroupByKey]=DiscreteStatsTable[[#This Row],[GroupByKey]])*DiscreteStatsTable[Average])),0)</f>
        <v>0.39155855051719024</v>
      </c>
      <c r="P340" s="5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 s="5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340" s="5" cm="1">
        <f t="array" ref="R340">MIN(IF((DiscreteStatsTable[GroupByKey]=DiscreteStatsTable[[#This Row],[GroupByKey]]),(DiscreteStatsTable[GroupByKey]=DiscreteStatsTable[[#This Row],[GroupByKey]])*DiscreteStatsTable[Average]))</f>
        <v>0.71661232804193897</v>
      </c>
      <c r="S340" s="5" cm="1">
        <f t="array" ref="S340">MAX(IF((DiscreteStatsTable[GroupByKey]=DiscreteStatsTable[[#This Row],[GroupByKey]]),(DiscreteStatsTable[GroupByKey]=DiscreteStatsTable[[#This Row],[GroupByKey]])*DiscreteStatsTable[Average]))</f>
        <v>2.4089144698203002</v>
      </c>
      <c r="T340" s="5" cm="1">
        <f t="array" ref="T340">MIN(IF((DiscreteStatsTable[GroupByKey]=DiscreteStatsTable[[#This Row],[GroupByKey]]),(DiscreteStatsTable[GroupByKey]=DiscreteStatsTable[[#This Row],[GroupByKey]])*DiscreteStatsTable[Minimum]))</f>
        <v>0.71661232804193897</v>
      </c>
      <c r="U340" s="5" cm="1">
        <f t="array" ref="U340">MAX(IF((DiscreteStatsTable[GroupByKey]=DiscreteStatsTable[[#This Row],[GroupByKey]]),(DiscreteStatsTable[GroupByKey]=DiscreteStatsTable[[#This Row],[GroupByKey]])*DiscreteStatsTable[Maximum]))</f>
        <v>2.4089144698203002</v>
      </c>
      <c r="V340" s="5" cm="1">
        <f t="array" ref="V340">IFERROR(AVERAGE(IF((DiscreteStatsTable[GroupByKey]=DiscreteStatsTable[[#This Row],[GroupByKey]]),(DiscreteStatsTable[GroupByKey]=DiscreteStatsTable[[#This Row],[GroupByKey]])*DiscreteStatsTable[NumberObservations])),0)</f>
        <v>1</v>
      </c>
      <c r="W340" s="5">
        <f>IF((DiscreteStatsTable[[#This Row],[RepsRequested]]&gt;1),DiscreteStatsTable[[#This Row],[HalfWidth]],DiscreteStatsTable[[#This Row],[BatchMeansHalfWidth]])</f>
        <v>0.18872518025347579</v>
      </c>
      <c r="X340" s="5" cm="1">
        <f t="array" ref="X340">COUNT(IF((DiscreteStatsTable[GroupByKey]=DiscreteStatsTable[[#This Row],[GroupByKey]]),(DiscreteStatsTable[GroupByKey]=DiscreteStatsTable[[#This Row],[GroupByKey]])*DiscreteStatsTable[Replication]))</f>
        <v>19</v>
      </c>
      <c r="Y340" s="5">
        <f>IF(DiscreteStatsTable[[#This Row],[RepsRequested]]=DiscreteStatsTable[[#This Row],[RepsWithStatObserved]],1,0)</f>
        <v>1</v>
      </c>
    </row>
    <row r="341" spans="1:25" x14ac:dyDescent="0.25">
      <c r="A341" t="s">
        <v>67</v>
      </c>
      <c r="B341" t="s">
        <v>69</v>
      </c>
      <c r="C341">
        <v>17</v>
      </c>
      <c r="D341" t="s">
        <v>95</v>
      </c>
      <c r="E341" t="s">
        <v>79</v>
      </c>
      <c r="F341" t="s">
        <v>80</v>
      </c>
      <c r="G341">
        <v>0.93616934288476195</v>
      </c>
      <c r="H341">
        <v>2E+20</v>
      </c>
      <c r="I341">
        <v>0.93616934288476195</v>
      </c>
      <c r="J341">
        <v>0.93616934288476195</v>
      </c>
      <c r="K341">
        <v>1</v>
      </c>
      <c r="L34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compartida)EsperaPedidoH3ExpressionUser Specified</v>
      </c>
      <c r="M341" s="5" cm="1">
        <f t="array" ref="M341">MAX(IF((ProjectInfoTable[ProjectName]=DiscreteStatsTable[[#This Row],[ProjectName]]),(ProjectInfoTable[ProjectName]=DiscreteStatsTable[[#This Row],[ProjectName]])*ProjectInfoTable[NumberOfReplications]))</f>
        <v>19</v>
      </c>
      <c r="N341" s="5" cm="1">
        <f t="array" ref="N341">IFERROR(AVERAGE(IF((DiscreteStatsTable[GroupByKey]=DiscreteStatsTable[[#This Row],[GroupByKey]]),(DiscreteStatsTable[GroupByKey]=DiscreteStatsTable[[#This Row],[GroupByKey]])*DiscreteStatsTable[Average])),0)</f>
        <v>1.0553731068142862</v>
      </c>
      <c r="O341" s="5" cm="1">
        <f t="array" ref="O341">IFERROR(_xlfn.STDEV.S(IF((DiscreteStatsTable[GroupByKey]=DiscreteStatsTable[[#This Row],[GroupByKey]]),(DiscreteStatsTable[GroupByKey]=DiscreteStatsTable[[#This Row],[GroupByKey]])*DiscreteStatsTable[Average])),0)</f>
        <v>0.39155855051719024</v>
      </c>
      <c r="P341" s="5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 s="5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341" s="5" cm="1">
        <f t="array" ref="R341">MIN(IF((DiscreteStatsTable[GroupByKey]=DiscreteStatsTable[[#This Row],[GroupByKey]]),(DiscreteStatsTable[GroupByKey]=DiscreteStatsTable[[#This Row],[GroupByKey]])*DiscreteStatsTable[Average]))</f>
        <v>0.71661232804193897</v>
      </c>
      <c r="S341" s="5" cm="1">
        <f t="array" ref="S341">MAX(IF((DiscreteStatsTable[GroupByKey]=DiscreteStatsTable[[#This Row],[GroupByKey]]),(DiscreteStatsTable[GroupByKey]=DiscreteStatsTable[[#This Row],[GroupByKey]])*DiscreteStatsTable[Average]))</f>
        <v>2.4089144698203002</v>
      </c>
      <c r="T341" s="5" cm="1">
        <f t="array" ref="T341">MIN(IF((DiscreteStatsTable[GroupByKey]=DiscreteStatsTable[[#This Row],[GroupByKey]]),(DiscreteStatsTable[GroupByKey]=DiscreteStatsTable[[#This Row],[GroupByKey]])*DiscreteStatsTable[Minimum]))</f>
        <v>0.71661232804193897</v>
      </c>
      <c r="U341" s="5" cm="1">
        <f t="array" ref="U341">MAX(IF((DiscreteStatsTable[GroupByKey]=DiscreteStatsTable[[#This Row],[GroupByKey]]),(DiscreteStatsTable[GroupByKey]=DiscreteStatsTable[[#This Row],[GroupByKey]])*DiscreteStatsTable[Maximum]))</f>
        <v>2.4089144698203002</v>
      </c>
      <c r="V341" s="5" cm="1">
        <f t="array" ref="V341">IFERROR(AVERAGE(IF((DiscreteStatsTable[GroupByKey]=DiscreteStatsTable[[#This Row],[GroupByKey]]),(DiscreteStatsTable[GroupByKey]=DiscreteStatsTable[[#This Row],[GroupByKey]])*DiscreteStatsTable[NumberObservations])),0)</f>
        <v>1</v>
      </c>
      <c r="W341" s="5">
        <f>IF((DiscreteStatsTable[[#This Row],[RepsRequested]]&gt;1),DiscreteStatsTable[[#This Row],[HalfWidth]],DiscreteStatsTable[[#This Row],[BatchMeansHalfWidth]])</f>
        <v>0.18872518025347579</v>
      </c>
      <c r="X341" s="5" cm="1">
        <f t="array" ref="X341">COUNT(IF((DiscreteStatsTable[GroupByKey]=DiscreteStatsTable[[#This Row],[GroupByKey]]),(DiscreteStatsTable[GroupByKey]=DiscreteStatsTable[[#This Row],[GroupByKey]])*DiscreteStatsTable[Replication]))</f>
        <v>19</v>
      </c>
      <c r="Y341" s="5">
        <f>IF(DiscreteStatsTable[[#This Row],[RepsRequested]]=DiscreteStatsTable[[#This Row],[RepsWithStatObserved]],1,0)</f>
        <v>1</v>
      </c>
    </row>
    <row r="342" spans="1:25" x14ac:dyDescent="0.25">
      <c r="A342" t="s">
        <v>67</v>
      </c>
      <c r="B342" t="s">
        <v>69</v>
      </c>
      <c r="C342">
        <v>18</v>
      </c>
      <c r="D342" t="s">
        <v>95</v>
      </c>
      <c r="E342" t="s">
        <v>79</v>
      </c>
      <c r="F342" t="s">
        <v>80</v>
      </c>
      <c r="G342">
        <v>1.2454084172419999</v>
      </c>
      <c r="H342">
        <v>2E+20</v>
      </c>
      <c r="I342">
        <v>1.2454084172419999</v>
      </c>
      <c r="J342">
        <v>1.2454084172419999</v>
      </c>
      <c r="K342">
        <v>1</v>
      </c>
      <c r="L34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compartida)EsperaPedidoH3ExpressionUser Specified</v>
      </c>
      <c r="M342" s="5" cm="1">
        <f t="array" ref="M342">MAX(IF((ProjectInfoTable[ProjectName]=DiscreteStatsTable[[#This Row],[ProjectName]]),(ProjectInfoTable[ProjectName]=DiscreteStatsTable[[#This Row],[ProjectName]])*ProjectInfoTable[NumberOfReplications]))</f>
        <v>19</v>
      </c>
      <c r="N342" s="5" cm="1">
        <f t="array" ref="N342">IFERROR(AVERAGE(IF((DiscreteStatsTable[GroupByKey]=DiscreteStatsTable[[#This Row],[GroupByKey]]),(DiscreteStatsTable[GroupByKey]=DiscreteStatsTable[[#This Row],[GroupByKey]])*DiscreteStatsTable[Average])),0)</f>
        <v>1.0553731068142862</v>
      </c>
      <c r="O342" s="5" cm="1">
        <f t="array" ref="O342">IFERROR(_xlfn.STDEV.S(IF((DiscreteStatsTable[GroupByKey]=DiscreteStatsTable[[#This Row],[GroupByKey]]),(DiscreteStatsTable[GroupByKey]=DiscreteStatsTable[[#This Row],[GroupByKey]])*DiscreteStatsTable[Average])),0)</f>
        <v>0.39155855051719024</v>
      </c>
      <c r="P342" s="5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 s="5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342" s="5" cm="1">
        <f t="array" ref="R342">MIN(IF((DiscreteStatsTable[GroupByKey]=DiscreteStatsTable[[#This Row],[GroupByKey]]),(DiscreteStatsTable[GroupByKey]=DiscreteStatsTable[[#This Row],[GroupByKey]])*DiscreteStatsTable[Average]))</f>
        <v>0.71661232804193897</v>
      </c>
      <c r="S342" s="5" cm="1">
        <f t="array" ref="S342">MAX(IF((DiscreteStatsTable[GroupByKey]=DiscreteStatsTable[[#This Row],[GroupByKey]]),(DiscreteStatsTable[GroupByKey]=DiscreteStatsTable[[#This Row],[GroupByKey]])*DiscreteStatsTable[Average]))</f>
        <v>2.4089144698203002</v>
      </c>
      <c r="T342" s="5" cm="1">
        <f t="array" ref="T342">MIN(IF((DiscreteStatsTable[GroupByKey]=DiscreteStatsTable[[#This Row],[GroupByKey]]),(DiscreteStatsTable[GroupByKey]=DiscreteStatsTable[[#This Row],[GroupByKey]])*DiscreteStatsTable[Minimum]))</f>
        <v>0.71661232804193897</v>
      </c>
      <c r="U342" s="5" cm="1">
        <f t="array" ref="U342">MAX(IF((DiscreteStatsTable[GroupByKey]=DiscreteStatsTable[[#This Row],[GroupByKey]]),(DiscreteStatsTable[GroupByKey]=DiscreteStatsTable[[#This Row],[GroupByKey]])*DiscreteStatsTable[Maximum]))</f>
        <v>2.4089144698203002</v>
      </c>
      <c r="V342" s="5" cm="1">
        <f t="array" ref="V342">IFERROR(AVERAGE(IF((DiscreteStatsTable[GroupByKey]=DiscreteStatsTable[[#This Row],[GroupByKey]]),(DiscreteStatsTable[GroupByKey]=DiscreteStatsTable[[#This Row],[GroupByKey]])*DiscreteStatsTable[NumberObservations])),0)</f>
        <v>1</v>
      </c>
      <c r="W342" s="5">
        <f>IF((DiscreteStatsTable[[#This Row],[RepsRequested]]&gt;1),DiscreteStatsTable[[#This Row],[HalfWidth]],DiscreteStatsTable[[#This Row],[BatchMeansHalfWidth]])</f>
        <v>0.18872518025347579</v>
      </c>
      <c r="X342" s="5" cm="1">
        <f t="array" ref="X342">COUNT(IF((DiscreteStatsTable[GroupByKey]=DiscreteStatsTable[[#This Row],[GroupByKey]]),(DiscreteStatsTable[GroupByKey]=DiscreteStatsTable[[#This Row],[GroupByKey]])*DiscreteStatsTable[Replication]))</f>
        <v>19</v>
      </c>
      <c r="Y342" s="5">
        <f>IF(DiscreteStatsTable[[#This Row],[RepsRequested]]=DiscreteStatsTable[[#This Row],[RepsWithStatObserved]],1,0)</f>
        <v>1</v>
      </c>
    </row>
    <row r="343" spans="1:25" x14ac:dyDescent="0.25">
      <c r="A343" t="s">
        <v>67</v>
      </c>
      <c r="B343" t="s">
        <v>69</v>
      </c>
      <c r="C343">
        <v>19</v>
      </c>
      <c r="D343" t="s">
        <v>95</v>
      </c>
      <c r="E343" t="s">
        <v>79</v>
      </c>
      <c r="F343" t="s">
        <v>80</v>
      </c>
      <c r="G343">
        <v>0.76185875614695997</v>
      </c>
      <c r="H343">
        <v>2E+20</v>
      </c>
      <c r="I343">
        <v>0.76185875614695997</v>
      </c>
      <c r="J343">
        <v>0.76185875614695997</v>
      </c>
      <c r="K343">
        <v>1</v>
      </c>
      <c r="L34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compartida)EsperaPedidoH3ExpressionUser Specified</v>
      </c>
      <c r="M343" s="5" cm="1">
        <f t="array" ref="M343">MAX(IF((ProjectInfoTable[ProjectName]=DiscreteStatsTable[[#This Row],[ProjectName]]),(ProjectInfoTable[ProjectName]=DiscreteStatsTable[[#This Row],[ProjectName]])*ProjectInfoTable[NumberOfReplications]))</f>
        <v>19</v>
      </c>
      <c r="N343" s="5" cm="1">
        <f t="array" ref="N343">IFERROR(AVERAGE(IF((DiscreteStatsTable[GroupByKey]=DiscreteStatsTable[[#This Row],[GroupByKey]]),(DiscreteStatsTable[GroupByKey]=DiscreteStatsTable[[#This Row],[GroupByKey]])*DiscreteStatsTable[Average])),0)</f>
        <v>1.0553731068142862</v>
      </c>
      <c r="O343" s="5" cm="1">
        <f t="array" ref="O343">IFERROR(_xlfn.STDEV.S(IF((DiscreteStatsTable[GroupByKey]=DiscreteStatsTable[[#This Row],[GroupByKey]]),(DiscreteStatsTable[GroupByKey]=DiscreteStatsTable[[#This Row],[GroupByKey]])*DiscreteStatsTable[Average])),0)</f>
        <v>0.39155855051719024</v>
      </c>
      <c r="P343" s="5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 s="5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0.18872518025347579</v>
      </c>
      <c r="R343" s="5" cm="1">
        <f t="array" ref="R343">MIN(IF((DiscreteStatsTable[GroupByKey]=DiscreteStatsTable[[#This Row],[GroupByKey]]),(DiscreteStatsTable[GroupByKey]=DiscreteStatsTable[[#This Row],[GroupByKey]])*DiscreteStatsTable[Average]))</f>
        <v>0.71661232804193897</v>
      </c>
      <c r="S343" s="5" cm="1">
        <f t="array" ref="S343">MAX(IF((DiscreteStatsTable[GroupByKey]=DiscreteStatsTable[[#This Row],[GroupByKey]]),(DiscreteStatsTable[GroupByKey]=DiscreteStatsTable[[#This Row],[GroupByKey]])*DiscreteStatsTable[Average]))</f>
        <v>2.4089144698203002</v>
      </c>
      <c r="T343" s="5" cm="1">
        <f t="array" ref="T343">MIN(IF((DiscreteStatsTable[GroupByKey]=DiscreteStatsTable[[#This Row],[GroupByKey]]),(DiscreteStatsTable[GroupByKey]=DiscreteStatsTable[[#This Row],[GroupByKey]])*DiscreteStatsTable[Minimum]))</f>
        <v>0.71661232804193897</v>
      </c>
      <c r="U343" s="5" cm="1">
        <f t="array" ref="U343">MAX(IF((DiscreteStatsTable[GroupByKey]=DiscreteStatsTable[[#This Row],[GroupByKey]]),(DiscreteStatsTable[GroupByKey]=DiscreteStatsTable[[#This Row],[GroupByKey]])*DiscreteStatsTable[Maximum]))</f>
        <v>2.4089144698203002</v>
      </c>
      <c r="V343" s="5" cm="1">
        <f t="array" ref="V343">IFERROR(AVERAGE(IF((DiscreteStatsTable[GroupByKey]=DiscreteStatsTable[[#This Row],[GroupByKey]]),(DiscreteStatsTable[GroupByKey]=DiscreteStatsTable[[#This Row],[GroupByKey]])*DiscreteStatsTable[NumberObservations])),0)</f>
        <v>1</v>
      </c>
      <c r="W343" s="5">
        <f>IF((DiscreteStatsTable[[#This Row],[RepsRequested]]&gt;1),DiscreteStatsTable[[#This Row],[HalfWidth]],DiscreteStatsTable[[#This Row],[BatchMeansHalfWidth]])</f>
        <v>0.18872518025347579</v>
      </c>
      <c r="X343" s="5" cm="1">
        <f t="array" ref="X343">COUNT(IF((DiscreteStatsTable[GroupByKey]=DiscreteStatsTable[[#This Row],[GroupByKey]]),(DiscreteStatsTable[GroupByKey]=DiscreteStatsTable[[#This Row],[GroupByKey]])*DiscreteStatsTable[Replication]))</f>
        <v>19</v>
      </c>
      <c r="Y343" s="5">
        <f>IF(DiscreteStatsTable[[#This Row],[RepsRequested]]=DiscreteStatsTable[[#This Row],[RepsWithStatObserved]],1,0)</f>
        <v>1</v>
      </c>
    </row>
    <row r="344" spans="1:25" x14ac:dyDescent="0.25">
      <c r="A344" t="s">
        <v>67</v>
      </c>
      <c r="B344" t="s">
        <v>69</v>
      </c>
      <c r="C344">
        <v>1</v>
      </c>
      <c r="D344" t="s">
        <v>96</v>
      </c>
      <c r="E344" t="s">
        <v>79</v>
      </c>
      <c r="F344" t="s">
        <v>80</v>
      </c>
      <c r="G344">
        <v>8.3884297812099806</v>
      </c>
      <c r="H344">
        <v>2E+20</v>
      </c>
      <c r="I344">
        <v>8.3884297812099806</v>
      </c>
      <c r="J344">
        <v>8.3884297812099806</v>
      </c>
      <c r="K344">
        <v>1</v>
      </c>
      <c r="L34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compartida)FilaCajaH1ExpressionUser Specified</v>
      </c>
      <c r="M344" s="5" cm="1">
        <f t="array" ref="M344">MAX(IF((ProjectInfoTable[ProjectName]=DiscreteStatsTable[[#This Row],[ProjectName]]),(ProjectInfoTable[ProjectName]=DiscreteStatsTable[[#This Row],[ProjectName]])*ProjectInfoTable[NumberOfReplications]))</f>
        <v>19</v>
      </c>
      <c r="N344" s="5" cm="1">
        <f t="array" ref="N344">IFERROR(AVERAGE(IF((DiscreteStatsTable[GroupByKey]=DiscreteStatsTable[[#This Row],[GroupByKey]]),(DiscreteStatsTable[GroupByKey]=DiscreteStatsTable[[#This Row],[GroupByKey]])*DiscreteStatsTable[Average])),0)</f>
        <v>1.131864537901659</v>
      </c>
      <c r="O344" s="5" cm="1">
        <f t="array" ref="O344">IFERROR(_xlfn.STDEV.S(IF((DiscreteStatsTable[GroupByKey]=DiscreteStatsTable[[#This Row],[GroupByKey]]),(DiscreteStatsTable[GroupByKey]=DiscreteStatsTable[[#This Row],[GroupByKey]])*DiscreteStatsTable[Average])),0)</f>
        <v>1.9583489808038694</v>
      </c>
      <c r="P344" s="5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 s="5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0.94389399468674107</v>
      </c>
      <c r="R344" s="5" cm="1">
        <f t="array" ref="R344">MIN(IF((DiscreteStatsTable[GroupByKey]=DiscreteStatsTable[[#This Row],[GroupByKey]]),(DiscreteStatsTable[GroupByKey]=DiscreteStatsTable[[#This Row],[GroupByKey]])*DiscreteStatsTable[Average]))</f>
        <v>5.6414233170681803E-2</v>
      </c>
      <c r="S344" s="5" cm="1">
        <f t="array" ref="S344">MAX(IF((DiscreteStatsTable[GroupByKey]=DiscreteStatsTable[[#This Row],[GroupByKey]]),(DiscreteStatsTable[GroupByKey]=DiscreteStatsTable[[#This Row],[GroupByKey]])*DiscreteStatsTable[Average]))</f>
        <v>8.3884297812099806</v>
      </c>
      <c r="T344" s="5" cm="1">
        <f t="array" ref="T344">MIN(IF((DiscreteStatsTable[GroupByKey]=DiscreteStatsTable[[#This Row],[GroupByKey]]),(DiscreteStatsTable[GroupByKey]=DiscreteStatsTable[[#This Row],[GroupByKey]])*DiscreteStatsTable[Minimum]))</f>
        <v>5.6414233170681803E-2</v>
      </c>
      <c r="U344" s="5" cm="1">
        <f t="array" ref="U344">MAX(IF((DiscreteStatsTable[GroupByKey]=DiscreteStatsTable[[#This Row],[GroupByKey]]),(DiscreteStatsTable[GroupByKey]=DiscreteStatsTable[[#This Row],[GroupByKey]])*DiscreteStatsTable[Maximum]))</f>
        <v>8.3884297812099806</v>
      </c>
      <c r="V344" s="5" cm="1">
        <f t="array" ref="V344">IFERROR(AVERAGE(IF((DiscreteStatsTable[GroupByKey]=DiscreteStatsTable[[#This Row],[GroupByKey]]),(DiscreteStatsTable[GroupByKey]=DiscreteStatsTable[[#This Row],[GroupByKey]])*DiscreteStatsTable[NumberObservations])),0)</f>
        <v>1</v>
      </c>
      <c r="W344" s="5">
        <f>IF((DiscreteStatsTable[[#This Row],[RepsRequested]]&gt;1),DiscreteStatsTable[[#This Row],[HalfWidth]],DiscreteStatsTable[[#This Row],[BatchMeansHalfWidth]])</f>
        <v>0.94389399468674107</v>
      </c>
      <c r="X344" s="5" cm="1">
        <f t="array" ref="X344">COUNT(IF((DiscreteStatsTable[GroupByKey]=DiscreteStatsTable[[#This Row],[GroupByKey]]),(DiscreteStatsTable[GroupByKey]=DiscreteStatsTable[[#This Row],[GroupByKey]])*DiscreteStatsTable[Replication]))</f>
        <v>19</v>
      </c>
      <c r="Y344" s="5">
        <f>IF(DiscreteStatsTable[[#This Row],[RepsRequested]]=DiscreteStatsTable[[#This Row],[RepsWithStatObserved]],1,0)</f>
        <v>1</v>
      </c>
    </row>
    <row r="345" spans="1:25" x14ac:dyDescent="0.25">
      <c r="A345" t="s">
        <v>67</v>
      </c>
      <c r="B345" t="s">
        <v>69</v>
      </c>
      <c r="C345">
        <v>2</v>
      </c>
      <c r="D345" t="s">
        <v>96</v>
      </c>
      <c r="E345" t="s">
        <v>79</v>
      </c>
      <c r="F345" t="s">
        <v>80</v>
      </c>
      <c r="G345">
        <v>0.12732118226171699</v>
      </c>
      <c r="H345">
        <v>2E+20</v>
      </c>
      <c r="I345">
        <v>0.12732118226171699</v>
      </c>
      <c r="J345">
        <v>0.12732118226171699</v>
      </c>
      <c r="K345">
        <v>1</v>
      </c>
      <c r="L34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compartida)FilaCajaH1ExpressionUser Specified</v>
      </c>
      <c r="M345" s="5" cm="1">
        <f t="array" ref="M345">MAX(IF((ProjectInfoTable[ProjectName]=DiscreteStatsTable[[#This Row],[ProjectName]]),(ProjectInfoTable[ProjectName]=DiscreteStatsTable[[#This Row],[ProjectName]])*ProjectInfoTable[NumberOfReplications]))</f>
        <v>19</v>
      </c>
      <c r="N345" s="5" cm="1">
        <f t="array" ref="N345">IFERROR(AVERAGE(IF((DiscreteStatsTable[GroupByKey]=DiscreteStatsTable[[#This Row],[GroupByKey]]),(DiscreteStatsTable[GroupByKey]=DiscreteStatsTable[[#This Row],[GroupByKey]])*DiscreteStatsTable[Average])),0)</f>
        <v>1.131864537901659</v>
      </c>
      <c r="O345" s="5" cm="1">
        <f t="array" ref="O345">IFERROR(_xlfn.STDEV.S(IF((DiscreteStatsTable[GroupByKey]=DiscreteStatsTable[[#This Row],[GroupByKey]]),(DiscreteStatsTable[GroupByKey]=DiscreteStatsTable[[#This Row],[GroupByKey]])*DiscreteStatsTable[Average])),0)</f>
        <v>1.9583489808038694</v>
      </c>
      <c r="P345" s="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 s="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0.94389399468674107</v>
      </c>
      <c r="R345" s="5" cm="1">
        <f t="array" ref="R345">MIN(IF((DiscreteStatsTable[GroupByKey]=DiscreteStatsTable[[#This Row],[GroupByKey]]),(DiscreteStatsTable[GroupByKey]=DiscreteStatsTable[[#This Row],[GroupByKey]])*DiscreteStatsTable[Average]))</f>
        <v>5.6414233170681803E-2</v>
      </c>
      <c r="S345" s="5" cm="1">
        <f t="array" ref="S345">MAX(IF((DiscreteStatsTable[GroupByKey]=DiscreteStatsTable[[#This Row],[GroupByKey]]),(DiscreteStatsTable[GroupByKey]=DiscreteStatsTable[[#This Row],[GroupByKey]])*DiscreteStatsTable[Average]))</f>
        <v>8.3884297812099806</v>
      </c>
      <c r="T345" s="5" cm="1">
        <f t="array" ref="T345">MIN(IF((DiscreteStatsTable[GroupByKey]=DiscreteStatsTable[[#This Row],[GroupByKey]]),(DiscreteStatsTable[GroupByKey]=DiscreteStatsTable[[#This Row],[GroupByKey]])*DiscreteStatsTable[Minimum]))</f>
        <v>5.6414233170681803E-2</v>
      </c>
      <c r="U345" s="5" cm="1">
        <f t="array" ref="U345">MAX(IF((DiscreteStatsTable[GroupByKey]=DiscreteStatsTable[[#This Row],[GroupByKey]]),(DiscreteStatsTable[GroupByKey]=DiscreteStatsTable[[#This Row],[GroupByKey]])*DiscreteStatsTable[Maximum]))</f>
        <v>8.3884297812099806</v>
      </c>
      <c r="V345" s="5" cm="1">
        <f t="array" ref="V345">IFERROR(AVERAGE(IF((DiscreteStatsTable[GroupByKey]=DiscreteStatsTable[[#This Row],[GroupByKey]]),(DiscreteStatsTable[GroupByKey]=DiscreteStatsTable[[#This Row],[GroupByKey]])*DiscreteStatsTable[NumberObservations])),0)</f>
        <v>1</v>
      </c>
      <c r="W345" s="5">
        <f>IF((DiscreteStatsTable[[#This Row],[RepsRequested]]&gt;1),DiscreteStatsTable[[#This Row],[HalfWidth]],DiscreteStatsTable[[#This Row],[BatchMeansHalfWidth]])</f>
        <v>0.94389399468674107</v>
      </c>
      <c r="X345" s="5" cm="1">
        <f t="array" ref="X345">COUNT(IF((DiscreteStatsTable[GroupByKey]=DiscreteStatsTable[[#This Row],[GroupByKey]]),(DiscreteStatsTable[GroupByKey]=DiscreteStatsTable[[#This Row],[GroupByKey]])*DiscreteStatsTable[Replication]))</f>
        <v>19</v>
      </c>
      <c r="Y345" s="5">
        <f>IF(DiscreteStatsTable[[#This Row],[RepsRequested]]=DiscreteStatsTable[[#This Row],[RepsWithStatObserved]],1,0)</f>
        <v>1</v>
      </c>
    </row>
    <row r="346" spans="1:25" x14ac:dyDescent="0.25">
      <c r="A346" t="s">
        <v>67</v>
      </c>
      <c r="B346" t="s">
        <v>69</v>
      </c>
      <c r="C346">
        <v>3</v>
      </c>
      <c r="D346" t="s">
        <v>96</v>
      </c>
      <c r="E346" t="s">
        <v>79</v>
      </c>
      <c r="F346" t="s">
        <v>80</v>
      </c>
      <c r="G346">
        <v>3.8896444228105</v>
      </c>
      <c r="H346">
        <v>2E+20</v>
      </c>
      <c r="I346">
        <v>3.8896444228105</v>
      </c>
      <c r="J346">
        <v>3.8896444228105</v>
      </c>
      <c r="K346">
        <v>1</v>
      </c>
      <c r="L34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compartida)FilaCajaH1ExpressionUser Specified</v>
      </c>
      <c r="M346" s="5" cm="1">
        <f t="array" ref="M346">MAX(IF((ProjectInfoTable[ProjectName]=DiscreteStatsTable[[#This Row],[ProjectName]]),(ProjectInfoTable[ProjectName]=DiscreteStatsTable[[#This Row],[ProjectName]])*ProjectInfoTable[NumberOfReplications]))</f>
        <v>19</v>
      </c>
      <c r="N346" s="5" cm="1">
        <f t="array" ref="N346">IFERROR(AVERAGE(IF((DiscreteStatsTable[GroupByKey]=DiscreteStatsTable[[#This Row],[GroupByKey]]),(DiscreteStatsTable[GroupByKey]=DiscreteStatsTable[[#This Row],[GroupByKey]])*DiscreteStatsTable[Average])),0)</f>
        <v>1.131864537901659</v>
      </c>
      <c r="O346" s="5" cm="1">
        <f t="array" ref="O346">IFERROR(_xlfn.STDEV.S(IF((DiscreteStatsTable[GroupByKey]=DiscreteStatsTable[[#This Row],[GroupByKey]]),(DiscreteStatsTable[GroupByKey]=DiscreteStatsTable[[#This Row],[GroupByKey]])*DiscreteStatsTable[Average])),0)</f>
        <v>1.9583489808038694</v>
      </c>
      <c r="P346" s="5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 s="5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0.94389399468674107</v>
      </c>
      <c r="R346" s="5" cm="1">
        <f t="array" ref="R346">MIN(IF((DiscreteStatsTable[GroupByKey]=DiscreteStatsTable[[#This Row],[GroupByKey]]),(DiscreteStatsTable[GroupByKey]=DiscreteStatsTable[[#This Row],[GroupByKey]])*DiscreteStatsTable[Average]))</f>
        <v>5.6414233170681803E-2</v>
      </c>
      <c r="S346" s="5" cm="1">
        <f t="array" ref="S346">MAX(IF((DiscreteStatsTable[GroupByKey]=DiscreteStatsTable[[#This Row],[GroupByKey]]),(DiscreteStatsTable[GroupByKey]=DiscreteStatsTable[[#This Row],[GroupByKey]])*DiscreteStatsTable[Average]))</f>
        <v>8.3884297812099806</v>
      </c>
      <c r="T346" s="5" cm="1">
        <f t="array" ref="T346">MIN(IF((DiscreteStatsTable[GroupByKey]=DiscreteStatsTable[[#This Row],[GroupByKey]]),(DiscreteStatsTable[GroupByKey]=DiscreteStatsTable[[#This Row],[GroupByKey]])*DiscreteStatsTable[Minimum]))</f>
        <v>5.6414233170681803E-2</v>
      </c>
      <c r="U346" s="5" cm="1">
        <f t="array" ref="U346">MAX(IF((DiscreteStatsTable[GroupByKey]=DiscreteStatsTable[[#This Row],[GroupByKey]]),(DiscreteStatsTable[GroupByKey]=DiscreteStatsTable[[#This Row],[GroupByKey]])*DiscreteStatsTable[Maximum]))</f>
        <v>8.3884297812099806</v>
      </c>
      <c r="V346" s="5" cm="1">
        <f t="array" ref="V346">IFERROR(AVERAGE(IF((DiscreteStatsTable[GroupByKey]=DiscreteStatsTable[[#This Row],[GroupByKey]]),(DiscreteStatsTable[GroupByKey]=DiscreteStatsTable[[#This Row],[GroupByKey]])*DiscreteStatsTable[NumberObservations])),0)</f>
        <v>1</v>
      </c>
      <c r="W346" s="5">
        <f>IF((DiscreteStatsTable[[#This Row],[RepsRequested]]&gt;1),DiscreteStatsTable[[#This Row],[HalfWidth]],DiscreteStatsTable[[#This Row],[BatchMeansHalfWidth]])</f>
        <v>0.94389399468674107</v>
      </c>
      <c r="X346" s="5" cm="1">
        <f t="array" ref="X346">COUNT(IF((DiscreteStatsTable[GroupByKey]=DiscreteStatsTable[[#This Row],[GroupByKey]]),(DiscreteStatsTable[GroupByKey]=DiscreteStatsTable[[#This Row],[GroupByKey]])*DiscreteStatsTable[Replication]))</f>
        <v>19</v>
      </c>
      <c r="Y346" s="5">
        <f>IF(DiscreteStatsTable[[#This Row],[RepsRequested]]=DiscreteStatsTable[[#This Row],[RepsWithStatObserved]],1,0)</f>
        <v>1</v>
      </c>
    </row>
    <row r="347" spans="1:25" x14ac:dyDescent="0.25">
      <c r="A347" t="s">
        <v>67</v>
      </c>
      <c r="B347" t="s">
        <v>69</v>
      </c>
      <c r="C347">
        <v>4</v>
      </c>
      <c r="D347" t="s">
        <v>96</v>
      </c>
      <c r="E347" t="s">
        <v>79</v>
      </c>
      <c r="F347" t="s">
        <v>80</v>
      </c>
      <c r="G347">
        <v>0.50181383740963503</v>
      </c>
      <c r="H347">
        <v>2E+20</v>
      </c>
      <c r="I347">
        <v>0.50181383740963503</v>
      </c>
      <c r="J347">
        <v>0.50181383740963503</v>
      </c>
      <c r="K347">
        <v>1</v>
      </c>
      <c r="L34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compartida)FilaCajaH1ExpressionUser Specified</v>
      </c>
      <c r="M347" s="5" cm="1">
        <f t="array" ref="M347">MAX(IF((ProjectInfoTable[ProjectName]=DiscreteStatsTable[[#This Row],[ProjectName]]),(ProjectInfoTable[ProjectName]=DiscreteStatsTable[[#This Row],[ProjectName]])*ProjectInfoTable[NumberOfReplications]))</f>
        <v>19</v>
      </c>
      <c r="N347" s="5" cm="1">
        <f t="array" ref="N347">IFERROR(AVERAGE(IF((DiscreteStatsTable[GroupByKey]=DiscreteStatsTable[[#This Row],[GroupByKey]]),(DiscreteStatsTable[GroupByKey]=DiscreteStatsTable[[#This Row],[GroupByKey]])*DiscreteStatsTable[Average])),0)</f>
        <v>1.131864537901659</v>
      </c>
      <c r="O347" s="5" cm="1">
        <f t="array" ref="O347">IFERROR(_xlfn.STDEV.S(IF((DiscreteStatsTable[GroupByKey]=DiscreteStatsTable[[#This Row],[GroupByKey]]),(DiscreteStatsTable[GroupByKey]=DiscreteStatsTable[[#This Row],[GroupByKey]])*DiscreteStatsTable[Average])),0)</f>
        <v>1.9583489808038694</v>
      </c>
      <c r="P347" s="5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 s="5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0.94389399468674107</v>
      </c>
      <c r="R347" s="5" cm="1">
        <f t="array" ref="R347">MIN(IF((DiscreteStatsTable[GroupByKey]=DiscreteStatsTable[[#This Row],[GroupByKey]]),(DiscreteStatsTable[GroupByKey]=DiscreteStatsTable[[#This Row],[GroupByKey]])*DiscreteStatsTable[Average]))</f>
        <v>5.6414233170681803E-2</v>
      </c>
      <c r="S347" s="5" cm="1">
        <f t="array" ref="S347">MAX(IF((DiscreteStatsTable[GroupByKey]=DiscreteStatsTable[[#This Row],[GroupByKey]]),(DiscreteStatsTable[GroupByKey]=DiscreteStatsTable[[#This Row],[GroupByKey]])*DiscreteStatsTable[Average]))</f>
        <v>8.3884297812099806</v>
      </c>
      <c r="T347" s="5" cm="1">
        <f t="array" ref="T347">MIN(IF((DiscreteStatsTable[GroupByKey]=DiscreteStatsTable[[#This Row],[GroupByKey]]),(DiscreteStatsTable[GroupByKey]=DiscreteStatsTable[[#This Row],[GroupByKey]])*DiscreteStatsTable[Minimum]))</f>
        <v>5.6414233170681803E-2</v>
      </c>
      <c r="U347" s="5" cm="1">
        <f t="array" ref="U347">MAX(IF((DiscreteStatsTable[GroupByKey]=DiscreteStatsTable[[#This Row],[GroupByKey]]),(DiscreteStatsTable[GroupByKey]=DiscreteStatsTable[[#This Row],[GroupByKey]])*DiscreteStatsTable[Maximum]))</f>
        <v>8.3884297812099806</v>
      </c>
      <c r="V347" s="5" cm="1">
        <f t="array" ref="V347">IFERROR(AVERAGE(IF((DiscreteStatsTable[GroupByKey]=DiscreteStatsTable[[#This Row],[GroupByKey]]),(DiscreteStatsTable[GroupByKey]=DiscreteStatsTable[[#This Row],[GroupByKey]])*DiscreteStatsTable[NumberObservations])),0)</f>
        <v>1</v>
      </c>
      <c r="W347" s="5">
        <f>IF((DiscreteStatsTable[[#This Row],[RepsRequested]]&gt;1),DiscreteStatsTable[[#This Row],[HalfWidth]],DiscreteStatsTable[[#This Row],[BatchMeansHalfWidth]])</f>
        <v>0.94389399468674107</v>
      </c>
      <c r="X347" s="5" cm="1">
        <f t="array" ref="X347">COUNT(IF((DiscreteStatsTable[GroupByKey]=DiscreteStatsTable[[#This Row],[GroupByKey]]),(DiscreteStatsTable[GroupByKey]=DiscreteStatsTable[[#This Row],[GroupByKey]])*DiscreteStatsTable[Replication]))</f>
        <v>19</v>
      </c>
      <c r="Y347" s="5">
        <f>IF(DiscreteStatsTable[[#This Row],[RepsRequested]]=DiscreteStatsTable[[#This Row],[RepsWithStatObserved]],1,0)</f>
        <v>1</v>
      </c>
    </row>
    <row r="348" spans="1:25" x14ac:dyDescent="0.25">
      <c r="A348" t="s">
        <v>67</v>
      </c>
      <c r="B348" t="s">
        <v>69</v>
      </c>
      <c r="C348">
        <v>5</v>
      </c>
      <c r="D348" t="s">
        <v>96</v>
      </c>
      <c r="E348" t="s">
        <v>79</v>
      </c>
      <c r="F348" t="s">
        <v>80</v>
      </c>
      <c r="G348">
        <v>0.24151271654037401</v>
      </c>
      <c r="H348">
        <v>2E+20</v>
      </c>
      <c r="I348">
        <v>0.24151271654037401</v>
      </c>
      <c r="J348">
        <v>0.24151271654037401</v>
      </c>
      <c r="K348">
        <v>1</v>
      </c>
      <c r="L34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compartida)FilaCajaH1ExpressionUser Specified</v>
      </c>
      <c r="M348" s="5" cm="1">
        <f t="array" ref="M348">MAX(IF((ProjectInfoTable[ProjectName]=DiscreteStatsTable[[#This Row],[ProjectName]]),(ProjectInfoTable[ProjectName]=DiscreteStatsTable[[#This Row],[ProjectName]])*ProjectInfoTable[NumberOfReplications]))</f>
        <v>19</v>
      </c>
      <c r="N348" s="5" cm="1">
        <f t="array" ref="N348">IFERROR(AVERAGE(IF((DiscreteStatsTable[GroupByKey]=DiscreteStatsTable[[#This Row],[GroupByKey]]),(DiscreteStatsTable[GroupByKey]=DiscreteStatsTable[[#This Row],[GroupByKey]])*DiscreteStatsTable[Average])),0)</f>
        <v>1.131864537901659</v>
      </c>
      <c r="O348" s="5" cm="1">
        <f t="array" ref="O348">IFERROR(_xlfn.STDEV.S(IF((DiscreteStatsTable[GroupByKey]=DiscreteStatsTable[[#This Row],[GroupByKey]]),(DiscreteStatsTable[GroupByKey]=DiscreteStatsTable[[#This Row],[GroupByKey]])*DiscreteStatsTable[Average])),0)</f>
        <v>1.9583489808038694</v>
      </c>
      <c r="P348" s="5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 s="5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0.94389399468674107</v>
      </c>
      <c r="R348" s="5" cm="1">
        <f t="array" ref="R348">MIN(IF((DiscreteStatsTable[GroupByKey]=DiscreteStatsTable[[#This Row],[GroupByKey]]),(DiscreteStatsTable[GroupByKey]=DiscreteStatsTable[[#This Row],[GroupByKey]])*DiscreteStatsTable[Average]))</f>
        <v>5.6414233170681803E-2</v>
      </c>
      <c r="S348" s="5" cm="1">
        <f t="array" ref="S348">MAX(IF((DiscreteStatsTable[GroupByKey]=DiscreteStatsTable[[#This Row],[GroupByKey]]),(DiscreteStatsTable[GroupByKey]=DiscreteStatsTable[[#This Row],[GroupByKey]])*DiscreteStatsTable[Average]))</f>
        <v>8.3884297812099806</v>
      </c>
      <c r="T348" s="5" cm="1">
        <f t="array" ref="T348">MIN(IF((DiscreteStatsTable[GroupByKey]=DiscreteStatsTable[[#This Row],[GroupByKey]]),(DiscreteStatsTable[GroupByKey]=DiscreteStatsTable[[#This Row],[GroupByKey]])*DiscreteStatsTable[Minimum]))</f>
        <v>5.6414233170681803E-2</v>
      </c>
      <c r="U348" s="5" cm="1">
        <f t="array" ref="U348">MAX(IF((DiscreteStatsTable[GroupByKey]=DiscreteStatsTable[[#This Row],[GroupByKey]]),(DiscreteStatsTable[GroupByKey]=DiscreteStatsTable[[#This Row],[GroupByKey]])*DiscreteStatsTable[Maximum]))</f>
        <v>8.3884297812099806</v>
      </c>
      <c r="V348" s="5" cm="1">
        <f t="array" ref="V348">IFERROR(AVERAGE(IF((DiscreteStatsTable[GroupByKey]=DiscreteStatsTable[[#This Row],[GroupByKey]]),(DiscreteStatsTable[GroupByKey]=DiscreteStatsTable[[#This Row],[GroupByKey]])*DiscreteStatsTable[NumberObservations])),0)</f>
        <v>1</v>
      </c>
      <c r="W348" s="5">
        <f>IF((DiscreteStatsTable[[#This Row],[RepsRequested]]&gt;1),DiscreteStatsTable[[#This Row],[HalfWidth]],DiscreteStatsTable[[#This Row],[BatchMeansHalfWidth]])</f>
        <v>0.94389399468674107</v>
      </c>
      <c r="X348" s="5" cm="1">
        <f t="array" ref="X348">COUNT(IF((DiscreteStatsTable[GroupByKey]=DiscreteStatsTable[[#This Row],[GroupByKey]]),(DiscreteStatsTable[GroupByKey]=DiscreteStatsTable[[#This Row],[GroupByKey]])*DiscreteStatsTable[Replication]))</f>
        <v>19</v>
      </c>
      <c r="Y348" s="5">
        <f>IF(DiscreteStatsTable[[#This Row],[RepsRequested]]=DiscreteStatsTable[[#This Row],[RepsWithStatObserved]],1,0)</f>
        <v>1</v>
      </c>
    </row>
    <row r="349" spans="1:25" x14ac:dyDescent="0.25">
      <c r="A349" t="s">
        <v>67</v>
      </c>
      <c r="B349" t="s">
        <v>69</v>
      </c>
      <c r="C349">
        <v>6</v>
      </c>
      <c r="D349" t="s">
        <v>96</v>
      </c>
      <c r="E349" t="s">
        <v>79</v>
      </c>
      <c r="F349" t="s">
        <v>80</v>
      </c>
      <c r="G349">
        <v>0.35915058370414699</v>
      </c>
      <c r="H349">
        <v>2E+20</v>
      </c>
      <c r="I349">
        <v>0.35915058370414699</v>
      </c>
      <c r="J349">
        <v>0.35915058370414699</v>
      </c>
      <c r="K349">
        <v>1</v>
      </c>
      <c r="L34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compartida)FilaCajaH1ExpressionUser Specified</v>
      </c>
      <c r="M349" s="5" cm="1">
        <f t="array" ref="M349">MAX(IF((ProjectInfoTable[ProjectName]=DiscreteStatsTable[[#This Row],[ProjectName]]),(ProjectInfoTable[ProjectName]=DiscreteStatsTable[[#This Row],[ProjectName]])*ProjectInfoTable[NumberOfReplications]))</f>
        <v>19</v>
      </c>
      <c r="N349" s="5" cm="1">
        <f t="array" ref="N349">IFERROR(AVERAGE(IF((DiscreteStatsTable[GroupByKey]=DiscreteStatsTable[[#This Row],[GroupByKey]]),(DiscreteStatsTable[GroupByKey]=DiscreteStatsTable[[#This Row],[GroupByKey]])*DiscreteStatsTable[Average])),0)</f>
        <v>1.131864537901659</v>
      </c>
      <c r="O349" s="5" cm="1">
        <f t="array" ref="O349">IFERROR(_xlfn.STDEV.S(IF((DiscreteStatsTable[GroupByKey]=DiscreteStatsTable[[#This Row],[GroupByKey]]),(DiscreteStatsTable[GroupByKey]=DiscreteStatsTable[[#This Row],[GroupByKey]])*DiscreteStatsTable[Average])),0)</f>
        <v>1.9583489808038694</v>
      </c>
      <c r="P349" s="5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 s="5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0.94389399468674107</v>
      </c>
      <c r="R349" s="5" cm="1">
        <f t="array" ref="R349">MIN(IF((DiscreteStatsTable[GroupByKey]=DiscreteStatsTable[[#This Row],[GroupByKey]]),(DiscreteStatsTable[GroupByKey]=DiscreteStatsTable[[#This Row],[GroupByKey]])*DiscreteStatsTable[Average]))</f>
        <v>5.6414233170681803E-2</v>
      </c>
      <c r="S349" s="5" cm="1">
        <f t="array" ref="S349">MAX(IF((DiscreteStatsTable[GroupByKey]=DiscreteStatsTable[[#This Row],[GroupByKey]]),(DiscreteStatsTable[GroupByKey]=DiscreteStatsTable[[#This Row],[GroupByKey]])*DiscreteStatsTable[Average]))</f>
        <v>8.3884297812099806</v>
      </c>
      <c r="T349" s="5" cm="1">
        <f t="array" ref="T349">MIN(IF((DiscreteStatsTable[GroupByKey]=DiscreteStatsTable[[#This Row],[GroupByKey]]),(DiscreteStatsTable[GroupByKey]=DiscreteStatsTable[[#This Row],[GroupByKey]])*DiscreteStatsTable[Minimum]))</f>
        <v>5.6414233170681803E-2</v>
      </c>
      <c r="U349" s="5" cm="1">
        <f t="array" ref="U349">MAX(IF((DiscreteStatsTable[GroupByKey]=DiscreteStatsTable[[#This Row],[GroupByKey]]),(DiscreteStatsTable[GroupByKey]=DiscreteStatsTable[[#This Row],[GroupByKey]])*DiscreteStatsTable[Maximum]))</f>
        <v>8.3884297812099806</v>
      </c>
      <c r="V349" s="5" cm="1">
        <f t="array" ref="V349">IFERROR(AVERAGE(IF((DiscreteStatsTable[GroupByKey]=DiscreteStatsTable[[#This Row],[GroupByKey]]),(DiscreteStatsTable[GroupByKey]=DiscreteStatsTable[[#This Row],[GroupByKey]])*DiscreteStatsTable[NumberObservations])),0)</f>
        <v>1</v>
      </c>
      <c r="W349" s="5">
        <f>IF((DiscreteStatsTable[[#This Row],[RepsRequested]]&gt;1),DiscreteStatsTable[[#This Row],[HalfWidth]],DiscreteStatsTable[[#This Row],[BatchMeansHalfWidth]])</f>
        <v>0.94389399468674107</v>
      </c>
      <c r="X349" s="5" cm="1">
        <f t="array" ref="X349">COUNT(IF((DiscreteStatsTable[GroupByKey]=DiscreteStatsTable[[#This Row],[GroupByKey]]),(DiscreteStatsTable[GroupByKey]=DiscreteStatsTable[[#This Row],[GroupByKey]])*DiscreteStatsTable[Replication]))</f>
        <v>19</v>
      </c>
      <c r="Y349" s="5">
        <f>IF(DiscreteStatsTable[[#This Row],[RepsRequested]]=DiscreteStatsTable[[#This Row],[RepsWithStatObserved]],1,0)</f>
        <v>1</v>
      </c>
    </row>
    <row r="350" spans="1:25" x14ac:dyDescent="0.25">
      <c r="A350" t="s">
        <v>67</v>
      </c>
      <c r="B350" t="s">
        <v>69</v>
      </c>
      <c r="C350">
        <v>7</v>
      </c>
      <c r="D350" t="s">
        <v>96</v>
      </c>
      <c r="E350" t="s">
        <v>79</v>
      </c>
      <c r="F350" t="s">
        <v>80</v>
      </c>
      <c r="G350">
        <v>0.29017142408227597</v>
      </c>
      <c r="H350">
        <v>2E+20</v>
      </c>
      <c r="I350">
        <v>0.29017142408227597</v>
      </c>
      <c r="J350">
        <v>0.29017142408227597</v>
      </c>
      <c r="K350">
        <v>1</v>
      </c>
      <c r="L35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compartida)FilaCajaH1ExpressionUser Specified</v>
      </c>
      <c r="M350" s="5" cm="1">
        <f t="array" ref="M350">MAX(IF((ProjectInfoTable[ProjectName]=DiscreteStatsTable[[#This Row],[ProjectName]]),(ProjectInfoTable[ProjectName]=DiscreteStatsTable[[#This Row],[ProjectName]])*ProjectInfoTable[NumberOfReplications]))</f>
        <v>19</v>
      </c>
      <c r="N350" s="5" cm="1">
        <f t="array" ref="N350">IFERROR(AVERAGE(IF((DiscreteStatsTable[GroupByKey]=DiscreteStatsTable[[#This Row],[GroupByKey]]),(DiscreteStatsTable[GroupByKey]=DiscreteStatsTable[[#This Row],[GroupByKey]])*DiscreteStatsTable[Average])),0)</f>
        <v>1.131864537901659</v>
      </c>
      <c r="O350" s="5" cm="1">
        <f t="array" ref="O350">IFERROR(_xlfn.STDEV.S(IF((DiscreteStatsTable[GroupByKey]=DiscreteStatsTable[[#This Row],[GroupByKey]]),(DiscreteStatsTable[GroupByKey]=DiscreteStatsTable[[#This Row],[GroupByKey]])*DiscreteStatsTable[Average])),0)</f>
        <v>1.9583489808038694</v>
      </c>
      <c r="P350" s="5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 s="5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0.94389399468674107</v>
      </c>
      <c r="R350" s="5" cm="1">
        <f t="array" ref="R350">MIN(IF((DiscreteStatsTable[GroupByKey]=DiscreteStatsTable[[#This Row],[GroupByKey]]),(DiscreteStatsTable[GroupByKey]=DiscreteStatsTable[[#This Row],[GroupByKey]])*DiscreteStatsTable[Average]))</f>
        <v>5.6414233170681803E-2</v>
      </c>
      <c r="S350" s="5" cm="1">
        <f t="array" ref="S350">MAX(IF((DiscreteStatsTable[GroupByKey]=DiscreteStatsTable[[#This Row],[GroupByKey]]),(DiscreteStatsTable[GroupByKey]=DiscreteStatsTable[[#This Row],[GroupByKey]])*DiscreteStatsTable[Average]))</f>
        <v>8.3884297812099806</v>
      </c>
      <c r="T350" s="5" cm="1">
        <f t="array" ref="T350">MIN(IF((DiscreteStatsTable[GroupByKey]=DiscreteStatsTable[[#This Row],[GroupByKey]]),(DiscreteStatsTable[GroupByKey]=DiscreteStatsTable[[#This Row],[GroupByKey]])*DiscreteStatsTable[Minimum]))</f>
        <v>5.6414233170681803E-2</v>
      </c>
      <c r="U350" s="5" cm="1">
        <f t="array" ref="U350">MAX(IF((DiscreteStatsTable[GroupByKey]=DiscreteStatsTable[[#This Row],[GroupByKey]]),(DiscreteStatsTable[GroupByKey]=DiscreteStatsTable[[#This Row],[GroupByKey]])*DiscreteStatsTable[Maximum]))</f>
        <v>8.3884297812099806</v>
      </c>
      <c r="V350" s="5" cm="1">
        <f t="array" ref="V350">IFERROR(AVERAGE(IF((DiscreteStatsTable[GroupByKey]=DiscreteStatsTable[[#This Row],[GroupByKey]]),(DiscreteStatsTable[GroupByKey]=DiscreteStatsTable[[#This Row],[GroupByKey]])*DiscreteStatsTable[NumberObservations])),0)</f>
        <v>1</v>
      </c>
      <c r="W350" s="5">
        <f>IF((DiscreteStatsTable[[#This Row],[RepsRequested]]&gt;1),DiscreteStatsTable[[#This Row],[HalfWidth]],DiscreteStatsTable[[#This Row],[BatchMeansHalfWidth]])</f>
        <v>0.94389399468674107</v>
      </c>
      <c r="X350" s="5" cm="1">
        <f t="array" ref="X350">COUNT(IF((DiscreteStatsTable[GroupByKey]=DiscreteStatsTable[[#This Row],[GroupByKey]]),(DiscreteStatsTable[GroupByKey]=DiscreteStatsTable[[#This Row],[GroupByKey]])*DiscreteStatsTable[Replication]))</f>
        <v>19</v>
      </c>
      <c r="Y350" s="5">
        <f>IF(DiscreteStatsTable[[#This Row],[RepsRequested]]=DiscreteStatsTable[[#This Row],[RepsWithStatObserved]],1,0)</f>
        <v>1</v>
      </c>
    </row>
    <row r="351" spans="1:25" x14ac:dyDescent="0.25">
      <c r="A351" t="s">
        <v>67</v>
      </c>
      <c r="B351" t="s">
        <v>69</v>
      </c>
      <c r="C351">
        <v>8</v>
      </c>
      <c r="D351" t="s">
        <v>96</v>
      </c>
      <c r="E351" t="s">
        <v>79</v>
      </c>
      <c r="F351" t="s">
        <v>80</v>
      </c>
      <c r="G351">
        <v>0.89911710142620005</v>
      </c>
      <c r="H351">
        <v>2E+20</v>
      </c>
      <c r="I351">
        <v>0.89911710142620005</v>
      </c>
      <c r="J351">
        <v>0.89911710142620005</v>
      </c>
      <c r="K351">
        <v>1</v>
      </c>
      <c r="L35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compartida)FilaCajaH1ExpressionUser Specified</v>
      </c>
      <c r="M351" s="5" cm="1">
        <f t="array" ref="M351">MAX(IF((ProjectInfoTable[ProjectName]=DiscreteStatsTable[[#This Row],[ProjectName]]),(ProjectInfoTable[ProjectName]=DiscreteStatsTable[[#This Row],[ProjectName]])*ProjectInfoTable[NumberOfReplications]))</f>
        <v>19</v>
      </c>
      <c r="N351" s="5" cm="1">
        <f t="array" ref="N351">IFERROR(AVERAGE(IF((DiscreteStatsTable[GroupByKey]=DiscreteStatsTable[[#This Row],[GroupByKey]]),(DiscreteStatsTable[GroupByKey]=DiscreteStatsTable[[#This Row],[GroupByKey]])*DiscreteStatsTable[Average])),0)</f>
        <v>1.131864537901659</v>
      </c>
      <c r="O351" s="5" cm="1">
        <f t="array" ref="O351">IFERROR(_xlfn.STDEV.S(IF((DiscreteStatsTable[GroupByKey]=DiscreteStatsTable[[#This Row],[GroupByKey]]),(DiscreteStatsTable[GroupByKey]=DiscreteStatsTable[[#This Row],[GroupByKey]])*DiscreteStatsTable[Average])),0)</f>
        <v>1.9583489808038694</v>
      </c>
      <c r="P351" s="5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 s="5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0.94389399468674107</v>
      </c>
      <c r="R351" s="5" cm="1">
        <f t="array" ref="R351">MIN(IF((DiscreteStatsTable[GroupByKey]=DiscreteStatsTable[[#This Row],[GroupByKey]]),(DiscreteStatsTable[GroupByKey]=DiscreteStatsTable[[#This Row],[GroupByKey]])*DiscreteStatsTable[Average]))</f>
        <v>5.6414233170681803E-2</v>
      </c>
      <c r="S351" s="5" cm="1">
        <f t="array" ref="S351">MAX(IF((DiscreteStatsTable[GroupByKey]=DiscreteStatsTable[[#This Row],[GroupByKey]]),(DiscreteStatsTable[GroupByKey]=DiscreteStatsTable[[#This Row],[GroupByKey]])*DiscreteStatsTable[Average]))</f>
        <v>8.3884297812099806</v>
      </c>
      <c r="T351" s="5" cm="1">
        <f t="array" ref="T351">MIN(IF((DiscreteStatsTable[GroupByKey]=DiscreteStatsTable[[#This Row],[GroupByKey]]),(DiscreteStatsTable[GroupByKey]=DiscreteStatsTable[[#This Row],[GroupByKey]])*DiscreteStatsTable[Minimum]))</f>
        <v>5.6414233170681803E-2</v>
      </c>
      <c r="U351" s="5" cm="1">
        <f t="array" ref="U351">MAX(IF((DiscreteStatsTable[GroupByKey]=DiscreteStatsTable[[#This Row],[GroupByKey]]),(DiscreteStatsTable[GroupByKey]=DiscreteStatsTable[[#This Row],[GroupByKey]])*DiscreteStatsTable[Maximum]))</f>
        <v>8.3884297812099806</v>
      </c>
      <c r="V351" s="5" cm="1">
        <f t="array" ref="V351">IFERROR(AVERAGE(IF((DiscreteStatsTable[GroupByKey]=DiscreteStatsTable[[#This Row],[GroupByKey]]),(DiscreteStatsTable[GroupByKey]=DiscreteStatsTable[[#This Row],[GroupByKey]])*DiscreteStatsTable[NumberObservations])),0)</f>
        <v>1</v>
      </c>
      <c r="W351" s="5">
        <f>IF((DiscreteStatsTable[[#This Row],[RepsRequested]]&gt;1),DiscreteStatsTable[[#This Row],[HalfWidth]],DiscreteStatsTable[[#This Row],[BatchMeansHalfWidth]])</f>
        <v>0.94389399468674107</v>
      </c>
      <c r="X351" s="5" cm="1">
        <f t="array" ref="X351">COUNT(IF((DiscreteStatsTable[GroupByKey]=DiscreteStatsTable[[#This Row],[GroupByKey]]),(DiscreteStatsTable[GroupByKey]=DiscreteStatsTable[[#This Row],[GroupByKey]])*DiscreteStatsTable[Replication]))</f>
        <v>19</v>
      </c>
      <c r="Y351" s="5">
        <f>IF(DiscreteStatsTable[[#This Row],[RepsRequested]]=DiscreteStatsTable[[#This Row],[RepsWithStatObserved]],1,0)</f>
        <v>1</v>
      </c>
    </row>
    <row r="352" spans="1:25" x14ac:dyDescent="0.25">
      <c r="A352" t="s">
        <v>67</v>
      </c>
      <c r="B352" t="s">
        <v>69</v>
      </c>
      <c r="C352">
        <v>9</v>
      </c>
      <c r="D352" t="s">
        <v>96</v>
      </c>
      <c r="E352" t="s">
        <v>79</v>
      </c>
      <c r="F352" t="s">
        <v>80</v>
      </c>
      <c r="G352">
        <v>0.563833100881036</v>
      </c>
      <c r="H352">
        <v>2E+20</v>
      </c>
      <c r="I352">
        <v>0.563833100881036</v>
      </c>
      <c r="J352">
        <v>0.563833100881036</v>
      </c>
      <c r="K352">
        <v>1</v>
      </c>
      <c r="L35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compartida)FilaCajaH1ExpressionUser Specified</v>
      </c>
      <c r="M352" s="5" cm="1">
        <f t="array" ref="M352">MAX(IF((ProjectInfoTable[ProjectName]=DiscreteStatsTable[[#This Row],[ProjectName]]),(ProjectInfoTable[ProjectName]=DiscreteStatsTable[[#This Row],[ProjectName]])*ProjectInfoTable[NumberOfReplications]))</f>
        <v>19</v>
      </c>
      <c r="N352" s="5" cm="1">
        <f t="array" ref="N352">IFERROR(AVERAGE(IF((DiscreteStatsTable[GroupByKey]=DiscreteStatsTable[[#This Row],[GroupByKey]]),(DiscreteStatsTable[GroupByKey]=DiscreteStatsTable[[#This Row],[GroupByKey]])*DiscreteStatsTable[Average])),0)</f>
        <v>1.131864537901659</v>
      </c>
      <c r="O352" s="5" cm="1">
        <f t="array" ref="O352">IFERROR(_xlfn.STDEV.S(IF((DiscreteStatsTable[GroupByKey]=DiscreteStatsTable[[#This Row],[GroupByKey]]),(DiscreteStatsTable[GroupByKey]=DiscreteStatsTable[[#This Row],[GroupByKey]])*DiscreteStatsTable[Average])),0)</f>
        <v>1.9583489808038694</v>
      </c>
      <c r="P352" s="5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 s="5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0.94389399468674107</v>
      </c>
      <c r="R352" s="5" cm="1">
        <f t="array" ref="R352">MIN(IF((DiscreteStatsTable[GroupByKey]=DiscreteStatsTable[[#This Row],[GroupByKey]]),(DiscreteStatsTable[GroupByKey]=DiscreteStatsTable[[#This Row],[GroupByKey]])*DiscreteStatsTable[Average]))</f>
        <v>5.6414233170681803E-2</v>
      </c>
      <c r="S352" s="5" cm="1">
        <f t="array" ref="S352">MAX(IF((DiscreteStatsTable[GroupByKey]=DiscreteStatsTable[[#This Row],[GroupByKey]]),(DiscreteStatsTable[GroupByKey]=DiscreteStatsTable[[#This Row],[GroupByKey]])*DiscreteStatsTable[Average]))</f>
        <v>8.3884297812099806</v>
      </c>
      <c r="T352" s="5" cm="1">
        <f t="array" ref="T352">MIN(IF((DiscreteStatsTable[GroupByKey]=DiscreteStatsTable[[#This Row],[GroupByKey]]),(DiscreteStatsTable[GroupByKey]=DiscreteStatsTable[[#This Row],[GroupByKey]])*DiscreteStatsTable[Minimum]))</f>
        <v>5.6414233170681803E-2</v>
      </c>
      <c r="U352" s="5" cm="1">
        <f t="array" ref="U352">MAX(IF((DiscreteStatsTable[GroupByKey]=DiscreteStatsTable[[#This Row],[GroupByKey]]),(DiscreteStatsTable[GroupByKey]=DiscreteStatsTable[[#This Row],[GroupByKey]])*DiscreteStatsTable[Maximum]))</f>
        <v>8.3884297812099806</v>
      </c>
      <c r="V352" s="5" cm="1">
        <f t="array" ref="V352">IFERROR(AVERAGE(IF((DiscreteStatsTable[GroupByKey]=DiscreteStatsTable[[#This Row],[GroupByKey]]),(DiscreteStatsTable[GroupByKey]=DiscreteStatsTable[[#This Row],[GroupByKey]])*DiscreteStatsTable[NumberObservations])),0)</f>
        <v>1</v>
      </c>
      <c r="W352" s="5">
        <f>IF((DiscreteStatsTable[[#This Row],[RepsRequested]]&gt;1),DiscreteStatsTable[[#This Row],[HalfWidth]],DiscreteStatsTable[[#This Row],[BatchMeansHalfWidth]])</f>
        <v>0.94389399468674107</v>
      </c>
      <c r="X352" s="5" cm="1">
        <f t="array" ref="X352">COUNT(IF((DiscreteStatsTable[GroupByKey]=DiscreteStatsTable[[#This Row],[GroupByKey]]),(DiscreteStatsTable[GroupByKey]=DiscreteStatsTable[[#This Row],[GroupByKey]])*DiscreteStatsTable[Replication]))</f>
        <v>19</v>
      </c>
      <c r="Y352" s="5">
        <f>IF(DiscreteStatsTable[[#This Row],[RepsRequested]]=DiscreteStatsTable[[#This Row],[RepsWithStatObserved]],1,0)</f>
        <v>1</v>
      </c>
    </row>
    <row r="353" spans="1:25" x14ac:dyDescent="0.25">
      <c r="A353" t="s">
        <v>67</v>
      </c>
      <c r="B353" t="s">
        <v>69</v>
      </c>
      <c r="C353">
        <v>10</v>
      </c>
      <c r="D353" t="s">
        <v>96</v>
      </c>
      <c r="E353" t="s">
        <v>79</v>
      </c>
      <c r="F353" t="s">
        <v>80</v>
      </c>
      <c r="G353">
        <v>0.65990755623781305</v>
      </c>
      <c r="H353">
        <v>2E+20</v>
      </c>
      <c r="I353">
        <v>0.65990755623781305</v>
      </c>
      <c r="J353">
        <v>0.65990755623781305</v>
      </c>
      <c r="K353">
        <v>1</v>
      </c>
      <c r="L35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compartida)FilaCajaH1ExpressionUser Specified</v>
      </c>
      <c r="M353" s="5" cm="1">
        <f t="array" ref="M353">MAX(IF((ProjectInfoTable[ProjectName]=DiscreteStatsTable[[#This Row],[ProjectName]]),(ProjectInfoTable[ProjectName]=DiscreteStatsTable[[#This Row],[ProjectName]])*ProjectInfoTable[NumberOfReplications]))</f>
        <v>19</v>
      </c>
      <c r="N353" s="5" cm="1">
        <f t="array" ref="N353">IFERROR(AVERAGE(IF((DiscreteStatsTable[GroupByKey]=DiscreteStatsTable[[#This Row],[GroupByKey]]),(DiscreteStatsTable[GroupByKey]=DiscreteStatsTable[[#This Row],[GroupByKey]])*DiscreteStatsTable[Average])),0)</f>
        <v>1.131864537901659</v>
      </c>
      <c r="O353" s="5" cm="1">
        <f t="array" ref="O353">IFERROR(_xlfn.STDEV.S(IF((DiscreteStatsTable[GroupByKey]=DiscreteStatsTable[[#This Row],[GroupByKey]]),(DiscreteStatsTable[GroupByKey]=DiscreteStatsTable[[#This Row],[GroupByKey]])*DiscreteStatsTable[Average])),0)</f>
        <v>1.9583489808038694</v>
      </c>
      <c r="P353" s="5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 s="5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0.94389399468674107</v>
      </c>
      <c r="R353" s="5" cm="1">
        <f t="array" ref="R353">MIN(IF((DiscreteStatsTable[GroupByKey]=DiscreteStatsTable[[#This Row],[GroupByKey]]),(DiscreteStatsTable[GroupByKey]=DiscreteStatsTable[[#This Row],[GroupByKey]])*DiscreteStatsTable[Average]))</f>
        <v>5.6414233170681803E-2</v>
      </c>
      <c r="S353" s="5" cm="1">
        <f t="array" ref="S353">MAX(IF((DiscreteStatsTable[GroupByKey]=DiscreteStatsTable[[#This Row],[GroupByKey]]),(DiscreteStatsTable[GroupByKey]=DiscreteStatsTable[[#This Row],[GroupByKey]])*DiscreteStatsTable[Average]))</f>
        <v>8.3884297812099806</v>
      </c>
      <c r="T353" s="5" cm="1">
        <f t="array" ref="T353">MIN(IF((DiscreteStatsTable[GroupByKey]=DiscreteStatsTable[[#This Row],[GroupByKey]]),(DiscreteStatsTable[GroupByKey]=DiscreteStatsTable[[#This Row],[GroupByKey]])*DiscreteStatsTable[Minimum]))</f>
        <v>5.6414233170681803E-2</v>
      </c>
      <c r="U353" s="5" cm="1">
        <f t="array" ref="U353">MAX(IF((DiscreteStatsTable[GroupByKey]=DiscreteStatsTable[[#This Row],[GroupByKey]]),(DiscreteStatsTable[GroupByKey]=DiscreteStatsTable[[#This Row],[GroupByKey]])*DiscreteStatsTable[Maximum]))</f>
        <v>8.3884297812099806</v>
      </c>
      <c r="V353" s="5" cm="1">
        <f t="array" ref="V353">IFERROR(AVERAGE(IF((DiscreteStatsTable[GroupByKey]=DiscreteStatsTable[[#This Row],[GroupByKey]]),(DiscreteStatsTable[GroupByKey]=DiscreteStatsTable[[#This Row],[GroupByKey]])*DiscreteStatsTable[NumberObservations])),0)</f>
        <v>1</v>
      </c>
      <c r="W353" s="5">
        <f>IF((DiscreteStatsTable[[#This Row],[RepsRequested]]&gt;1),DiscreteStatsTable[[#This Row],[HalfWidth]],DiscreteStatsTable[[#This Row],[BatchMeansHalfWidth]])</f>
        <v>0.94389399468674107</v>
      </c>
      <c r="X353" s="5" cm="1">
        <f t="array" ref="X353">COUNT(IF((DiscreteStatsTable[GroupByKey]=DiscreteStatsTable[[#This Row],[GroupByKey]]),(DiscreteStatsTable[GroupByKey]=DiscreteStatsTable[[#This Row],[GroupByKey]])*DiscreteStatsTable[Replication]))</f>
        <v>19</v>
      </c>
      <c r="Y353" s="5">
        <f>IF(DiscreteStatsTable[[#This Row],[RepsRequested]]=DiscreteStatsTable[[#This Row],[RepsWithStatObserved]],1,0)</f>
        <v>1</v>
      </c>
    </row>
    <row r="354" spans="1:25" x14ac:dyDescent="0.25">
      <c r="A354" t="s">
        <v>67</v>
      </c>
      <c r="B354" t="s">
        <v>69</v>
      </c>
      <c r="C354">
        <v>11</v>
      </c>
      <c r="D354" t="s">
        <v>96</v>
      </c>
      <c r="E354" t="s">
        <v>79</v>
      </c>
      <c r="F354" t="s">
        <v>80</v>
      </c>
      <c r="G354">
        <v>5.6414233170681803E-2</v>
      </c>
      <c r="H354">
        <v>2E+20</v>
      </c>
      <c r="I354">
        <v>5.6414233170681803E-2</v>
      </c>
      <c r="J354">
        <v>5.6414233170681803E-2</v>
      </c>
      <c r="K354">
        <v>1</v>
      </c>
      <c r="L35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compartida)FilaCajaH1ExpressionUser Specified</v>
      </c>
      <c r="M354" s="5" cm="1">
        <f t="array" ref="M354">MAX(IF((ProjectInfoTable[ProjectName]=DiscreteStatsTable[[#This Row],[ProjectName]]),(ProjectInfoTable[ProjectName]=DiscreteStatsTable[[#This Row],[ProjectName]])*ProjectInfoTable[NumberOfReplications]))</f>
        <v>19</v>
      </c>
      <c r="N354" s="5" cm="1">
        <f t="array" ref="N354">IFERROR(AVERAGE(IF((DiscreteStatsTable[GroupByKey]=DiscreteStatsTable[[#This Row],[GroupByKey]]),(DiscreteStatsTable[GroupByKey]=DiscreteStatsTable[[#This Row],[GroupByKey]])*DiscreteStatsTable[Average])),0)</f>
        <v>1.131864537901659</v>
      </c>
      <c r="O354" s="5" cm="1">
        <f t="array" ref="O354">IFERROR(_xlfn.STDEV.S(IF((DiscreteStatsTable[GroupByKey]=DiscreteStatsTable[[#This Row],[GroupByKey]]),(DiscreteStatsTable[GroupByKey]=DiscreteStatsTable[[#This Row],[GroupByKey]])*DiscreteStatsTable[Average])),0)</f>
        <v>1.9583489808038694</v>
      </c>
      <c r="P354" s="5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 s="5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0.94389399468674107</v>
      </c>
      <c r="R354" s="5" cm="1">
        <f t="array" ref="R354">MIN(IF((DiscreteStatsTable[GroupByKey]=DiscreteStatsTable[[#This Row],[GroupByKey]]),(DiscreteStatsTable[GroupByKey]=DiscreteStatsTable[[#This Row],[GroupByKey]])*DiscreteStatsTable[Average]))</f>
        <v>5.6414233170681803E-2</v>
      </c>
      <c r="S354" s="5" cm="1">
        <f t="array" ref="S354">MAX(IF((DiscreteStatsTable[GroupByKey]=DiscreteStatsTable[[#This Row],[GroupByKey]]),(DiscreteStatsTable[GroupByKey]=DiscreteStatsTable[[#This Row],[GroupByKey]])*DiscreteStatsTable[Average]))</f>
        <v>8.3884297812099806</v>
      </c>
      <c r="T354" s="5" cm="1">
        <f t="array" ref="T354">MIN(IF((DiscreteStatsTable[GroupByKey]=DiscreteStatsTable[[#This Row],[GroupByKey]]),(DiscreteStatsTable[GroupByKey]=DiscreteStatsTable[[#This Row],[GroupByKey]])*DiscreteStatsTable[Minimum]))</f>
        <v>5.6414233170681803E-2</v>
      </c>
      <c r="U354" s="5" cm="1">
        <f t="array" ref="U354">MAX(IF((DiscreteStatsTable[GroupByKey]=DiscreteStatsTable[[#This Row],[GroupByKey]]),(DiscreteStatsTable[GroupByKey]=DiscreteStatsTable[[#This Row],[GroupByKey]])*DiscreteStatsTable[Maximum]))</f>
        <v>8.3884297812099806</v>
      </c>
      <c r="V354" s="5" cm="1">
        <f t="array" ref="V354">IFERROR(AVERAGE(IF((DiscreteStatsTable[GroupByKey]=DiscreteStatsTable[[#This Row],[GroupByKey]]),(DiscreteStatsTable[GroupByKey]=DiscreteStatsTable[[#This Row],[GroupByKey]])*DiscreteStatsTable[NumberObservations])),0)</f>
        <v>1</v>
      </c>
      <c r="W354" s="5">
        <f>IF((DiscreteStatsTable[[#This Row],[RepsRequested]]&gt;1),DiscreteStatsTable[[#This Row],[HalfWidth]],DiscreteStatsTable[[#This Row],[BatchMeansHalfWidth]])</f>
        <v>0.94389399468674107</v>
      </c>
      <c r="X354" s="5" cm="1">
        <f t="array" ref="X354">COUNT(IF((DiscreteStatsTable[GroupByKey]=DiscreteStatsTable[[#This Row],[GroupByKey]]),(DiscreteStatsTable[GroupByKey]=DiscreteStatsTable[[#This Row],[GroupByKey]])*DiscreteStatsTable[Replication]))</f>
        <v>19</v>
      </c>
      <c r="Y354" s="5">
        <f>IF(DiscreteStatsTable[[#This Row],[RepsRequested]]=DiscreteStatsTable[[#This Row],[RepsWithStatObserved]],1,0)</f>
        <v>1</v>
      </c>
    </row>
    <row r="355" spans="1:25" x14ac:dyDescent="0.25">
      <c r="A355" t="s">
        <v>67</v>
      </c>
      <c r="B355" t="s">
        <v>69</v>
      </c>
      <c r="C355">
        <v>12</v>
      </c>
      <c r="D355" t="s">
        <v>96</v>
      </c>
      <c r="E355" t="s">
        <v>79</v>
      </c>
      <c r="F355" t="s">
        <v>80</v>
      </c>
      <c r="G355">
        <v>1.5485189445491701</v>
      </c>
      <c r="H355">
        <v>2E+20</v>
      </c>
      <c r="I355">
        <v>1.5485189445491701</v>
      </c>
      <c r="J355">
        <v>1.5485189445491701</v>
      </c>
      <c r="K355">
        <v>1</v>
      </c>
      <c r="L35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compartida)FilaCajaH1ExpressionUser Specified</v>
      </c>
      <c r="M355" s="5" cm="1">
        <f t="array" ref="M355">MAX(IF((ProjectInfoTable[ProjectName]=DiscreteStatsTable[[#This Row],[ProjectName]]),(ProjectInfoTable[ProjectName]=DiscreteStatsTable[[#This Row],[ProjectName]])*ProjectInfoTable[NumberOfReplications]))</f>
        <v>19</v>
      </c>
      <c r="N355" s="5" cm="1">
        <f t="array" ref="N355">IFERROR(AVERAGE(IF((DiscreteStatsTable[GroupByKey]=DiscreteStatsTable[[#This Row],[GroupByKey]]),(DiscreteStatsTable[GroupByKey]=DiscreteStatsTable[[#This Row],[GroupByKey]])*DiscreteStatsTable[Average])),0)</f>
        <v>1.131864537901659</v>
      </c>
      <c r="O355" s="5" cm="1">
        <f t="array" ref="O355">IFERROR(_xlfn.STDEV.S(IF((DiscreteStatsTable[GroupByKey]=DiscreteStatsTable[[#This Row],[GroupByKey]]),(DiscreteStatsTable[GroupByKey]=DiscreteStatsTable[[#This Row],[GroupByKey]])*DiscreteStatsTable[Average])),0)</f>
        <v>1.9583489808038694</v>
      </c>
      <c r="P355" s="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 s="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0.94389399468674107</v>
      </c>
      <c r="R355" s="5" cm="1">
        <f t="array" ref="R355">MIN(IF((DiscreteStatsTable[GroupByKey]=DiscreteStatsTable[[#This Row],[GroupByKey]]),(DiscreteStatsTable[GroupByKey]=DiscreteStatsTable[[#This Row],[GroupByKey]])*DiscreteStatsTable[Average]))</f>
        <v>5.6414233170681803E-2</v>
      </c>
      <c r="S355" s="5" cm="1">
        <f t="array" ref="S355">MAX(IF((DiscreteStatsTable[GroupByKey]=DiscreteStatsTable[[#This Row],[GroupByKey]]),(DiscreteStatsTable[GroupByKey]=DiscreteStatsTable[[#This Row],[GroupByKey]])*DiscreteStatsTable[Average]))</f>
        <v>8.3884297812099806</v>
      </c>
      <c r="T355" s="5" cm="1">
        <f t="array" ref="T355">MIN(IF((DiscreteStatsTable[GroupByKey]=DiscreteStatsTable[[#This Row],[GroupByKey]]),(DiscreteStatsTable[GroupByKey]=DiscreteStatsTable[[#This Row],[GroupByKey]])*DiscreteStatsTable[Minimum]))</f>
        <v>5.6414233170681803E-2</v>
      </c>
      <c r="U355" s="5" cm="1">
        <f t="array" ref="U355">MAX(IF((DiscreteStatsTable[GroupByKey]=DiscreteStatsTable[[#This Row],[GroupByKey]]),(DiscreteStatsTable[GroupByKey]=DiscreteStatsTable[[#This Row],[GroupByKey]])*DiscreteStatsTable[Maximum]))</f>
        <v>8.3884297812099806</v>
      </c>
      <c r="V355" s="5" cm="1">
        <f t="array" ref="V355">IFERROR(AVERAGE(IF((DiscreteStatsTable[GroupByKey]=DiscreteStatsTable[[#This Row],[GroupByKey]]),(DiscreteStatsTable[GroupByKey]=DiscreteStatsTable[[#This Row],[GroupByKey]])*DiscreteStatsTable[NumberObservations])),0)</f>
        <v>1</v>
      </c>
      <c r="W355" s="5">
        <f>IF((DiscreteStatsTable[[#This Row],[RepsRequested]]&gt;1),DiscreteStatsTable[[#This Row],[HalfWidth]],DiscreteStatsTable[[#This Row],[BatchMeansHalfWidth]])</f>
        <v>0.94389399468674107</v>
      </c>
      <c r="X355" s="5" cm="1">
        <f t="array" ref="X355">COUNT(IF((DiscreteStatsTable[GroupByKey]=DiscreteStatsTable[[#This Row],[GroupByKey]]),(DiscreteStatsTable[GroupByKey]=DiscreteStatsTable[[#This Row],[GroupByKey]])*DiscreteStatsTable[Replication]))</f>
        <v>19</v>
      </c>
      <c r="Y355" s="5">
        <f>IF(DiscreteStatsTable[[#This Row],[RepsRequested]]=DiscreteStatsTable[[#This Row],[RepsWithStatObserved]],1,0)</f>
        <v>1</v>
      </c>
    </row>
    <row r="356" spans="1:25" x14ac:dyDescent="0.25">
      <c r="A356" t="s">
        <v>67</v>
      </c>
      <c r="B356" t="s">
        <v>69</v>
      </c>
      <c r="C356">
        <v>13</v>
      </c>
      <c r="D356" t="s">
        <v>96</v>
      </c>
      <c r="E356" t="s">
        <v>79</v>
      </c>
      <c r="F356" t="s">
        <v>80</v>
      </c>
      <c r="G356">
        <v>0.27853215595487502</v>
      </c>
      <c r="H356">
        <v>2E+20</v>
      </c>
      <c r="I356">
        <v>0.27853215595487502</v>
      </c>
      <c r="J356">
        <v>0.27853215595487502</v>
      </c>
      <c r="K356">
        <v>1</v>
      </c>
      <c r="L35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compartida)FilaCajaH1ExpressionUser Specified</v>
      </c>
      <c r="M356" s="5" cm="1">
        <f t="array" ref="M356">MAX(IF((ProjectInfoTable[ProjectName]=DiscreteStatsTable[[#This Row],[ProjectName]]),(ProjectInfoTable[ProjectName]=DiscreteStatsTable[[#This Row],[ProjectName]])*ProjectInfoTable[NumberOfReplications]))</f>
        <v>19</v>
      </c>
      <c r="N356" s="5" cm="1">
        <f t="array" ref="N356">IFERROR(AVERAGE(IF((DiscreteStatsTable[GroupByKey]=DiscreteStatsTable[[#This Row],[GroupByKey]]),(DiscreteStatsTable[GroupByKey]=DiscreteStatsTable[[#This Row],[GroupByKey]])*DiscreteStatsTable[Average])),0)</f>
        <v>1.131864537901659</v>
      </c>
      <c r="O356" s="5" cm="1">
        <f t="array" ref="O356">IFERROR(_xlfn.STDEV.S(IF((DiscreteStatsTable[GroupByKey]=DiscreteStatsTable[[#This Row],[GroupByKey]]),(DiscreteStatsTable[GroupByKey]=DiscreteStatsTable[[#This Row],[GroupByKey]])*DiscreteStatsTable[Average])),0)</f>
        <v>1.9583489808038694</v>
      </c>
      <c r="P356" s="5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 s="5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0.94389399468674107</v>
      </c>
      <c r="R356" s="5" cm="1">
        <f t="array" ref="R356">MIN(IF((DiscreteStatsTable[GroupByKey]=DiscreteStatsTable[[#This Row],[GroupByKey]]),(DiscreteStatsTable[GroupByKey]=DiscreteStatsTable[[#This Row],[GroupByKey]])*DiscreteStatsTable[Average]))</f>
        <v>5.6414233170681803E-2</v>
      </c>
      <c r="S356" s="5" cm="1">
        <f t="array" ref="S356">MAX(IF((DiscreteStatsTable[GroupByKey]=DiscreteStatsTable[[#This Row],[GroupByKey]]),(DiscreteStatsTable[GroupByKey]=DiscreteStatsTable[[#This Row],[GroupByKey]])*DiscreteStatsTable[Average]))</f>
        <v>8.3884297812099806</v>
      </c>
      <c r="T356" s="5" cm="1">
        <f t="array" ref="T356">MIN(IF((DiscreteStatsTable[GroupByKey]=DiscreteStatsTable[[#This Row],[GroupByKey]]),(DiscreteStatsTable[GroupByKey]=DiscreteStatsTable[[#This Row],[GroupByKey]])*DiscreteStatsTable[Minimum]))</f>
        <v>5.6414233170681803E-2</v>
      </c>
      <c r="U356" s="5" cm="1">
        <f t="array" ref="U356">MAX(IF((DiscreteStatsTable[GroupByKey]=DiscreteStatsTable[[#This Row],[GroupByKey]]),(DiscreteStatsTable[GroupByKey]=DiscreteStatsTable[[#This Row],[GroupByKey]])*DiscreteStatsTable[Maximum]))</f>
        <v>8.3884297812099806</v>
      </c>
      <c r="V356" s="5" cm="1">
        <f t="array" ref="V356">IFERROR(AVERAGE(IF((DiscreteStatsTable[GroupByKey]=DiscreteStatsTable[[#This Row],[GroupByKey]]),(DiscreteStatsTable[GroupByKey]=DiscreteStatsTable[[#This Row],[GroupByKey]])*DiscreteStatsTable[NumberObservations])),0)</f>
        <v>1</v>
      </c>
      <c r="W356" s="5">
        <f>IF((DiscreteStatsTable[[#This Row],[RepsRequested]]&gt;1),DiscreteStatsTable[[#This Row],[HalfWidth]],DiscreteStatsTable[[#This Row],[BatchMeansHalfWidth]])</f>
        <v>0.94389399468674107</v>
      </c>
      <c r="X356" s="5" cm="1">
        <f t="array" ref="X356">COUNT(IF((DiscreteStatsTable[GroupByKey]=DiscreteStatsTable[[#This Row],[GroupByKey]]),(DiscreteStatsTable[GroupByKey]=DiscreteStatsTable[[#This Row],[GroupByKey]])*DiscreteStatsTable[Replication]))</f>
        <v>19</v>
      </c>
      <c r="Y356" s="5">
        <f>IF(DiscreteStatsTable[[#This Row],[RepsRequested]]=DiscreteStatsTable[[#This Row],[RepsWithStatObserved]],1,0)</f>
        <v>1</v>
      </c>
    </row>
    <row r="357" spans="1:25" x14ac:dyDescent="0.25">
      <c r="A357" t="s">
        <v>67</v>
      </c>
      <c r="B357" t="s">
        <v>69</v>
      </c>
      <c r="C357">
        <v>14</v>
      </c>
      <c r="D357" t="s">
        <v>96</v>
      </c>
      <c r="E357" t="s">
        <v>79</v>
      </c>
      <c r="F357" t="s">
        <v>80</v>
      </c>
      <c r="G357">
        <v>0.44455931012278199</v>
      </c>
      <c r="H357">
        <v>2E+20</v>
      </c>
      <c r="I357">
        <v>0.44455931012278199</v>
      </c>
      <c r="J357">
        <v>0.44455931012278199</v>
      </c>
      <c r="K357">
        <v>1</v>
      </c>
      <c r="L35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compartida)FilaCajaH1ExpressionUser Specified</v>
      </c>
      <c r="M357" s="5" cm="1">
        <f t="array" ref="M357">MAX(IF((ProjectInfoTable[ProjectName]=DiscreteStatsTable[[#This Row],[ProjectName]]),(ProjectInfoTable[ProjectName]=DiscreteStatsTable[[#This Row],[ProjectName]])*ProjectInfoTable[NumberOfReplications]))</f>
        <v>19</v>
      </c>
      <c r="N357" s="5" cm="1">
        <f t="array" ref="N357">IFERROR(AVERAGE(IF((DiscreteStatsTable[GroupByKey]=DiscreteStatsTable[[#This Row],[GroupByKey]]),(DiscreteStatsTable[GroupByKey]=DiscreteStatsTable[[#This Row],[GroupByKey]])*DiscreteStatsTable[Average])),0)</f>
        <v>1.131864537901659</v>
      </c>
      <c r="O357" s="5" cm="1">
        <f t="array" ref="O357">IFERROR(_xlfn.STDEV.S(IF((DiscreteStatsTable[GroupByKey]=DiscreteStatsTable[[#This Row],[GroupByKey]]),(DiscreteStatsTable[GroupByKey]=DiscreteStatsTable[[#This Row],[GroupByKey]])*DiscreteStatsTable[Average])),0)</f>
        <v>1.9583489808038694</v>
      </c>
      <c r="P357" s="5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 s="5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0.94389399468674107</v>
      </c>
      <c r="R357" s="5" cm="1">
        <f t="array" ref="R357">MIN(IF((DiscreteStatsTable[GroupByKey]=DiscreteStatsTable[[#This Row],[GroupByKey]]),(DiscreteStatsTable[GroupByKey]=DiscreteStatsTable[[#This Row],[GroupByKey]])*DiscreteStatsTable[Average]))</f>
        <v>5.6414233170681803E-2</v>
      </c>
      <c r="S357" s="5" cm="1">
        <f t="array" ref="S357">MAX(IF((DiscreteStatsTable[GroupByKey]=DiscreteStatsTable[[#This Row],[GroupByKey]]),(DiscreteStatsTable[GroupByKey]=DiscreteStatsTable[[#This Row],[GroupByKey]])*DiscreteStatsTable[Average]))</f>
        <v>8.3884297812099806</v>
      </c>
      <c r="T357" s="5" cm="1">
        <f t="array" ref="T357">MIN(IF((DiscreteStatsTable[GroupByKey]=DiscreteStatsTable[[#This Row],[GroupByKey]]),(DiscreteStatsTable[GroupByKey]=DiscreteStatsTable[[#This Row],[GroupByKey]])*DiscreteStatsTable[Minimum]))</f>
        <v>5.6414233170681803E-2</v>
      </c>
      <c r="U357" s="5" cm="1">
        <f t="array" ref="U357">MAX(IF((DiscreteStatsTable[GroupByKey]=DiscreteStatsTable[[#This Row],[GroupByKey]]),(DiscreteStatsTable[GroupByKey]=DiscreteStatsTable[[#This Row],[GroupByKey]])*DiscreteStatsTable[Maximum]))</f>
        <v>8.3884297812099806</v>
      </c>
      <c r="V357" s="5" cm="1">
        <f t="array" ref="V357">IFERROR(AVERAGE(IF((DiscreteStatsTable[GroupByKey]=DiscreteStatsTable[[#This Row],[GroupByKey]]),(DiscreteStatsTable[GroupByKey]=DiscreteStatsTable[[#This Row],[GroupByKey]])*DiscreteStatsTable[NumberObservations])),0)</f>
        <v>1</v>
      </c>
      <c r="W357" s="5">
        <f>IF((DiscreteStatsTable[[#This Row],[RepsRequested]]&gt;1),DiscreteStatsTable[[#This Row],[HalfWidth]],DiscreteStatsTable[[#This Row],[BatchMeansHalfWidth]])</f>
        <v>0.94389399468674107</v>
      </c>
      <c r="X357" s="5" cm="1">
        <f t="array" ref="X357">COUNT(IF((DiscreteStatsTable[GroupByKey]=DiscreteStatsTable[[#This Row],[GroupByKey]]),(DiscreteStatsTable[GroupByKey]=DiscreteStatsTable[[#This Row],[GroupByKey]])*DiscreteStatsTable[Replication]))</f>
        <v>19</v>
      </c>
      <c r="Y357" s="5">
        <f>IF(DiscreteStatsTable[[#This Row],[RepsRequested]]=DiscreteStatsTable[[#This Row],[RepsWithStatObserved]],1,0)</f>
        <v>1</v>
      </c>
    </row>
    <row r="358" spans="1:25" x14ac:dyDescent="0.25">
      <c r="A358" t="s">
        <v>67</v>
      </c>
      <c r="B358" t="s">
        <v>69</v>
      </c>
      <c r="C358">
        <v>15</v>
      </c>
      <c r="D358" t="s">
        <v>96</v>
      </c>
      <c r="E358" t="s">
        <v>79</v>
      </c>
      <c r="F358" t="s">
        <v>80</v>
      </c>
      <c r="G358">
        <v>0.59468198735382805</v>
      </c>
      <c r="H358">
        <v>2E+20</v>
      </c>
      <c r="I358">
        <v>0.59468198735382805</v>
      </c>
      <c r="J358">
        <v>0.59468198735382805</v>
      </c>
      <c r="K358">
        <v>1</v>
      </c>
      <c r="L35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compartida)FilaCajaH1ExpressionUser Specified</v>
      </c>
      <c r="M358" s="5" cm="1">
        <f t="array" ref="M358">MAX(IF((ProjectInfoTable[ProjectName]=DiscreteStatsTable[[#This Row],[ProjectName]]),(ProjectInfoTable[ProjectName]=DiscreteStatsTable[[#This Row],[ProjectName]])*ProjectInfoTable[NumberOfReplications]))</f>
        <v>19</v>
      </c>
      <c r="N358" s="5" cm="1">
        <f t="array" ref="N358">IFERROR(AVERAGE(IF((DiscreteStatsTable[GroupByKey]=DiscreteStatsTable[[#This Row],[GroupByKey]]),(DiscreteStatsTable[GroupByKey]=DiscreteStatsTable[[#This Row],[GroupByKey]])*DiscreteStatsTable[Average])),0)</f>
        <v>1.131864537901659</v>
      </c>
      <c r="O358" s="5" cm="1">
        <f t="array" ref="O358">IFERROR(_xlfn.STDEV.S(IF((DiscreteStatsTable[GroupByKey]=DiscreteStatsTable[[#This Row],[GroupByKey]]),(DiscreteStatsTable[GroupByKey]=DiscreteStatsTable[[#This Row],[GroupByKey]])*DiscreteStatsTable[Average])),0)</f>
        <v>1.9583489808038694</v>
      </c>
      <c r="P358" s="5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 s="5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0.94389399468674107</v>
      </c>
      <c r="R358" s="5" cm="1">
        <f t="array" ref="R358">MIN(IF((DiscreteStatsTable[GroupByKey]=DiscreteStatsTable[[#This Row],[GroupByKey]]),(DiscreteStatsTable[GroupByKey]=DiscreteStatsTable[[#This Row],[GroupByKey]])*DiscreteStatsTable[Average]))</f>
        <v>5.6414233170681803E-2</v>
      </c>
      <c r="S358" s="5" cm="1">
        <f t="array" ref="S358">MAX(IF((DiscreteStatsTable[GroupByKey]=DiscreteStatsTable[[#This Row],[GroupByKey]]),(DiscreteStatsTable[GroupByKey]=DiscreteStatsTable[[#This Row],[GroupByKey]])*DiscreteStatsTable[Average]))</f>
        <v>8.3884297812099806</v>
      </c>
      <c r="T358" s="5" cm="1">
        <f t="array" ref="T358">MIN(IF((DiscreteStatsTable[GroupByKey]=DiscreteStatsTable[[#This Row],[GroupByKey]]),(DiscreteStatsTable[GroupByKey]=DiscreteStatsTable[[#This Row],[GroupByKey]])*DiscreteStatsTable[Minimum]))</f>
        <v>5.6414233170681803E-2</v>
      </c>
      <c r="U358" s="5" cm="1">
        <f t="array" ref="U358">MAX(IF((DiscreteStatsTable[GroupByKey]=DiscreteStatsTable[[#This Row],[GroupByKey]]),(DiscreteStatsTable[GroupByKey]=DiscreteStatsTable[[#This Row],[GroupByKey]])*DiscreteStatsTable[Maximum]))</f>
        <v>8.3884297812099806</v>
      </c>
      <c r="V358" s="5" cm="1">
        <f t="array" ref="V358">IFERROR(AVERAGE(IF((DiscreteStatsTable[GroupByKey]=DiscreteStatsTable[[#This Row],[GroupByKey]]),(DiscreteStatsTable[GroupByKey]=DiscreteStatsTable[[#This Row],[GroupByKey]])*DiscreteStatsTable[NumberObservations])),0)</f>
        <v>1</v>
      </c>
      <c r="W358" s="5">
        <f>IF((DiscreteStatsTable[[#This Row],[RepsRequested]]&gt;1),DiscreteStatsTable[[#This Row],[HalfWidth]],DiscreteStatsTable[[#This Row],[BatchMeansHalfWidth]])</f>
        <v>0.94389399468674107</v>
      </c>
      <c r="X358" s="5" cm="1">
        <f t="array" ref="X358">COUNT(IF((DiscreteStatsTable[GroupByKey]=DiscreteStatsTable[[#This Row],[GroupByKey]]),(DiscreteStatsTable[GroupByKey]=DiscreteStatsTable[[#This Row],[GroupByKey]])*DiscreteStatsTable[Replication]))</f>
        <v>19</v>
      </c>
      <c r="Y358" s="5">
        <f>IF(DiscreteStatsTable[[#This Row],[RepsRequested]]=DiscreteStatsTable[[#This Row],[RepsWithStatObserved]],1,0)</f>
        <v>1</v>
      </c>
    </row>
    <row r="359" spans="1:25" x14ac:dyDescent="0.25">
      <c r="A359" t="s">
        <v>67</v>
      </c>
      <c r="B359" t="s">
        <v>69</v>
      </c>
      <c r="C359">
        <v>16</v>
      </c>
      <c r="D359" t="s">
        <v>96</v>
      </c>
      <c r="E359" t="s">
        <v>79</v>
      </c>
      <c r="F359" t="s">
        <v>80</v>
      </c>
      <c r="G359">
        <v>0.40020176560491799</v>
      </c>
      <c r="H359">
        <v>2E+20</v>
      </c>
      <c r="I359">
        <v>0.40020176560491799</v>
      </c>
      <c r="J359">
        <v>0.40020176560491799</v>
      </c>
      <c r="K359">
        <v>1</v>
      </c>
      <c r="L35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compartida)FilaCajaH1ExpressionUser Specified</v>
      </c>
      <c r="M359" s="5" cm="1">
        <f t="array" ref="M359">MAX(IF((ProjectInfoTable[ProjectName]=DiscreteStatsTable[[#This Row],[ProjectName]]),(ProjectInfoTable[ProjectName]=DiscreteStatsTable[[#This Row],[ProjectName]])*ProjectInfoTable[NumberOfReplications]))</f>
        <v>19</v>
      </c>
      <c r="N359" s="5" cm="1">
        <f t="array" ref="N359">IFERROR(AVERAGE(IF((DiscreteStatsTable[GroupByKey]=DiscreteStatsTable[[#This Row],[GroupByKey]]),(DiscreteStatsTable[GroupByKey]=DiscreteStatsTable[[#This Row],[GroupByKey]])*DiscreteStatsTable[Average])),0)</f>
        <v>1.131864537901659</v>
      </c>
      <c r="O359" s="5" cm="1">
        <f t="array" ref="O359">IFERROR(_xlfn.STDEV.S(IF((DiscreteStatsTable[GroupByKey]=DiscreteStatsTable[[#This Row],[GroupByKey]]),(DiscreteStatsTable[GroupByKey]=DiscreteStatsTable[[#This Row],[GroupByKey]])*DiscreteStatsTable[Average])),0)</f>
        <v>1.9583489808038694</v>
      </c>
      <c r="P359" s="5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 s="5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0.94389399468674107</v>
      </c>
      <c r="R359" s="5" cm="1">
        <f t="array" ref="R359">MIN(IF((DiscreteStatsTable[GroupByKey]=DiscreteStatsTable[[#This Row],[GroupByKey]]),(DiscreteStatsTable[GroupByKey]=DiscreteStatsTable[[#This Row],[GroupByKey]])*DiscreteStatsTable[Average]))</f>
        <v>5.6414233170681803E-2</v>
      </c>
      <c r="S359" s="5" cm="1">
        <f t="array" ref="S359">MAX(IF((DiscreteStatsTable[GroupByKey]=DiscreteStatsTable[[#This Row],[GroupByKey]]),(DiscreteStatsTable[GroupByKey]=DiscreteStatsTable[[#This Row],[GroupByKey]])*DiscreteStatsTable[Average]))</f>
        <v>8.3884297812099806</v>
      </c>
      <c r="T359" s="5" cm="1">
        <f t="array" ref="T359">MIN(IF((DiscreteStatsTable[GroupByKey]=DiscreteStatsTable[[#This Row],[GroupByKey]]),(DiscreteStatsTable[GroupByKey]=DiscreteStatsTable[[#This Row],[GroupByKey]])*DiscreteStatsTable[Minimum]))</f>
        <v>5.6414233170681803E-2</v>
      </c>
      <c r="U359" s="5" cm="1">
        <f t="array" ref="U359">MAX(IF((DiscreteStatsTable[GroupByKey]=DiscreteStatsTable[[#This Row],[GroupByKey]]),(DiscreteStatsTable[GroupByKey]=DiscreteStatsTable[[#This Row],[GroupByKey]])*DiscreteStatsTable[Maximum]))</f>
        <v>8.3884297812099806</v>
      </c>
      <c r="V359" s="5" cm="1">
        <f t="array" ref="V359">IFERROR(AVERAGE(IF((DiscreteStatsTable[GroupByKey]=DiscreteStatsTable[[#This Row],[GroupByKey]]),(DiscreteStatsTable[GroupByKey]=DiscreteStatsTable[[#This Row],[GroupByKey]])*DiscreteStatsTable[NumberObservations])),0)</f>
        <v>1</v>
      </c>
      <c r="W359" s="5">
        <f>IF((DiscreteStatsTable[[#This Row],[RepsRequested]]&gt;1),DiscreteStatsTable[[#This Row],[HalfWidth]],DiscreteStatsTable[[#This Row],[BatchMeansHalfWidth]])</f>
        <v>0.94389399468674107</v>
      </c>
      <c r="X359" s="5" cm="1">
        <f t="array" ref="X359">COUNT(IF((DiscreteStatsTable[GroupByKey]=DiscreteStatsTable[[#This Row],[GroupByKey]]),(DiscreteStatsTable[GroupByKey]=DiscreteStatsTable[[#This Row],[GroupByKey]])*DiscreteStatsTable[Replication]))</f>
        <v>19</v>
      </c>
      <c r="Y359" s="5">
        <f>IF(DiscreteStatsTable[[#This Row],[RepsRequested]]=DiscreteStatsTable[[#This Row],[RepsWithStatObserved]],1,0)</f>
        <v>1</v>
      </c>
    </row>
    <row r="360" spans="1:25" x14ac:dyDescent="0.25">
      <c r="A360" t="s">
        <v>67</v>
      </c>
      <c r="B360" t="s">
        <v>69</v>
      </c>
      <c r="C360">
        <v>17</v>
      </c>
      <c r="D360" t="s">
        <v>96</v>
      </c>
      <c r="E360" t="s">
        <v>79</v>
      </c>
      <c r="F360" t="s">
        <v>80</v>
      </c>
      <c r="G360">
        <v>0.62983071462803097</v>
      </c>
      <c r="H360">
        <v>2E+20</v>
      </c>
      <c r="I360">
        <v>0.62983071462803097</v>
      </c>
      <c r="J360">
        <v>0.62983071462803097</v>
      </c>
      <c r="K360">
        <v>1</v>
      </c>
      <c r="L36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compartida)FilaCajaH1ExpressionUser Specified</v>
      </c>
      <c r="M360" s="5" cm="1">
        <f t="array" ref="M360">MAX(IF((ProjectInfoTable[ProjectName]=DiscreteStatsTable[[#This Row],[ProjectName]]),(ProjectInfoTable[ProjectName]=DiscreteStatsTable[[#This Row],[ProjectName]])*ProjectInfoTable[NumberOfReplications]))</f>
        <v>19</v>
      </c>
      <c r="N360" s="5" cm="1">
        <f t="array" ref="N360">IFERROR(AVERAGE(IF((DiscreteStatsTable[GroupByKey]=DiscreteStatsTable[[#This Row],[GroupByKey]]),(DiscreteStatsTable[GroupByKey]=DiscreteStatsTable[[#This Row],[GroupByKey]])*DiscreteStatsTable[Average])),0)</f>
        <v>1.131864537901659</v>
      </c>
      <c r="O360" s="5" cm="1">
        <f t="array" ref="O360">IFERROR(_xlfn.STDEV.S(IF((DiscreteStatsTable[GroupByKey]=DiscreteStatsTable[[#This Row],[GroupByKey]]),(DiscreteStatsTable[GroupByKey]=DiscreteStatsTable[[#This Row],[GroupByKey]])*DiscreteStatsTable[Average])),0)</f>
        <v>1.9583489808038694</v>
      </c>
      <c r="P360" s="5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 s="5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0.94389399468674107</v>
      </c>
      <c r="R360" s="5" cm="1">
        <f t="array" ref="R360">MIN(IF((DiscreteStatsTable[GroupByKey]=DiscreteStatsTable[[#This Row],[GroupByKey]]),(DiscreteStatsTable[GroupByKey]=DiscreteStatsTable[[#This Row],[GroupByKey]])*DiscreteStatsTable[Average]))</f>
        <v>5.6414233170681803E-2</v>
      </c>
      <c r="S360" s="5" cm="1">
        <f t="array" ref="S360">MAX(IF((DiscreteStatsTable[GroupByKey]=DiscreteStatsTable[[#This Row],[GroupByKey]]),(DiscreteStatsTable[GroupByKey]=DiscreteStatsTable[[#This Row],[GroupByKey]])*DiscreteStatsTable[Average]))</f>
        <v>8.3884297812099806</v>
      </c>
      <c r="T360" s="5" cm="1">
        <f t="array" ref="T360">MIN(IF((DiscreteStatsTable[GroupByKey]=DiscreteStatsTable[[#This Row],[GroupByKey]]),(DiscreteStatsTable[GroupByKey]=DiscreteStatsTable[[#This Row],[GroupByKey]])*DiscreteStatsTable[Minimum]))</f>
        <v>5.6414233170681803E-2</v>
      </c>
      <c r="U360" s="5" cm="1">
        <f t="array" ref="U360">MAX(IF((DiscreteStatsTable[GroupByKey]=DiscreteStatsTable[[#This Row],[GroupByKey]]),(DiscreteStatsTable[GroupByKey]=DiscreteStatsTable[[#This Row],[GroupByKey]])*DiscreteStatsTable[Maximum]))</f>
        <v>8.3884297812099806</v>
      </c>
      <c r="V360" s="5" cm="1">
        <f t="array" ref="V360">IFERROR(AVERAGE(IF((DiscreteStatsTable[GroupByKey]=DiscreteStatsTable[[#This Row],[GroupByKey]]),(DiscreteStatsTable[GroupByKey]=DiscreteStatsTable[[#This Row],[GroupByKey]])*DiscreteStatsTable[NumberObservations])),0)</f>
        <v>1</v>
      </c>
      <c r="W360" s="5">
        <f>IF((DiscreteStatsTable[[#This Row],[RepsRequested]]&gt;1),DiscreteStatsTable[[#This Row],[HalfWidth]],DiscreteStatsTable[[#This Row],[BatchMeansHalfWidth]])</f>
        <v>0.94389399468674107</v>
      </c>
      <c r="X360" s="5" cm="1">
        <f t="array" ref="X360">COUNT(IF((DiscreteStatsTable[GroupByKey]=DiscreteStatsTable[[#This Row],[GroupByKey]]),(DiscreteStatsTable[GroupByKey]=DiscreteStatsTable[[#This Row],[GroupByKey]])*DiscreteStatsTable[Replication]))</f>
        <v>19</v>
      </c>
      <c r="Y360" s="5">
        <f>IF(DiscreteStatsTable[[#This Row],[RepsRequested]]=DiscreteStatsTable[[#This Row],[RepsWithStatObserved]],1,0)</f>
        <v>1</v>
      </c>
    </row>
    <row r="361" spans="1:25" x14ac:dyDescent="0.25">
      <c r="A361" t="s">
        <v>67</v>
      </c>
      <c r="B361" t="s">
        <v>69</v>
      </c>
      <c r="C361">
        <v>18</v>
      </c>
      <c r="D361" t="s">
        <v>96</v>
      </c>
      <c r="E361" t="s">
        <v>79</v>
      </c>
      <c r="F361" t="s">
        <v>80</v>
      </c>
      <c r="G361">
        <v>1.4712510549553599</v>
      </c>
      <c r="H361">
        <v>2E+20</v>
      </c>
      <c r="I361">
        <v>1.4712510549553599</v>
      </c>
      <c r="J361">
        <v>1.4712510549553599</v>
      </c>
      <c r="K361">
        <v>1</v>
      </c>
      <c r="L36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compartida)FilaCajaH1ExpressionUser Specified</v>
      </c>
      <c r="M361" s="5" cm="1">
        <f t="array" ref="M361">MAX(IF((ProjectInfoTable[ProjectName]=DiscreteStatsTable[[#This Row],[ProjectName]]),(ProjectInfoTable[ProjectName]=DiscreteStatsTable[[#This Row],[ProjectName]])*ProjectInfoTable[NumberOfReplications]))</f>
        <v>19</v>
      </c>
      <c r="N361" s="5" cm="1">
        <f t="array" ref="N361">IFERROR(AVERAGE(IF((DiscreteStatsTable[GroupByKey]=DiscreteStatsTable[[#This Row],[GroupByKey]]),(DiscreteStatsTable[GroupByKey]=DiscreteStatsTable[[#This Row],[GroupByKey]])*DiscreteStatsTable[Average])),0)</f>
        <v>1.131864537901659</v>
      </c>
      <c r="O361" s="5" cm="1">
        <f t="array" ref="O361">IFERROR(_xlfn.STDEV.S(IF((DiscreteStatsTable[GroupByKey]=DiscreteStatsTable[[#This Row],[GroupByKey]]),(DiscreteStatsTable[GroupByKey]=DiscreteStatsTable[[#This Row],[GroupByKey]])*DiscreteStatsTable[Average])),0)</f>
        <v>1.9583489808038694</v>
      </c>
      <c r="P361" s="5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 s="5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0.94389399468674107</v>
      </c>
      <c r="R361" s="5" cm="1">
        <f t="array" ref="R361">MIN(IF((DiscreteStatsTable[GroupByKey]=DiscreteStatsTable[[#This Row],[GroupByKey]]),(DiscreteStatsTable[GroupByKey]=DiscreteStatsTable[[#This Row],[GroupByKey]])*DiscreteStatsTable[Average]))</f>
        <v>5.6414233170681803E-2</v>
      </c>
      <c r="S361" s="5" cm="1">
        <f t="array" ref="S361">MAX(IF((DiscreteStatsTable[GroupByKey]=DiscreteStatsTable[[#This Row],[GroupByKey]]),(DiscreteStatsTable[GroupByKey]=DiscreteStatsTable[[#This Row],[GroupByKey]])*DiscreteStatsTable[Average]))</f>
        <v>8.3884297812099806</v>
      </c>
      <c r="T361" s="5" cm="1">
        <f t="array" ref="T361">MIN(IF((DiscreteStatsTable[GroupByKey]=DiscreteStatsTable[[#This Row],[GroupByKey]]),(DiscreteStatsTable[GroupByKey]=DiscreteStatsTable[[#This Row],[GroupByKey]])*DiscreteStatsTable[Minimum]))</f>
        <v>5.6414233170681803E-2</v>
      </c>
      <c r="U361" s="5" cm="1">
        <f t="array" ref="U361">MAX(IF((DiscreteStatsTable[GroupByKey]=DiscreteStatsTable[[#This Row],[GroupByKey]]),(DiscreteStatsTable[GroupByKey]=DiscreteStatsTable[[#This Row],[GroupByKey]])*DiscreteStatsTable[Maximum]))</f>
        <v>8.3884297812099806</v>
      </c>
      <c r="V361" s="5" cm="1">
        <f t="array" ref="V361">IFERROR(AVERAGE(IF((DiscreteStatsTable[GroupByKey]=DiscreteStatsTable[[#This Row],[GroupByKey]]),(DiscreteStatsTable[GroupByKey]=DiscreteStatsTable[[#This Row],[GroupByKey]])*DiscreteStatsTable[NumberObservations])),0)</f>
        <v>1</v>
      </c>
      <c r="W361" s="5">
        <f>IF((DiscreteStatsTable[[#This Row],[RepsRequested]]&gt;1),DiscreteStatsTable[[#This Row],[HalfWidth]],DiscreteStatsTable[[#This Row],[BatchMeansHalfWidth]])</f>
        <v>0.94389399468674107</v>
      </c>
      <c r="X361" s="5" cm="1">
        <f t="array" ref="X361">COUNT(IF((DiscreteStatsTable[GroupByKey]=DiscreteStatsTable[[#This Row],[GroupByKey]]),(DiscreteStatsTable[GroupByKey]=DiscreteStatsTable[[#This Row],[GroupByKey]])*DiscreteStatsTable[Replication]))</f>
        <v>19</v>
      </c>
      <c r="Y361" s="5">
        <f>IF(DiscreteStatsTable[[#This Row],[RepsRequested]]=DiscreteStatsTable[[#This Row],[RepsWithStatObserved]],1,0)</f>
        <v>1</v>
      </c>
    </row>
    <row r="362" spans="1:25" x14ac:dyDescent="0.25">
      <c r="A362" t="s">
        <v>67</v>
      </c>
      <c r="B362" t="s">
        <v>69</v>
      </c>
      <c r="C362">
        <v>19</v>
      </c>
      <c r="D362" t="s">
        <v>96</v>
      </c>
      <c r="E362" t="s">
        <v>79</v>
      </c>
      <c r="F362" t="s">
        <v>80</v>
      </c>
      <c r="G362">
        <v>0.16053434722820001</v>
      </c>
      <c r="H362">
        <v>2E+20</v>
      </c>
      <c r="I362">
        <v>0.16053434722820001</v>
      </c>
      <c r="J362">
        <v>0.16053434722820001</v>
      </c>
      <c r="K362">
        <v>1</v>
      </c>
      <c r="L36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compartida)FilaCajaH1ExpressionUser Specified</v>
      </c>
      <c r="M362" s="5" cm="1">
        <f t="array" ref="M362">MAX(IF((ProjectInfoTable[ProjectName]=DiscreteStatsTable[[#This Row],[ProjectName]]),(ProjectInfoTable[ProjectName]=DiscreteStatsTable[[#This Row],[ProjectName]])*ProjectInfoTable[NumberOfReplications]))</f>
        <v>19</v>
      </c>
      <c r="N362" s="5" cm="1">
        <f t="array" ref="N362">IFERROR(AVERAGE(IF((DiscreteStatsTable[GroupByKey]=DiscreteStatsTable[[#This Row],[GroupByKey]]),(DiscreteStatsTable[GroupByKey]=DiscreteStatsTable[[#This Row],[GroupByKey]])*DiscreteStatsTable[Average])),0)</f>
        <v>1.131864537901659</v>
      </c>
      <c r="O362" s="5" cm="1">
        <f t="array" ref="O362">IFERROR(_xlfn.STDEV.S(IF((DiscreteStatsTable[GroupByKey]=DiscreteStatsTable[[#This Row],[GroupByKey]]),(DiscreteStatsTable[GroupByKey]=DiscreteStatsTable[[#This Row],[GroupByKey]])*DiscreteStatsTable[Average])),0)</f>
        <v>1.9583489808038694</v>
      </c>
      <c r="P362" s="5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 s="5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0.94389399468674107</v>
      </c>
      <c r="R362" s="5" cm="1">
        <f t="array" ref="R362">MIN(IF((DiscreteStatsTable[GroupByKey]=DiscreteStatsTable[[#This Row],[GroupByKey]]),(DiscreteStatsTable[GroupByKey]=DiscreteStatsTable[[#This Row],[GroupByKey]])*DiscreteStatsTable[Average]))</f>
        <v>5.6414233170681803E-2</v>
      </c>
      <c r="S362" s="5" cm="1">
        <f t="array" ref="S362">MAX(IF((DiscreteStatsTable[GroupByKey]=DiscreteStatsTable[[#This Row],[GroupByKey]]),(DiscreteStatsTable[GroupByKey]=DiscreteStatsTable[[#This Row],[GroupByKey]])*DiscreteStatsTable[Average]))</f>
        <v>8.3884297812099806</v>
      </c>
      <c r="T362" s="5" cm="1">
        <f t="array" ref="T362">MIN(IF((DiscreteStatsTable[GroupByKey]=DiscreteStatsTable[[#This Row],[GroupByKey]]),(DiscreteStatsTable[GroupByKey]=DiscreteStatsTable[[#This Row],[GroupByKey]])*DiscreteStatsTable[Minimum]))</f>
        <v>5.6414233170681803E-2</v>
      </c>
      <c r="U362" s="5" cm="1">
        <f t="array" ref="U362">MAX(IF((DiscreteStatsTable[GroupByKey]=DiscreteStatsTable[[#This Row],[GroupByKey]]),(DiscreteStatsTable[GroupByKey]=DiscreteStatsTable[[#This Row],[GroupByKey]])*DiscreteStatsTable[Maximum]))</f>
        <v>8.3884297812099806</v>
      </c>
      <c r="V362" s="5" cm="1">
        <f t="array" ref="V362">IFERROR(AVERAGE(IF((DiscreteStatsTable[GroupByKey]=DiscreteStatsTable[[#This Row],[GroupByKey]]),(DiscreteStatsTable[GroupByKey]=DiscreteStatsTable[[#This Row],[GroupByKey]])*DiscreteStatsTable[NumberObservations])),0)</f>
        <v>1</v>
      </c>
      <c r="W362" s="5">
        <f>IF((DiscreteStatsTable[[#This Row],[RepsRequested]]&gt;1),DiscreteStatsTable[[#This Row],[HalfWidth]],DiscreteStatsTable[[#This Row],[BatchMeansHalfWidth]])</f>
        <v>0.94389399468674107</v>
      </c>
      <c r="X362" s="5" cm="1">
        <f t="array" ref="X362">COUNT(IF((DiscreteStatsTable[GroupByKey]=DiscreteStatsTable[[#This Row],[GroupByKey]]),(DiscreteStatsTable[GroupByKey]=DiscreteStatsTable[[#This Row],[GroupByKey]])*DiscreteStatsTable[Replication]))</f>
        <v>19</v>
      </c>
      <c r="Y362" s="5">
        <f>IF(DiscreteStatsTable[[#This Row],[RepsRequested]]=DiscreteStatsTable[[#This Row],[RepsWithStatObserved]],1,0)</f>
        <v>1</v>
      </c>
    </row>
    <row r="363" spans="1:25" x14ac:dyDescent="0.25">
      <c r="A363" t="s">
        <v>67</v>
      </c>
      <c r="B363" t="s">
        <v>69</v>
      </c>
      <c r="C363">
        <v>1</v>
      </c>
      <c r="D363" t="s">
        <v>97</v>
      </c>
      <c r="E363" t="s">
        <v>79</v>
      </c>
      <c r="F363" t="s">
        <v>80</v>
      </c>
      <c r="G363">
        <v>4.9105552194345297</v>
      </c>
      <c r="H363">
        <v>2E+20</v>
      </c>
      <c r="I363">
        <v>4.9105552194345297</v>
      </c>
      <c r="J363">
        <v>4.9105552194345297</v>
      </c>
      <c r="K363">
        <v>1</v>
      </c>
      <c r="L36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compartida)FilaCajaH2ExpressionUser Specified</v>
      </c>
      <c r="M363" s="5" cm="1">
        <f t="array" ref="M363">MAX(IF((ProjectInfoTable[ProjectName]=DiscreteStatsTable[[#This Row],[ProjectName]]),(ProjectInfoTable[ProjectName]=DiscreteStatsTable[[#This Row],[ProjectName]])*ProjectInfoTable[NumberOfReplications]))</f>
        <v>19</v>
      </c>
      <c r="N363" s="5" cm="1">
        <f t="array" ref="N363">IFERROR(AVERAGE(IF((DiscreteStatsTable[GroupByKey]=DiscreteStatsTable[[#This Row],[GroupByKey]]),(DiscreteStatsTable[GroupByKey]=DiscreteStatsTable[[#This Row],[GroupByKey]])*DiscreteStatsTable[Average])),0)</f>
        <v>0.83518042792693359</v>
      </c>
      <c r="O363" s="5" cm="1">
        <f t="array" ref="O363">IFERROR(_xlfn.STDEV.S(IF((DiscreteStatsTable[GroupByKey]=DiscreteStatsTable[[#This Row],[GroupByKey]]),(DiscreteStatsTable[GroupByKey]=DiscreteStatsTable[[#This Row],[GroupByKey]])*DiscreteStatsTable[Average])),0)</f>
        <v>1.0920918514225872</v>
      </c>
      <c r="P363" s="5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 s="5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0.52637142322864783</v>
      </c>
      <c r="R363" s="5" cm="1">
        <f t="array" ref="R363">MIN(IF((DiscreteStatsTable[GroupByKey]=DiscreteStatsTable[[#This Row],[GroupByKey]]),(DiscreteStatsTable[GroupByKey]=DiscreteStatsTable[[#This Row],[GroupByKey]])*DiscreteStatsTable[Average]))</f>
        <v>0.19671910787576599</v>
      </c>
      <c r="S363" s="5" cm="1">
        <f t="array" ref="S363">MAX(IF((DiscreteStatsTable[GroupByKey]=DiscreteStatsTable[[#This Row],[GroupByKey]]),(DiscreteStatsTable[GroupByKey]=DiscreteStatsTable[[#This Row],[GroupByKey]])*DiscreteStatsTable[Average]))</f>
        <v>4.9105552194345297</v>
      </c>
      <c r="T363" s="5" cm="1">
        <f t="array" ref="T363">MIN(IF((DiscreteStatsTable[GroupByKey]=DiscreteStatsTable[[#This Row],[GroupByKey]]),(DiscreteStatsTable[GroupByKey]=DiscreteStatsTable[[#This Row],[GroupByKey]])*DiscreteStatsTable[Minimum]))</f>
        <v>0.19671910787576599</v>
      </c>
      <c r="U363" s="5" cm="1">
        <f t="array" ref="U363">MAX(IF((DiscreteStatsTable[GroupByKey]=DiscreteStatsTable[[#This Row],[GroupByKey]]),(DiscreteStatsTable[GroupByKey]=DiscreteStatsTable[[#This Row],[GroupByKey]])*DiscreteStatsTable[Maximum]))</f>
        <v>4.9105552194345297</v>
      </c>
      <c r="V363" s="5" cm="1">
        <f t="array" ref="V363">IFERROR(AVERAGE(IF((DiscreteStatsTable[GroupByKey]=DiscreteStatsTable[[#This Row],[GroupByKey]]),(DiscreteStatsTable[GroupByKey]=DiscreteStatsTable[[#This Row],[GroupByKey]])*DiscreteStatsTable[NumberObservations])),0)</f>
        <v>1</v>
      </c>
      <c r="W363" s="5">
        <f>IF((DiscreteStatsTable[[#This Row],[RepsRequested]]&gt;1),DiscreteStatsTable[[#This Row],[HalfWidth]],DiscreteStatsTable[[#This Row],[BatchMeansHalfWidth]])</f>
        <v>0.52637142322864783</v>
      </c>
      <c r="X363" s="5" cm="1">
        <f t="array" ref="X363">COUNT(IF((DiscreteStatsTable[GroupByKey]=DiscreteStatsTable[[#This Row],[GroupByKey]]),(DiscreteStatsTable[GroupByKey]=DiscreteStatsTable[[#This Row],[GroupByKey]])*DiscreteStatsTable[Replication]))</f>
        <v>19</v>
      </c>
      <c r="Y363" s="5">
        <f>IF(DiscreteStatsTable[[#This Row],[RepsRequested]]=DiscreteStatsTable[[#This Row],[RepsWithStatObserved]],1,0)</f>
        <v>1</v>
      </c>
    </row>
    <row r="364" spans="1:25" x14ac:dyDescent="0.25">
      <c r="A364" t="s">
        <v>67</v>
      </c>
      <c r="B364" t="s">
        <v>69</v>
      </c>
      <c r="C364">
        <v>2</v>
      </c>
      <c r="D364" t="s">
        <v>97</v>
      </c>
      <c r="E364" t="s">
        <v>79</v>
      </c>
      <c r="F364" t="s">
        <v>80</v>
      </c>
      <c r="G364">
        <v>0.249368149841139</v>
      </c>
      <c r="H364">
        <v>2E+20</v>
      </c>
      <c r="I364">
        <v>0.249368149841139</v>
      </c>
      <c r="J364">
        <v>0.249368149841139</v>
      </c>
      <c r="K364">
        <v>1</v>
      </c>
      <c r="L36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compartida)FilaCajaH2ExpressionUser Specified</v>
      </c>
      <c r="M364" s="5" cm="1">
        <f t="array" ref="M364">MAX(IF((ProjectInfoTable[ProjectName]=DiscreteStatsTable[[#This Row],[ProjectName]]),(ProjectInfoTable[ProjectName]=DiscreteStatsTable[[#This Row],[ProjectName]])*ProjectInfoTable[NumberOfReplications]))</f>
        <v>19</v>
      </c>
      <c r="N364" s="5" cm="1">
        <f t="array" ref="N364">IFERROR(AVERAGE(IF((DiscreteStatsTable[GroupByKey]=DiscreteStatsTable[[#This Row],[GroupByKey]]),(DiscreteStatsTable[GroupByKey]=DiscreteStatsTable[[#This Row],[GroupByKey]])*DiscreteStatsTable[Average])),0)</f>
        <v>0.83518042792693359</v>
      </c>
      <c r="O364" s="5" cm="1">
        <f t="array" ref="O364">IFERROR(_xlfn.STDEV.S(IF((DiscreteStatsTable[GroupByKey]=DiscreteStatsTable[[#This Row],[GroupByKey]]),(DiscreteStatsTable[GroupByKey]=DiscreteStatsTable[[#This Row],[GroupByKey]])*DiscreteStatsTable[Average])),0)</f>
        <v>1.0920918514225872</v>
      </c>
      <c r="P364" s="5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 s="5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0.52637142322864783</v>
      </c>
      <c r="R364" s="5" cm="1">
        <f t="array" ref="R364">MIN(IF((DiscreteStatsTable[GroupByKey]=DiscreteStatsTable[[#This Row],[GroupByKey]]),(DiscreteStatsTable[GroupByKey]=DiscreteStatsTable[[#This Row],[GroupByKey]])*DiscreteStatsTable[Average]))</f>
        <v>0.19671910787576599</v>
      </c>
      <c r="S364" s="5" cm="1">
        <f t="array" ref="S364">MAX(IF((DiscreteStatsTable[GroupByKey]=DiscreteStatsTable[[#This Row],[GroupByKey]]),(DiscreteStatsTable[GroupByKey]=DiscreteStatsTable[[#This Row],[GroupByKey]])*DiscreteStatsTable[Average]))</f>
        <v>4.9105552194345297</v>
      </c>
      <c r="T364" s="5" cm="1">
        <f t="array" ref="T364">MIN(IF((DiscreteStatsTable[GroupByKey]=DiscreteStatsTable[[#This Row],[GroupByKey]]),(DiscreteStatsTable[GroupByKey]=DiscreteStatsTable[[#This Row],[GroupByKey]])*DiscreteStatsTable[Minimum]))</f>
        <v>0.19671910787576599</v>
      </c>
      <c r="U364" s="5" cm="1">
        <f t="array" ref="U364">MAX(IF((DiscreteStatsTable[GroupByKey]=DiscreteStatsTable[[#This Row],[GroupByKey]]),(DiscreteStatsTable[GroupByKey]=DiscreteStatsTable[[#This Row],[GroupByKey]])*DiscreteStatsTable[Maximum]))</f>
        <v>4.9105552194345297</v>
      </c>
      <c r="V364" s="5" cm="1">
        <f t="array" ref="V364">IFERROR(AVERAGE(IF((DiscreteStatsTable[GroupByKey]=DiscreteStatsTable[[#This Row],[GroupByKey]]),(DiscreteStatsTable[GroupByKey]=DiscreteStatsTable[[#This Row],[GroupByKey]])*DiscreteStatsTable[NumberObservations])),0)</f>
        <v>1</v>
      </c>
      <c r="W364" s="5">
        <f>IF((DiscreteStatsTable[[#This Row],[RepsRequested]]&gt;1),DiscreteStatsTable[[#This Row],[HalfWidth]],DiscreteStatsTable[[#This Row],[BatchMeansHalfWidth]])</f>
        <v>0.52637142322864783</v>
      </c>
      <c r="X364" s="5" cm="1">
        <f t="array" ref="X364">COUNT(IF((DiscreteStatsTable[GroupByKey]=DiscreteStatsTable[[#This Row],[GroupByKey]]),(DiscreteStatsTable[GroupByKey]=DiscreteStatsTable[[#This Row],[GroupByKey]])*DiscreteStatsTable[Replication]))</f>
        <v>19</v>
      </c>
      <c r="Y364" s="5">
        <f>IF(DiscreteStatsTable[[#This Row],[RepsRequested]]=DiscreteStatsTable[[#This Row],[RepsWithStatObserved]],1,0)</f>
        <v>1</v>
      </c>
    </row>
    <row r="365" spans="1:25" x14ac:dyDescent="0.25">
      <c r="A365" t="s">
        <v>67</v>
      </c>
      <c r="B365" t="s">
        <v>69</v>
      </c>
      <c r="C365">
        <v>3</v>
      </c>
      <c r="D365" t="s">
        <v>97</v>
      </c>
      <c r="E365" t="s">
        <v>79</v>
      </c>
      <c r="F365" t="s">
        <v>80</v>
      </c>
      <c r="G365">
        <v>2.1774757323578302</v>
      </c>
      <c r="H365">
        <v>2E+20</v>
      </c>
      <c r="I365">
        <v>2.1774757323578302</v>
      </c>
      <c r="J365">
        <v>2.1774757323578302</v>
      </c>
      <c r="K365">
        <v>1</v>
      </c>
      <c r="L36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compartida)FilaCajaH2ExpressionUser Specified</v>
      </c>
      <c r="M365" s="5" cm="1">
        <f t="array" ref="M365">MAX(IF((ProjectInfoTable[ProjectName]=DiscreteStatsTable[[#This Row],[ProjectName]]),(ProjectInfoTable[ProjectName]=DiscreteStatsTable[[#This Row],[ProjectName]])*ProjectInfoTable[NumberOfReplications]))</f>
        <v>19</v>
      </c>
      <c r="N365" s="5" cm="1">
        <f t="array" ref="N365">IFERROR(AVERAGE(IF((DiscreteStatsTable[GroupByKey]=DiscreteStatsTable[[#This Row],[GroupByKey]]),(DiscreteStatsTable[GroupByKey]=DiscreteStatsTable[[#This Row],[GroupByKey]])*DiscreteStatsTable[Average])),0)</f>
        <v>0.83518042792693359</v>
      </c>
      <c r="O365" s="5" cm="1">
        <f t="array" ref="O365">IFERROR(_xlfn.STDEV.S(IF((DiscreteStatsTable[GroupByKey]=DiscreteStatsTable[[#This Row],[GroupByKey]]),(DiscreteStatsTable[GroupByKey]=DiscreteStatsTable[[#This Row],[GroupByKey]])*DiscreteStatsTable[Average])),0)</f>
        <v>1.0920918514225872</v>
      </c>
      <c r="P365" s="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 s="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0.52637142322864783</v>
      </c>
      <c r="R365" s="5" cm="1">
        <f t="array" ref="R365">MIN(IF((DiscreteStatsTable[GroupByKey]=DiscreteStatsTable[[#This Row],[GroupByKey]]),(DiscreteStatsTable[GroupByKey]=DiscreteStatsTable[[#This Row],[GroupByKey]])*DiscreteStatsTable[Average]))</f>
        <v>0.19671910787576599</v>
      </c>
      <c r="S365" s="5" cm="1">
        <f t="array" ref="S365">MAX(IF((DiscreteStatsTable[GroupByKey]=DiscreteStatsTable[[#This Row],[GroupByKey]]),(DiscreteStatsTable[GroupByKey]=DiscreteStatsTable[[#This Row],[GroupByKey]])*DiscreteStatsTable[Average]))</f>
        <v>4.9105552194345297</v>
      </c>
      <c r="T365" s="5" cm="1">
        <f t="array" ref="T365">MIN(IF((DiscreteStatsTable[GroupByKey]=DiscreteStatsTable[[#This Row],[GroupByKey]]),(DiscreteStatsTable[GroupByKey]=DiscreteStatsTable[[#This Row],[GroupByKey]])*DiscreteStatsTable[Minimum]))</f>
        <v>0.19671910787576599</v>
      </c>
      <c r="U365" s="5" cm="1">
        <f t="array" ref="U365">MAX(IF((DiscreteStatsTable[GroupByKey]=DiscreteStatsTable[[#This Row],[GroupByKey]]),(DiscreteStatsTable[GroupByKey]=DiscreteStatsTable[[#This Row],[GroupByKey]])*DiscreteStatsTable[Maximum]))</f>
        <v>4.9105552194345297</v>
      </c>
      <c r="V365" s="5" cm="1">
        <f t="array" ref="V365">IFERROR(AVERAGE(IF((DiscreteStatsTable[GroupByKey]=DiscreteStatsTable[[#This Row],[GroupByKey]]),(DiscreteStatsTable[GroupByKey]=DiscreteStatsTable[[#This Row],[GroupByKey]])*DiscreteStatsTable[NumberObservations])),0)</f>
        <v>1</v>
      </c>
      <c r="W365" s="5">
        <f>IF((DiscreteStatsTable[[#This Row],[RepsRequested]]&gt;1),DiscreteStatsTable[[#This Row],[HalfWidth]],DiscreteStatsTable[[#This Row],[BatchMeansHalfWidth]])</f>
        <v>0.52637142322864783</v>
      </c>
      <c r="X365" s="5" cm="1">
        <f t="array" ref="X365">COUNT(IF((DiscreteStatsTable[GroupByKey]=DiscreteStatsTable[[#This Row],[GroupByKey]]),(DiscreteStatsTable[GroupByKey]=DiscreteStatsTable[[#This Row],[GroupByKey]])*DiscreteStatsTable[Replication]))</f>
        <v>19</v>
      </c>
      <c r="Y365" s="5">
        <f>IF(DiscreteStatsTable[[#This Row],[RepsRequested]]=DiscreteStatsTable[[#This Row],[RepsWithStatObserved]],1,0)</f>
        <v>1</v>
      </c>
    </row>
    <row r="366" spans="1:25" x14ac:dyDescent="0.25">
      <c r="A366" t="s">
        <v>67</v>
      </c>
      <c r="B366" t="s">
        <v>69</v>
      </c>
      <c r="C366">
        <v>4</v>
      </c>
      <c r="D366" t="s">
        <v>97</v>
      </c>
      <c r="E366" t="s">
        <v>79</v>
      </c>
      <c r="F366" t="s">
        <v>80</v>
      </c>
      <c r="G366">
        <v>0.33233625554801399</v>
      </c>
      <c r="H366">
        <v>2E+20</v>
      </c>
      <c r="I366">
        <v>0.33233625554801399</v>
      </c>
      <c r="J366">
        <v>0.33233625554801399</v>
      </c>
      <c r="K366">
        <v>1</v>
      </c>
      <c r="L36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compartida)FilaCajaH2ExpressionUser Specified</v>
      </c>
      <c r="M366" s="5" cm="1">
        <f t="array" ref="M366">MAX(IF((ProjectInfoTable[ProjectName]=DiscreteStatsTable[[#This Row],[ProjectName]]),(ProjectInfoTable[ProjectName]=DiscreteStatsTable[[#This Row],[ProjectName]])*ProjectInfoTable[NumberOfReplications]))</f>
        <v>19</v>
      </c>
      <c r="N366" s="5" cm="1">
        <f t="array" ref="N366">IFERROR(AVERAGE(IF((DiscreteStatsTable[GroupByKey]=DiscreteStatsTable[[#This Row],[GroupByKey]]),(DiscreteStatsTable[GroupByKey]=DiscreteStatsTable[[#This Row],[GroupByKey]])*DiscreteStatsTable[Average])),0)</f>
        <v>0.83518042792693359</v>
      </c>
      <c r="O366" s="5" cm="1">
        <f t="array" ref="O366">IFERROR(_xlfn.STDEV.S(IF((DiscreteStatsTable[GroupByKey]=DiscreteStatsTable[[#This Row],[GroupByKey]]),(DiscreteStatsTable[GroupByKey]=DiscreteStatsTable[[#This Row],[GroupByKey]])*DiscreteStatsTable[Average])),0)</f>
        <v>1.0920918514225872</v>
      </c>
      <c r="P366" s="5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 s="5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0.52637142322864783</v>
      </c>
      <c r="R366" s="5" cm="1">
        <f t="array" ref="R366">MIN(IF((DiscreteStatsTable[GroupByKey]=DiscreteStatsTable[[#This Row],[GroupByKey]]),(DiscreteStatsTable[GroupByKey]=DiscreteStatsTable[[#This Row],[GroupByKey]])*DiscreteStatsTable[Average]))</f>
        <v>0.19671910787576599</v>
      </c>
      <c r="S366" s="5" cm="1">
        <f t="array" ref="S366">MAX(IF((DiscreteStatsTable[GroupByKey]=DiscreteStatsTable[[#This Row],[GroupByKey]]),(DiscreteStatsTable[GroupByKey]=DiscreteStatsTable[[#This Row],[GroupByKey]])*DiscreteStatsTable[Average]))</f>
        <v>4.9105552194345297</v>
      </c>
      <c r="T366" s="5" cm="1">
        <f t="array" ref="T366">MIN(IF((DiscreteStatsTable[GroupByKey]=DiscreteStatsTable[[#This Row],[GroupByKey]]),(DiscreteStatsTable[GroupByKey]=DiscreteStatsTable[[#This Row],[GroupByKey]])*DiscreteStatsTable[Minimum]))</f>
        <v>0.19671910787576599</v>
      </c>
      <c r="U366" s="5" cm="1">
        <f t="array" ref="U366">MAX(IF((DiscreteStatsTable[GroupByKey]=DiscreteStatsTable[[#This Row],[GroupByKey]]),(DiscreteStatsTable[GroupByKey]=DiscreteStatsTable[[#This Row],[GroupByKey]])*DiscreteStatsTable[Maximum]))</f>
        <v>4.9105552194345297</v>
      </c>
      <c r="V366" s="5" cm="1">
        <f t="array" ref="V366">IFERROR(AVERAGE(IF((DiscreteStatsTable[GroupByKey]=DiscreteStatsTable[[#This Row],[GroupByKey]]),(DiscreteStatsTable[GroupByKey]=DiscreteStatsTable[[#This Row],[GroupByKey]])*DiscreteStatsTable[NumberObservations])),0)</f>
        <v>1</v>
      </c>
      <c r="W366" s="5">
        <f>IF((DiscreteStatsTable[[#This Row],[RepsRequested]]&gt;1),DiscreteStatsTable[[#This Row],[HalfWidth]],DiscreteStatsTable[[#This Row],[BatchMeansHalfWidth]])</f>
        <v>0.52637142322864783</v>
      </c>
      <c r="X366" s="5" cm="1">
        <f t="array" ref="X366">COUNT(IF((DiscreteStatsTable[GroupByKey]=DiscreteStatsTable[[#This Row],[GroupByKey]]),(DiscreteStatsTable[GroupByKey]=DiscreteStatsTable[[#This Row],[GroupByKey]])*DiscreteStatsTable[Replication]))</f>
        <v>19</v>
      </c>
      <c r="Y366" s="5">
        <f>IF(DiscreteStatsTable[[#This Row],[RepsRequested]]=DiscreteStatsTable[[#This Row],[RepsWithStatObserved]],1,0)</f>
        <v>1</v>
      </c>
    </row>
    <row r="367" spans="1:25" x14ac:dyDescent="0.25">
      <c r="A367" t="s">
        <v>67</v>
      </c>
      <c r="B367" t="s">
        <v>69</v>
      </c>
      <c r="C367">
        <v>5</v>
      </c>
      <c r="D367" t="s">
        <v>97</v>
      </c>
      <c r="E367" t="s">
        <v>79</v>
      </c>
      <c r="F367" t="s">
        <v>80</v>
      </c>
      <c r="G367">
        <v>0.19671910787576599</v>
      </c>
      <c r="H367">
        <v>2E+20</v>
      </c>
      <c r="I367">
        <v>0.19671910787576599</v>
      </c>
      <c r="J367">
        <v>0.19671910787576599</v>
      </c>
      <c r="K367">
        <v>1</v>
      </c>
      <c r="L36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compartida)FilaCajaH2ExpressionUser Specified</v>
      </c>
      <c r="M367" s="5" cm="1">
        <f t="array" ref="M367">MAX(IF((ProjectInfoTable[ProjectName]=DiscreteStatsTable[[#This Row],[ProjectName]]),(ProjectInfoTable[ProjectName]=DiscreteStatsTable[[#This Row],[ProjectName]])*ProjectInfoTable[NumberOfReplications]))</f>
        <v>19</v>
      </c>
      <c r="N367" s="5" cm="1">
        <f t="array" ref="N367">IFERROR(AVERAGE(IF((DiscreteStatsTable[GroupByKey]=DiscreteStatsTable[[#This Row],[GroupByKey]]),(DiscreteStatsTable[GroupByKey]=DiscreteStatsTable[[#This Row],[GroupByKey]])*DiscreteStatsTable[Average])),0)</f>
        <v>0.83518042792693359</v>
      </c>
      <c r="O367" s="5" cm="1">
        <f t="array" ref="O367">IFERROR(_xlfn.STDEV.S(IF((DiscreteStatsTable[GroupByKey]=DiscreteStatsTable[[#This Row],[GroupByKey]]),(DiscreteStatsTable[GroupByKey]=DiscreteStatsTable[[#This Row],[GroupByKey]])*DiscreteStatsTable[Average])),0)</f>
        <v>1.0920918514225872</v>
      </c>
      <c r="P367" s="5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 s="5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0.52637142322864783</v>
      </c>
      <c r="R367" s="5" cm="1">
        <f t="array" ref="R367">MIN(IF((DiscreteStatsTable[GroupByKey]=DiscreteStatsTable[[#This Row],[GroupByKey]]),(DiscreteStatsTable[GroupByKey]=DiscreteStatsTable[[#This Row],[GroupByKey]])*DiscreteStatsTable[Average]))</f>
        <v>0.19671910787576599</v>
      </c>
      <c r="S367" s="5" cm="1">
        <f t="array" ref="S367">MAX(IF((DiscreteStatsTable[GroupByKey]=DiscreteStatsTable[[#This Row],[GroupByKey]]),(DiscreteStatsTable[GroupByKey]=DiscreteStatsTable[[#This Row],[GroupByKey]])*DiscreteStatsTable[Average]))</f>
        <v>4.9105552194345297</v>
      </c>
      <c r="T367" s="5" cm="1">
        <f t="array" ref="T367">MIN(IF((DiscreteStatsTable[GroupByKey]=DiscreteStatsTable[[#This Row],[GroupByKey]]),(DiscreteStatsTable[GroupByKey]=DiscreteStatsTable[[#This Row],[GroupByKey]])*DiscreteStatsTable[Minimum]))</f>
        <v>0.19671910787576599</v>
      </c>
      <c r="U367" s="5" cm="1">
        <f t="array" ref="U367">MAX(IF((DiscreteStatsTable[GroupByKey]=DiscreteStatsTable[[#This Row],[GroupByKey]]),(DiscreteStatsTable[GroupByKey]=DiscreteStatsTable[[#This Row],[GroupByKey]])*DiscreteStatsTable[Maximum]))</f>
        <v>4.9105552194345297</v>
      </c>
      <c r="V367" s="5" cm="1">
        <f t="array" ref="V367">IFERROR(AVERAGE(IF((DiscreteStatsTable[GroupByKey]=DiscreteStatsTable[[#This Row],[GroupByKey]]),(DiscreteStatsTable[GroupByKey]=DiscreteStatsTable[[#This Row],[GroupByKey]])*DiscreteStatsTable[NumberObservations])),0)</f>
        <v>1</v>
      </c>
      <c r="W367" s="5">
        <f>IF((DiscreteStatsTable[[#This Row],[RepsRequested]]&gt;1),DiscreteStatsTable[[#This Row],[HalfWidth]],DiscreteStatsTable[[#This Row],[BatchMeansHalfWidth]])</f>
        <v>0.52637142322864783</v>
      </c>
      <c r="X367" s="5" cm="1">
        <f t="array" ref="X367">COUNT(IF((DiscreteStatsTable[GroupByKey]=DiscreteStatsTable[[#This Row],[GroupByKey]]),(DiscreteStatsTable[GroupByKey]=DiscreteStatsTable[[#This Row],[GroupByKey]])*DiscreteStatsTable[Replication]))</f>
        <v>19</v>
      </c>
      <c r="Y367" s="5">
        <f>IF(DiscreteStatsTable[[#This Row],[RepsRequested]]=DiscreteStatsTable[[#This Row],[RepsWithStatObserved]],1,0)</f>
        <v>1</v>
      </c>
    </row>
    <row r="368" spans="1:25" x14ac:dyDescent="0.25">
      <c r="A368" t="s">
        <v>67</v>
      </c>
      <c r="B368" t="s">
        <v>69</v>
      </c>
      <c r="C368">
        <v>6</v>
      </c>
      <c r="D368" t="s">
        <v>97</v>
      </c>
      <c r="E368" t="s">
        <v>79</v>
      </c>
      <c r="F368" t="s">
        <v>80</v>
      </c>
      <c r="G368">
        <v>0.27377851897953298</v>
      </c>
      <c r="H368">
        <v>2E+20</v>
      </c>
      <c r="I368">
        <v>0.27377851897953298</v>
      </c>
      <c r="J368">
        <v>0.27377851897953298</v>
      </c>
      <c r="K368">
        <v>1</v>
      </c>
      <c r="L36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compartida)FilaCajaH2ExpressionUser Specified</v>
      </c>
      <c r="M368" s="5" cm="1">
        <f t="array" ref="M368">MAX(IF((ProjectInfoTable[ProjectName]=DiscreteStatsTable[[#This Row],[ProjectName]]),(ProjectInfoTable[ProjectName]=DiscreteStatsTable[[#This Row],[ProjectName]])*ProjectInfoTable[NumberOfReplications]))</f>
        <v>19</v>
      </c>
      <c r="N368" s="5" cm="1">
        <f t="array" ref="N368">IFERROR(AVERAGE(IF((DiscreteStatsTable[GroupByKey]=DiscreteStatsTable[[#This Row],[GroupByKey]]),(DiscreteStatsTable[GroupByKey]=DiscreteStatsTable[[#This Row],[GroupByKey]])*DiscreteStatsTable[Average])),0)</f>
        <v>0.83518042792693359</v>
      </c>
      <c r="O368" s="5" cm="1">
        <f t="array" ref="O368">IFERROR(_xlfn.STDEV.S(IF((DiscreteStatsTable[GroupByKey]=DiscreteStatsTable[[#This Row],[GroupByKey]]),(DiscreteStatsTable[GroupByKey]=DiscreteStatsTable[[#This Row],[GroupByKey]])*DiscreteStatsTable[Average])),0)</f>
        <v>1.0920918514225872</v>
      </c>
      <c r="P368" s="5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 s="5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0.52637142322864783</v>
      </c>
      <c r="R368" s="5" cm="1">
        <f t="array" ref="R368">MIN(IF((DiscreteStatsTable[GroupByKey]=DiscreteStatsTable[[#This Row],[GroupByKey]]),(DiscreteStatsTable[GroupByKey]=DiscreteStatsTable[[#This Row],[GroupByKey]])*DiscreteStatsTable[Average]))</f>
        <v>0.19671910787576599</v>
      </c>
      <c r="S368" s="5" cm="1">
        <f t="array" ref="S368">MAX(IF((DiscreteStatsTable[GroupByKey]=DiscreteStatsTable[[#This Row],[GroupByKey]]),(DiscreteStatsTable[GroupByKey]=DiscreteStatsTable[[#This Row],[GroupByKey]])*DiscreteStatsTable[Average]))</f>
        <v>4.9105552194345297</v>
      </c>
      <c r="T368" s="5" cm="1">
        <f t="array" ref="T368">MIN(IF((DiscreteStatsTable[GroupByKey]=DiscreteStatsTable[[#This Row],[GroupByKey]]),(DiscreteStatsTable[GroupByKey]=DiscreteStatsTable[[#This Row],[GroupByKey]])*DiscreteStatsTable[Minimum]))</f>
        <v>0.19671910787576599</v>
      </c>
      <c r="U368" s="5" cm="1">
        <f t="array" ref="U368">MAX(IF((DiscreteStatsTable[GroupByKey]=DiscreteStatsTable[[#This Row],[GroupByKey]]),(DiscreteStatsTable[GroupByKey]=DiscreteStatsTable[[#This Row],[GroupByKey]])*DiscreteStatsTable[Maximum]))</f>
        <v>4.9105552194345297</v>
      </c>
      <c r="V368" s="5" cm="1">
        <f t="array" ref="V368">IFERROR(AVERAGE(IF((DiscreteStatsTable[GroupByKey]=DiscreteStatsTable[[#This Row],[GroupByKey]]),(DiscreteStatsTable[GroupByKey]=DiscreteStatsTable[[#This Row],[GroupByKey]])*DiscreteStatsTable[NumberObservations])),0)</f>
        <v>1</v>
      </c>
      <c r="W368" s="5">
        <f>IF((DiscreteStatsTable[[#This Row],[RepsRequested]]&gt;1),DiscreteStatsTable[[#This Row],[HalfWidth]],DiscreteStatsTable[[#This Row],[BatchMeansHalfWidth]])</f>
        <v>0.52637142322864783</v>
      </c>
      <c r="X368" s="5" cm="1">
        <f t="array" ref="X368">COUNT(IF((DiscreteStatsTable[GroupByKey]=DiscreteStatsTable[[#This Row],[GroupByKey]]),(DiscreteStatsTable[GroupByKey]=DiscreteStatsTable[[#This Row],[GroupByKey]])*DiscreteStatsTable[Replication]))</f>
        <v>19</v>
      </c>
      <c r="Y368" s="5">
        <f>IF(DiscreteStatsTable[[#This Row],[RepsRequested]]=DiscreteStatsTable[[#This Row],[RepsWithStatObserved]],1,0)</f>
        <v>1</v>
      </c>
    </row>
    <row r="369" spans="1:25" x14ac:dyDescent="0.25">
      <c r="A369" t="s">
        <v>67</v>
      </c>
      <c r="B369" t="s">
        <v>69</v>
      </c>
      <c r="C369">
        <v>7</v>
      </c>
      <c r="D369" t="s">
        <v>97</v>
      </c>
      <c r="E369" t="s">
        <v>79</v>
      </c>
      <c r="F369" t="s">
        <v>80</v>
      </c>
      <c r="G369">
        <v>0.61526660732772398</v>
      </c>
      <c r="H369">
        <v>2E+20</v>
      </c>
      <c r="I369">
        <v>0.61526660732772398</v>
      </c>
      <c r="J369">
        <v>0.61526660732772398</v>
      </c>
      <c r="K369">
        <v>1</v>
      </c>
      <c r="L36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compartida)FilaCajaH2ExpressionUser Specified</v>
      </c>
      <c r="M369" s="5" cm="1">
        <f t="array" ref="M369">MAX(IF((ProjectInfoTable[ProjectName]=DiscreteStatsTable[[#This Row],[ProjectName]]),(ProjectInfoTable[ProjectName]=DiscreteStatsTable[[#This Row],[ProjectName]])*ProjectInfoTable[NumberOfReplications]))</f>
        <v>19</v>
      </c>
      <c r="N369" s="5" cm="1">
        <f t="array" ref="N369">IFERROR(AVERAGE(IF((DiscreteStatsTable[GroupByKey]=DiscreteStatsTable[[#This Row],[GroupByKey]]),(DiscreteStatsTable[GroupByKey]=DiscreteStatsTable[[#This Row],[GroupByKey]])*DiscreteStatsTable[Average])),0)</f>
        <v>0.83518042792693359</v>
      </c>
      <c r="O369" s="5" cm="1">
        <f t="array" ref="O369">IFERROR(_xlfn.STDEV.S(IF((DiscreteStatsTable[GroupByKey]=DiscreteStatsTable[[#This Row],[GroupByKey]]),(DiscreteStatsTable[GroupByKey]=DiscreteStatsTable[[#This Row],[GroupByKey]])*DiscreteStatsTable[Average])),0)</f>
        <v>1.0920918514225872</v>
      </c>
      <c r="P369" s="5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 s="5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0.52637142322864783</v>
      </c>
      <c r="R369" s="5" cm="1">
        <f t="array" ref="R369">MIN(IF((DiscreteStatsTable[GroupByKey]=DiscreteStatsTable[[#This Row],[GroupByKey]]),(DiscreteStatsTable[GroupByKey]=DiscreteStatsTable[[#This Row],[GroupByKey]])*DiscreteStatsTable[Average]))</f>
        <v>0.19671910787576599</v>
      </c>
      <c r="S369" s="5" cm="1">
        <f t="array" ref="S369">MAX(IF((DiscreteStatsTable[GroupByKey]=DiscreteStatsTable[[#This Row],[GroupByKey]]),(DiscreteStatsTable[GroupByKey]=DiscreteStatsTable[[#This Row],[GroupByKey]])*DiscreteStatsTable[Average]))</f>
        <v>4.9105552194345297</v>
      </c>
      <c r="T369" s="5" cm="1">
        <f t="array" ref="T369">MIN(IF((DiscreteStatsTable[GroupByKey]=DiscreteStatsTable[[#This Row],[GroupByKey]]),(DiscreteStatsTable[GroupByKey]=DiscreteStatsTable[[#This Row],[GroupByKey]])*DiscreteStatsTable[Minimum]))</f>
        <v>0.19671910787576599</v>
      </c>
      <c r="U369" s="5" cm="1">
        <f t="array" ref="U369">MAX(IF((DiscreteStatsTable[GroupByKey]=DiscreteStatsTable[[#This Row],[GroupByKey]]),(DiscreteStatsTable[GroupByKey]=DiscreteStatsTable[[#This Row],[GroupByKey]])*DiscreteStatsTable[Maximum]))</f>
        <v>4.9105552194345297</v>
      </c>
      <c r="V369" s="5" cm="1">
        <f t="array" ref="V369">IFERROR(AVERAGE(IF((DiscreteStatsTable[GroupByKey]=DiscreteStatsTable[[#This Row],[GroupByKey]]),(DiscreteStatsTable[GroupByKey]=DiscreteStatsTable[[#This Row],[GroupByKey]])*DiscreteStatsTable[NumberObservations])),0)</f>
        <v>1</v>
      </c>
      <c r="W369" s="5">
        <f>IF((DiscreteStatsTable[[#This Row],[RepsRequested]]&gt;1),DiscreteStatsTable[[#This Row],[HalfWidth]],DiscreteStatsTable[[#This Row],[BatchMeansHalfWidth]])</f>
        <v>0.52637142322864783</v>
      </c>
      <c r="X369" s="5" cm="1">
        <f t="array" ref="X369">COUNT(IF((DiscreteStatsTable[GroupByKey]=DiscreteStatsTable[[#This Row],[GroupByKey]]),(DiscreteStatsTable[GroupByKey]=DiscreteStatsTable[[#This Row],[GroupByKey]])*DiscreteStatsTable[Replication]))</f>
        <v>19</v>
      </c>
      <c r="Y369" s="5">
        <f>IF(DiscreteStatsTable[[#This Row],[RepsRequested]]=DiscreteStatsTable[[#This Row],[RepsWithStatObserved]],1,0)</f>
        <v>1</v>
      </c>
    </row>
    <row r="370" spans="1:25" x14ac:dyDescent="0.25">
      <c r="A370" t="s">
        <v>67</v>
      </c>
      <c r="B370" t="s">
        <v>69</v>
      </c>
      <c r="C370">
        <v>8</v>
      </c>
      <c r="D370" t="s">
        <v>97</v>
      </c>
      <c r="E370" t="s">
        <v>79</v>
      </c>
      <c r="F370" t="s">
        <v>80</v>
      </c>
      <c r="G370">
        <v>0.97282426727282301</v>
      </c>
      <c r="H370">
        <v>2E+20</v>
      </c>
      <c r="I370">
        <v>0.97282426727282301</v>
      </c>
      <c r="J370">
        <v>0.97282426727282301</v>
      </c>
      <c r="K370">
        <v>1</v>
      </c>
      <c r="L37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compartida)FilaCajaH2ExpressionUser Specified</v>
      </c>
      <c r="M370" s="5" cm="1">
        <f t="array" ref="M370">MAX(IF((ProjectInfoTable[ProjectName]=DiscreteStatsTable[[#This Row],[ProjectName]]),(ProjectInfoTable[ProjectName]=DiscreteStatsTable[[#This Row],[ProjectName]])*ProjectInfoTable[NumberOfReplications]))</f>
        <v>19</v>
      </c>
      <c r="N370" s="5" cm="1">
        <f t="array" ref="N370">IFERROR(AVERAGE(IF((DiscreteStatsTable[GroupByKey]=DiscreteStatsTable[[#This Row],[GroupByKey]]),(DiscreteStatsTable[GroupByKey]=DiscreteStatsTable[[#This Row],[GroupByKey]])*DiscreteStatsTable[Average])),0)</f>
        <v>0.83518042792693359</v>
      </c>
      <c r="O370" s="5" cm="1">
        <f t="array" ref="O370">IFERROR(_xlfn.STDEV.S(IF((DiscreteStatsTable[GroupByKey]=DiscreteStatsTable[[#This Row],[GroupByKey]]),(DiscreteStatsTable[GroupByKey]=DiscreteStatsTable[[#This Row],[GroupByKey]])*DiscreteStatsTable[Average])),0)</f>
        <v>1.0920918514225872</v>
      </c>
      <c r="P370" s="5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 s="5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0.52637142322864783</v>
      </c>
      <c r="R370" s="5" cm="1">
        <f t="array" ref="R370">MIN(IF((DiscreteStatsTable[GroupByKey]=DiscreteStatsTable[[#This Row],[GroupByKey]]),(DiscreteStatsTable[GroupByKey]=DiscreteStatsTable[[#This Row],[GroupByKey]])*DiscreteStatsTable[Average]))</f>
        <v>0.19671910787576599</v>
      </c>
      <c r="S370" s="5" cm="1">
        <f t="array" ref="S370">MAX(IF((DiscreteStatsTable[GroupByKey]=DiscreteStatsTable[[#This Row],[GroupByKey]]),(DiscreteStatsTable[GroupByKey]=DiscreteStatsTable[[#This Row],[GroupByKey]])*DiscreteStatsTable[Average]))</f>
        <v>4.9105552194345297</v>
      </c>
      <c r="T370" s="5" cm="1">
        <f t="array" ref="T370">MIN(IF((DiscreteStatsTable[GroupByKey]=DiscreteStatsTable[[#This Row],[GroupByKey]]),(DiscreteStatsTable[GroupByKey]=DiscreteStatsTable[[#This Row],[GroupByKey]])*DiscreteStatsTable[Minimum]))</f>
        <v>0.19671910787576599</v>
      </c>
      <c r="U370" s="5" cm="1">
        <f t="array" ref="U370">MAX(IF((DiscreteStatsTable[GroupByKey]=DiscreteStatsTable[[#This Row],[GroupByKey]]),(DiscreteStatsTable[GroupByKey]=DiscreteStatsTable[[#This Row],[GroupByKey]])*DiscreteStatsTable[Maximum]))</f>
        <v>4.9105552194345297</v>
      </c>
      <c r="V370" s="5" cm="1">
        <f t="array" ref="V370">IFERROR(AVERAGE(IF((DiscreteStatsTable[GroupByKey]=DiscreteStatsTable[[#This Row],[GroupByKey]]),(DiscreteStatsTable[GroupByKey]=DiscreteStatsTable[[#This Row],[GroupByKey]])*DiscreteStatsTable[NumberObservations])),0)</f>
        <v>1</v>
      </c>
      <c r="W370" s="5">
        <f>IF((DiscreteStatsTable[[#This Row],[RepsRequested]]&gt;1),DiscreteStatsTable[[#This Row],[HalfWidth]],DiscreteStatsTable[[#This Row],[BatchMeansHalfWidth]])</f>
        <v>0.52637142322864783</v>
      </c>
      <c r="X370" s="5" cm="1">
        <f t="array" ref="X370">COUNT(IF((DiscreteStatsTable[GroupByKey]=DiscreteStatsTable[[#This Row],[GroupByKey]]),(DiscreteStatsTable[GroupByKey]=DiscreteStatsTable[[#This Row],[GroupByKey]])*DiscreteStatsTable[Replication]))</f>
        <v>19</v>
      </c>
      <c r="Y370" s="5">
        <f>IF(DiscreteStatsTable[[#This Row],[RepsRequested]]=DiscreteStatsTable[[#This Row],[RepsWithStatObserved]],1,0)</f>
        <v>1</v>
      </c>
    </row>
    <row r="371" spans="1:25" x14ac:dyDescent="0.25">
      <c r="A371" t="s">
        <v>67</v>
      </c>
      <c r="B371" t="s">
        <v>69</v>
      </c>
      <c r="C371">
        <v>9</v>
      </c>
      <c r="D371" t="s">
        <v>97</v>
      </c>
      <c r="E371" t="s">
        <v>79</v>
      </c>
      <c r="F371" t="s">
        <v>80</v>
      </c>
      <c r="G371">
        <v>0.44535820946071802</v>
      </c>
      <c r="H371">
        <v>2E+20</v>
      </c>
      <c r="I371">
        <v>0.44535820946071802</v>
      </c>
      <c r="J371">
        <v>0.44535820946071802</v>
      </c>
      <c r="K371">
        <v>1</v>
      </c>
      <c r="L37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compartida)FilaCajaH2ExpressionUser Specified</v>
      </c>
      <c r="M371" s="5" cm="1">
        <f t="array" ref="M371">MAX(IF((ProjectInfoTable[ProjectName]=DiscreteStatsTable[[#This Row],[ProjectName]]),(ProjectInfoTable[ProjectName]=DiscreteStatsTable[[#This Row],[ProjectName]])*ProjectInfoTable[NumberOfReplications]))</f>
        <v>19</v>
      </c>
      <c r="N371" s="5" cm="1">
        <f t="array" ref="N371">IFERROR(AVERAGE(IF((DiscreteStatsTable[GroupByKey]=DiscreteStatsTable[[#This Row],[GroupByKey]]),(DiscreteStatsTable[GroupByKey]=DiscreteStatsTable[[#This Row],[GroupByKey]])*DiscreteStatsTable[Average])),0)</f>
        <v>0.83518042792693359</v>
      </c>
      <c r="O371" s="5" cm="1">
        <f t="array" ref="O371">IFERROR(_xlfn.STDEV.S(IF((DiscreteStatsTable[GroupByKey]=DiscreteStatsTable[[#This Row],[GroupByKey]]),(DiscreteStatsTable[GroupByKey]=DiscreteStatsTable[[#This Row],[GroupByKey]])*DiscreteStatsTable[Average])),0)</f>
        <v>1.0920918514225872</v>
      </c>
      <c r="P371" s="5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 s="5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0.52637142322864783</v>
      </c>
      <c r="R371" s="5" cm="1">
        <f t="array" ref="R371">MIN(IF((DiscreteStatsTable[GroupByKey]=DiscreteStatsTable[[#This Row],[GroupByKey]]),(DiscreteStatsTable[GroupByKey]=DiscreteStatsTable[[#This Row],[GroupByKey]])*DiscreteStatsTable[Average]))</f>
        <v>0.19671910787576599</v>
      </c>
      <c r="S371" s="5" cm="1">
        <f t="array" ref="S371">MAX(IF((DiscreteStatsTable[GroupByKey]=DiscreteStatsTable[[#This Row],[GroupByKey]]),(DiscreteStatsTable[GroupByKey]=DiscreteStatsTable[[#This Row],[GroupByKey]])*DiscreteStatsTable[Average]))</f>
        <v>4.9105552194345297</v>
      </c>
      <c r="T371" s="5" cm="1">
        <f t="array" ref="T371">MIN(IF((DiscreteStatsTable[GroupByKey]=DiscreteStatsTable[[#This Row],[GroupByKey]]),(DiscreteStatsTable[GroupByKey]=DiscreteStatsTable[[#This Row],[GroupByKey]])*DiscreteStatsTable[Minimum]))</f>
        <v>0.19671910787576599</v>
      </c>
      <c r="U371" s="5" cm="1">
        <f t="array" ref="U371">MAX(IF((DiscreteStatsTable[GroupByKey]=DiscreteStatsTable[[#This Row],[GroupByKey]]),(DiscreteStatsTable[GroupByKey]=DiscreteStatsTable[[#This Row],[GroupByKey]])*DiscreteStatsTable[Maximum]))</f>
        <v>4.9105552194345297</v>
      </c>
      <c r="V371" s="5" cm="1">
        <f t="array" ref="V371">IFERROR(AVERAGE(IF((DiscreteStatsTable[GroupByKey]=DiscreteStatsTable[[#This Row],[GroupByKey]]),(DiscreteStatsTable[GroupByKey]=DiscreteStatsTable[[#This Row],[GroupByKey]])*DiscreteStatsTable[NumberObservations])),0)</f>
        <v>1</v>
      </c>
      <c r="W371" s="5">
        <f>IF((DiscreteStatsTable[[#This Row],[RepsRequested]]&gt;1),DiscreteStatsTable[[#This Row],[HalfWidth]],DiscreteStatsTable[[#This Row],[BatchMeansHalfWidth]])</f>
        <v>0.52637142322864783</v>
      </c>
      <c r="X371" s="5" cm="1">
        <f t="array" ref="X371">COUNT(IF((DiscreteStatsTable[GroupByKey]=DiscreteStatsTable[[#This Row],[GroupByKey]]),(DiscreteStatsTable[GroupByKey]=DiscreteStatsTable[[#This Row],[GroupByKey]])*DiscreteStatsTable[Replication]))</f>
        <v>19</v>
      </c>
      <c r="Y371" s="5">
        <f>IF(DiscreteStatsTable[[#This Row],[RepsRequested]]=DiscreteStatsTable[[#This Row],[RepsWithStatObserved]],1,0)</f>
        <v>1</v>
      </c>
    </row>
    <row r="372" spans="1:25" x14ac:dyDescent="0.25">
      <c r="A372" t="s">
        <v>67</v>
      </c>
      <c r="B372" t="s">
        <v>69</v>
      </c>
      <c r="C372">
        <v>10</v>
      </c>
      <c r="D372" t="s">
        <v>97</v>
      </c>
      <c r="E372" t="s">
        <v>79</v>
      </c>
      <c r="F372" t="s">
        <v>80</v>
      </c>
      <c r="G372">
        <v>0.90761621154290895</v>
      </c>
      <c r="H372">
        <v>2E+20</v>
      </c>
      <c r="I372">
        <v>0.90761621154290895</v>
      </c>
      <c r="J372">
        <v>0.90761621154290895</v>
      </c>
      <c r="K372">
        <v>1</v>
      </c>
      <c r="L37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compartida)FilaCajaH2ExpressionUser Specified</v>
      </c>
      <c r="M372" s="5" cm="1">
        <f t="array" ref="M372">MAX(IF((ProjectInfoTable[ProjectName]=DiscreteStatsTable[[#This Row],[ProjectName]]),(ProjectInfoTable[ProjectName]=DiscreteStatsTable[[#This Row],[ProjectName]])*ProjectInfoTable[NumberOfReplications]))</f>
        <v>19</v>
      </c>
      <c r="N372" s="5" cm="1">
        <f t="array" ref="N372">IFERROR(AVERAGE(IF((DiscreteStatsTable[GroupByKey]=DiscreteStatsTable[[#This Row],[GroupByKey]]),(DiscreteStatsTable[GroupByKey]=DiscreteStatsTable[[#This Row],[GroupByKey]])*DiscreteStatsTable[Average])),0)</f>
        <v>0.83518042792693359</v>
      </c>
      <c r="O372" s="5" cm="1">
        <f t="array" ref="O372">IFERROR(_xlfn.STDEV.S(IF((DiscreteStatsTable[GroupByKey]=DiscreteStatsTable[[#This Row],[GroupByKey]]),(DiscreteStatsTable[GroupByKey]=DiscreteStatsTable[[#This Row],[GroupByKey]])*DiscreteStatsTable[Average])),0)</f>
        <v>1.0920918514225872</v>
      </c>
      <c r="P372" s="5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 s="5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0.52637142322864783</v>
      </c>
      <c r="R372" s="5" cm="1">
        <f t="array" ref="R372">MIN(IF((DiscreteStatsTable[GroupByKey]=DiscreteStatsTable[[#This Row],[GroupByKey]]),(DiscreteStatsTable[GroupByKey]=DiscreteStatsTable[[#This Row],[GroupByKey]])*DiscreteStatsTable[Average]))</f>
        <v>0.19671910787576599</v>
      </c>
      <c r="S372" s="5" cm="1">
        <f t="array" ref="S372">MAX(IF((DiscreteStatsTable[GroupByKey]=DiscreteStatsTable[[#This Row],[GroupByKey]]),(DiscreteStatsTable[GroupByKey]=DiscreteStatsTable[[#This Row],[GroupByKey]])*DiscreteStatsTable[Average]))</f>
        <v>4.9105552194345297</v>
      </c>
      <c r="T372" s="5" cm="1">
        <f t="array" ref="T372">MIN(IF((DiscreteStatsTable[GroupByKey]=DiscreteStatsTable[[#This Row],[GroupByKey]]),(DiscreteStatsTable[GroupByKey]=DiscreteStatsTable[[#This Row],[GroupByKey]])*DiscreteStatsTable[Minimum]))</f>
        <v>0.19671910787576599</v>
      </c>
      <c r="U372" s="5" cm="1">
        <f t="array" ref="U372">MAX(IF((DiscreteStatsTable[GroupByKey]=DiscreteStatsTable[[#This Row],[GroupByKey]]),(DiscreteStatsTable[GroupByKey]=DiscreteStatsTable[[#This Row],[GroupByKey]])*DiscreteStatsTable[Maximum]))</f>
        <v>4.9105552194345297</v>
      </c>
      <c r="V372" s="5" cm="1">
        <f t="array" ref="V372">IFERROR(AVERAGE(IF((DiscreteStatsTable[GroupByKey]=DiscreteStatsTable[[#This Row],[GroupByKey]]),(DiscreteStatsTable[GroupByKey]=DiscreteStatsTable[[#This Row],[GroupByKey]])*DiscreteStatsTable[NumberObservations])),0)</f>
        <v>1</v>
      </c>
      <c r="W372" s="5">
        <f>IF((DiscreteStatsTable[[#This Row],[RepsRequested]]&gt;1),DiscreteStatsTable[[#This Row],[HalfWidth]],DiscreteStatsTable[[#This Row],[BatchMeansHalfWidth]])</f>
        <v>0.52637142322864783</v>
      </c>
      <c r="X372" s="5" cm="1">
        <f t="array" ref="X372">COUNT(IF((DiscreteStatsTable[GroupByKey]=DiscreteStatsTable[[#This Row],[GroupByKey]]),(DiscreteStatsTable[GroupByKey]=DiscreteStatsTable[[#This Row],[GroupByKey]])*DiscreteStatsTable[Replication]))</f>
        <v>19</v>
      </c>
      <c r="Y372" s="5">
        <f>IF(DiscreteStatsTable[[#This Row],[RepsRequested]]=DiscreteStatsTable[[#This Row],[RepsWithStatObserved]],1,0)</f>
        <v>1</v>
      </c>
    </row>
    <row r="373" spans="1:25" x14ac:dyDescent="0.25">
      <c r="A373" t="s">
        <v>67</v>
      </c>
      <c r="B373" t="s">
        <v>69</v>
      </c>
      <c r="C373">
        <v>11</v>
      </c>
      <c r="D373" t="s">
        <v>97</v>
      </c>
      <c r="E373" t="s">
        <v>79</v>
      </c>
      <c r="F373" t="s">
        <v>80</v>
      </c>
      <c r="G373">
        <v>0.29416950447710899</v>
      </c>
      <c r="H373">
        <v>2E+20</v>
      </c>
      <c r="I373">
        <v>0.29416950447710899</v>
      </c>
      <c r="J373">
        <v>0.29416950447710899</v>
      </c>
      <c r="K373">
        <v>1</v>
      </c>
      <c r="L37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compartida)FilaCajaH2ExpressionUser Specified</v>
      </c>
      <c r="M373" s="5" cm="1">
        <f t="array" ref="M373">MAX(IF((ProjectInfoTable[ProjectName]=DiscreteStatsTable[[#This Row],[ProjectName]]),(ProjectInfoTable[ProjectName]=DiscreteStatsTable[[#This Row],[ProjectName]])*ProjectInfoTable[NumberOfReplications]))</f>
        <v>19</v>
      </c>
      <c r="N373" s="5" cm="1">
        <f t="array" ref="N373">IFERROR(AVERAGE(IF((DiscreteStatsTable[GroupByKey]=DiscreteStatsTable[[#This Row],[GroupByKey]]),(DiscreteStatsTable[GroupByKey]=DiscreteStatsTable[[#This Row],[GroupByKey]])*DiscreteStatsTable[Average])),0)</f>
        <v>0.83518042792693359</v>
      </c>
      <c r="O373" s="5" cm="1">
        <f t="array" ref="O373">IFERROR(_xlfn.STDEV.S(IF((DiscreteStatsTable[GroupByKey]=DiscreteStatsTable[[#This Row],[GroupByKey]]),(DiscreteStatsTable[GroupByKey]=DiscreteStatsTable[[#This Row],[GroupByKey]])*DiscreteStatsTable[Average])),0)</f>
        <v>1.0920918514225872</v>
      </c>
      <c r="P373" s="5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 s="5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0.52637142322864783</v>
      </c>
      <c r="R373" s="5" cm="1">
        <f t="array" ref="R373">MIN(IF((DiscreteStatsTable[GroupByKey]=DiscreteStatsTable[[#This Row],[GroupByKey]]),(DiscreteStatsTable[GroupByKey]=DiscreteStatsTable[[#This Row],[GroupByKey]])*DiscreteStatsTable[Average]))</f>
        <v>0.19671910787576599</v>
      </c>
      <c r="S373" s="5" cm="1">
        <f t="array" ref="S373">MAX(IF((DiscreteStatsTable[GroupByKey]=DiscreteStatsTable[[#This Row],[GroupByKey]]),(DiscreteStatsTable[GroupByKey]=DiscreteStatsTable[[#This Row],[GroupByKey]])*DiscreteStatsTable[Average]))</f>
        <v>4.9105552194345297</v>
      </c>
      <c r="T373" s="5" cm="1">
        <f t="array" ref="T373">MIN(IF((DiscreteStatsTable[GroupByKey]=DiscreteStatsTable[[#This Row],[GroupByKey]]),(DiscreteStatsTable[GroupByKey]=DiscreteStatsTable[[#This Row],[GroupByKey]])*DiscreteStatsTable[Minimum]))</f>
        <v>0.19671910787576599</v>
      </c>
      <c r="U373" s="5" cm="1">
        <f t="array" ref="U373">MAX(IF((DiscreteStatsTable[GroupByKey]=DiscreteStatsTable[[#This Row],[GroupByKey]]),(DiscreteStatsTable[GroupByKey]=DiscreteStatsTable[[#This Row],[GroupByKey]])*DiscreteStatsTable[Maximum]))</f>
        <v>4.9105552194345297</v>
      </c>
      <c r="V373" s="5" cm="1">
        <f t="array" ref="V373">IFERROR(AVERAGE(IF((DiscreteStatsTable[GroupByKey]=DiscreteStatsTable[[#This Row],[GroupByKey]]),(DiscreteStatsTable[GroupByKey]=DiscreteStatsTable[[#This Row],[GroupByKey]])*DiscreteStatsTable[NumberObservations])),0)</f>
        <v>1</v>
      </c>
      <c r="W373" s="5">
        <f>IF((DiscreteStatsTable[[#This Row],[RepsRequested]]&gt;1),DiscreteStatsTable[[#This Row],[HalfWidth]],DiscreteStatsTable[[#This Row],[BatchMeansHalfWidth]])</f>
        <v>0.52637142322864783</v>
      </c>
      <c r="X373" s="5" cm="1">
        <f t="array" ref="X373">COUNT(IF((DiscreteStatsTable[GroupByKey]=DiscreteStatsTable[[#This Row],[GroupByKey]]),(DiscreteStatsTable[GroupByKey]=DiscreteStatsTable[[#This Row],[GroupByKey]])*DiscreteStatsTable[Replication]))</f>
        <v>19</v>
      </c>
      <c r="Y373" s="5">
        <f>IF(DiscreteStatsTable[[#This Row],[RepsRequested]]=DiscreteStatsTable[[#This Row],[RepsWithStatObserved]],1,0)</f>
        <v>1</v>
      </c>
    </row>
    <row r="374" spans="1:25" x14ac:dyDescent="0.25">
      <c r="A374" t="s">
        <v>67</v>
      </c>
      <c r="B374" t="s">
        <v>69</v>
      </c>
      <c r="C374">
        <v>12</v>
      </c>
      <c r="D374" t="s">
        <v>97</v>
      </c>
      <c r="E374" t="s">
        <v>79</v>
      </c>
      <c r="F374" t="s">
        <v>80</v>
      </c>
      <c r="G374">
        <v>0.98717731221285199</v>
      </c>
      <c r="H374">
        <v>2E+20</v>
      </c>
      <c r="I374">
        <v>0.98717731221285199</v>
      </c>
      <c r="J374">
        <v>0.98717731221285199</v>
      </c>
      <c r="K374">
        <v>1</v>
      </c>
      <c r="L37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compartida)FilaCajaH2ExpressionUser Specified</v>
      </c>
      <c r="M374" s="5" cm="1">
        <f t="array" ref="M374">MAX(IF((ProjectInfoTable[ProjectName]=DiscreteStatsTable[[#This Row],[ProjectName]]),(ProjectInfoTable[ProjectName]=DiscreteStatsTable[[#This Row],[ProjectName]])*ProjectInfoTable[NumberOfReplications]))</f>
        <v>19</v>
      </c>
      <c r="N374" s="5" cm="1">
        <f t="array" ref="N374">IFERROR(AVERAGE(IF((DiscreteStatsTable[GroupByKey]=DiscreteStatsTable[[#This Row],[GroupByKey]]),(DiscreteStatsTable[GroupByKey]=DiscreteStatsTable[[#This Row],[GroupByKey]])*DiscreteStatsTable[Average])),0)</f>
        <v>0.83518042792693359</v>
      </c>
      <c r="O374" s="5" cm="1">
        <f t="array" ref="O374">IFERROR(_xlfn.STDEV.S(IF((DiscreteStatsTable[GroupByKey]=DiscreteStatsTable[[#This Row],[GroupByKey]]),(DiscreteStatsTable[GroupByKey]=DiscreteStatsTable[[#This Row],[GroupByKey]])*DiscreteStatsTable[Average])),0)</f>
        <v>1.0920918514225872</v>
      </c>
      <c r="P374" s="5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 s="5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0.52637142322864783</v>
      </c>
      <c r="R374" s="5" cm="1">
        <f t="array" ref="R374">MIN(IF((DiscreteStatsTable[GroupByKey]=DiscreteStatsTable[[#This Row],[GroupByKey]]),(DiscreteStatsTable[GroupByKey]=DiscreteStatsTable[[#This Row],[GroupByKey]])*DiscreteStatsTable[Average]))</f>
        <v>0.19671910787576599</v>
      </c>
      <c r="S374" s="5" cm="1">
        <f t="array" ref="S374">MAX(IF((DiscreteStatsTable[GroupByKey]=DiscreteStatsTable[[#This Row],[GroupByKey]]),(DiscreteStatsTable[GroupByKey]=DiscreteStatsTable[[#This Row],[GroupByKey]])*DiscreteStatsTable[Average]))</f>
        <v>4.9105552194345297</v>
      </c>
      <c r="T374" s="5" cm="1">
        <f t="array" ref="T374">MIN(IF((DiscreteStatsTable[GroupByKey]=DiscreteStatsTable[[#This Row],[GroupByKey]]),(DiscreteStatsTable[GroupByKey]=DiscreteStatsTable[[#This Row],[GroupByKey]])*DiscreteStatsTable[Minimum]))</f>
        <v>0.19671910787576599</v>
      </c>
      <c r="U374" s="5" cm="1">
        <f t="array" ref="U374">MAX(IF((DiscreteStatsTable[GroupByKey]=DiscreteStatsTable[[#This Row],[GroupByKey]]),(DiscreteStatsTable[GroupByKey]=DiscreteStatsTable[[#This Row],[GroupByKey]])*DiscreteStatsTable[Maximum]))</f>
        <v>4.9105552194345297</v>
      </c>
      <c r="V374" s="5" cm="1">
        <f t="array" ref="V374">IFERROR(AVERAGE(IF((DiscreteStatsTable[GroupByKey]=DiscreteStatsTable[[#This Row],[GroupByKey]]),(DiscreteStatsTable[GroupByKey]=DiscreteStatsTable[[#This Row],[GroupByKey]])*DiscreteStatsTable[NumberObservations])),0)</f>
        <v>1</v>
      </c>
      <c r="W374" s="5">
        <f>IF((DiscreteStatsTable[[#This Row],[RepsRequested]]&gt;1),DiscreteStatsTable[[#This Row],[HalfWidth]],DiscreteStatsTable[[#This Row],[BatchMeansHalfWidth]])</f>
        <v>0.52637142322864783</v>
      </c>
      <c r="X374" s="5" cm="1">
        <f t="array" ref="X374">COUNT(IF((DiscreteStatsTable[GroupByKey]=DiscreteStatsTable[[#This Row],[GroupByKey]]),(DiscreteStatsTable[GroupByKey]=DiscreteStatsTable[[#This Row],[GroupByKey]])*DiscreteStatsTable[Replication]))</f>
        <v>19</v>
      </c>
      <c r="Y374" s="5">
        <f>IF(DiscreteStatsTable[[#This Row],[RepsRequested]]=DiscreteStatsTable[[#This Row],[RepsWithStatObserved]],1,0)</f>
        <v>1</v>
      </c>
    </row>
    <row r="375" spans="1:25" x14ac:dyDescent="0.25">
      <c r="A375" t="s">
        <v>67</v>
      </c>
      <c r="B375" t="s">
        <v>69</v>
      </c>
      <c r="C375">
        <v>13</v>
      </c>
      <c r="D375" t="s">
        <v>97</v>
      </c>
      <c r="E375" t="s">
        <v>79</v>
      </c>
      <c r="F375" t="s">
        <v>80</v>
      </c>
      <c r="G375">
        <v>0.41810951429772097</v>
      </c>
      <c r="H375">
        <v>2E+20</v>
      </c>
      <c r="I375">
        <v>0.41810951429772097</v>
      </c>
      <c r="J375">
        <v>0.41810951429772097</v>
      </c>
      <c r="K375">
        <v>1</v>
      </c>
      <c r="L37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compartida)FilaCajaH2ExpressionUser Specified</v>
      </c>
      <c r="M375" s="5" cm="1">
        <f t="array" ref="M375">MAX(IF((ProjectInfoTable[ProjectName]=DiscreteStatsTable[[#This Row],[ProjectName]]),(ProjectInfoTable[ProjectName]=DiscreteStatsTable[[#This Row],[ProjectName]])*ProjectInfoTable[NumberOfReplications]))</f>
        <v>19</v>
      </c>
      <c r="N375" s="5" cm="1">
        <f t="array" ref="N375">IFERROR(AVERAGE(IF((DiscreteStatsTable[GroupByKey]=DiscreteStatsTable[[#This Row],[GroupByKey]]),(DiscreteStatsTable[GroupByKey]=DiscreteStatsTable[[#This Row],[GroupByKey]])*DiscreteStatsTable[Average])),0)</f>
        <v>0.83518042792693359</v>
      </c>
      <c r="O375" s="5" cm="1">
        <f t="array" ref="O375">IFERROR(_xlfn.STDEV.S(IF((DiscreteStatsTable[GroupByKey]=DiscreteStatsTable[[#This Row],[GroupByKey]]),(DiscreteStatsTable[GroupByKey]=DiscreteStatsTable[[#This Row],[GroupByKey]])*DiscreteStatsTable[Average])),0)</f>
        <v>1.0920918514225872</v>
      </c>
      <c r="P375" s="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 s="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0.52637142322864783</v>
      </c>
      <c r="R375" s="5" cm="1">
        <f t="array" ref="R375">MIN(IF((DiscreteStatsTable[GroupByKey]=DiscreteStatsTable[[#This Row],[GroupByKey]]),(DiscreteStatsTable[GroupByKey]=DiscreteStatsTable[[#This Row],[GroupByKey]])*DiscreteStatsTable[Average]))</f>
        <v>0.19671910787576599</v>
      </c>
      <c r="S375" s="5" cm="1">
        <f t="array" ref="S375">MAX(IF((DiscreteStatsTable[GroupByKey]=DiscreteStatsTable[[#This Row],[GroupByKey]]),(DiscreteStatsTable[GroupByKey]=DiscreteStatsTable[[#This Row],[GroupByKey]])*DiscreteStatsTable[Average]))</f>
        <v>4.9105552194345297</v>
      </c>
      <c r="T375" s="5" cm="1">
        <f t="array" ref="T375">MIN(IF((DiscreteStatsTable[GroupByKey]=DiscreteStatsTable[[#This Row],[GroupByKey]]),(DiscreteStatsTable[GroupByKey]=DiscreteStatsTable[[#This Row],[GroupByKey]])*DiscreteStatsTable[Minimum]))</f>
        <v>0.19671910787576599</v>
      </c>
      <c r="U375" s="5" cm="1">
        <f t="array" ref="U375">MAX(IF((DiscreteStatsTable[GroupByKey]=DiscreteStatsTable[[#This Row],[GroupByKey]]),(DiscreteStatsTable[GroupByKey]=DiscreteStatsTable[[#This Row],[GroupByKey]])*DiscreteStatsTable[Maximum]))</f>
        <v>4.9105552194345297</v>
      </c>
      <c r="V375" s="5" cm="1">
        <f t="array" ref="V375">IFERROR(AVERAGE(IF((DiscreteStatsTable[GroupByKey]=DiscreteStatsTable[[#This Row],[GroupByKey]]),(DiscreteStatsTable[GroupByKey]=DiscreteStatsTable[[#This Row],[GroupByKey]])*DiscreteStatsTable[NumberObservations])),0)</f>
        <v>1</v>
      </c>
      <c r="W375" s="5">
        <f>IF((DiscreteStatsTable[[#This Row],[RepsRequested]]&gt;1),DiscreteStatsTable[[#This Row],[HalfWidth]],DiscreteStatsTable[[#This Row],[BatchMeansHalfWidth]])</f>
        <v>0.52637142322864783</v>
      </c>
      <c r="X375" s="5" cm="1">
        <f t="array" ref="X375">COUNT(IF((DiscreteStatsTable[GroupByKey]=DiscreteStatsTable[[#This Row],[GroupByKey]]),(DiscreteStatsTable[GroupByKey]=DiscreteStatsTable[[#This Row],[GroupByKey]])*DiscreteStatsTable[Replication]))</f>
        <v>19</v>
      </c>
      <c r="Y375" s="5">
        <f>IF(DiscreteStatsTable[[#This Row],[RepsRequested]]=DiscreteStatsTable[[#This Row],[RepsWithStatObserved]],1,0)</f>
        <v>1</v>
      </c>
    </row>
    <row r="376" spans="1:25" x14ac:dyDescent="0.25">
      <c r="A376" t="s">
        <v>67</v>
      </c>
      <c r="B376" t="s">
        <v>69</v>
      </c>
      <c r="C376">
        <v>14</v>
      </c>
      <c r="D376" t="s">
        <v>97</v>
      </c>
      <c r="E376" t="s">
        <v>79</v>
      </c>
      <c r="F376" t="s">
        <v>80</v>
      </c>
      <c r="G376">
        <v>0.31951142547355899</v>
      </c>
      <c r="H376">
        <v>2E+20</v>
      </c>
      <c r="I376">
        <v>0.31951142547355899</v>
      </c>
      <c r="J376">
        <v>0.31951142547355899</v>
      </c>
      <c r="K376">
        <v>1</v>
      </c>
      <c r="L37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compartida)FilaCajaH2ExpressionUser Specified</v>
      </c>
      <c r="M376" s="5" cm="1">
        <f t="array" ref="M376">MAX(IF((ProjectInfoTable[ProjectName]=DiscreteStatsTable[[#This Row],[ProjectName]]),(ProjectInfoTable[ProjectName]=DiscreteStatsTable[[#This Row],[ProjectName]])*ProjectInfoTable[NumberOfReplications]))</f>
        <v>19</v>
      </c>
      <c r="N376" s="5" cm="1">
        <f t="array" ref="N376">IFERROR(AVERAGE(IF((DiscreteStatsTable[GroupByKey]=DiscreteStatsTable[[#This Row],[GroupByKey]]),(DiscreteStatsTable[GroupByKey]=DiscreteStatsTable[[#This Row],[GroupByKey]])*DiscreteStatsTable[Average])),0)</f>
        <v>0.83518042792693359</v>
      </c>
      <c r="O376" s="5" cm="1">
        <f t="array" ref="O376">IFERROR(_xlfn.STDEV.S(IF((DiscreteStatsTable[GroupByKey]=DiscreteStatsTable[[#This Row],[GroupByKey]]),(DiscreteStatsTable[GroupByKey]=DiscreteStatsTable[[#This Row],[GroupByKey]])*DiscreteStatsTable[Average])),0)</f>
        <v>1.0920918514225872</v>
      </c>
      <c r="P376" s="5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 s="5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0.52637142322864783</v>
      </c>
      <c r="R376" s="5" cm="1">
        <f t="array" ref="R376">MIN(IF((DiscreteStatsTable[GroupByKey]=DiscreteStatsTable[[#This Row],[GroupByKey]]),(DiscreteStatsTable[GroupByKey]=DiscreteStatsTable[[#This Row],[GroupByKey]])*DiscreteStatsTable[Average]))</f>
        <v>0.19671910787576599</v>
      </c>
      <c r="S376" s="5" cm="1">
        <f t="array" ref="S376">MAX(IF((DiscreteStatsTable[GroupByKey]=DiscreteStatsTable[[#This Row],[GroupByKey]]),(DiscreteStatsTable[GroupByKey]=DiscreteStatsTable[[#This Row],[GroupByKey]])*DiscreteStatsTable[Average]))</f>
        <v>4.9105552194345297</v>
      </c>
      <c r="T376" s="5" cm="1">
        <f t="array" ref="T376">MIN(IF((DiscreteStatsTable[GroupByKey]=DiscreteStatsTable[[#This Row],[GroupByKey]]),(DiscreteStatsTable[GroupByKey]=DiscreteStatsTable[[#This Row],[GroupByKey]])*DiscreteStatsTable[Minimum]))</f>
        <v>0.19671910787576599</v>
      </c>
      <c r="U376" s="5" cm="1">
        <f t="array" ref="U376">MAX(IF((DiscreteStatsTable[GroupByKey]=DiscreteStatsTable[[#This Row],[GroupByKey]]),(DiscreteStatsTable[GroupByKey]=DiscreteStatsTable[[#This Row],[GroupByKey]])*DiscreteStatsTable[Maximum]))</f>
        <v>4.9105552194345297</v>
      </c>
      <c r="V376" s="5" cm="1">
        <f t="array" ref="V376">IFERROR(AVERAGE(IF((DiscreteStatsTable[GroupByKey]=DiscreteStatsTable[[#This Row],[GroupByKey]]),(DiscreteStatsTable[GroupByKey]=DiscreteStatsTable[[#This Row],[GroupByKey]])*DiscreteStatsTable[NumberObservations])),0)</f>
        <v>1</v>
      </c>
      <c r="W376" s="5">
        <f>IF((DiscreteStatsTable[[#This Row],[RepsRequested]]&gt;1),DiscreteStatsTable[[#This Row],[HalfWidth]],DiscreteStatsTable[[#This Row],[BatchMeansHalfWidth]])</f>
        <v>0.52637142322864783</v>
      </c>
      <c r="X376" s="5" cm="1">
        <f t="array" ref="X376">COUNT(IF((DiscreteStatsTable[GroupByKey]=DiscreteStatsTable[[#This Row],[GroupByKey]]),(DiscreteStatsTable[GroupByKey]=DiscreteStatsTable[[#This Row],[GroupByKey]])*DiscreteStatsTable[Replication]))</f>
        <v>19</v>
      </c>
      <c r="Y376" s="5">
        <f>IF(DiscreteStatsTable[[#This Row],[RepsRequested]]=DiscreteStatsTable[[#This Row],[RepsWithStatObserved]],1,0)</f>
        <v>1</v>
      </c>
    </row>
    <row r="377" spans="1:25" x14ac:dyDescent="0.25">
      <c r="A377" t="s">
        <v>67</v>
      </c>
      <c r="B377" t="s">
        <v>69</v>
      </c>
      <c r="C377">
        <v>15</v>
      </c>
      <c r="D377" t="s">
        <v>97</v>
      </c>
      <c r="E377" t="s">
        <v>79</v>
      </c>
      <c r="F377" t="s">
        <v>80</v>
      </c>
      <c r="G377">
        <v>0.44049814195118703</v>
      </c>
      <c r="H377">
        <v>2E+20</v>
      </c>
      <c r="I377">
        <v>0.44049814195118703</v>
      </c>
      <c r="J377">
        <v>0.44049814195118703</v>
      </c>
      <c r="K377">
        <v>1</v>
      </c>
      <c r="L37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compartida)FilaCajaH2ExpressionUser Specified</v>
      </c>
      <c r="M377" s="5" cm="1">
        <f t="array" ref="M377">MAX(IF((ProjectInfoTable[ProjectName]=DiscreteStatsTable[[#This Row],[ProjectName]]),(ProjectInfoTable[ProjectName]=DiscreteStatsTable[[#This Row],[ProjectName]])*ProjectInfoTable[NumberOfReplications]))</f>
        <v>19</v>
      </c>
      <c r="N377" s="5" cm="1">
        <f t="array" ref="N377">IFERROR(AVERAGE(IF((DiscreteStatsTable[GroupByKey]=DiscreteStatsTable[[#This Row],[GroupByKey]]),(DiscreteStatsTable[GroupByKey]=DiscreteStatsTable[[#This Row],[GroupByKey]])*DiscreteStatsTable[Average])),0)</f>
        <v>0.83518042792693359</v>
      </c>
      <c r="O377" s="5" cm="1">
        <f t="array" ref="O377">IFERROR(_xlfn.STDEV.S(IF((DiscreteStatsTable[GroupByKey]=DiscreteStatsTable[[#This Row],[GroupByKey]]),(DiscreteStatsTable[GroupByKey]=DiscreteStatsTable[[#This Row],[GroupByKey]])*DiscreteStatsTable[Average])),0)</f>
        <v>1.0920918514225872</v>
      </c>
      <c r="P377" s="5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 s="5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0.52637142322864783</v>
      </c>
      <c r="R377" s="5" cm="1">
        <f t="array" ref="R377">MIN(IF((DiscreteStatsTable[GroupByKey]=DiscreteStatsTable[[#This Row],[GroupByKey]]),(DiscreteStatsTable[GroupByKey]=DiscreteStatsTable[[#This Row],[GroupByKey]])*DiscreteStatsTable[Average]))</f>
        <v>0.19671910787576599</v>
      </c>
      <c r="S377" s="5" cm="1">
        <f t="array" ref="S377">MAX(IF((DiscreteStatsTable[GroupByKey]=DiscreteStatsTable[[#This Row],[GroupByKey]]),(DiscreteStatsTable[GroupByKey]=DiscreteStatsTable[[#This Row],[GroupByKey]])*DiscreteStatsTable[Average]))</f>
        <v>4.9105552194345297</v>
      </c>
      <c r="T377" s="5" cm="1">
        <f t="array" ref="T377">MIN(IF((DiscreteStatsTable[GroupByKey]=DiscreteStatsTable[[#This Row],[GroupByKey]]),(DiscreteStatsTable[GroupByKey]=DiscreteStatsTable[[#This Row],[GroupByKey]])*DiscreteStatsTable[Minimum]))</f>
        <v>0.19671910787576599</v>
      </c>
      <c r="U377" s="5" cm="1">
        <f t="array" ref="U377">MAX(IF((DiscreteStatsTable[GroupByKey]=DiscreteStatsTable[[#This Row],[GroupByKey]]),(DiscreteStatsTable[GroupByKey]=DiscreteStatsTable[[#This Row],[GroupByKey]])*DiscreteStatsTable[Maximum]))</f>
        <v>4.9105552194345297</v>
      </c>
      <c r="V377" s="5" cm="1">
        <f t="array" ref="V377">IFERROR(AVERAGE(IF((DiscreteStatsTable[GroupByKey]=DiscreteStatsTable[[#This Row],[GroupByKey]]),(DiscreteStatsTable[GroupByKey]=DiscreteStatsTable[[#This Row],[GroupByKey]])*DiscreteStatsTable[NumberObservations])),0)</f>
        <v>1</v>
      </c>
      <c r="W377" s="5">
        <f>IF((DiscreteStatsTable[[#This Row],[RepsRequested]]&gt;1),DiscreteStatsTable[[#This Row],[HalfWidth]],DiscreteStatsTable[[#This Row],[BatchMeansHalfWidth]])</f>
        <v>0.52637142322864783</v>
      </c>
      <c r="X377" s="5" cm="1">
        <f t="array" ref="X377">COUNT(IF((DiscreteStatsTable[GroupByKey]=DiscreteStatsTable[[#This Row],[GroupByKey]]),(DiscreteStatsTable[GroupByKey]=DiscreteStatsTable[[#This Row],[GroupByKey]])*DiscreteStatsTable[Replication]))</f>
        <v>19</v>
      </c>
      <c r="Y377" s="5">
        <f>IF(DiscreteStatsTable[[#This Row],[RepsRequested]]=DiscreteStatsTable[[#This Row],[RepsWithStatObserved]],1,0)</f>
        <v>1</v>
      </c>
    </row>
    <row r="378" spans="1:25" x14ac:dyDescent="0.25">
      <c r="A378" t="s">
        <v>67</v>
      </c>
      <c r="B378" t="s">
        <v>69</v>
      </c>
      <c r="C378">
        <v>16</v>
      </c>
      <c r="D378" t="s">
        <v>97</v>
      </c>
      <c r="E378" t="s">
        <v>79</v>
      </c>
      <c r="F378" t="s">
        <v>80</v>
      </c>
      <c r="G378">
        <v>0.27061186916962099</v>
      </c>
      <c r="H378">
        <v>2E+20</v>
      </c>
      <c r="I378">
        <v>0.27061186916962099</v>
      </c>
      <c r="J378">
        <v>0.27061186916962099</v>
      </c>
      <c r="K378">
        <v>1</v>
      </c>
      <c r="L37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compartida)FilaCajaH2ExpressionUser Specified</v>
      </c>
      <c r="M378" s="5" cm="1">
        <f t="array" ref="M378">MAX(IF((ProjectInfoTable[ProjectName]=DiscreteStatsTable[[#This Row],[ProjectName]]),(ProjectInfoTable[ProjectName]=DiscreteStatsTable[[#This Row],[ProjectName]])*ProjectInfoTable[NumberOfReplications]))</f>
        <v>19</v>
      </c>
      <c r="N378" s="5" cm="1">
        <f t="array" ref="N378">IFERROR(AVERAGE(IF((DiscreteStatsTable[GroupByKey]=DiscreteStatsTable[[#This Row],[GroupByKey]]),(DiscreteStatsTable[GroupByKey]=DiscreteStatsTable[[#This Row],[GroupByKey]])*DiscreteStatsTable[Average])),0)</f>
        <v>0.83518042792693359</v>
      </c>
      <c r="O378" s="5" cm="1">
        <f t="array" ref="O378">IFERROR(_xlfn.STDEV.S(IF((DiscreteStatsTable[GroupByKey]=DiscreteStatsTable[[#This Row],[GroupByKey]]),(DiscreteStatsTable[GroupByKey]=DiscreteStatsTable[[#This Row],[GroupByKey]])*DiscreteStatsTable[Average])),0)</f>
        <v>1.0920918514225872</v>
      </c>
      <c r="P378" s="5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 s="5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0.52637142322864783</v>
      </c>
      <c r="R378" s="5" cm="1">
        <f t="array" ref="R378">MIN(IF((DiscreteStatsTable[GroupByKey]=DiscreteStatsTable[[#This Row],[GroupByKey]]),(DiscreteStatsTable[GroupByKey]=DiscreteStatsTable[[#This Row],[GroupByKey]])*DiscreteStatsTable[Average]))</f>
        <v>0.19671910787576599</v>
      </c>
      <c r="S378" s="5" cm="1">
        <f t="array" ref="S378">MAX(IF((DiscreteStatsTable[GroupByKey]=DiscreteStatsTable[[#This Row],[GroupByKey]]),(DiscreteStatsTable[GroupByKey]=DiscreteStatsTable[[#This Row],[GroupByKey]])*DiscreteStatsTable[Average]))</f>
        <v>4.9105552194345297</v>
      </c>
      <c r="T378" s="5" cm="1">
        <f t="array" ref="T378">MIN(IF((DiscreteStatsTable[GroupByKey]=DiscreteStatsTable[[#This Row],[GroupByKey]]),(DiscreteStatsTable[GroupByKey]=DiscreteStatsTable[[#This Row],[GroupByKey]])*DiscreteStatsTable[Minimum]))</f>
        <v>0.19671910787576599</v>
      </c>
      <c r="U378" s="5" cm="1">
        <f t="array" ref="U378">MAX(IF((DiscreteStatsTable[GroupByKey]=DiscreteStatsTable[[#This Row],[GroupByKey]]),(DiscreteStatsTable[GroupByKey]=DiscreteStatsTable[[#This Row],[GroupByKey]])*DiscreteStatsTable[Maximum]))</f>
        <v>4.9105552194345297</v>
      </c>
      <c r="V378" s="5" cm="1">
        <f t="array" ref="V378">IFERROR(AVERAGE(IF((DiscreteStatsTable[GroupByKey]=DiscreteStatsTable[[#This Row],[GroupByKey]]),(DiscreteStatsTable[GroupByKey]=DiscreteStatsTable[[#This Row],[GroupByKey]])*DiscreteStatsTable[NumberObservations])),0)</f>
        <v>1</v>
      </c>
      <c r="W378" s="5">
        <f>IF((DiscreteStatsTable[[#This Row],[RepsRequested]]&gt;1),DiscreteStatsTable[[#This Row],[HalfWidth]],DiscreteStatsTable[[#This Row],[BatchMeansHalfWidth]])</f>
        <v>0.52637142322864783</v>
      </c>
      <c r="X378" s="5" cm="1">
        <f t="array" ref="X378">COUNT(IF((DiscreteStatsTable[GroupByKey]=DiscreteStatsTable[[#This Row],[GroupByKey]]),(DiscreteStatsTable[GroupByKey]=DiscreteStatsTable[[#This Row],[GroupByKey]])*DiscreteStatsTable[Replication]))</f>
        <v>19</v>
      </c>
      <c r="Y378" s="5">
        <f>IF(DiscreteStatsTable[[#This Row],[RepsRequested]]=DiscreteStatsTable[[#This Row],[RepsWithStatObserved]],1,0)</f>
        <v>1</v>
      </c>
    </row>
    <row r="379" spans="1:25" x14ac:dyDescent="0.25">
      <c r="A379" t="s">
        <v>67</v>
      </c>
      <c r="B379" t="s">
        <v>69</v>
      </c>
      <c r="C379">
        <v>17</v>
      </c>
      <c r="D379" t="s">
        <v>97</v>
      </c>
      <c r="E379" t="s">
        <v>79</v>
      </c>
      <c r="F379" t="s">
        <v>80</v>
      </c>
      <c r="G379">
        <v>0.73264775825719997</v>
      </c>
      <c r="H379">
        <v>2E+20</v>
      </c>
      <c r="I379">
        <v>0.73264775825719997</v>
      </c>
      <c r="J379">
        <v>0.73264775825719997</v>
      </c>
      <c r="K379">
        <v>1</v>
      </c>
      <c r="L37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compartida)FilaCajaH2ExpressionUser Specified</v>
      </c>
      <c r="M379" s="5" cm="1">
        <f t="array" ref="M379">MAX(IF((ProjectInfoTable[ProjectName]=DiscreteStatsTable[[#This Row],[ProjectName]]),(ProjectInfoTable[ProjectName]=DiscreteStatsTable[[#This Row],[ProjectName]])*ProjectInfoTable[NumberOfReplications]))</f>
        <v>19</v>
      </c>
      <c r="N379" s="5" cm="1">
        <f t="array" ref="N379">IFERROR(AVERAGE(IF((DiscreteStatsTable[GroupByKey]=DiscreteStatsTable[[#This Row],[GroupByKey]]),(DiscreteStatsTable[GroupByKey]=DiscreteStatsTable[[#This Row],[GroupByKey]])*DiscreteStatsTable[Average])),0)</f>
        <v>0.83518042792693359</v>
      </c>
      <c r="O379" s="5" cm="1">
        <f t="array" ref="O379">IFERROR(_xlfn.STDEV.S(IF((DiscreteStatsTable[GroupByKey]=DiscreteStatsTable[[#This Row],[GroupByKey]]),(DiscreteStatsTable[GroupByKey]=DiscreteStatsTable[[#This Row],[GroupByKey]])*DiscreteStatsTable[Average])),0)</f>
        <v>1.0920918514225872</v>
      </c>
      <c r="P379" s="5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 s="5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0.52637142322864783</v>
      </c>
      <c r="R379" s="5" cm="1">
        <f t="array" ref="R379">MIN(IF((DiscreteStatsTable[GroupByKey]=DiscreteStatsTable[[#This Row],[GroupByKey]]),(DiscreteStatsTable[GroupByKey]=DiscreteStatsTable[[#This Row],[GroupByKey]])*DiscreteStatsTable[Average]))</f>
        <v>0.19671910787576599</v>
      </c>
      <c r="S379" s="5" cm="1">
        <f t="array" ref="S379">MAX(IF((DiscreteStatsTable[GroupByKey]=DiscreteStatsTable[[#This Row],[GroupByKey]]),(DiscreteStatsTable[GroupByKey]=DiscreteStatsTable[[#This Row],[GroupByKey]])*DiscreteStatsTable[Average]))</f>
        <v>4.9105552194345297</v>
      </c>
      <c r="T379" s="5" cm="1">
        <f t="array" ref="T379">MIN(IF((DiscreteStatsTable[GroupByKey]=DiscreteStatsTable[[#This Row],[GroupByKey]]),(DiscreteStatsTable[GroupByKey]=DiscreteStatsTable[[#This Row],[GroupByKey]])*DiscreteStatsTable[Minimum]))</f>
        <v>0.19671910787576599</v>
      </c>
      <c r="U379" s="5" cm="1">
        <f t="array" ref="U379">MAX(IF((DiscreteStatsTable[GroupByKey]=DiscreteStatsTable[[#This Row],[GroupByKey]]),(DiscreteStatsTable[GroupByKey]=DiscreteStatsTable[[#This Row],[GroupByKey]])*DiscreteStatsTable[Maximum]))</f>
        <v>4.9105552194345297</v>
      </c>
      <c r="V379" s="5" cm="1">
        <f t="array" ref="V379">IFERROR(AVERAGE(IF((DiscreteStatsTable[GroupByKey]=DiscreteStatsTable[[#This Row],[GroupByKey]]),(DiscreteStatsTable[GroupByKey]=DiscreteStatsTable[[#This Row],[GroupByKey]])*DiscreteStatsTable[NumberObservations])),0)</f>
        <v>1</v>
      </c>
      <c r="W379" s="5">
        <f>IF((DiscreteStatsTable[[#This Row],[RepsRequested]]&gt;1),DiscreteStatsTable[[#This Row],[HalfWidth]],DiscreteStatsTable[[#This Row],[BatchMeansHalfWidth]])</f>
        <v>0.52637142322864783</v>
      </c>
      <c r="X379" s="5" cm="1">
        <f t="array" ref="X379">COUNT(IF((DiscreteStatsTable[GroupByKey]=DiscreteStatsTable[[#This Row],[GroupByKey]]),(DiscreteStatsTable[GroupByKey]=DiscreteStatsTable[[#This Row],[GroupByKey]])*DiscreteStatsTable[Replication]))</f>
        <v>19</v>
      </c>
      <c r="Y379" s="5">
        <f>IF(DiscreteStatsTable[[#This Row],[RepsRequested]]=DiscreteStatsTable[[#This Row],[RepsWithStatObserved]],1,0)</f>
        <v>1</v>
      </c>
    </row>
    <row r="380" spans="1:25" x14ac:dyDescent="0.25">
      <c r="A380" t="s">
        <v>67</v>
      </c>
      <c r="B380" t="s">
        <v>69</v>
      </c>
      <c r="C380">
        <v>18</v>
      </c>
      <c r="D380" t="s">
        <v>97</v>
      </c>
      <c r="E380" t="s">
        <v>79</v>
      </c>
      <c r="F380" t="s">
        <v>80</v>
      </c>
      <c r="G380">
        <v>0.98904383655712302</v>
      </c>
      <c r="H380">
        <v>2E+20</v>
      </c>
      <c r="I380">
        <v>0.98904383655712302</v>
      </c>
      <c r="J380">
        <v>0.98904383655712302</v>
      </c>
      <c r="K380">
        <v>1</v>
      </c>
      <c r="L38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compartida)FilaCajaH2ExpressionUser Specified</v>
      </c>
      <c r="M380" s="5" cm="1">
        <f t="array" ref="M380">MAX(IF((ProjectInfoTable[ProjectName]=DiscreteStatsTable[[#This Row],[ProjectName]]),(ProjectInfoTable[ProjectName]=DiscreteStatsTable[[#This Row],[ProjectName]])*ProjectInfoTable[NumberOfReplications]))</f>
        <v>19</v>
      </c>
      <c r="N380" s="5" cm="1">
        <f t="array" ref="N380">IFERROR(AVERAGE(IF((DiscreteStatsTable[GroupByKey]=DiscreteStatsTable[[#This Row],[GroupByKey]]),(DiscreteStatsTable[GroupByKey]=DiscreteStatsTable[[#This Row],[GroupByKey]])*DiscreteStatsTable[Average])),0)</f>
        <v>0.83518042792693359</v>
      </c>
      <c r="O380" s="5" cm="1">
        <f t="array" ref="O380">IFERROR(_xlfn.STDEV.S(IF((DiscreteStatsTable[GroupByKey]=DiscreteStatsTable[[#This Row],[GroupByKey]]),(DiscreteStatsTable[GroupByKey]=DiscreteStatsTable[[#This Row],[GroupByKey]])*DiscreteStatsTable[Average])),0)</f>
        <v>1.0920918514225872</v>
      </c>
      <c r="P380" s="5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 s="5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0.52637142322864783</v>
      </c>
      <c r="R380" s="5" cm="1">
        <f t="array" ref="R380">MIN(IF((DiscreteStatsTable[GroupByKey]=DiscreteStatsTable[[#This Row],[GroupByKey]]),(DiscreteStatsTable[GroupByKey]=DiscreteStatsTable[[#This Row],[GroupByKey]])*DiscreteStatsTable[Average]))</f>
        <v>0.19671910787576599</v>
      </c>
      <c r="S380" s="5" cm="1">
        <f t="array" ref="S380">MAX(IF((DiscreteStatsTable[GroupByKey]=DiscreteStatsTable[[#This Row],[GroupByKey]]),(DiscreteStatsTable[GroupByKey]=DiscreteStatsTable[[#This Row],[GroupByKey]])*DiscreteStatsTable[Average]))</f>
        <v>4.9105552194345297</v>
      </c>
      <c r="T380" s="5" cm="1">
        <f t="array" ref="T380">MIN(IF((DiscreteStatsTable[GroupByKey]=DiscreteStatsTable[[#This Row],[GroupByKey]]),(DiscreteStatsTable[GroupByKey]=DiscreteStatsTable[[#This Row],[GroupByKey]])*DiscreteStatsTable[Minimum]))</f>
        <v>0.19671910787576599</v>
      </c>
      <c r="U380" s="5" cm="1">
        <f t="array" ref="U380">MAX(IF((DiscreteStatsTable[GroupByKey]=DiscreteStatsTable[[#This Row],[GroupByKey]]),(DiscreteStatsTable[GroupByKey]=DiscreteStatsTable[[#This Row],[GroupByKey]])*DiscreteStatsTable[Maximum]))</f>
        <v>4.9105552194345297</v>
      </c>
      <c r="V380" s="5" cm="1">
        <f t="array" ref="V380">IFERROR(AVERAGE(IF((DiscreteStatsTable[GroupByKey]=DiscreteStatsTable[[#This Row],[GroupByKey]]),(DiscreteStatsTable[GroupByKey]=DiscreteStatsTable[[#This Row],[GroupByKey]])*DiscreteStatsTable[NumberObservations])),0)</f>
        <v>1</v>
      </c>
      <c r="W380" s="5">
        <f>IF((DiscreteStatsTable[[#This Row],[RepsRequested]]&gt;1),DiscreteStatsTable[[#This Row],[HalfWidth]],DiscreteStatsTable[[#This Row],[BatchMeansHalfWidth]])</f>
        <v>0.52637142322864783</v>
      </c>
      <c r="X380" s="5" cm="1">
        <f t="array" ref="X380">COUNT(IF((DiscreteStatsTable[GroupByKey]=DiscreteStatsTable[[#This Row],[GroupByKey]]),(DiscreteStatsTable[GroupByKey]=DiscreteStatsTable[[#This Row],[GroupByKey]])*DiscreteStatsTable[Replication]))</f>
        <v>19</v>
      </c>
      <c r="Y380" s="5">
        <f>IF(DiscreteStatsTable[[#This Row],[RepsRequested]]=DiscreteStatsTable[[#This Row],[RepsWithStatObserved]],1,0)</f>
        <v>1</v>
      </c>
    </row>
    <row r="381" spans="1:25" x14ac:dyDescent="0.25">
      <c r="A381" t="s">
        <v>67</v>
      </c>
      <c r="B381" t="s">
        <v>69</v>
      </c>
      <c r="C381">
        <v>19</v>
      </c>
      <c r="D381" t="s">
        <v>97</v>
      </c>
      <c r="E381" t="s">
        <v>79</v>
      </c>
      <c r="F381" t="s">
        <v>80</v>
      </c>
      <c r="G381">
        <v>0.335360488574383</v>
      </c>
      <c r="H381">
        <v>2E+20</v>
      </c>
      <c r="I381">
        <v>0.335360488574383</v>
      </c>
      <c r="J381">
        <v>0.335360488574383</v>
      </c>
      <c r="K381">
        <v>1</v>
      </c>
      <c r="L38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compartida)FilaCajaH2ExpressionUser Specified</v>
      </c>
      <c r="M381" s="5" cm="1">
        <f t="array" ref="M381">MAX(IF((ProjectInfoTable[ProjectName]=DiscreteStatsTable[[#This Row],[ProjectName]]),(ProjectInfoTable[ProjectName]=DiscreteStatsTable[[#This Row],[ProjectName]])*ProjectInfoTable[NumberOfReplications]))</f>
        <v>19</v>
      </c>
      <c r="N381" s="5" cm="1">
        <f t="array" ref="N381">IFERROR(AVERAGE(IF((DiscreteStatsTable[GroupByKey]=DiscreteStatsTable[[#This Row],[GroupByKey]]),(DiscreteStatsTable[GroupByKey]=DiscreteStatsTable[[#This Row],[GroupByKey]])*DiscreteStatsTable[Average])),0)</f>
        <v>0.83518042792693359</v>
      </c>
      <c r="O381" s="5" cm="1">
        <f t="array" ref="O381">IFERROR(_xlfn.STDEV.S(IF((DiscreteStatsTable[GroupByKey]=DiscreteStatsTable[[#This Row],[GroupByKey]]),(DiscreteStatsTable[GroupByKey]=DiscreteStatsTable[[#This Row],[GroupByKey]])*DiscreteStatsTable[Average])),0)</f>
        <v>1.0920918514225872</v>
      </c>
      <c r="P381" s="5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 s="5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0.52637142322864783</v>
      </c>
      <c r="R381" s="5" cm="1">
        <f t="array" ref="R381">MIN(IF((DiscreteStatsTable[GroupByKey]=DiscreteStatsTable[[#This Row],[GroupByKey]]),(DiscreteStatsTable[GroupByKey]=DiscreteStatsTable[[#This Row],[GroupByKey]])*DiscreteStatsTable[Average]))</f>
        <v>0.19671910787576599</v>
      </c>
      <c r="S381" s="5" cm="1">
        <f t="array" ref="S381">MAX(IF((DiscreteStatsTable[GroupByKey]=DiscreteStatsTable[[#This Row],[GroupByKey]]),(DiscreteStatsTable[GroupByKey]=DiscreteStatsTable[[#This Row],[GroupByKey]])*DiscreteStatsTable[Average]))</f>
        <v>4.9105552194345297</v>
      </c>
      <c r="T381" s="5" cm="1">
        <f t="array" ref="T381">MIN(IF((DiscreteStatsTable[GroupByKey]=DiscreteStatsTable[[#This Row],[GroupByKey]]),(DiscreteStatsTable[GroupByKey]=DiscreteStatsTable[[#This Row],[GroupByKey]])*DiscreteStatsTable[Minimum]))</f>
        <v>0.19671910787576599</v>
      </c>
      <c r="U381" s="5" cm="1">
        <f t="array" ref="U381">MAX(IF((DiscreteStatsTable[GroupByKey]=DiscreteStatsTable[[#This Row],[GroupByKey]]),(DiscreteStatsTable[GroupByKey]=DiscreteStatsTable[[#This Row],[GroupByKey]])*DiscreteStatsTable[Maximum]))</f>
        <v>4.9105552194345297</v>
      </c>
      <c r="V381" s="5" cm="1">
        <f t="array" ref="V381">IFERROR(AVERAGE(IF((DiscreteStatsTable[GroupByKey]=DiscreteStatsTable[[#This Row],[GroupByKey]]),(DiscreteStatsTable[GroupByKey]=DiscreteStatsTable[[#This Row],[GroupByKey]])*DiscreteStatsTable[NumberObservations])),0)</f>
        <v>1</v>
      </c>
      <c r="W381" s="5">
        <f>IF((DiscreteStatsTable[[#This Row],[RepsRequested]]&gt;1),DiscreteStatsTable[[#This Row],[HalfWidth]],DiscreteStatsTable[[#This Row],[BatchMeansHalfWidth]])</f>
        <v>0.52637142322864783</v>
      </c>
      <c r="X381" s="5" cm="1">
        <f t="array" ref="X381">COUNT(IF((DiscreteStatsTable[GroupByKey]=DiscreteStatsTable[[#This Row],[GroupByKey]]),(DiscreteStatsTable[GroupByKey]=DiscreteStatsTable[[#This Row],[GroupByKey]])*DiscreteStatsTable[Replication]))</f>
        <v>19</v>
      </c>
      <c r="Y381" s="5">
        <f>IF(DiscreteStatsTable[[#This Row],[RepsRequested]]=DiscreteStatsTable[[#This Row],[RepsWithStatObserved]],1,0)</f>
        <v>1</v>
      </c>
    </row>
    <row r="382" spans="1:25" x14ac:dyDescent="0.25">
      <c r="A382" t="s">
        <v>67</v>
      </c>
      <c r="B382" t="s">
        <v>69</v>
      </c>
      <c r="C382">
        <v>1</v>
      </c>
      <c r="D382" t="s">
        <v>98</v>
      </c>
      <c r="E382" t="s">
        <v>79</v>
      </c>
      <c r="F382" t="s">
        <v>80</v>
      </c>
      <c r="G382">
        <v>3.6335836290778101</v>
      </c>
      <c r="H382">
        <v>2E+20</v>
      </c>
      <c r="I382">
        <v>3.6335836290778101</v>
      </c>
      <c r="J382">
        <v>3.6335836290778101</v>
      </c>
      <c r="K382">
        <v>1</v>
      </c>
      <c r="L38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compartida)FilaCajaH3ExpressionUser Specified</v>
      </c>
      <c r="M382" s="5" cm="1">
        <f t="array" ref="M382">MAX(IF((ProjectInfoTable[ProjectName]=DiscreteStatsTable[[#This Row],[ProjectName]]),(ProjectInfoTable[ProjectName]=DiscreteStatsTable[[#This Row],[ProjectName]])*ProjectInfoTable[NumberOfReplications]))</f>
        <v>19</v>
      </c>
      <c r="N382" s="5" cm="1">
        <f t="array" ref="N382">IFERROR(AVERAGE(IF((DiscreteStatsTable[GroupByKey]=DiscreteStatsTable[[#This Row],[GroupByKey]]),(DiscreteStatsTable[GroupByKey]=DiscreteStatsTable[[#This Row],[GroupByKey]])*DiscreteStatsTable[Average])),0)</f>
        <v>0.78149191546140195</v>
      </c>
      <c r="O382" s="5" cm="1">
        <f t="array" ref="O382">IFERROR(_xlfn.STDEV.S(IF((DiscreteStatsTable[GroupByKey]=DiscreteStatsTable[[#This Row],[GroupByKey]]),(DiscreteStatsTable[GroupByKey]=DiscreteStatsTable[[#This Row],[GroupByKey]])*DiscreteStatsTable[Average])),0)</f>
        <v>0.76490392090955872</v>
      </c>
      <c r="P382" s="5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 s="5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382" s="5" cm="1">
        <f t="array" ref="R382">MIN(IF((DiscreteStatsTable[GroupByKey]=DiscreteStatsTable[[#This Row],[GroupByKey]]),(DiscreteStatsTable[GroupByKey]=DiscreteStatsTable[[#This Row],[GroupByKey]])*DiscreteStatsTable[Average]))</f>
        <v>0.24910662918173601</v>
      </c>
      <c r="S382" s="5" cm="1">
        <f t="array" ref="S382">MAX(IF((DiscreteStatsTable[GroupByKey]=DiscreteStatsTable[[#This Row],[GroupByKey]]),(DiscreteStatsTable[GroupByKey]=DiscreteStatsTable[[#This Row],[GroupByKey]])*DiscreteStatsTable[Average]))</f>
        <v>3.6335836290778101</v>
      </c>
      <c r="T382" s="5" cm="1">
        <f t="array" ref="T382">MIN(IF((DiscreteStatsTable[GroupByKey]=DiscreteStatsTable[[#This Row],[GroupByKey]]),(DiscreteStatsTable[GroupByKey]=DiscreteStatsTable[[#This Row],[GroupByKey]])*DiscreteStatsTable[Minimum]))</f>
        <v>0.24910662918173601</v>
      </c>
      <c r="U382" s="5" cm="1">
        <f t="array" ref="U382">MAX(IF((DiscreteStatsTable[GroupByKey]=DiscreteStatsTable[[#This Row],[GroupByKey]]),(DiscreteStatsTable[GroupByKey]=DiscreteStatsTable[[#This Row],[GroupByKey]])*DiscreteStatsTable[Maximum]))</f>
        <v>3.6335836290778101</v>
      </c>
      <c r="V382" s="5" cm="1">
        <f t="array" ref="V382">IFERROR(AVERAGE(IF((DiscreteStatsTable[GroupByKey]=DiscreteStatsTable[[#This Row],[GroupByKey]]),(DiscreteStatsTable[GroupByKey]=DiscreteStatsTable[[#This Row],[GroupByKey]])*DiscreteStatsTable[NumberObservations])),0)</f>
        <v>1</v>
      </c>
      <c r="W382" s="5">
        <f>IF((DiscreteStatsTable[[#This Row],[RepsRequested]]&gt;1),DiscreteStatsTable[[#This Row],[HalfWidth]],DiscreteStatsTable[[#This Row],[BatchMeansHalfWidth]])</f>
        <v>0.3686718886858002</v>
      </c>
      <c r="X382" s="5" cm="1">
        <f t="array" ref="X382">COUNT(IF((DiscreteStatsTable[GroupByKey]=DiscreteStatsTable[[#This Row],[GroupByKey]]),(DiscreteStatsTable[GroupByKey]=DiscreteStatsTable[[#This Row],[GroupByKey]])*DiscreteStatsTable[Replication]))</f>
        <v>19</v>
      </c>
      <c r="Y382" s="5">
        <f>IF(DiscreteStatsTable[[#This Row],[RepsRequested]]=DiscreteStatsTable[[#This Row],[RepsWithStatObserved]],1,0)</f>
        <v>1</v>
      </c>
    </row>
    <row r="383" spans="1:25" x14ac:dyDescent="0.25">
      <c r="A383" t="s">
        <v>67</v>
      </c>
      <c r="B383" t="s">
        <v>69</v>
      </c>
      <c r="C383">
        <v>2</v>
      </c>
      <c r="D383" t="s">
        <v>98</v>
      </c>
      <c r="E383" t="s">
        <v>79</v>
      </c>
      <c r="F383" t="s">
        <v>80</v>
      </c>
      <c r="G383">
        <v>0.50978160160577102</v>
      </c>
      <c r="H383">
        <v>2E+20</v>
      </c>
      <c r="I383">
        <v>0.50978160160577102</v>
      </c>
      <c r="J383">
        <v>0.50978160160577102</v>
      </c>
      <c r="K383">
        <v>1</v>
      </c>
      <c r="L38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compartida)FilaCajaH3ExpressionUser Specified</v>
      </c>
      <c r="M383" s="5" cm="1">
        <f t="array" ref="M383">MAX(IF((ProjectInfoTable[ProjectName]=DiscreteStatsTable[[#This Row],[ProjectName]]),(ProjectInfoTable[ProjectName]=DiscreteStatsTable[[#This Row],[ProjectName]])*ProjectInfoTable[NumberOfReplications]))</f>
        <v>19</v>
      </c>
      <c r="N383" s="5" cm="1">
        <f t="array" ref="N383">IFERROR(AVERAGE(IF((DiscreteStatsTable[GroupByKey]=DiscreteStatsTable[[#This Row],[GroupByKey]]),(DiscreteStatsTable[GroupByKey]=DiscreteStatsTable[[#This Row],[GroupByKey]])*DiscreteStatsTable[Average])),0)</f>
        <v>0.78149191546140195</v>
      </c>
      <c r="O383" s="5" cm="1">
        <f t="array" ref="O383">IFERROR(_xlfn.STDEV.S(IF((DiscreteStatsTable[GroupByKey]=DiscreteStatsTable[[#This Row],[GroupByKey]]),(DiscreteStatsTable[GroupByKey]=DiscreteStatsTable[[#This Row],[GroupByKey]])*DiscreteStatsTable[Average])),0)</f>
        <v>0.76490392090955872</v>
      </c>
      <c r="P383" s="5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 s="5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383" s="5" cm="1">
        <f t="array" ref="R383">MIN(IF((DiscreteStatsTable[GroupByKey]=DiscreteStatsTable[[#This Row],[GroupByKey]]),(DiscreteStatsTable[GroupByKey]=DiscreteStatsTable[[#This Row],[GroupByKey]])*DiscreteStatsTable[Average]))</f>
        <v>0.24910662918173601</v>
      </c>
      <c r="S383" s="5" cm="1">
        <f t="array" ref="S383">MAX(IF((DiscreteStatsTable[GroupByKey]=DiscreteStatsTable[[#This Row],[GroupByKey]]),(DiscreteStatsTable[GroupByKey]=DiscreteStatsTable[[#This Row],[GroupByKey]])*DiscreteStatsTable[Average]))</f>
        <v>3.6335836290778101</v>
      </c>
      <c r="T383" s="5" cm="1">
        <f t="array" ref="T383">MIN(IF((DiscreteStatsTable[GroupByKey]=DiscreteStatsTable[[#This Row],[GroupByKey]]),(DiscreteStatsTable[GroupByKey]=DiscreteStatsTable[[#This Row],[GroupByKey]])*DiscreteStatsTable[Minimum]))</f>
        <v>0.24910662918173601</v>
      </c>
      <c r="U383" s="5" cm="1">
        <f t="array" ref="U383">MAX(IF((DiscreteStatsTable[GroupByKey]=DiscreteStatsTable[[#This Row],[GroupByKey]]),(DiscreteStatsTable[GroupByKey]=DiscreteStatsTable[[#This Row],[GroupByKey]])*DiscreteStatsTable[Maximum]))</f>
        <v>3.6335836290778101</v>
      </c>
      <c r="V383" s="5" cm="1">
        <f t="array" ref="V383">IFERROR(AVERAGE(IF((DiscreteStatsTable[GroupByKey]=DiscreteStatsTable[[#This Row],[GroupByKey]]),(DiscreteStatsTable[GroupByKey]=DiscreteStatsTable[[#This Row],[GroupByKey]])*DiscreteStatsTable[NumberObservations])),0)</f>
        <v>1</v>
      </c>
      <c r="W383" s="5">
        <f>IF((DiscreteStatsTable[[#This Row],[RepsRequested]]&gt;1),DiscreteStatsTable[[#This Row],[HalfWidth]],DiscreteStatsTable[[#This Row],[BatchMeansHalfWidth]])</f>
        <v>0.3686718886858002</v>
      </c>
      <c r="X383" s="5" cm="1">
        <f t="array" ref="X383">COUNT(IF((DiscreteStatsTable[GroupByKey]=DiscreteStatsTable[[#This Row],[GroupByKey]]),(DiscreteStatsTable[GroupByKey]=DiscreteStatsTable[[#This Row],[GroupByKey]])*DiscreteStatsTable[Replication]))</f>
        <v>19</v>
      </c>
      <c r="Y383" s="5">
        <f>IF(DiscreteStatsTable[[#This Row],[RepsRequested]]=DiscreteStatsTable[[#This Row],[RepsWithStatObserved]],1,0)</f>
        <v>1</v>
      </c>
    </row>
    <row r="384" spans="1:25" x14ac:dyDescent="0.25">
      <c r="A384" t="s">
        <v>67</v>
      </c>
      <c r="B384" t="s">
        <v>69</v>
      </c>
      <c r="C384">
        <v>3</v>
      </c>
      <c r="D384" t="s">
        <v>98</v>
      </c>
      <c r="E384" t="s">
        <v>79</v>
      </c>
      <c r="F384" t="s">
        <v>80</v>
      </c>
      <c r="G384">
        <v>1.5548313957131701</v>
      </c>
      <c r="H384">
        <v>2E+20</v>
      </c>
      <c r="I384">
        <v>1.5548313957131701</v>
      </c>
      <c r="J384">
        <v>1.5548313957131701</v>
      </c>
      <c r="K384">
        <v>1</v>
      </c>
      <c r="L38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compartida)FilaCajaH3ExpressionUser Specified</v>
      </c>
      <c r="M384" s="5" cm="1">
        <f t="array" ref="M384">MAX(IF((ProjectInfoTable[ProjectName]=DiscreteStatsTable[[#This Row],[ProjectName]]),(ProjectInfoTable[ProjectName]=DiscreteStatsTable[[#This Row],[ProjectName]])*ProjectInfoTable[NumberOfReplications]))</f>
        <v>19</v>
      </c>
      <c r="N384" s="5" cm="1">
        <f t="array" ref="N384">IFERROR(AVERAGE(IF((DiscreteStatsTable[GroupByKey]=DiscreteStatsTable[[#This Row],[GroupByKey]]),(DiscreteStatsTable[GroupByKey]=DiscreteStatsTable[[#This Row],[GroupByKey]])*DiscreteStatsTable[Average])),0)</f>
        <v>0.78149191546140195</v>
      </c>
      <c r="O384" s="5" cm="1">
        <f t="array" ref="O384">IFERROR(_xlfn.STDEV.S(IF((DiscreteStatsTable[GroupByKey]=DiscreteStatsTable[[#This Row],[GroupByKey]]),(DiscreteStatsTable[GroupByKey]=DiscreteStatsTable[[#This Row],[GroupByKey]])*DiscreteStatsTable[Average])),0)</f>
        <v>0.76490392090955872</v>
      </c>
      <c r="P384" s="5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 s="5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384" s="5" cm="1">
        <f t="array" ref="R384">MIN(IF((DiscreteStatsTable[GroupByKey]=DiscreteStatsTable[[#This Row],[GroupByKey]]),(DiscreteStatsTable[GroupByKey]=DiscreteStatsTable[[#This Row],[GroupByKey]])*DiscreteStatsTable[Average]))</f>
        <v>0.24910662918173601</v>
      </c>
      <c r="S384" s="5" cm="1">
        <f t="array" ref="S384">MAX(IF((DiscreteStatsTable[GroupByKey]=DiscreteStatsTable[[#This Row],[GroupByKey]]),(DiscreteStatsTable[GroupByKey]=DiscreteStatsTable[[#This Row],[GroupByKey]])*DiscreteStatsTable[Average]))</f>
        <v>3.6335836290778101</v>
      </c>
      <c r="T384" s="5" cm="1">
        <f t="array" ref="T384">MIN(IF((DiscreteStatsTable[GroupByKey]=DiscreteStatsTable[[#This Row],[GroupByKey]]),(DiscreteStatsTable[GroupByKey]=DiscreteStatsTable[[#This Row],[GroupByKey]])*DiscreteStatsTable[Minimum]))</f>
        <v>0.24910662918173601</v>
      </c>
      <c r="U384" s="5" cm="1">
        <f t="array" ref="U384">MAX(IF((DiscreteStatsTable[GroupByKey]=DiscreteStatsTable[[#This Row],[GroupByKey]]),(DiscreteStatsTable[GroupByKey]=DiscreteStatsTable[[#This Row],[GroupByKey]])*DiscreteStatsTable[Maximum]))</f>
        <v>3.6335836290778101</v>
      </c>
      <c r="V384" s="5" cm="1">
        <f t="array" ref="V384">IFERROR(AVERAGE(IF((DiscreteStatsTable[GroupByKey]=DiscreteStatsTable[[#This Row],[GroupByKey]]),(DiscreteStatsTable[GroupByKey]=DiscreteStatsTable[[#This Row],[GroupByKey]])*DiscreteStatsTable[NumberObservations])),0)</f>
        <v>1</v>
      </c>
      <c r="W384" s="5">
        <f>IF((DiscreteStatsTable[[#This Row],[RepsRequested]]&gt;1),DiscreteStatsTable[[#This Row],[HalfWidth]],DiscreteStatsTable[[#This Row],[BatchMeansHalfWidth]])</f>
        <v>0.3686718886858002</v>
      </c>
      <c r="X384" s="5" cm="1">
        <f t="array" ref="X384">COUNT(IF((DiscreteStatsTable[GroupByKey]=DiscreteStatsTable[[#This Row],[GroupByKey]]),(DiscreteStatsTable[GroupByKey]=DiscreteStatsTable[[#This Row],[GroupByKey]])*DiscreteStatsTable[Replication]))</f>
        <v>19</v>
      </c>
      <c r="Y384" s="5">
        <f>IF(DiscreteStatsTable[[#This Row],[RepsRequested]]=DiscreteStatsTable[[#This Row],[RepsWithStatObserved]],1,0)</f>
        <v>1</v>
      </c>
    </row>
    <row r="385" spans="1:25" x14ac:dyDescent="0.25">
      <c r="A385" t="s">
        <v>67</v>
      </c>
      <c r="B385" t="s">
        <v>69</v>
      </c>
      <c r="C385">
        <v>4</v>
      </c>
      <c r="D385" t="s">
        <v>98</v>
      </c>
      <c r="E385" t="s">
        <v>79</v>
      </c>
      <c r="F385" t="s">
        <v>80</v>
      </c>
      <c r="G385">
        <v>0.32733395472244697</v>
      </c>
      <c r="H385">
        <v>2E+20</v>
      </c>
      <c r="I385">
        <v>0.32733395472244697</v>
      </c>
      <c r="J385">
        <v>0.32733395472244697</v>
      </c>
      <c r="K385">
        <v>1</v>
      </c>
      <c r="L38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compartida)FilaCajaH3ExpressionUser Specified</v>
      </c>
      <c r="M385" s="5" cm="1">
        <f t="array" ref="M385">MAX(IF((ProjectInfoTable[ProjectName]=DiscreteStatsTable[[#This Row],[ProjectName]]),(ProjectInfoTable[ProjectName]=DiscreteStatsTable[[#This Row],[ProjectName]])*ProjectInfoTable[NumberOfReplications]))</f>
        <v>19</v>
      </c>
      <c r="N385" s="5" cm="1">
        <f t="array" ref="N385">IFERROR(AVERAGE(IF((DiscreteStatsTable[GroupByKey]=DiscreteStatsTable[[#This Row],[GroupByKey]]),(DiscreteStatsTable[GroupByKey]=DiscreteStatsTable[[#This Row],[GroupByKey]])*DiscreteStatsTable[Average])),0)</f>
        <v>0.78149191546140195</v>
      </c>
      <c r="O385" s="5" cm="1">
        <f t="array" ref="O385">IFERROR(_xlfn.STDEV.S(IF((DiscreteStatsTable[GroupByKey]=DiscreteStatsTable[[#This Row],[GroupByKey]]),(DiscreteStatsTable[GroupByKey]=DiscreteStatsTable[[#This Row],[GroupByKey]])*DiscreteStatsTable[Average])),0)</f>
        <v>0.76490392090955872</v>
      </c>
      <c r="P385" s="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 s="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385" s="5" cm="1">
        <f t="array" ref="R385">MIN(IF((DiscreteStatsTable[GroupByKey]=DiscreteStatsTable[[#This Row],[GroupByKey]]),(DiscreteStatsTable[GroupByKey]=DiscreteStatsTable[[#This Row],[GroupByKey]])*DiscreteStatsTable[Average]))</f>
        <v>0.24910662918173601</v>
      </c>
      <c r="S385" s="5" cm="1">
        <f t="array" ref="S385">MAX(IF((DiscreteStatsTable[GroupByKey]=DiscreteStatsTable[[#This Row],[GroupByKey]]),(DiscreteStatsTable[GroupByKey]=DiscreteStatsTable[[#This Row],[GroupByKey]])*DiscreteStatsTable[Average]))</f>
        <v>3.6335836290778101</v>
      </c>
      <c r="T385" s="5" cm="1">
        <f t="array" ref="T385">MIN(IF((DiscreteStatsTable[GroupByKey]=DiscreteStatsTable[[#This Row],[GroupByKey]]),(DiscreteStatsTable[GroupByKey]=DiscreteStatsTable[[#This Row],[GroupByKey]])*DiscreteStatsTable[Minimum]))</f>
        <v>0.24910662918173601</v>
      </c>
      <c r="U385" s="5" cm="1">
        <f t="array" ref="U385">MAX(IF((DiscreteStatsTable[GroupByKey]=DiscreteStatsTable[[#This Row],[GroupByKey]]),(DiscreteStatsTable[GroupByKey]=DiscreteStatsTable[[#This Row],[GroupByKey]])*DiscreteStatsTable[Maximum]))</f>
        <v>3.6335836290778101</v>
      </c>
      <c r="V385" s="5" cm="1">
        <f t="array" ref="V385">IFERROR(AVERAGE(IF((DiscreteStatsTable[GroupByKey]=DiscreteStatsTable[[#This Row],[GroupByKey]]),(DiscreteStatsTable[GroupByKey]=DiscreteStatsTable[[#This Row],[GroupByKey]])*DiscreteStatsTable[NumberObservations])),0)</f>
        <v>1</v>
      </c>
      <c r="W385" s="5">
        <f>IF((DiscreteStatsTable[[#This Row],[RepsRequested]]&gt;1),DiscreteStatsTable[[#This Row],[HalfWidth]],DiscreteStatsTable[[#This Row],[BatchMeansHalfWidth]])</f>
        <v>0.3686718886858002</v>
      </c>
      <c r="X385" s="5" cm="1">
        <f t="array" ref="X385">COUNT(IF((DiscreteStatsTable[GroupByKey]=DiscreteStatsTable[[#This Row],[GroupByKey]]),(DiscreteStatsTable[GroupByKey]=DiscreteStatsTable[[#This Row],[GroupByKey]])*DiscreteStatsTable[Replication]))</f>
        <v>19</v>
      </c>
      <c r="Y385" s="5">
        <f>IF(DiscreteStatsTable[[#This Row],[RepsRequested]]=DiscreteStatsTable[[#This Row],[RepsWithStatObserved]],1,0)</f>
        <v>1</v>
      </c>
    </row>
    <row r="386" spans="1:25" x14ac:dyDescent="0.25">
      <c r="A386" t="s">
        <v>67</v>
      </c>
      <c r="B386" t="s">
        <v>69</v>
      </c>
      <c r="C386">
        <v>5</v>
      </c>
      <c r="D386" t="s">
        <v>98</v>
      </c>
      <c r="E386" t="s">
        <v>79</v>
      </c>
      <c r="F386" t="s">
        <v>80</v>
      </c>
      <c r="G386">
        <v>0.26672229382496299</v>
      </c>
      <c r="H386">
        <v>2E+20</v>
      </c>
      <c r="I386">
        <v>0.26672229382496299</v>
      </c>
      <c r="J386">
        <v>0.26672229382496299</v>
      </c>
      <c r="K386">
        <v>1</v>
      </c>
      <c r="L38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compartida)FilaCajaH3ExpressionUser Specified</v>
      </c>
      <c r="M386" s="5" cm="1">
        <f t="array" ref="M386">MAX(IF((ProjectInfoTable[ProjectName]=DiscreteStatsTable[[#This Row],[ProjectName]]),(ProjectInfoTable[ProjectName]=DiscreteStatsTable[[#This Row],[ProjectName]])*ProjectInfoTable[NumberOfReplications]))</f>
        <v>19</v>
      </c>
      <c r="N386" s="5" cm="1">
        <f t="array" ref="N386">IFERROR(AVERAGE(IF((DiscreteStatsTable[GroupByKey]=DiscreteStatsTable[[#This Row],[GroupByKey]]),(DiscreteStatsTable[GroupByKey]=DiscreteStatsTable[[#This Row],[GroupByKey]])*DiscreteStatsTable[Average])),0)</f>
        <v>0.78149191546140195</v>
      </c>
      <c r="O386" s="5" cm="1">
        <f t="array" ref="O386">IFERROR(_xlfn.STDEV.S(IF((DiscreteStatsTable[GroupByKey]=DiscreteStatsTable[[#This Row],[GroupByKey]]),(DiscreteStatsTable[GroupByKey]=DiscreteStatsTable[[#This Row],[GroupByKey]])*DiscreteStatsTable[Average])),0)</f>
        <v>0.76490392090955872</v>
      </c>
      <c r="P386" s="5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 s="5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386" s="5" cm="1">
        <f t="array" ref="R386">MIN(IF((DiscreteStatsTable[GroupByKey]=DiscreteStatsTable[[#This Row],[GroupByKey]]),(DiscreteStatsTable[GroupByKey]=DiscreteStatsTable[[#This Row],[GroupByKey]])*DiscreteStatsTable[Average]))</f>
        <v>0.24910662918173601</v>
      </c>
      <c r="S386" s="5" cm="1">
        <f t="array" ref="S386">MAX(IF((DiscreteStatsTable[GroupByKey]=DiscreteStatsTable[[#This Row],[GroupByKey]]),(DiscreteStatsTable[GroupByKey]=DiscreteStatsTable[[#This Row],[GroupByKey]])*DiscreteStatsTable[Average]))</f>
        <v>3.6335836290778101</v>
      </c>
      <c r="T386" s="5" cm="1">
        <f t="array" ref="T386">MIN(IF((DiscreteStatsTable[GroupByKey]=DiscreteStatsTable[[#This Row],[GroupByKey]]),(DiscreteStatsTable[GroupByKey]=DiscreteStatsTable[[#This Row],[GroupByKey]])*DiscreteStatsTable[Minimum]))</f>
        <v>0.24910662918173601</v>
      </c>
      <c r="U386" s="5" cm="1">
        <f t="array" ref="U386">MAX(IF((DiscreteStatsTable[GroupByKey]=DiscreteStatsTable[[#This Row],[GroupByKey]]),(DiscreteStatsTable[GroupByKey]=DiscreteStatsTable[[#This Row],[GroupByKey]])*DiscreteStatsTable[Maximum]))</f>
        <v>3.6335836290778101</v>
      </c>
      <c r="V386" s="5" cm="1">
        <f t="array" ref="V386">IFERROR(AVERAGE(IF((DiscreteStatsTable[GroupByKey]=DiscreteStatsTable[[#This Row],[GroupByKey]]),(DiscreteStatsTable[GroupByKey]=DiscreteStatsTable[[#This Row],[GroupByKey]])*DiscreteStatsTable[NumberObservations])),0)</f>
        <v>1</v>
      </c>
      <c r="W386" s="5">
        <f>IF((DiscreteStatsTable[[#This Row],[RepsRequested]]&gt;1),DiscreteStatsTable[[#This Row],[HalfWidth]],DiscreteStatsTable[[#This Row],[BatchMeansHalfWidth]])</f>
        <v>0.3686718886858002</v>
      </c>
      <c r="X386" s="5" cm="1">
        <f t="array" ref="X386">COUNT(IF((DiscreteStatsTable[GroupByKey]=DiscreteStatsTable[[#This Row],[GroupByKey]]),(DiscreteStatsTable[GroupByKey]=DiscreteStatsTable[[#This Row],[GroupByKey]])*DiscreteStatsTable[Replication]))</f>
        <v>19</v>
      </c>
      <c r="Y386" s="5">
        <f>IF(DiscreteStatsTable[[#This Row],[RepsRequested]]=DiscreteStatsTable[[#This Row],[RepsWithStatObserved]],1,0)</f>
        <v>1</v>
      </c>
    </row>
    <row r="387" spans="1:25" x14ac:dyDescent="0.25">
      <c r="A387" t="s">
        <v>67</v>
      </c>
      <c r="B387" t="s">
        <v>69</v>
      </c>
      <c r="C387">
        <v>6</v>
      </c>
      <c r="D387" t="s">
        <v>98</v>
      </c>
      <c r="E387" t="s">
        <v>79</v>
      </c>
      <c r="F387" t="s">
        <v>80</v>
      </c>
      <c r="G387">
        <v>0.264570359205751</v>
      </c>
      <c r="H387">
        <v>2E+20</v>
      </c>
      <c r="I387">
        <v>0.264570359205751</v>
      </c>
      <c r="J387">
        <v>0.264570359205751</v>
      </c>
      <c r="K387">
        <v>1</v>
      </c>
      <c r="L38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compartida)FilaCajaH3ExpressionUser Specified</v>
      </c>
      <c r="M387" s="5" cm="1">
        <f t="array" ref="M387">MAX(IF((ProjectInfoTable[ProjectName]=DiscreteStatsTable[[#This Row],[ProjectName]]),(ProjectInfoTable[ProjectName]=DiscreteStatsTable[[#This Row],[ProjectName]])*ProjectInfoTable[NumberOfReplications]))</f>
        <v>19</v>
      </c>
      <c r="N387" s="5" cm="1">
        <f t="array" ref="N387">IFERROR(AVERAGE(IF((DiscreteStatsTable[GroupByKey]=DiscreteStatsTable[[#This Row],[GroupByKey]]),(DiscreteStatsTable[GroupByKey]=DiscreteStatsTable[[#This Row],[GroupByKey]])*DiscreteStatsTable[Average])),0)</f>
        <v>0.78149191546140195</v>
      </c>
      <c r="O387" s="5" cm="1">
        <f t="array" ref="O387">IFERROR(_xlfn.STDEV.S(IF((DiscreteStatsTable[GroupByKey]=DiscreteStatsTable[[#This Row],[GroupByKey]]),(DiscreteStatsTable[GroupByKey]=DiscreteStatsTable[[#This Row],[GroupByKey]])*DiscreteStatsTable[Average])),0)</f>
        <v>0.76490392090955872</v>
      </c>
      <c r="P387" s="5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 s="5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387" s="5" cm="1">
        <f t="array" ref="R387">MIN(IF((DiscreteStatsTable[GroupByKey]=DiscreteStatsTable[[#This Row],[GroupByKey]]),(DiscreteStatsTable[GroupByKey]=DiscreteStatsTable[[#This Row],[GroupByKey]])*DiscreteStatsTable[Average]))</f>
        <v>0.24910662918173601</v>
      </c>
      <c r="S387" s="5" cm="1">
        <f t="array" ref="S387">MAX(IF((DiscreteStatsTable[GroupByKey]=DiscreteStatsTable[[#This Row],[GroupByKey]]),(DiscreteStatsTable[GroupByKey]=DiscreteStatsTable[[#This Row],[GroupByKey]])*DiscreteStatsTable[Average]))</f>
        <v>3.6335836290778101</v>
      </c>
      <c r="T387" s="5" cm="1">
        <f t="array" ref="T387">MIN(IF((DiscreteStatsTable[GroupByKey]=DiscreteStatsTable[[#This Row],[GroupByKey]]),(DiscreteStatsTable[GroupByKey]=DiscreteStatsTable[[#This Row],[GroupByKey]])*DiscreteStatsTable[Minimum]))</f>
        <v>0.24910662918173601</v>
      </c>
      <c r="U387" s="5" cm="1">
        <f t="array" ref="U387">MAX(IF((DiscreteStatsTable[GroupByKey]=DiscreteStatsTable[[#This Row],[GroupByKey]]),(DiscreteStatsTable[GroupByKey]=DiscreteStatsTable[[#This Row],[GroupByKey]])*DiscreteStatsTable[Maximum]))</f>
        <v>3.6335836290778101</v>
      </c>
      <c r="V387" s="5" cm="1">
        <f t="array" ref="V387">IFERROR(AVERAGE(IF((DiscreteStatsTable[GroupByKey]=DiscreteStatsTable[[#This Row],[GroupByKey]]),(DiscreteStatsTable[GroupByKey]=DiscreteStatsTable[[#This Row],[GroupByKey]])*DiscreteStatsTable[NumberObservations])),0)</f>
        <v>1</v>
      </c>
      <c r="W387" s="5">
        <f>IF((DiscreteStatsTable[[#This Row],[RepsRequested]]&gt;1),DiscreteStatsTable[[#This Row],[HalfWidth]],DiscreteStatsTable[[#This Row],[BatchMeansHalfWidth]])</f>
        <v>0.3686718886858002</v>
      </c>
      <c r="X387" s="5" cm="1">
        <f t="array" ref="X387">COUNT(IF((DiscreteStatsTable[GroupByKey]=DiscreteStatsTable[[#This Row],[GroupByKey]]),(DiscreteStatsTable[GroupByKey]=DiscreteStatsTable[[#This Row],[GroupByKey]])*DiscreteStatsTable[Replication]))</f>
        <v>19</v>
      </c>
      <c r="Y387" s="5">
        <f>IF(DiscreteStatsTable[[#This Row],[RepsRequested]]=DiscreteStatsTable[[#This Row],[RepsWithStatObserved]],1,0)</f>
        <v>1</v>
      </c>
    </row>
    <row r="388" spans="1:25" x14ac:dyDescent="0.25">
      <c r="A388" t="s">
        <v>67</v>
      </c>
      <c r="B388" t="s">
        <v>69</v>
      </c>
      <c r="C388">
        <v>7</v>
      </c>
      <c r="D388" t="s">
        <v>98</v>
      </c>
      <c r="E388" t="s">
        <v>79</v>
      </c>
      <c r="F388" t="s">
        <v>80</v>
      </c>
      <c r="G388">
        <v>0.47655011559389299</v>
      </c>
      <c r="H388">
        <v>2E+20</v>
      </c>
      <c r="I388">
        <v>0.47655011559389299</v>
      </c>
      <c r="J388">
        <v>0.47655011559389299</v>
      </c>
      <c r="K388">
        <v>1</v>
      </c>
      <c r="L38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compartida)FilaCajaH3ExpressionUser Specified</v>
      </c>
      <c r="M388" s="5" cm="1">
        <f t="array" ref="M388">MAX(IF((ProjectInfoTable[ProjectName]=DiscreteStatsTable[[#This Row],[ProjectName]]),(ProjectInfoTable[ProjectName]=DiscreteStatsTable[[#This Row],[ProjectName]])*ProjectInfoTable[NumberOfReplications]))</f>
        <v>19</v>
      </c>
      <c r="N388" s="5" cm="1">
        <f t="array" ref="N388">IFERROR(AVERAGE(IF((DiscreteStatsTable[GroupByKey]=DiscreteStatsTable[[#This Row],[GroupByKey]]),(DiscreteStatsTable[GroupByKey]=DiscreteStatsTable[[#This Row],[GroupByKey]])*DiscreteStatsTable[Average])),0)</f>
        <v>0.78149191546140195</v>
      </c>
      <c r="O388" s="5" cm="1">
        <f t="array" ref="O388">IFERROR(_xlfn.STDEV.S(IF((DiscreteStatsTable[GroupByKey]=DiscreteStatsTable[[#This Row],[GroupByKey]]),(DiscreteStatsTable[GroupByKey]=DiscreteStatsTable[[#This Row],[GroupByKey]])*DiscreteStatsTable[Average])),0)</f>
        <v>0.76490392090955872</v>
      </c>
      <c r="P388" s="5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 s="5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388" s="5" cm="1">
        <f t="array" ref="R388">MIN(IF((DiscreteStatsTable[GroupByKey]=DiscreteStatsTable[[#This Row],[GroupByKey]]),(DiscreteStatsTable[GroupByKey]=DiscreteStatsTable[[#This Row],[GroupByKey]])*DiscreteStatsTable[Average]))</f>
        <v>0.24910662918173601</v>
      </c>
      <c r="S388" s="5" cm="1">
        <f t="array" ref="S388">MAX(IF((DiscreteStatsTable[GroupByKey]=DiscreteStatsTable[[#This Row],[GroupByKey]]),(DiscreteStatsTable[GroupByKey]=DiscreteStatsTable[[#This Row],[GroupByKey]])*DiscreteStatsTable[Average]))</f>
        <v>3.6335836290778101</v>
      </c>
      <c r="T388" s="5" cm="1">
        <f t="array" ref="T388">MIN(IF((DiscreteStatsTable[GroupByKey]=DiscreteStatsTable[[#This Row],[GroupByKey]]),(DiscreteStatsTable[GroupByKey]=DiscreteStatsTable[[#This Row],[GroupByKey]])*DiscreteStatsTable[Minimum]))</f>
        <v>0.24910662918173601</v>
      </c>
      <c r="U388" s="5" cm="1">
        <f t="array" ref="U388">MAX(IF((DiscreteStatsTable[GroupByKey]=DiscreteStatsTable[[#This Row],[GroupByKey]]),(DiscreteStatsTable[GroupByKey]=DiscreteStatsTable[[#This Row],[GroupByKey]])*DiscreteStatsTable[Maximum]))</f>
        <v>3.6335836290778101</v>
      </c>
      <c r="V388" s="5" cm="1">
        <f t="array" ref="V388">IFERROR(AVERAGE(IF((DiscreteStatsTable[GroupByKey]=DiscreteStatsTable[[#This Row],[GroupByKey]]),(DiscreteStatsTable[GroupByKey]=DiscreteStatsTable[[#This Row],[GroupByKey]])*DiscreteStatsTable[NumberObservations])),0)</f>
        <v>1</v>
      </c>
      <c r="W388" s="5">
        <f>IF((DiscreteStatsTable[[#This Row],[RepsRequested]]&gt;1),DiscreteStatsTable[[#This Row],[HalfWidth]],DiscreteStatsTable[[#This Row],[BatchMeansHalfWidth]])</f>
        <v>0.3686718886858002</v>
      </c>
      <c r="X388" s="5" cm="1">
        <f t="array" ref="X388">COUNT(IF((DiscreteStatsTable[GroupByKey]=DiscreteStatsTable[[#This Row],[GroupByKey]]),(DiscreteStatsTable[GroupByKey]=DiscreteStatsTable[[#This Row],[GroupByKey]])*DiscreteStatsTable[Replication]))</f>
        <v>19</v>
      </c>
      <c r="Y388" s="5">
        <f>IF(DiscreteStatsTable[[#This Row],[RepsRequested]]=DiscreteStatsTable[[#This Row],[RepsWithStatObserved]],1,0)</f>
        <v>1</v>
      </c>
    </row>
    <row r="389" spans="1:25" x14ac:dyDescent="0.25">
      <c r="A389" t="s">
        <v>67</v>
      </c>
      <c r="B389" t="s">
        <v>69</v>
      </c>
      <c r="C389">
        <v>8</v>
      </c>
      <c r="D389" t="s">
        <v>98</v>
      </c>
      <c r="E389" t="s">
        <v>79</v>
      </c>
      <c r="F389" t="s">
        <v>80</v>
      </c>
      <c r="G389">
        <v>0.75130528662017104</v>
      </c>
      <c r="H389">
        <v>2E+20</v>
      </c>
      <c r="I389">
        <v>0.75130528662017104</v>
      </c>
      <c r="J389">
        <v>0.75130528662017104</v>
      </c>
      <c r="K389">
        <v>1</v>
      </c>
      <c r="L38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compartida)FilaCajaH3ExpressionUser Specified</v>
      </c>
      <c r="M389" s="5" cm="1">
        <f t="array" ref="M389">MAX(IF((ProjectInfoTable[ProjectName]=DiscreteStatsTable[[#This Row],[ProjectName]]),(ProjectInfoTable[ProjectName]=DiscreteStatsTable[[#This Row],[ProjectName]])*ProjectInfoTable[NumberOfReplications]))</f>
        <v>19</v>
      </c>
      <c r="N389" s="5" cm="1">
        <f t="array" ref="N389">IFERROR(AVERAGE(IF((DiscreteStatsTable[GroupByKey]=DiscreteStatsTable[[#This Row],[GroupByKey]]),(DiscreteStatsTable[GroupByKey]=DiscreteStatsTable[[#This Row],[GroupByKey]])*DiscreteStatsTable[Average])),0)</f>
        <v>0.78149191546140195</v>
      </c>
      <c r="O389" s="5" cm="1">
        <f t="array" ref="O389">IFERROR(_xlfn.STDEV.S(IF((DiscreteStatsTable[GroupByKey]=DiscreteStatsTable[[#This Row],[GroupByKey]]),(DiscreteStatsTable[GroupByKey]=DiscreteStatsTable[[#This Row],[GroupByKey]])*DiscreteStatsTable[Average])),0)</f>
        <v>0.76490392090955872</v>
      </c>
      <c r="P389" s="5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 s="5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389" s="5" cm="1">
        <f t="array" ref="R389">MIN(IF((DiscreteStatsTable[GroupByKey]=DiscreteStatsTable[[#This Row],[GroupByKey]]),(DiscreteStatsTable[GroupByKey]=DiscreteStatsTable[[#This Row],[GroupByKey]])*DiscreteStatsTable[Average]))</f>
        <v>0.24910662918173601</v>
      </c>
      <c r="S389" s="5" cm="1">
        <f t="array" ref="S389">MAX(IF((DiscreteStatsTable[GroupByKey]=DiscreteStatsTable[[#This Row],[GroupByKey]]),(DiscreteStatsTable[GroupByKey]=DiscreteStatsTable[[#This Row],[GroupByKey]])*DiscreteStatsTable[Average]))</f>
        <v>3.6335836290778101</v>
      </c>
      <c r="T389" s="5" cm="1">
        <f t="array" ref="T389">MIN(IF((DiscreteStatsTable[GroupByKey]=DiscreteStatsTable[[#This Row],[GroupByKey]]),(DiscreteStatsTable[GroupByKey]=DiscreteStatsTable[[#This Row],[GroupByKey]])*DiscreteStatsTable[Minimum]))</f>
        <v>0.24910662918173601</v>
      </c>
      <c r="U389" s="5" cm="1">
        <f t="array" ref="U389">MAX(IF((DiscreteStatsTable[GroupByKey]=DiscreteStatsTable[[#This Row],[GroupByKey]]),(DiscreteStatsTable[GroupByKey]=DiscreteStatsTable[[#This Row],[GroupByKey]])*DiscreteStatsTable[Maximum]))</f>
        <v>3.6335836290778101</v>
      </c>
      <c r="V389" s="5" cm="1">
        <f t="array" ref="V389">IFERROR(AVERAGE(IF((DiscreteStatsTable[GroupByKey]=DiscreteStatsTable[[#This Row],[GroupByKey]]),(DiscreteStatsTable[GroupByKey]=DiscreteStatsTable[[#This Row],[GroupByKey]])*DiscreteStatsTable[NumberObservations])),0)</f>
        <v>1</v>
      </c>
      <c r="W389" s="5">
        <f>IF((DiscreteStatsTable[[#This Row],[RepsRequested]]&gt;1),DiscreteStatsTable[[#This Row],[HalfWidth]],DiscreteStatsTable[[#This Row],[BatchMeansHalfWidth]])</f>
        <v>0.3686718886858002</v>
      </c>
      <c r="X389" s="5" cm="1">
        <f t="array" ref="X389">COUNT(IF((DiscreteStatsTable[GroupByKey]=DiscreteStatsTable[[#This Row],[GroupByKey]]),(DiscreteStatsTable[GroupByKey]=DiscreteStatsTable[[#This Row],[GroupByKey]])*DiscreteStatsTable[Replication]))</f>
        <v>19</v>
      </c>
      <c r="Y389" s="5">
        <f>IF(DiscreteStatsTable[[#This Row],[RepsRequested]]=DiscreteStatsTable[[#This Row],[RepsWithStatObserved]],1,0)</f>
        <v>1</v>
      </c>
    </row>
    <row r="390" spans="1:25" x14ac:dyDescent="0.25">
      <c r="A390" t="s">
        <v>67</v>
      </c>
      <c r="B390" t="s">
        <v>69</v>
      </c>
      <c r="C390">
        <v>9</v>
      </c>
      <c r="D390" t="s">
        <v>98</v>
      </c>
      <c r="E390" t="s">
        <v>79</v>
      </c>
      <c r="F390" t="s">
        <v>80</v>
      </c>
      <c r="G390">
        <v>0.380575983419984</v>
      </c>
      <c r="H390">
        <v>2E+20</v>
      </c>
      <c r="I390">
        <v>0.380575983419984</v>
      </c>
      <c r="J390">
        <v>0.380575983419984</v>
      </c>
      <c r="K390">
        <v>1</v>
      </c>
      <c r="L39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compartida)FilaCajaH3ExpressionUser Specified</v>
      </c>
      <c r="M390" s="5" cm="1">
        <f t="array" ref="M390">MAX(IF((ProjectInfoTable[ProjectName]=DiscreteStatsTable[[#This Row],[ProjectName]]),(ProjectInfoTable[ProjectName]=DiscreteStatsTable[[#This Row],[ProjectName]])*ProjectInfoTable[NumberOfReplications]))</f>
        <v>19</v>
      </c>
      <c r="N390" s="5" cm="1">
        <f t="array" ref="N390">IFERROR(AVERAGE(IF((DiscreteStatsTable[GroupByKey]=DiscreteStatsTable[[#This Row],[GroupByKey]]),(DiscreteStatsTable[GroupByKey]=DiscreteStatsTable[[#This Row],[GroupByKey]])*DiscreteStatsTable[Average])),0)</f>
        <v>0.78149191546140195</v>
      </c>
      <c r="O390" s="5" cm="1">
        <f t="array" ref="O390">IFERROR(_xlfn.STDEV.S(IF((DiscreteStatsTable[GroupByKey]=DiscreteStatsTable[[#This Row],[GroupByKey]]),(DiscreteStatsTable[GroupByKey]=DiscreteStatsTable[[#This Row],[GroupByKey]])*DiscreteStatsTable[Average])),0)</f>
        <v>0.76490392090955872</v>
      </c>
      <c r="P390" s="5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 s="5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390" s="5" cm="1">
        <f t="array" ref="R390">MIN(IF((DiscreteStatsTable[GroupByKey]=DiscreteStatsTable[[#This Row],[GroupByKey]]),(DiscreteStatsTable[GroupByKey]=DiscreteStatsTable[[#This Row],[GroupByKey]])*DiscreteStatsTable[Average]))</f>
        <v>0.24910662918173601</v>
      </c>
      <c r="S390" s="5" cm="1">
        <f t="array" ref="S390">MAX(IF((DiscreteStatsTable[GroupByKey]=DiscreteStatsTable[[#This Row],[GroupByKey]]),(DiscreteStatsTable[GroupByKey]=DiscreteStatsTable[[#This Row],[GroupByKey]])*DiscreteStatsTable[Average]))</f>
        <v>3.6335836290778101</v>
      </c>
      <c r="T390" s="5" cm="1">
        <f t="array" ref="T390">MIN(IF((DiscreteStatsTable[GroupByKey]=DiscreteStatsTable[[#This Row],[GroupByKey]]),(DiscreteStatsTable[GroupByKey]=DiscreteStatsTable[[#This Row],[GroupByKey]])*DiscreteStatsTable[Minimum]))</f>
        <v>0.24910662918173601</v>
      </c>
      <c r="U390" s="5" cm="1">
        <f t="array" ref="U390">MAX(IF((DiscreteStatsTable[GroupByKey]=DiscreteStatsTable[[#This Row],[GroupByKey]]),(DiscreteStatsTable[GroupByKey]=DiscreteStatsTable[[#This Row],[GroupByKey]])*DiscreteStatsTable[Maximum]))</f>
        <v>3.6335836290778101</v>
      </c>
      <c r="V390" s="5" cm="1">
        <f t="array" ref="V390">IFERROR(AVERAGE(IF((DiscreteStatsTable[GroupByKey]=DiscreteStatsTable[[#This Row],[GroupByKey]]),(DiscreteStatsTable[GroupByKey]=DiscreteStatsTable[[#This Row],[GroupByKey]])*DiscreteStatsTable[NumberObservations])),0)</f>
        <v>1</v>
      </c>
      <c r="W390" s="5">
        <f>IF((DiscreteStatsTable[[#This Row],[RepsRequested]]&gt;1),DiscreteStatsTable[[#This Row],[HalfWidth]],DiscreteStatsTable[[#This Row],[BatchMeansHalfWidth]])</f>
        <v>0.3686718886858002</v>
      </c>
      <c r="X390" s="5" cm="1">
        <f t="array" ref="X390">COUNT(IF((DiscreteStatsTable[GroupByKey]=DiscreteStatsTable[[#This Row],[GroupByKey]]),(DiscreteStatsTable[GroupByKey]=DiscreteStatsTable[[#This Row],[GroupByKey]])*DiscreteStatsTable[Replication]))</f>
        <v>19</v>
      </c>
      <c r="Y390" s="5">
        <f>IF(DiscreteStatsTable[[#This Row],[RepsRequested]]=DiscreteStatsTable[[#This Row],[RepsWithStatObserved]],1,0)</f>
        <v>1</v>
      </c>
    </row>
    <row r="391" spans="1:25" x14ac:dyDescent="0.25">
      <c r="A391" t="s">
        <v>67</v>
      </c>
      <c r="B391" t="s">
        <v>69</v>
      </c>
      <c r="C391">
        <v>10</v>
      </c>
      <c r="D391" t="s">
        <v>98</v>
      </c>
      <c r="E391" t="s">
        <v>79</v>
      </c>
      <c r="F391" t="s">
        <v>80</v>
      </c>
      <c r="G391">
        <v>1.0278119850307299</v>
      </c>
      <c r="H391">
        <v>2E+20</v>
      </c>
      <c r="I391">
        <v>1.0278119850307299</v>
      </c>
      <c r="J391">
        <v>1.0278119850307299</v>
      </c>
      <c r="K391">
        <v>1</v>
      </c>
      <c r="L39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compartida)FilaCajaH3ExpressionUser Specified</v>
      </c>
      <c r="M391" s="5" cm="1">
        <f t="array" ref="M391">MAX(IF((ProjectInfoTable[ProjectName]=DiscreteStatsTable[[#This Row],[ProjectName]]),(ProjectInfoTable[ProjectName]=DiscreteStatsTable[[#This Row],[ProjectName]])*ProjectInfoTable[NumberOfReplications]))</f>
        <v>19</v>
      </c>
      <c r="N391" s="5" cm="1">
        <f t="array" ref="N391">IFERROR(AVERAGE(IF((DiscreteStatsTable[GroupByKey]=DiscreteStatsTable[[#This Row],[GroupByKey]]),(DiscreteStatsTable[GroupByKey]=DiscreteStatsTable[[#This Row],[GroupByKey]])*DiscreteStatsTable[Average])),0)</f>
        <v>0.78149191546140195</v>
      </c>
      <c r="O391" s="5" cm="1">
        <f t="array" ref="O391">IFERROR(_xlfn.STDEV.S(IF((DiscreteStatsTable[GroupByKey]=DiscreteStatsTable[[#This Row],[GroupByKey]]),(DiscreteStatsTable[GroupByKey]=DiscreteStatsTable[[#This Row],[GroupByKey]])*DiscreteStatsTable[Average])),0)</f>
        <v>0.76490392090955872</v>
      </c>
      <c r="P391" s="5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 s="5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391" s="5" cm="1">
        <f t="array" ref="R391">MIN(IF((DiscreteStatsTable[GroupByKey]=DiscreteStatsTable[[#This Row],[GroupByKey]]),(DiscreteStatsTable[GroupByKey]=DiscreteStatsTable[[#This Row],[GroupByKey]])*DiscreteStatsTable[Average]))</f>
        <v>0.24910662918173601</v>
      </c>
      <c r="S391" s="5" cm="1">
        <f t="array" ref="S391">MAX(IF((DiscreteStatsTable[GroupByKey]=DiscreteStatsTable[[#This Row],[GroupByKey]]),(DiscreteStatsTable[GroupByKey]=DiscreteStatsTable[[#This Row],[GroupByKey]])*DiscreteStatsTable[Average]))</f>
        <v>3.6335836290778101</v>
      </c>
      <c r="T391" s="5" cm="1">
        <f t="array" ref="T391">MIN(IF((DiscreteStatsTable[GroupByKey]=DiscreteStatsTable[[#This Row],[GroupByKey]]),(DiscreteStatsTable[GroupByKey]=DiscreteStatsTable[[#This Row],[GroupByKey]])*DiscreteStatsTable[Minimum]))</f>
        <v>0.24910662918173601</v>
      </c>
      <c r="U391" s="5" cm="1">
        <f t="array" ref="U391">MAX(IF((DiscreteStatsTable[GroupByKey]=DiscreteStatsTable[[#This Row],[GroupByKey]]),(DiscreteStatsTable[GroupByKey]=DiscreteStatsTable[[#This Row],[GroupByKey]])*DiscreteStatsTable[Maximum]))</f>
        <v>3.6335836290778101</v>
      </c>
      <c r="V391" s="5" cm="1">
        <f t="array" ref="V391">IFERROR(AVERAGE(IF((DiscreteStatsTable[GroupByKey]=DiscreteStatsTable[[#This Row],[GroupByKey]]),(DiscreteStatsTable[GroupByKey]=DiscreteStatsTable[[#This Row],[GroupByKey]])*DiscreteStatsTable[NumberObservations])),0)</f>
        <v>1</v>
      </c>
      <c r="W391" s="5">
        <f>IF((DiscreteStatsTable[[#This Row],[RepsRequested]]&gt;1),DiscreteStatsTable[[#This Row],[HalfWidth]],DiscreteStatsTable[[#This Row],[BatchMeansHalfWidth]])</f>
        <v>0.3686718886858002</v>
      </c>
      <c r="X391" s="5" cm="1">
        <f t="array" ref="X391">COUNT(IF((DiscreteStatsTable[GroupByKey]=DiscreteStatsTable[[#This Row],[GroupByKey]]),(DiscreteStatsTable[GroupByKey]=DiscreteStatsTable[[#This Row],[GroupByKey]])*DiscreteStatsTable[Replication]))</f>
        <v>19</v>
      </c>
      <c r="Y391" s="5">
        <f>IF(DiscreteStatsTable[[#This Row],[RepsRequested]]=DiscreteStatsTable[[#This Row],[RepsWithStatObserved]],1,0)</f>
        <v>1</v>
      </c>
    </row>
    <row r="392" spans="1:25" x14ac:dyDescent="0.25">
      <c r="A392" t="s">
        <v>67</v>
      </c>
      <c r="B392" t="s">
        <v>69</v>
      </c>
      <c r="C392">
        <v>11</v>
      </c>
      <c r="D392" t="s">
        <v>98</v>
      </c>
      <c r="E392" t="s">
        <v>79</v>
      </c>
      <c r="F392" t="s">
        <v>80</v>
      </c>
      <c r="G392">
        <v>0.64951868937698198</v>
      </c>
      <c r="H392">
        <v>2E+20</v>
      </c>
      <c r="I392">
        <v>0.64951868937698198</v>
      </c>
      <c r="J392">
        <v>0.64951868937698198</v>
      </c>
      <c r="K392">
        <v>1</v>
      </c>
      <c r="L39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compartida)FilaCajaH3ExpressionUser Specified</v>
      </c>
      <c r="M392" s="5" cm="1">
        <f t="array" ref="M392">MAX(IF((ProjectInfoTable[ProjectName]=DiscreteStatsTable[[#This Row],[ProjectName]]),(ProjectInfoTable[ProjectName]=DiscreteStatsTable[[#This Row],[ProjectName]])*ProjectInfoTable[NumberOfReplications]))</f>
        <v>19</v>
      </c>
      <c r="N392" s="5" cm="1">
        <f t="array" ref="N392">IFERROR(AVERAGE(IF((DiscreteStatsTable[GroupByKey]=DiscreteStatsTable[[#This Row],[GroupByKey]]),(DiscreteStatsTable[GroupByKey]=DiscreteStatsTable[[#This Row],[GroupByKey]])*DiscreteStatsTable[Average])),0)</f>
        <v>0.78149191546140195</v>
      </c>
      <c r="O392" s="5" cm="1">
        <f t="array" ref="O392">IFERROR(_xlfn.STDEV.S(IF((DiscreteStatsTable[GroupByKey]=DiscreteStatsTable[[#This Row],[GroupByKey]]),(DiscreteStatsTable[GroupByKey]=DiscreteStatsTable[[#This Row],[GroupByKey]])*DiscreteStatsTable[Average])),0)</f>
        <v>0.76490392090955872</v>
      </c>
      <c r="P392" s="5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 s="5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392" s="5" cm="1">
        <f t="array" ref="R392">MIN(IF((DiscreteStatsTable[GroupByKey]=DiscreteStatsTable[[#This Row],[GroupByKey]]),(DiscreteStatsTable[GroupByKey]=DiscreteStatsTable[[#This Row],[GroupByKey]])*DiscreteStatsTable[Average]))</f>
        <v>0.24910662918173601</v>
      </c>
      <c r="S392" s="5" cm="1">
        <f t="array" ref="S392">MAX(IF((DiscreteStatsTable[GroupByKey]=DiscreteStatsTable[[#This Row],[GroupByKey]]),(DiscreteStatsTable[GroupByKey]=DiscreteStatsTable[[#This Row],[GroupByKey]])*DiscreteStatsTable[Average]))</f>
        <v>3.6335836290778101</v>
      </c>
      <c r="T392" s="5" cm="1">
        <f t="array" ref="T392">MIN(IF((DiscreteStatsTable[GroupByKey]=DiscreteStatsTable[[#This Row],[GroupByKey]]),(DiscreteStatsTable[GroupByKey]=DiscreteStatsTable[[#This Row],[GroupByKey]])*DiscreteStatsTable[Minimum]))</f>
        <v>0.24910662918173601</v>
      </c>
      <c r="U392" s="5" cm="1">
        <f t="array" ref="U392">MAX(IF((DiscreteStatsTable[GroupByKey]=DiscreteStatsTable[[#This Row],[GroupByKey]]),(DiscreteStatsTable[GroupByKey]=DiscreteStatsTable[[#This Row],[GroupByKey]])*DiscreteStatsTable[Maximum]))</f>
        <v>3.6335836290778101</v>
      </c>
      <c r="V392" s="5" cm="1">
        <f t="array" ref="V392">IFERROR(AVERAGE(IF((DiscreteStatsTable[GroupByKey]=DiscreteStatsTable[[#This Row],[GroupByKey]]),(DiscreteStatsTable[GroupByKey]=DiscreteStatsTable[[#This Row],[GroupByKey]])*DiscreteStatsTable[NumberObservations])),0)</f>
        <v>1</v>
      </c>
      <c r="W392" s="5">
        <f>IF((DiscreteStatsTable[[#This Row],[RepsRequested]]&gt;1),DiscreteStatsTable[[#This Row],[HalfWidth]],DiscreteStatsTable[[#This Row],[BatchMeansHalfWidth]])</f>
        <v>0.3686718886858002</v>
      </c>
      <c r="X392" s="5" cm="1">
        <f t="array" ref="X392">COUNT(IF((DiscreteStatsTable[GroupByKey]=DiscreteStatsTable[[#This Row],[GroupByKey]]),(DiscreteStatsTable[GroupByKey]=DiscreteStatsTable[[#This Row],[GroupByKey]])*DiscreteStatsTable[Replication]))</f>
        <v>19</v>
      </c>
      <c r="Y392" s="5">
        <f>IF(DiscreteStatsTable[[#This Row],[RepsRequested]]=DiscreteStatsTable[[#This Row],[RepsWithStatObserved]],1,0)</f>
        <v>1</v>
      </c>
    </row>
    <row r="393" spans="1:25" x14ac:dyDescent="0.25">
      <c r="A393" t="s">
        <v>67</v>
      </c>
      <c r="B393" t="s">
        <v>69</v>
      </c>
      <c r="C393">
        <v>12</v>
      </c>
      <c r="D393" t="s">
        <v>98</v>
      </c>
      <c r="E393" t="s">
        <v>79</v>
      </c>
      <c r="F393" t="s">
        <v>80</v>
      </c>
      <c r="G393">
        <v>0.74985048590401804</v>
      </c>
      <c r="H393">
        <v>2E+20</v>
      </c>
      <c r="I393">
        <v>0.74985048590401804</v>
      </c>
      <c r="J393">
        <v>0.74985048590401804</v>
      </c>
      <c r="K393">
        <v>1</v>
      </c>
      <c r="L39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compartida)FilaCajaH3ExpressionUser Specified</v>
      </c>
      <c r="M393" s="5" cm="1">
        <f t="array" ref="M393">MAX(IF((ProjectInfoTable[ProjectName]=DiscreteStatsTable[[#This Row],[ProjectName]]),(ProjectInfoTable[ProjectName]=DiscreteStatsTable[[#This Row],[ProjectName]])*ProjectInfoTable[NumberOfReplications]))</f>
        <v>19</v>
      </c>
      <c r="N393" s="5" cm="1">
        <f t="array" ref="N393">IFERROR(AVERAGE(IF((DiscreteStatsTable[GroupByKey]=DiscreteStatsTable[[#This Row],[GroupByKey]]),(DiscreteStatsTable[GroupByKey]=DiscreteStatsTable[[#This Row],[GroupByKey]])*DiscreteStatsTable[Average])),0)</f>
        <v>0.78149191546140195</v>
      </c>
      <c r="O393" s="5" cm="1">
        <f t="array" ref="O393">IFERROR(_xlfn.STDEV.S(IF((DiscreteStatsTable[GroupByKey]=DiscreteStatsTable[[#This Row],[GroupByKey]]),(DiscreteStatsTable[GroupByKey]=DiscreteStatsTable[[#This Row],[GroupByKey]])*DiscreteStatsTable[Average])),0)</f>
        <v>0.76490392090955872</v>
      </c>
      <c r="P393" s="5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 s="5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393" s="5" cm="1">
        <f t="array" ref="R393">MIN(IF((DiscreteStatsTable[GroupByKey]=DiscreteStatsTable[[#This Row],[GroupByKey]]),(DiscreteStatsTable[GroupByKey]=DiscreteStatsTable[[#This Row],[GroupByKey]])*DiscreteStatsTable[Average]))</f>
        <v>0.24910662918173601</v>
      </c>
      <c r="S393" s="5" cm="1">
        <f t="array" ref="S393">MAX(IF((DiscreteStatsTable[GroupByKey]=DiscreteStatsTable[[#This Row],[GroupByKey]]),(DiscreteStatsTable[GroupByKey]=DiscreteStatsTable[[#This Row],[GroupByKey]])*DiscreteStatsTable[Average]))</f>
        <v>3.6335836290778101</v>
      </c>
      <c r="T393" s="5" cm="1">
        <f t="array" ref="T393">MIN(IF((DiscreteStatsTable[GroupByKey]=DiscreteStatsTable[[#This Row],[GroupByKey]]),(DiscreteStatsTable[GroupByKey]=DiscreteStatsTable[[#This Row],[GroupByKey]])*DiscreteStatsTable[Minimum]))</f>
        <v>0.24910662918173601</v>
      </c>
      <c r="U393" s="5" cm="1">
        <f t="array" ref="U393">MAX(IF((DiscreteStatsTable[GroupByKey]=DiscreteStatsTable[[#This Row],[GroupByKey]]),(DiscreteStatsTable[GroupByKey]=DiscreteStatsTable[[#This Row],[GroupByKey]])*DiscreteStatsTable[Maximum]))</f>
        <v>3.6335836290778101</v>
      </c>
      <c r="V393" s="5" cm="1">
        <f t="array" ref="V393">IFERROR(AVERAGE(IF((DiscreteStatsTable[GroupByKey]=DiscreteStatsTable[[#This Row],[GroupByKey]]),(DiscreteStatsTable[GroupByKey]=DiscreteStatsTable[[#This Row],[GroupByKey]])*DiscreteStatsTable[NumberObservations])),0)</f>
        <v>1</v>
      </c>
      <c r="W393" s="5">
        <f>IF((DiscreteStatsTable[[#This Row],[RepsRequested]]&gt;1),DiscreteStatsTable[[#This Row],[HalfWidth]],DiscreteStatsTable[[#This Row],[BatchMeansHalfWidth]])</f>
        <v>0.3686718886858002</v>
      </c>
      <c r="X393" s="5" cm="1">
        <f t="array" ref="X393">COUNT(IF((DiscreteStatsTable[GroupByKey]=DiscreteStatsTable[[#This Row],[GroupByKey]]),(DiscreteStatsTable[GroupByKey]=DiscreteStatsTable[[#This Row],[GroupByKey]])*DiscreteStatsTable[Replication]))</f>
        <v>19</v>
      </c>
      <c r="Y393" s="5">
        <f>IF(DiscreteStatsTable[[#This Row],[RepsRequested]]=DiscreteStatsTable[[#This Row],[RepsWithStatObserved]],1,0)</f>
        <v>1</v>
      </c>
    </row>
    <row r="394" spans="1:25" x14ac:dyDescent="0.25">
      <c r="A394" t="s">
        <v>67</v>
      </c>
      <c r="B394" t="s">
        <v>69</v>
      </c>
      <c r="C394">
        <v>13</v>
      </c>
      <c r="D394" t="s">
        <v>98</v>
      </c>
      <c r="E394" t="s">
        <v>79</v>
      </c>
      <c r="F394" t="s">
        <v>80</v>
      </c>
      <c r="G394">
        <v>0.67629330855955005</v>
      </c>
      <c r="H394">
        <v>2E+20</v>
      </c>
      <c r="I394">
        <v>0.67629330855955005</v>
      </c>
      <c r="J394">
        <v>0.67629330855955005</v>
      </c>
      <c r="K394">
        <v>1</v>
      </c>
      <c r="L39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compartida)FilaCajaH3ExpressionUser Specified</v>
      </c>
      <c r="M394" s="5" cm="1">
        <f t="array" ref="M394">MAX(IF((ProjectInfoTable[ProjectName]=DiscreteStatsTable[[#This Row],[ProjectName]]),(ProjectInfoTable[ProjectName]=DiscreteStatsTable[[#This Row],[ProjectName]])*ProjectInfoTable[NumberOfReplications]))</f>
        <v>19</v>
      </c>
      <c r="N394" s="5" cm="1">
        <f t="array" ref="N394">IFERROR(AVERAGE(IF((DiscreteStatsTable[GroupByKey]=DiscreteStatsTable[[#This Row],[GroupByKey]]),(DiscreteStatsTable[GroupByKey]=DiscreteStatsTable[[#This Row],[GroupByKey]])*DiscreteStatsTable[Average])),0)</f>
        <v>0.78149191546140195</v>
      </c>
      <c r="O394" s="5" cm="1">
        <f t="array" ref="O394">IFERROR(_xlfn.STDEV.S(IF((DiscreteStatsTable[GroupByKey]=DiscreteStatsTable[[#This Row],[GroupByKey]]),(DiscreteStatsTable[GroupByKey]=DiscreteStatsTable[[#This Row],[GroupByKey]])*DiscreteStatsTable[Average])),0)</f>
        <v>0.76490392090955872</v>
      </c>
      <c r="P394" s="5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 s="5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394" s="5" cm="1">
        <f t="array" ref="R394">MIN(IF((DiscreteStatsTable[GroupByKey]=DiscreteStatsTable[[#This Row],[GroupByKey]]),(DiscreteStatsTable[GroupByKey]=DiscreteStatsTable[[#This Row],[GroupByKey]])*DiscreteStatsTable[Average]))</f>
        <v>0.24910662918173601</v>
      </c>
      <c r="S394" s="5" cm="1">
        <f t="array" ref="S394">MAX(IF((DiscreteStatsTable[GroupByKey]=DiscreteStatsTable[[#This Row],[GroupByKey]]),(DiscreteStatsTable[GroupByKey]=DiscreteStatsTable[[#This Row],[GroupByKey]])*DiscreteStatsTable[Average]))</f>
        <v>3.6335836290778101</v>
      </c>
      <c r="T394" s="5" cm="1">
        <f t="array" ref="T394">MIN(IF((DiscreteStatsTable[GroupByKey]=DiscreteStatsTable[[#This Row],[GroupByKey]]),(DiscreteStatsTable[GroupByKey]=DiscreteStatsTable[[#This Row],[GroupByKey]])*DiscreteStatsTable[Minimum]))</f>
        <v>0.24910662918173601</v>
      </c>
      <c r="U394" s="5" cm="1">
        <f t="array" ref="U394">MAX(IF((DiscreteStatsTable[GroupByKey]=DiscreteStatsTable[[#This Row],[GroupByKey]]),(DiscreteStatsTable[GroupByKey]=DiscreteStatsTable[[#This Row],[GroupByKey]])*DiscreteStatsTable[Maximum]))</f>
        <v>3.6335836290778101</v>
      </c>
      <c r="V394" s="5" cm="1">
        <f t="array" ref="V394">IFERROR(AVERAGE(IF((DiscreteStatsTable[GroupByKey]=DiscreteStatsTable[[#This Row],[GroupByKey]]),(DiscreteStatsTable[GroupByKey]=DiscreteStatsTable[[#This Row],[GroupByKey]])*DiscreteStatsTable[NumberObservations])),0)</f>
        <v>1</v>
      </c>
      <c r="W394" s="5">
        <f>IF((DiscreteStatsTable[[#This Row],[RepsRequested]]&gt;1),DiscreteStatsTable[[#This Row],[HalfWidth]],DiscreteStatsTable[[#This Row],[BatchMeansHalfWidth]])</f>
        <v>0.3686718886858002</v>
      </c>
      <c r="X394" s="5" cm="1">
        <f t="array" ref="X394">COUNT(IF((DiscreteStatsTable[GroupByKey]=DiscreteStatsTable[[#This Row],[GroupByKey]]),(DiscreteStatsTable[GroupByKey]=DiscreteStatsTable[[#This Row],[GroupByKey]])*DiscreteStatsTable[Replication]))</f>
        <v>19</v>
      </c>
      <c r="Y394" s="5">
        <f>IF(DiscreteStatsTable[[#This Row],[RepsRequested]]=DiscreteStatsTable[[#This Row],[RepsWithStatObserved]],1,0)</f>
        <v>1</v>
      </c>
    </row>
    <row r="395" spans="1:25" x14ac:dyDescent="0.25">
      <c r="A395" t="s">
        <v>67</v>
      </c>
      <c r="B395" t="s">
        <v>69</v>
      </c>
      <c r="C395">
        <v>14</v>
      </c>
      <c r="D395" t="s">
        <v>98</v>
      </c>
      <c r="E395" t="s">
        <v>79</v>
      </c>
      <c r="F395" t="s">
        <v>80</v>
      </c>
      <c r="G395">
        <v>0.85437104529887598</v>
      </c>
      <c r="H395">
        <v>2E+20</v>
      </c>
      <c r="I395">
        <v>0.85437104529887598</v>
      </c>
      <c r="J395">
        <v>0.85437104529887598</v>
      </c>
      <c r="K395">
        <v>1</v>
      </c>
      <c r="L39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compartida)FilaCajaH3ExpressionUser Specified</v>
      </c>
      <c r="M395" s="5" cm="1">
        <f t="array" ref="M395">MAX(IF((ProjectInfoTable[ProjectName]=DiscreteStatsTable[[#This Row],[ProjectName]]),(ProjectInfoTable[ProjectName]=DiscreteStatsTable[[#This Row],[ProjectName]])*ProjectInfoTable[NumberOfReplications]))</f>
        <v>19</v>
      </c>
      <c r="N395" s="5" cm="1">
        <f t="array" ref="N395">IFERROR(AVERAGE(IF((DiscreteStatsTable[GroupByKey]=DiscreteStatsTable[[#This Row],[GroupByKey]]),(DiscreteStatsTable[GroupByKey]=DiscreteStatsTable[[#This Row],[GroupByKey]])*DiscreteStatsTable[Average])),0)</f>
        <v>0.78149191546140195</v>
      </c>
      <c r="O395" s="5" cm="1">
        <f t="array" ref="O395">IFERROR(_xlfn.STDEV.S(IF((DiscreteStatsTable[GroupByKey]=DiscreteStatsTable[[#This Row],[GroupByKey]]),(DiscreteStatsTable[GroupByKey]=DiscreteStatsTable[[#This Row],[GroupByKey]])*DiscreteStatsTable[Average])),0)</f>
        <v>0.76490392090955872</v>
      </c>
      <c r="P395" s="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 s="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395" s="5" cm="1">
        <f t="array" ref="R395">MIN(IF((DiscreteStatsTable[GroupByKey]=DiscreteStatsTable[[#This Row],[GroupByKey]]),(DiscreteStatsTable[GroupByKey]=DiscreteStatsTable[[#This Row],[GroupByKey]])*DiscreteStatsTable[Average]))</f>
        <v>0.24910662918173601</v>
      </c>
      <c r="S395" s="5" cm="1">
        <f t="array" ref="S395">MAX(IF((DiscreteStatsTable[GroupByKey]=DiscreteStatsTable[[#This Row],[GroupByKey]]),(DiscreteStatsTable[GroupByKey]=DiscreteStatsTable[[#This Row],[GroupByKey]])*DiscreteStatsTable[Average]))</f>
        <v>3.6335836290778101</v>
      </c>
      <c r="T395" s="5" cm="1">
        <f t="array" ref="T395">MIN(IF((DiscreteStatsTable[GroupByKey]=DiscreteStatsTable[[#This Row],[GroupByKey]]),(DiscreteStatsTable[GroupByKey]=DiscreteStatsTable[[#This Row],[GroupByKey]])*DiscreteStatsTable[Minimum]))</f>
        <v>0.24910662918173601</v>
      </c>
      <c r="U395" s="5" cm="1">
        <f t="array" ref="U395">MAX(IF((DiscreteStatsTable[GroupByKey]=DiscreteStatsTable[[#This Row],[GroupByKey]]),(DiscreteStatsTable[GroupByKey]=DiscreteStatsTable[[#This Row],[GroupByKey]])*DiscreteStatsTable[Maximum]))</f>
        <v>3.6335836290778101</v>
      </c>
      <c r="V395" s="5" cm="1">
        <f t="array" ref="V395">IFERROR(AVERAGE(IF((DiscreteStatsTable[GroupByKey]=DiscreteStatsTable[[#This Row],[GroupByKey]]),(DiscreteStatsTable[GroupByKey]=DiscreteStatsTable[[#This Row],[GroupByKey]])*DiscreteStatsTable[NumberObservations])),0)</f>
        <v>1</v>
      </c>
      <c r="W395" s="5">
        <f>IF((DiscreteStatsTable[[#This Row],[RepsRequested]]&gt;1),DiscreteStatsTable[[#This Row],[HalfWidth]],DiscreteStatsTable[[#This Row],[BatchMeansHalfWidth]])</f>
        <v>0.3686718886858002</v>
      </c>
      <c r="X395" s="5" cm="1">
        <f t="array" ref="X395">COUNT(IF((DiscreteStatsTable[GroupByKey]=DiscreteStatsTable[[#This Row],[GroupByKey]]),(DiscreteStatsTable[GroupByKey]=DiscreteStatsTable[[#This Row],[GroupByKey]])*DiscreteStatsTable[Replication]))</f>
        <v>19</v>
      </c>
      <c r="Y395" s="5">
        <f>IF(DiscreteStatsTable[[#This Row],[RepsRequested]]=DiscreteStatsTable[[#This Row],[RepsWithStatObserved]],1,0)</f>
        <v>1</v>
      </c>
    </row>
    <row r="396" spans="1:25" x14ac:dyDescent="0.25">
      <c r="A396" t="s">
        <v>67</v>
      </c>
      <c r="B396" t="s">
        <v>69</v>
      </c>
      <c r="C396">
        <v>15</v>
      </c>
      <c r="D396" t="s">
        <v>98</v>
      </c>
      <c r="E396" t="s">
        <v>79</v>
      </c>
      <c r="F396" t="s">
        <v>80</v>
      </c>
      <c r="G396">
        <v>0.54828089095907695</v>
      </c>
      <c r="H396">
        <v>2E+20</v>
      </c>
      <c r="I396">
        <v>0.54828089095907695</v>
      </c>
      <c r="J396">
        <v>0.54828089095907695</v>
      </c>
      <c r="K396">
        <v>1</v>
      </c>
      <c r="L39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compartida)FilaCajaH3ExpressionUser Specified</v>
      </c>
      <c r="M396" s="5" cm="1">
        <f t="array" ref="M396">MAX(IF((ProjectInfoTable[ProjectName]=DiscreteStatsTable[[#This Row],[ProjectName]]),(ProjectInfoTable[ProjectName]=DiscreteStatsTable[[#This Row],[ProjectName]])*ProjectInfoTable[NumberOfReplications]))</f>
        <v>19</v>
      </c>
      <c r="N396" s="5" cm="1">
        <f t="array" ref="N396">IFERROR(AVERAGE(IF((DiscreteStatsTable[GroupByKey]=DiscreteStatsTable[[#This Row],[GroupByKey]]),(DiscreteStatsTable[GroupByKey]=DiscreteStatsTable[[#This Row],[GroupByKey]])*DiscreteStatsTable[Average])),0)</f>
        <v>0.78149191546140195</v>
      </c>
      <c r="O396" s="5" cm="1">
        <f t="array" ref="O396">IFERROR(_xlfn.STDEV.S(IF((DiscreteStatsTable[GroupByKey]=DiscreteStatsTable[[#This Row],[GroupByKey]]),(DiscreteStatsTable[GroupByKey]=DiscreteStatsTable[[#This Row],[GroupByKey]])*DiscreteStatsTable[Average])),0)</f>
        <v>0.76490392090955872</v>
      </c>
      <c r="P396" s="5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 s="5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396" s="5" cm="1">
        <f t="array" ref="R396">MIN(IF((DiscreteStatsTable[GroupByKey]=DiscreteStatsTable[[#This Row],[GroupByKey]]),(DiscreteStatsTable[GroupByKey]=DiscreteStatsTable[[#This Row],[GroupByKey]])*DiscreteStatsTable[Average]))</f>
        <v>0.24910662918173601</v>
      </c>
      <c r="S396" s="5" cm="1">
        <f t="array" ref="S396">MAX(IF((DiscreteStatsTable[GroupByKey]=DiscreteStatsTable[[#This Row],[GroupByKey]]),(DiscreteStatsTable[GroupByKey]=DiscreteStatsTable[[#This Row],[GroupByKey]])*DiscreteStatsTable[Average]))</f>
        <v>3.6335836290778101</v>
      </c>
      <c r="T396" s="5" cm="1">
        <f t="array" ref="T396">MIN(IF((DiscreteStatsTable[GroupByKey]=DiscreteStatsTable[[#This Row],[GroupByKey]]),(DiscreteStatsTable[GroupByKey]=DiscreteStatsTable[[#This Row],[GroupByKey]])*DiscreteStatsTable[Minimum]))</f>
        <v>0.24910662918173601</v>
      </c>
      <c r="U396" s="5" cm="1">
        <f t="array" ref="U396">MAX(IF((DiscreteStatsTable[GroupByKey]=DiscreteStatsTable[[#This Row],[GroupByKey]]),(DiscreteStatsTable[GroupByKey]=DiscreteStatsTable[[#This Row],[GroupByKey]])*DiscreteStatsTable[Maximum]))</f>
        <v>3.6335836290778101</v>
      </c>
      <c r="V396" s="5" cm="1">
        <f t="array" ref="V396">IFERROR(AVERAGE(IF((DiscreteStatsTable[GroupByKey]=DiscreteStatsTable[[#This Row],[GroupByKey]]),(DiscreteStatsTable[GroupByKey]=DiscreteStatsTable[[#This Row],[GroupByKey]])*DiscreteStatsTable[NumberObservations])),0)</f>
        <v>1</v>
      </c>
      <c r="W396" s="5">
        <f>IF((DiscreteStatsTable[[#This Row],[RepsRequested]]&gt;1),DiscreteStatsTable[[#This Row],[HalfWidth]],DiscreteStatsTable[[#This Row],[BatchMeansHalfWidth]])</f>
        <v>0.3686718886858002</v>
      </c>
      <c r="X396" s="5" cm="1">
        <f t="array" ref="X396">COUNT(IF((DiscreteStatsTable[GroupByKey]=DiscreteStatsTable[[#This Row],[GroupByKey]]),(DiscreteStatsTable[GroupByKey]=DiscreteStatsTable[[#This Row],[GroupByKey]])*DiscreteStatsTable[Replication]))</f>
        <v>19</v>
      </c>
      <c r="Y396" s="5">
        <f>IF(DiscreteStatsTable[[#This Row],[RepsRequested]]=DiscreteStatsTable[[#This Row],[RepsWithStatObserved]],1,0)</f>
        <v>1</v>
      </c>
    </row>
    <row r="397" spans="1:25" x14ac:dyDescent="0.25">
      <c r="A397" t="s">
        <v>67</v>
      </c>
      <c r="B397" t="s">
        <v>69</v>
      </c>
      <c r="C397">
        <v>16</v>
      </c>
      <c r="D397" t="s">
        <v>98</v>
      </c>
      <c r="E397" t="s">
        <v>79</v>
      </c>
      <c r="F397" t="s">
        <v>80</v>
      </c>
      <c r="G397">
        <v>0.24910662918173601</v>
      </c>
      <c r="H397">
        <v>2E+20</v>
      </c>
      <c r="I397">
        <v>0.24910662918173601</v>
      </c>
      <c r="J397">
        <v>0.24910662918173601</v>
      </c>
      <c r="K397">
        <v>1</v>
      </c>
      <c r="L39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compartida)FilaCajaH3ExpressionUser Specified</v>
      </c>
      <c r="M397" s="5" cm="1">
        <f t="array" ref="M397">MAX(IF((ProjectInfoTable[ProjectName]=DiscreteStatsTable[[#This Row],[ProjectName]]),(ProjectInfoTable[ProjectName]=DiscreteStatsTable[[#This Row],[ProjectName]])*ProjectInfoTable[NumberOfReplications]))</f>
        <v>19</v>
      </c>
      <c r="N397" s="5" cm="1">
        <f t="array" ref="N397">IFERROR(AVERAGE(IF((DiscreteStatsTable[GroupByKey]=DiscreteStatsTable[[#This Row],[GroupByKey]]),(DiscreteStatsTable[GroupByKey]=DiscreteStatsTable[[#This Row],[GroupByKey]])*DiscreteStatsTable[Average])),0)</f>
        <v>0.78149191546140195</v>
      </c>
      <c r="O397" s="5" cm="1">
        <f t="array" ref="O397">IFERROR(_xlfn.STDEV.S(IF((DiscreteStatsTable[GroupByKey]=DiscreteStatsTable[[#This Row],[GroupByKey]]),(DiscreteStatsTable[GroupByKey]=DiscreteStatsTable[[#This Row],[GroupByKey]])*DiscreteStatsTable[Average])),0)</f>
        <v>0.76490392090955872</v>
      </c>
      <c r="P397" s="5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 s="5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397" s="5" cm="1">
        <f t="array" ref="R397">MIN(IF((DiscreteStatsTable[GroupByKey]=DiscreteStatsTable[[#This Row],[GroupByKey]]),(DiscreteStatsTable[GroupByKey]=DiscreteStatsTable[[#This Row],[GroupByKey]])*DiscreteStatsTable[Average]))</f>
        <v>0.24910662918173601</v>
      </c>
      <c r="S397" s="5" cm="1">
        <f t="array" ref="S397">MAX(IF((DiscreteStatsTable[GroupByKey]=DiscreteStatsTable[[#This Row],[GroupByKey]]),(DiscreteStatsTable[GroupByKey]=DiscreteStatsTable[[#This Row],[GroupByKey]])*DiscreteStatsTable[Average]))</f>
        <v>3.6335836290778101</v>
      </c>
      <c r="T397" s="5" cm="1">
        <f t="array" ref="T397">MIN(IF((DiscreteStatsTable[GroupByKey]=DiscreteStatsTable[[#This Row],[GroupByKey]]),(DiscreteStatsTable[GroupByKey]=DiscreteStatsTable[[#This Row],[GroupByKey]])*DiscreteStatsTable[Minimum]))</f>
        <v>0.24910662918173601</v>
      </c>
      <c r="U397" s="5" cm="1">
        <f t="array" ref="U397">MAX(IF((DiscreteStatsTable[GroupByKey]=DiscreteStatsTable[[#This Row],[GroupByKey]]),(DiscreteStatsTable[GroupByKey]=DiscreteStatsTable[[#This Row],[GroupByKey]])*DiscreteStatsTable[Maximum]))</f>
        <v>3.6335836290778101</v>
      </c>
      <c r="V397" s="5" cm="1">
        <f t="array" ref="V397">IFERROR(AVERAGE(IF((DiscreteStatsTable[GroupByKey]=DiscreteStatsTable[[#This Row],[GroupByKey]]),(DiscreteStatsTable[GroupByKey]=DiscreteStatsTable[[#This Row],[GroupByKey]])*DiscreteStatsTable[NumberObservations])),0)</f>
        <v>1</v>
      </c>
      <c r="W397" s="5">
        <f>IF((DiscreteStatsTable[[#This Row],[RepsRequested]]&gt;1),DiscreteStatsTable[[#This Row],[HalfWidth]],DiscreteStatsTable[[#This Row],[BatchMeansHalfWidth]])</f>
        <v>0.3686718886858002</v>
      </c>
      <c r="X397" s="5" cm="1">
        <f t="array" ref="X397">COUNT(IF((DiscreteStatsTable[GroupByKey]=DiscreteStatsTable[[#This Row],[GroupByKey]]),(DiscreteStatsTable[GroupByKey]=DiscreteStatsTable[[#This Row],[GroupByKey]])*DiscreteStatsTable[Replication]))</f>
        <v>19</v>
      </c>
      <c r="Y397" s="5">
        <f>IF(DiscreteStatsTable[[#This Row],[RepsRequested]]=DiscreteStatsTable[[#This Row],[RepsWithStatObserved]],1,0)</f>
        <v>1</v>
      </c>
    </row>
    <row r="398" spans="1:25" x14ac:dyDescent="0.25">
      <c r="A398" t="s">
        <v>67</v>
      </c>
      <c r="B398" t="s">
        <v>69</v>
      </c>
      <c r="C398">
        <v>17</v>
      </c>
      <c r="D398" t="s">
        <v>98</v>
      </c>
      <c r="E398" t="s">
        <v>79</v>
      </c>
      <c r="F398" t="s">
        <v>80</v>
      </c>
      <c r="G398">
        <v>0.55866480344465297</v>
      </c>
      <c r="H398">
        <v>2E+20</v>
      </c>
      <c r="I398">
        <v>0.55866480344465297</v>
      </c>
      <c r="J398">
        <v>0.55866480344465297</v>
      </c>
      <c r="K398">
        <v>1</v>
      </c>
      <c r="L39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compartida)FilaCajaH3ExpressionUser Specified</v>
      </c>
      <c r="M398" s="5" cm="1">
        <f t="array" ref="M398">MAX(IF((ProjectInfoTable[ProjectName]=DiscreteStatsTable[[#This Row],[ProjectName]]),(ProjectInfoTable[ProjectName]=DiscreteStatsTable[[#This Row],[ProjectName]])*ProjectInfoTable[NumberOfReplications]))</f>
        <v>19</v>
      </c>
      <c r="N398" s="5" cm="1">
        <f t="array" ref="N398">IFERROR(AVERAGE(IF((DiscreteStatsTable[GroupByKey]=DiscreteStatsTable[[#This Row],[GroupByKey]]),(DiscreteStatsTable[GroupByKey]=DiscreteStatsTable[[#This Row],[GroupByKey]])*DiscreteStatsTable[Average])),0)</f>
        <v>0.78149191546140195</v>
      </c>
      <c r="O398" s="5" cm="1">
        <f t="array" ref="O398">IFERROR(_xlfn.STDEV.S(IF((DiscreteStatsTable[GroupByKey]=DiscreteStatsTable[[#This Row],[GroupByKey]]),(DiscreteStatsTable[GroupByKey]=DiscreteStatsTable[[#This Row],[GroupByKey]])*DiscreteStatsTable[Average])),0)</f>
        <v>0.76490392090955872</v>
      </c>
      <c r="P398" s="5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 s="5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398" s="5" cm="1">
        <f t="array" ref="R398">MIN(IF((DiscreteStatsTable[GroupByKey]=DiscreteStatsTable[[#This Row],[GroupByKey]]),(DiscreteStatsTable[GroupByKey]=DiscreteStatsTable[[#This Row],[GroupByKey]])*DiscreteStatsTable[Average]))</f>
        <v>0.24910662918173601</v>
      </c>
      <c r="S398" s="5" cm="1">
        <f t="array" ref="S398">MAX(IF((DiscreteStatsTable[GroupByKey]=DiscreteStatsTable[[#This Row],[GroupByKey]]),(DiscreteStatsTable[GroupByKey]=DiscreteStatsTable[[#This Row],[GroupByKey]])*DiscreteStatsTable[Average]))</f>
        <v>3.6335836290778101</v>
      </c>
      <c r="T398" s="5" cm="1">
        <f t="array" ref="T398">MIN(IF((DiscreteStatsTable[GroupByKey]=DiscreteStatsTable[[#This Row],[GroupByKey]]),(DiscreteStatsTable[GroupByKey]=DiscreteStatsTable[[#This Row],[GroupByKey]])*DiscreteStatsTable[Minimum]))</f>
        <v>0.24910662918173601</v>
      </c>
      <c r="U398" s="5" cm="1">
        <f t="array" ref="U398">MAX(IF((DiscreteStatsTable[GroupByKey]=DiscreteStatsTable[[#This Row],[GroupByKey]]),(DiscreteStatsTable[GroupByKey]=DiscreteStatsTable[[#This Row],[GroupByKey]])*DiscreteStatsTable[Maximum]))</f>
        <v>3.6335836290778101</v>
      </c>
      <c r="V398" s="5" cm="1">
        <f t="array" ref="V398">IFERROR(AVERAGE(IF((DiscreteStatsTable[GroupByKey]=DiscreteStatsTable[[#This Row],[GroupByKey]]),(DiscreteStatsTable[GroupByKey]=DiscreteStatsTable[[#This Row],[GroupByKey]])*DiscreteStatsTable[NumberObservations])),0)</f>
        <v>1</v>
      </c>
      <c r="W398" s="5">
        <f>IF((DiscreteStatsTable[[#This Row],[RepsRequested]]&gt;1),DiscreteStatsTable[[#This Row],[HalfWidth]],DiscreteStatsTable[[#This Row],[BatchMeansHalfWidth]])</f>
        <v>0.3686718886858002</v>
      </c>
      <c r="X398" s="5" cm="1">
        <f t="array" ref="X398">COUNT(IF((DiscreteStatsTable[GroupByKey]=DiscreteStatsTable[[#This Row],[GroupByKey]]),(DiscreteStatsTable[GroupByKey]=DiscreteStatsTable[[#This Row],[GroupByKey]])*DiscreteStatsTable[Replication]))</f>
        <v>19</v>
      </c>
      <c r="Y398" s="5">
        <f>IF(DiscreteStatsTable[[#This Row],[RepsRequested]]=DiscreteStatsTable[[#This Row],[RepsWithStatObserved]],1,0)</f>
        <v>1</v>
      </c>
    </row>
    <row r="399" spans="1:25" x14ac:dyDescent="0.25">
      <c r="A399" t="s">
        <v>67</v>
      </c>
      <c r="B399" t="s">
        <v>69</v>
      </c>
      <c r="C399">
        <v>18</v>
      </c>
      <c r="D399" t="s">
        <v>98</v>
      </c>
      <c r="E399" t="s">
        <v>79</v>
      </c>
      <c r="F399" t="s">
        <v>80</v>
      </c>
      <c r="G399">
        <v>1.02392473462719</v>
      </c>
      <c r="H399">
        <v>2E+20</v>
      </c>
      <c r="I399">
        <v>1.02392473462719</v>
      </c>
      <c r="J399">
        <v>1.02392473462719</v>
      </c>
      <c r="K399">
        <v>1</v>
      </c>
      <c r="L39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compartida)FilaCajaH3ExpressionUser Specified</v>
      </c>
      <c r="M399" s="5" cm="1">
        <f t="array" ref="M399">MAX(IF((ProjectInfoTable[ProjectName]=DiscreteStatsTable[[#This Row],[ProjectName]]),(ProjectInfoTable[ProjectName]=DiscreteStatsTable[[#This Row],[ProjectName]])*ProjectInfoTable[NumberOfReplications]))</f>
        <v>19</v>
      </c>
      <c r="N399" s="5" cm="1">
        <f t="array" ref="N399">IFERROR(AVERAGE(IF((DiscreteStatsTable[GroupByKey]=DiscreteStatsTable[[#This Row],[GroupByKey]]),(DiscreteStatsTable[GroupByKey]=DiscreteStatsTable[[#This Row],[GroupByKey]])*DiscreteStatsTable[Average])),0)</f>
        <v>0.78149191546140195</v>
      </c>
      <c r="O399" s="5" cm="1">
        <f t="array" ref="O399">IFERROR(_xlfn.STDEV.S(IF((DiscreteStatsTable[GroupByKey]=DiscreteStatsTable[[#This Row],[GroupByKey]]),(DiscreteStatsTable[GroupByKey]=DiscreteStatsTable[[#This Row],[GroupByKey]])*DiscreteStatsTable[Average])),0)</f>
        <v>0.76490392090955872</v>
      </c>
      <c r="P399" s="5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 s="5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399" s="5" cm="1">
        <f t="array" ref="R399">MIN(IF((DiscreteStatsTable[GroupByKey]=DiscreteStatsTable[[#This Row],[GroupByKey]]),(DiscreteStatsTable[GroupByKey]=DiscreteStatsTable[[#This Row],[GroupByKey]])*DiscreteStatsTable[Average]))</f>
        <v>0.24910662918173601</v>
      </c>
      <c r="S399" s="5" cm="1">
        <f t="array" ref="S399">MAX(IF((DiscreteStatsTable[GroupByKey]=DiscreteStatsTable[[#This Row],[GroupByKey]]),(DiscreteStatsTable[GroupByKey]=DiscreteStatsTable[[#This Row],[GroupByKey]])*DiscreteStatsTable[Average]))</f>
        <v>3.6335836290778101</v>
      </c>
      <c r="T399" s="5" cm="1">
        <f t="array" ref="T399">MIN(IF((DiscreteStatsTable[GroupByKey]=DiscreteStatsTable[[#This Row],[GroupByKey]]),(DiscreteStatsTable[GroupByKey]=DiscreteStatsTable[[#This Row],[GroupByKey]])*DiscreteStatsTable[Minimum]))</f>
        <v>0.24910662918173601</v>
      </c>
      <c r="U399" s="5" cm="1">
        <f t="array" ref="U399">MAX(IF((DiscreteStatsTable[GroupByKey]=DiscreteStatsTable[[#This Row],[GroupByKey]]),(DiscreteStatsTable[GroupByKey]=DiscreteStatsTable[[#This Row],[GroupByKey]])*DiscreteStatsTable[Maximum]))</f>
        <v>3.6335836290778101</v>
      </c>
      <c r="V399" s="5" cm="1">
        <f t="array" ref="V399">IFERROR(AVERAGE(IF((DiscreteStatsTable[GroupByKey]=DiscreteStatsTable[[#This Row],[GroupByKey]]),(DiscreteStatsTable[GroupByKey]=DiscreteStatsTable[[#This Row],[GroupByKey]])*DiscreteStatsTable[NumberObservations])),0)</f>
        <v>1</v>
      </c>
      <c r="W399" s="5">
        <f>IF((DiscreteStatsTable[[#This Row],[RepsRequested]]&gt;1),DiscreteStatsTable[[#This Row],[HalfWidth]],DiscreteStatsTable[[#This Row],[BatchMeansHalfWidth]])</f>
        <v>0.3686718886858002</v>
      </c>
      <c r="X399" s="5" cm="1">
        <f t="array" ref="X399">COUNT(IF((DiscreteStatsTable[GroupByKey]=DiscreteStatsTable[[#This Row],[GroupByKey]]),(DiscreteStatsTable[GroupByKey]=DiscreteStatsTable[[#This Row],[GroupByKey]])*DiscreteStatsTable[Replication]))</f>
        <v>19</v>
      </c>
      <c r="Y399" s="5">
        <f>IF(DiscreteStatsTable[[#This Row],[RepsRequested]]=DiscreteStatsTable[[#This Row],[RepsWithStatObserved]],1,0)</f>
        <v>1</v>
      </c>
    </row>
    <row r="400" spans="1:25" x14ac:dyDescent="0.25">
      <c r="A400" t="s">
        <v>67</v>
      </c>
      <c r="B400" t="s">
        <v>69</v>
      </c>
      <c r="C400">
        <v>19</v>
      </c>
      <c r="D400" t="s">
        <v>98</v>
      </c>
      <c r="E400" t="s">
        <v>79</v>
      </c>
      <c r="F400" t="s">
        <v>80</v>
      </c>
      <c r="G400">
        <v>0.34526920159986202</v>
      </c>
      <c r="H400">
        <v>2E+20</v>
      </c>
      <c r="I400">
        <v>0.34526920159986202</v>
      </c>
      <c r="J400">
        <v>0.34526920159986202</v>
      </c>
      <c r="K400">
        <v>1</v>
      </c>
      <c r="L40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compartida)FilaCajaH3ExpressionUser Specified</v>
      </c>
      <c r="M400" s="5" cm="1">
        <f t="array" ref="M400">MAX(IF((ProjectInfoTable[ProjectName]=DiscreteStatsTable[[#This Row],[ProjectName]]),(ProjectInfoTable[ProjectName]=DiscreteStatsTable[[#This Row],[ProjectName]])*ProjectInfoTable[NumberOfReplications]))</f>
        <v>19</v>
      </c>
      <c r="N400" s="5" cm="1">
        <f t="array" ref="N400">IFERROR(AVERAGE(IF((DiscreteStatsTable[GroupByKey]=DiscreteStatsTable[[#This Row],[GroupByKey]]),(DiscreteStatsTable[GroupByKey]=DiscreteStatsTable[[#This Row],[GroupByKey]])*DiscreteStatsTable[Average])),0)</f>
        <v>0.78149191546140195</v>
      </c>
      <c r="O400" s="5" cm="1">
        <f t="array" ref="O400">IFERROR(_xlfn.STDEV.S(IF((DiscreteStatsTable[GroupByKey]=DiscreteStatsTable[[#This Row],[GroupByKey]]),(DiscreteStatsTable[GroupByKey]=DiscreteStatsTable[[#This Row],[GroupByKey]])*DiscreteStatsTable[Average])),0)</f>
        <v>0.76490392090955872</v>
      </c>
      <c r="P400" s="5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 s="5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400" s="5" cm="1">
        <f t="array" ref="R400">MIN(IF((DiscreteStatsTable[GroupByKey]=DiscreteStatsTable[[#This Row],[GroupByKey]]),(DiscreteStatsTable[GroupByKey]=DiscreteStatsTable[[#This Row],[GroupByKey]])*DiscreteStatsTable[Average]))</f>
        <v>0.24910662918173601</v>
      </c>
      <c r="S400" s="5" cm="1">
        <f t="array" ref="S400">MAX(IF((DiscreteStatsTable[GroupByKey]=DiscreteStatsTable[[#This Row],[GroupByKey]]),(DiscreteStatsTable[GroupByKey]=DiscreteStatsTable[[#This Row],[GroupByKey]])*DiscreteStatsTable[Average]))</f>
        <v>3.6335836290778101</v>
      </c>
      <c r="T400" s="5" cm="1">
        <f t="array" ref="T400">MIN(IF((DiscreteStatsTable[GroupByKey]=DiscreteStatsTable[[#This Row],[GroupByKey]]),(DiscreteStatsTable[GroupByKey]=DiscreteStatsTable[[#This Row],[GroupByKey]])*DiscreteStatsTable[Minimum]))</f>
        <v>0.24910662918173601</v>
      </c>
      <c r="U400" s="5" cm="1">
        <f t="array" ref="U400">MAX(IF((DiscreteStatsTable[GroupByKey]=DiscreteStatsTable[[#This Row],[GroupByKey]]),(DiscreteStatsTable[GroupByKey]=DiscreteStatsTable[[#This Row],[GroupByKey]])*DiscreteStatsTable[Maximum]))</f>
        <v>3.6335836290778101</v>
      </c>
      <c r="V400" s="5" cm="1">
        <f t="array" ref="V400">IFERROR(AVERAGE(IF((DiscreteStatsTable[GroupByKey]=DiscreteStatsTable[[#This Row],[GroupByKey]]),(DiscreteStatsTable[GroupByKey]=DiscreteStatsTable[[#This Row],[GroupByKey]])*DiscreteStatsTable[NumberObservations])),0)</f>
        <v>1</v>
      </c>
      <c r="W400" s="5">
        <f>IF((DiscreteStatsTable[[#This Row],[RepsRequested]]&gt;1),DiscreteStatsTable[[#This Row],[HalfWidth]],DiscreteStatsTable[[#This Row],[BatchMeansHalfWidth]])</f>
        <v>0.3686718886858002</v>
      </c>
      <c r="X400" s="5" cm="1">
        <f t="array" ref="X400">COUNT(IF((DiscreteStatsTable[GroupByKey]=DiscreteStatsTable[[#This Row],[GroupByKey]]),(DiscreteStatsTable[GroupByKey]=DiscreteStatsTable[[#This Row],[GroupByKey]])*DiscreteStatsTable[Replication]))</f>
        <v>19</v>
      </c>
      <c r="Y400" s="5">
        <f>IF(DiscreteStatsTable[[#This Row],[RepsRequested]]=DiscreteStatsTable[[#This Row],[RepsWithStatObserved]],1,0)</f>
        <v>1</v>
      </c>
    </row>
    <row r="401" spans="1:25" x14ac:dyDescent="0.25">
      <c r="A401" t="s">
        <v>67</v>
      </c>
      <c r="B401" t="s">
        <v>69</v>
      </c>
      <c r="C401">
        <v>1</v>
      </c>
      <c r="D401" t="s">
        <v>99</v>
      </c>
      <c r="E401" t="s">
        <v>90</v>
      </c>
      <c r="F401" t="s">
        <v>91</v>
      </c>
      <c r="G401">
        <v>3.6335836290778101</v>
      </c>
      <c r="H401">
        <v>2E+20</v>
      </c>
      <c r="I401">
        <v>0</v>
      </c>
      <c r="J401">
        <v>14.899429331080601</v>
      </c>
      <c r="K401">
        <v>144</v>
      </c>
      <c r="L40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compartida)Pasar a Caja.QueueWaiting TimeQueue</v>
      </c>
      <c r="M401" s="5" cm="1">
        <f t="array" ref="M401">MAX(IF((ProjectInfoTable[ProjectName]=DiscreteStatsTable[[#This Row],[ProjectName]]),(ProjectInfoTable[ProjectName]=DiscreteStatsTable[[#This Row],[ProjectName]])*ProjectInfoTable[NumberOfReplications]))</f>
        <v>19</v>
      </c>
      <c r="N401" s="5" cm="1">
        <f t="array" ref="N401">IFERROR(AVERAGE(IF((DiscreteStatsTable[GroupByKey]=DiscreteStatsTable[[#This Row],[GroupByKey]]),(DiscreteStatsTable[GroupByKey]=DiscreteStatsTable[[#This Row],[GroupByKey]])*DiscreteStatsTable[Average])),0)</f>
        <v>0.78149191546140195</v>
      </c>
      <c r="O401" s="5" cm="1">
        <f t="array" ref="O401">IFERROR(_xlfn.STDEV.S(IF((DiscreteStatsTable[GroupByKey]=DiscreteStatsTable[[#This Row],[GroupByKey]]),(DiscreteStatsTable[GroupByKey]=DiscreteStatsTable[[#This Row],[GroupByKey]])*DiscreteStatsTable[Average])),0)</f>
        <v>0.76490392090955872</v>
      </c>
      <c r="P401" s="5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 s="5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401" s="5" cm="1">
        <f t="array" ref="R401">MIN(IF((DiscreteStatsTable[GroupByKey]=DiscreteStatsTable[[#This Row],[GroupByKey]]),(DiscreteStatsTable[GroupByKey]=DiscreteStatsTable[[#This Row],[GroupByKey]])*DiscreteStatsTable[Average]))</f>
        <v>0.24910662918173601</v>
      </c>
      <c r="S401" s="5" cm="1">
        <f t="array" ref="S401">MAX(IF((DiscreteStatsTable[GroupByKey]=DiscreteStatsTable[[#This Row],[GroupByKey]]),(DiscreteStatsTable[GroupByKey]=DiscreteStatsTable[[#This Row],[GroupByKey]])*DiscreteStatsTable[Average]))</f>
        <v>3.6335836290778101</v>
      </c>
      <c r="T401" s="5" cm="1">
        <f t="array" ref="T401">MIN(IF((DiscreteStatsTable[GroupByKey]=DiscreteStatsTable[[#This Row],[GroupByKey]]),(DiscreteStatsTable[GroupByKey]=DiscreteStatsTable[[#This Row],[GroupByKey]])*DiscreteStatsTable[Minimum]))</f>
        <v>0</v>
      </c>
      <c r="U401" s="5" cm="1">
        <f t="array" ref="U401">MAX(IF((DiscreteStatsTable[GroupByKey]=DiscreteStatsTable[[#This Row],[GroupByKey]]),(DiscreteStatsTable[GroupByKey]=DiscreteStatsTable[[#This Row],[GroupByKey]])*DiscreteStatsTable[Maximum]))</f>
        <v>14.899429331080601</v>
      </c>
      <c r="V401" s="5" cm="1">
        <f t="array" ref="V401">IFERROR(AVERAGE(IF((DiscreteStatsTable[GroupByKey]=DiscreteStatsTable[[#This Row],[GroupByKey]]),(DiscreteStatsTable[GroupByKey]=DiscreteStatsTable[[#This Row],[GroupByKey]])*DiscreteStatsTable[NumberObservations])),0)</f>
        <v>122.10526315789474</v>
      </c>
      <c r="W401" s="5">
        <f>IF((DiscreteStatsTable[[#This Row],[RepsRequested]]&gt;1),DiscreteStatsTable[[#This Row],[HalfWidth]],DiscreteStatsTable[[#This Row],[BatchMeansHalfWidth]])</f>
        <v>0.3686718886858002</v>
      </c>
      <c r="X401" s="5" cm="1">
        <f t="array" ref="X401">COUNT(IF((DiscreteStatsTable[GroupByKey]=DiscreteStatsTable[[#This Row],[GroupByKey]]),(DiscreteStatsTable[GroupByKey]=DiscreteStatsTable[[#This Row],[GroupByKey]])*DiscreteStatsTable[Replication]))</f>
        <v>19</v>
      </c>
      <c r="Y401" s="5">
        <f>IF(DiscreteStatsTable[[#This Row],[RepsRequested]]=DiscreteStatsTable[[#This Row],[RepsWithStatObserved]],1,0)</f>
        <v>1</v>
      </c>
    </row>
    <row r="402" spans="1:25" x14ac:dyDescent="0.25">
      <c r="A402" t="s">
        <v>67</v>
      </c>
      <c r="B402" t="s">
        <v>69</v>
      </c>
      <c r="C402">
        <v>2</v>
      </c>
      <c r="D402" t="s">
        <v>99</v>
      </c>
      <c r="E402" t="s">
        <v>90</v>
      </c>
      <c r="F402" t="s">
        <v>91</v>
      </c>
      <c r="G402">
        <v>0.50978160160577102</v>
      </c>
      <c r="H402">
        <v>2E+20</v>
      </c>
      <c r="I402">
        <v>0</v>
      </c>
      <c r="J402">
        <v>4.6797934502161</v>
      </c>
      <c r="K402">
        <v>111</v>
      </c>
      <c r="L40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compartida)Pasar a Caja.QueueWaiting TimeQueue</v>
      </c>
      <c r="M402" s="5" cm="1">
        <f t="array" ref="M402">MAX(IF((ProjectInfoTable[ProjectName]=DiscreteStatsTable[[#This Row],[ProjectName]]),(ProjectInfoTable[ProjectName]=DiscreteStatsTable[[#This Row],[ProjectName]])*ProjectInfoTable[NumberOfReplications]))</f>
        <v>19</v>
      </c>
      <c r="N402" s="5" cm="1">
        <f t="array" ref="N402">IFERROR(AVERAGE(IF((DiscreteStatsTable[GroupByKey]=DiscreteStatsTable[[#This Row],[GroupByKey]]),(DiscreteStatsTable[GroupByKey]=DiscreteStatsTable[[#This Row],[GroupByKey]])*DiscreteStatsTable[Average])),0)</f>
        <v>0.78149191546140195</v>
      </c>
      <c r="O402" s="5" cm="1">
        <f t="array" ref="O402">IFERROR(_xlfn.STDEV.S(IF((DiscreteStatsTable[GroupByKey]=DiscreteStatsTable[[#This Row],[GroupByKey]]),(DiscreteStatsTable[GroupByKey]=DiscreteStatsTable[[#This Row],[GroupByKey]])*DiscreteStatsTable[Average])),0)</f>
        <v>0.76490392090955872</v>
      </c>
      <c r="P402" s="5" cm="1">
        <f t="array" ref="P402">MAX(IF((ProjectInfoTable[ProjectName]=DiscreteStatsTable[[#This Row],[ProjectName]]),(ProjectInfoTable[ProjectName]=DiscreteStatsTable[[#This Row],[ProjectName]])*ProjectInfoTable[ConfidenceInterval]))</f>
        <v>0.95</v>
      </c>
      <c r="Q402" s="5">
        <f>IF(AND(DiscreteStatsTable[[#This Row],[RepsWithStatObserved]]=1,Y402=0),200000000000000000000,IFERROR(_xlfn.T.INV.2T(1 -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402" s="5" cm="1">
        <f t="array" ref="R402">MIN(IF((DiscreteStatsTable[GroupByKey]=DiscreteStatsTable[[#This Row],[GroupByKey]]),(DiscreteStatsTable[GroupByKey]=DiscreteStatsTable[[#This Row],[GroupByKey]])*DiscreteStatsTable[Average]))</f>
        <v>0.24910662918173601</v>
      </c>
      <c r="S402" s="5" cm="1">
        <f t="array" ref="S402">MAX(IF((DiscreteStatsTable[GroupByKey]=DiscreteStatsTable[[#This Row],[GroupByKey]]),(DiscreteStatsTable[GroupByKey]=DiscreteStatsTable[[#This Row],[GroupByKey]])*DiscreteStatsTable[Average]))</f>
        <v>3.6335836290778101</v>
      </c>
      <c r="T402" s="5" cm="1">
        <f t="array" ref="T402">MIN(IF((DiscreteStatsTable[GroupByKey]=DiscreteStatsTable[[#This Row],[GroupByKey]]),(DiscreteStatsTable[GroupByKey]=DiscreteStatsTable[[#This Row],[GroupByKey]])*DiscreteStatsTable[Minimum]))</f>
        <v>0</v>
      </c>
      <c r="U402" s="5" cm="1">
        <f t="array" ref="U402">MAX(IF((DiscreteStatsTable[GroupByKey]=DiscreteStatsTable[[#This Row],[GroupByKey]]),(DiscreteStatsTable[GroupByKey]=DiscreteStatsTable[[#This Row],[GroupByKey]])*DiscreteStatsTable[Maximum]))</f>
        <v>14.899429331080601</v>
      </c>
      <c r="V402" s="5" cm="1">
        <f t="array" ref="V402">IFERROR(AVERAGE(IF((DiscreteStatsTable[GroupByKey]=DiscreteStatsTable[[#This Row],[GroupByKey]]),(DiscreteStatsTable[GroupByKey]=DiscreteStatsTable[[#This Row],[GroupByKey]])*DiscreteStatsTable[NumberObservations])),0)</f>
        <v>122.10526315789474</v>
      </c>
      <c r="W402" s="5">
        <f>IF((DiscreteStatsTable[[#This Row],[RepsRequested]]&gt;1),DiscreteStatsTable[[#This Row],[HalfWidth]],DiscreteStatsTable[[#This Row],[BatchMeansHalfWidth]])</f>
        <v>0.3686718886858002</v>
      </c>
      <c r="X402" s="5" cm="1">
        <f t="array" ref="X402">COUNT(IF((DiscreteStatsTable[GroupByKey]=DiscreteStatsTable[[#This Row],[GroupByKey]]),(DiscreteStatsTable[GroupByKey]=DiscreteStatsTable[[#This Row],[GroupByKey]])*DiscreteStatsTable[Replication]))</f>
        <v>19</v>
      </c>
      <c r="Y402" s="5">
        <f>IF(DiscreteStatsTable[[#This Row],[RepsRequested]]=DiscreteStatsTable[[#This Row],[RepsWithStatObserved]],1,0)</f>
        <v>1</v>
      </c>
    </row>
    <row r="403" spans="1:25" x14ac:dyDescent="0.25">
      <c r="A403" t="s">
        <v>67</v>
      </c>
      <c r="B403" t="s">
        <v>69</v>
      </c>
      <c r="C403">
        <v>3</v>
      </c>
      <c r="D403" t="s">
        <v>99</v>
      </c>
      <c r="E403" t="s">
        <v>90</v>
      </c>
      <c r="F403" t="s">
        <v>91</v>
      </c>
      <c r="G403">
        <v>1.5548313957131701</v>
      </c>
      <c r="H403">
        <v>2E+20</v>
      </c>
      <c r="I403">
        <v>0</v>
      </c>
      <c r="J403">
        <v>7.5873402927291398</v>
      </c>
      <c r="K403">
        <v>109</v>
      </c>
      <c r="L40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compartida)Pasar a Caja.QueueWaiting TimeQueue</v>
      </c>
      <c r="M403" s="5" cm="1">
        <f t="array" ref="M403">MAX(IF((ProjectInfoTable[ProjectName]=DiscreteStatsTable[[#This Row],[ProjectName]]),(ProjectInfoTable[ProjectName]=DiscreteStatsTable[[#This Row],[ProjectName]])*ProjectInfoTable[NumberOfReplications]))</f>
        <v>19</v>
      </c>
      <c r="N403" s="5" cm="1">
        <f t="array" ref="N403">IFERROR(AVERAGE(IF((DiscreteStatsTable[GroupByKey]=DiscreteStatsTable[[#This Row],[GroupByKey]]),(DiscreteStatsTable[GroupByKey]=DiscreteStatsTable[[#This Row],[GroupByKey]])*DiscreteStatsTable[Average])),0)</f>
        <v>0.78149191546140195</v>
      </c>
      <c r="O403" s="5" cm="1">
        <f t="array" ref="O403">IFERROR(_xlfn.STDEV.S(IF((DiscreteStatsTable[GroupByKey]=DiscreteStatsTable[[#This Row],[GroupByKey]]),(DiscreteStatsTable[GroupByKey]=DiscreteStatsTable[[#This Row],[GroupByKey]])*DiscreteStatsTable[Average])),0)</f>
        <v>0.76490392090955872</v>
      </c>
      <c r="P403" s="5" cm="1">
        <f t="array" ref="P403">MAX(IF((ProjectInfoTable[ProjectName]=DiscreteStatsTable[[#This Row],[ProjectName]]),(ProjectInfoTable[ProjectName]=DiscreteStatsTable[[#This Row],[ProjectName]])*ProjectInfoTable[ConfidenceInterval]))</f>
        <v>0.95</v>
      </c>
      <c r="Q403" s="5">
        <f>IF(AND(DiscreteStatsTable[[#This Row],[RepsWithStatObserved]]=1,Y403=0),200000000000000000000,IFERROR(_xlfn.T.INV.2T(1 -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403" s="5" cm="1">
        <f t="array" ref="R403">MIN(IF((DiscreteStatsTable[GroupByKey]=DiscreteStatsTable[[#This Row],[GroupByKey]]),(DiscreteStatsTable[GroupByKey]=DiscreteStatsTable[[#This Row],[GroupByKey]])*DiscreteStatsTable[Average]))</f>
        <v>0.24910662918173601</v>
      </c>
      <c r="S403" s="5" cm="1">
        <f t="array" ref="S403">MAX(IF((DiscreteStatsTable[GroupByKey]=DiscreteStatsTable[[#This Row],[GroupByKey]]),(DiscreteStatsTable[GroupByKey]=DiscreteStatsTable[[#This Row],[GroupByKey]])*DiscreteStatsTable[Average]))</f>
        <v>3.6335836290778101</v>
      </c>
      <c r="T403" s="5" cm="1">
        <f t="array" ref="T403">MIN(IF((DiscreteStatsTable[GroupByKey]=DiscreteStatsTable[[#This Row],[GroupByKey]]),(DiscreteStatsTable[GroupByKey]=DiscreteStatsTable[[#This Row],[GroupByKey]])*DiscreteStatsTable[Minimum]))</f>
        <v>0</v>
      </c>
      <c r="U403" s="5" cm="1">
        <f t="array" ref="U403">MAX(IF((DiscreteStatsTable[GroupByKey]=DiscreteStatsTable[[#This Row],[GroupByKey]]),(DiscreteStatsTable[GroupByKey]=DiscreteStatsTable[[#This Row],[GroupByKey]])*DiscreteStatsTable[Maximum]))</f>
        <v>14.899429331080601</v>
      </c>
      <c r="V403" s="5" cm="1">
        <f t="array" ref="V403">IFERROR(AVERAGE(IF((DiscreteStatsTable[GroupByKey]=DiscreteStatsTable[[#This Row],[GroupByKey]]),(DiscreteStatsTable[GroupByKey]=DiscreteStatsTable[[#This Row],[GroupByKey]])*DiscreteStatsTable[NumberObservations])),0)</f>
        <v>122.10526315789474</v>
      </c>
      <c r="W403" s="5">
        <f>IF((DiscreteStatsTable[[#This Row],[RepsRequested]]&gt;1),DiscreteStatsTable[[#This Row],[HalfWidth]],DiscreteStatsTable[[#This Row],[BatchMeansHalfWidth]])</f>
        <v>0.3686718886858002</v>
      </c>
      <c r="X403" s="5" cm="1">
        <f t="array" ref="X403">COUNT(IF((DiscreteStatsTable[GroupByKey]=DiscreteStatsTable[[#This Row],[GroupByKey]]),(DiscreteStatsTable[GroupByKey]=DiscreteStatsTable[[#This Row],[GroupByKey]])*DiscreteStatsTable[Replication]))</f>
        <v>19</v>
      </c>
      <c r="Y403" s="5">
        <f>IF(DiscreteStatsTable[[#This Row],[RepsRequested]]=DiscreteStatsTable[[#This Row],[RepsWithStatObserved]],1,0)</f>
        <v>1</v>
      </c>
    </row>
    <row r="404" spans="1:25" x14ac:dyDescent="0.25">
      <c r="A404" t="s">
        <v>67</v>
      </c>
      <c r="B404" t="s">
        <v>69</v>
      </c>
      <c r="C404">
        <v>4</v>
      </c>
      <c r="D404" t="s">
        <v>99</v>
      </c>
      <c r="E404" t="s">
        <v>90</v>
      </c>
      <c r="F404" t="s">
        <v>91</v>
      </c>
      <c r="G404">
        <v>0.32733395472244697</v>
      </c>
      <c r="H404">
        <v>2E+20</v>
      </c>
      <c r="I404">
        <v>0</v>
      </c>
      <c r="J404">
        <v>3.6312589016492498</v>
      </c>
      <c r="K404">
        <v>117</v>
      </c>
      <c r="L40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compartida)Pasar a Caja.QueueWaiting TimeQueue</v>
      </c>
      <c r="M404" s="5" cm="1">
        <f t="array" ref="M404">MAX(IF((ProjectInfoTable[ProjectName]=DiscreteStatsTable[[#This Row],[ProjectName]]),(ProjectInfoTable[ProjectName]=DiscreteStatsTable[[#This Row],[ProjectName]])*ProjectInfoTable[NumberOfReplications]))</f>
        <v>19</v>
      </c>
      <c r="N404" s="5" cm="1">
        <f t="array" ref="N404">IFERROR(AVERAGE(IF((DiscreteStatsTable[GroupByKey]=DiscreteStatsTable[[#This Row],[GroupByKey]]),(DiscreteStatsTable[GroupByKey]=DiscreteStatsTable[[#This Row],[GroupByKey]])*DiscreteStatsTable[Average])),0)</f>
        <v>0.78149191546140195</v>
      </c>
      <c r="O404" s="5" cm="1">
        <f t="array" ref="O404">IFERROR(_xlfn.STDEV.S(IF((DiscreteStatsTable[GroupByKey]=DiscreteStatsTable[[#This Row],[GroupByKey]]),(DiscreteStatsTable[GroupByKey]=DiscreteStatsTable[[#This Row],[GroupByKey]])*DiscreteStatsTable[Average])),0)</f>
        <v>0.76490392090955872</v>
      </c>
      <c r="P404" s="5" cm="1">
        <f t="array" ref="P404">MAX(IF((ProjectInfoTable[ProjectName]=DiscreteStatsTable[[#This Row],[ProjectName]]),(ProjectInfoTable[ProjectName]=DiscreteStatsTable[[#This Row],[ProjectName]])*ProjectInfoTable[ConfidenceInterval]))</f>
        <v>0.95</v>
      </c>
      <c r="Q404" s="5">
        <f>IF(AND(DiscreteStatsTable[[#This Row],[RepsWithStatObserved]]=1,Y404=0),200000000000000000000,IFERROR(_xlfn.T.INV.2T(1 -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404" s="5" cm="1">
        <f t="array" ref="R404">MIN(IF((DiscreteStatsTable[GroupByKey]=DiscreteStatsTable[[#This Row],[GroupByKey]]),(DiscreteStatsTable[GroupByKey]=DiscreteStatsTable[[#This Row],[GroupByKey]])*DiscreteStatsTable[Average]))</f>
        <v>0.24910662918173601</v>
      </c>
      <c r="S404" s="5" cm="1">
        <f t="array" ref="S404">MAX(IF((DiscreteStatsTable[GroupByKey]=DiscreteStatsTable[[#This Row],[GroupByKey]]),(DiscreteStatsTable[GroupByKey]=DiscreteStatsTable[[#This Row],[GroupByKey]])*DiscreteStatsTable[Average]))</f>
        <v>3.6335836290778101</v>
      </c>
      <c r="T404" s="5" cm="1">
        <f t="array" ref="T404">MIN(IF((DiscreteStatsTable[GroupByKey]=DiscreteStatsTable[[#This Row],[GroupByKey]]),(DiscreteStatsTable[GroupByKey]=DiscreteStatsTable[[#This Row],[GroupByKey]])*DiscreteStatsTable[Minimum]))</f>
        <v>0</v>
      </c>
      <c r="U404" s="5" cm="1">
        <f t="array" ref="U404">MAX(IF((DiscreteStatsTable[GroupByKey]=DiscreteStatsTable[[#This Row],[GroupByKey]]),(DiscreteStatsTable[GroupByKey]=DiscreteStatsTable[[#This Row],[GroupByKey]])*DiscreteStatsTable[Maximum]))</f>
        <v>14.899429331080601</v>
      </c>
      <c r="V404" s="5" cm="1">
        <f t="array" ref="V404">IFERROR(AVERAGE(IF((DiscreteStatsTable[GroupByKey]=DiscreteStatsTable[[#This Row],[GroupByKey]]),(DiscreteStatsTable[GroupByKey]=DiscreteStatsTable[[#This Row],[GroupByKey]])*DiscreteStatsTable[NumberObservations])),0)</f>
        <v>122.10526315789474</v>
      </c>
      <c r="W404" s="5">
        <f>IF((DiscreteStatsTable[[#This Row],[RepsRequested]]&gt;1),DiscreteStatsTable[[#This Row],[HalfWidth]],DiscreteStatsTable[[#This Row],[BatchMeansHalfWidth]])</f>
        <v>0.3686718886858002</v>
      </c>
      <c r="X404" s="5" cm="1">
        <f t="array" ref="X404">COUNT(IF((DiscreteStatsTable[GroupByKey]=DiscreteStatsTable[[#This Row],[GroupByKey]]),(DiscreteStatsTable[GroupByKey]=DiscreteStatsTable[[#This Row],[GroupByKey]])*DiscreteStatsTable[Replication]))</f>
        <v>19</v>
      </c>
      <c r="Y404" s="5">
        <f>IF(DiscreteStatsTable[[#This Row],[RepsRequested]]=DiscreteStatsTable[[#This Row],[RepsWithStatObserved]],1,0)</f>
        <v>1</v>
      </c>
    </row>
    <row r="405" spans="1:25" x14ac:dyDescent="0.25">
      <c r="A405" t="s">
        <v>67</v>
      </c>
      <c r="B405" t="s">
        <v>69</v>
      </c>
      <c r="C405">
        <v>5</v>
      </c>
      <c r="D405" t="s">
        <v>99</v>
      </c>
      <c r="E405" t="s">
        <v>90</v>
      </c>
      <c r="F405" t="s">
        <v>91</v>
      </c>
      <c r="G405">
        <v>0.26672229382496299</v>
      </c>
      <c r="H405">
        <v>2E+20</v>
      </c>
      <c r="I405">
        <v>0</v>
      </c>
      <c r="J405">
        <v>2.7691825031151298</v>
      </c>
      <c r="K405">
        <v>131</v>
      </c>
      <c r="L40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compartida)Pasar a Caja.QueueWaiting TimeQueue</v>
      </c>
      <c r="M405" s="5" cm="1">
        <f t="array" ref="M405">MAX(IF((ProjectInfoTable[ProjectName]=DiscreteStatsTable[[#This Row],[ProjectName]]),(ProjectInfoTable[ProjectName]=DiscreteStatsTable[[#This Row],[ProjectName]])*ProjectInfoTable[NumberOfReplications]))</f>
        <v>19</v>
      </c>
      <c r="N405" s="5" cm="1">
        <f t="array" ref="N405">IFERROR(AVERAGE(IF((DiscreteStatsTable[GroupByKey]=DiscreteStatsTable[[#This Row],[GroupByKey]]),(DiscreteStatsTable[GroupByKey]=DiscreteStatsTable[[#This Row],[GroupByKey]])*DiscreteStatsTable[Average])),0)</f>
        <v>0.78149191546140195</v>
      </c>
      <c r="O405" s="5" cm="1">
        <f t="array" ref="O405">IFERROR(_xlfn.STDEV.S(IF((DiscreteStatsTable[GroupByKey]=DiscreteStatsTable[[#This Row],[GroupByKey]]),(DiscreteStatsTable[GroupByKey]=DiscreteStatsTable[[#This Row],[GroupByKey]])*DiscreteStatsTable[Average])),0)</f>
        <v>0.76490392090955872</v>
      </c>
      <c r="P405" s="5" cm="1">
        <f t="array" ref="P405">MAX(IF((ProjectInfoTable[ProjectName]=DiscreteStatsTable[[#This Row],[ProjectName]]),(ProjectInfoTable[ProjectName]=DiscreteStatsTable[[#This Row],[ProjectName]])*ProjectInfoTable[ConfidenceInterval]))</f>
        <v>0.95</v>
      </c>
      <c r="Q405" s="5">
        <f>IF(AND(DiscreteStatsTable[[#This Row],[RepsWithStatObserved]]=1,Y405=0),200000000000000000000,IFERROR(_xlfn.T.INV.2T(1 -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405" s="5" cm="1">
        <f t="array" ref="R405">MIN(IF((DiscreteStatsTable[GroupByKey]=DiscreteStatsTable[[#This Row],[GroupByKey]]),(DiscreteStatsTable[GroupByKey]=DiscreteStatsTable[[#This Row],[GroupByKey]])*DiscreteStatsTable[Average]))</f>
        <v>0.24910662918173601</v>
      </c>
      <c r="S405" s="5" cm="1">
        <f t="array" ref="S405">MAX(IF((DiscreteStatsTable[GroupByKey]=DiscreteStatsTable[[#This Row],[GroupByKey]]),(DiscreteStatsTable[GroupByKey]=DiscreteStatsTable[[#This Row],[GroupByKey]])*DiscreteStatsTable[Average]))</f>
        <v>3.6335836290778101</v>
      </c>
      <c r="T405" s="5" cm="1">
        <f t="array" ref="T405">MIN(IF((DiscreteStatsTable[GroupByKey]=DiscreteStatsTable[[#This Row],[GroupByKey]]),(DiscreteStatsTable[GroupByKey]=DiscreteStatsTable[[#This Row],[GroupByKey]])*DiscreteStatsTable[Minimum]))</f>
        <v>0</v>
      </c>
      <c r="U405" s="5" cm="1">
        <f t="array" ref="U405">MAX(IF((DiscreteStatsTable[GroupByKey]=DiscreteStatsTable[[#This Row],[GroupByKey]]),(DiscreteStatsTable[GroupByKey]=DiscreteStatsTable[[#This Row],[GroupByKey]])*DiscreteStatsTable[Maximum]))</f>
        <v>14.899429331080601</v>
      </c>
      <c r="V405" s="5" cm="1">
        <f t="array" ref="V405">IFERROR(AVERAGE(IF((DiscreteStatsTable[GroupByKey]=DiscreteStatsTable[[#This Row],[GroupByKey]]),(DiscreteStatsTable[GroupByKey]=DiscreteStatsTable[[#This Row],[GroupByKey]])*DiscreteStatsTable[NumberObservations])),0)</f>
        <v>122.10526315789474</v>
      </c>
      <c r="W405" s="5">
        <f>IF((DiscreteStatsTable[[#This Row],[RepsRequested]]&gt;1),DiscreteStatsTable[[#This Row],[HalfWidth]],DiscreteStatsTable[[#This Row],[BatchMeansHalfWidth]])</f>
        <v>0.3686718886858002</v>
      </c>
      <c r="X405" s="5" cm="1">
        <f t="array" ref="X405">COUNT(IF((DiscreteStatsTable[GroupByKey]=DiscreteStatsTable[[#This Row],[GroupByKey]]),(DiscreteStatsTable[GroupByKey]=DiscreteStatsTable[[#This Row],[GroupByKey]])*DiscreteStatsTable[Replication]))</f>
        <v>19</v>
      </c>
      <c r="Y405" s="5">
        <f>IF(DiscreteStatsTable[[#This Row],[RepsRequested]]=DiscreteStatsTable[[#This Row],[RepsWithStatObserved]],1,0)</f>
        <v>1</v>
      </c>
    </row>
    <row r="406" spans="1:25" x14ac:dyDescent="0.25">
      <c r="A406" t="s">
        <v>67</v>
      </c>
      <c r="B406" t="s">
        <v>69</v>
      </c>
      <c r="C406">
        <v>6</v>
      </c>
      <c r="D406" t="s">
        <v>99</v>
      </c>
      <c r="E406" t="s">
        <v>90</v>
      </c>
      <c r="F406" t="s">
        <v>91</v>
      </c>
      <c r="G406">
        <v>0.264570359205751</v>
      </c>
      <c r="H406">
        <v>2E+20</v>
      </c>
      <c r="I406">
        <v>0</v>
      </c>
      <c r="J406">
        <v>2.4666253241309199</v>
      </c>
      <c r="K406">
        <v>117</v>
      </c>
      <c r="L40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compartida)Pasar a Caja.QueueWaiting TimeQueue</v>
      </c>
      <c r="M406" s="5" cm="1">
        <f t="array" ref="M406">MAX(IF((ProjectInfoTable[ProjectName]=DiscreteStatsTable[[#This Row],[ProjectName]]),(ProjectInfoTable[ProjectName]=DiscreteStatsTable[[#This Row],[ProjectName]])*ProjectInfoTable[NumberOfReplications]))</f>
        <v>19</v>
      </c>
      <c r="N406" s="5" cm="1">
        <f t="array" ref="N406">IFERROR(AVERAGE(IF((DiscreteStatsTable[GroupByKey]=DiscreteStatsTable[[#This Row],[GroupByKey]]),(DiscreteStatsTable[GroupByKey]=DiscreteStatsTable[[#This Row],[GroupByKey]])*DiscreteStatsTable[Average])),0)</f>
        <v>0.78149191546140195</v>
      </c>
      <c r="O406" s="5" cm="1">
        <f t="array" ref="O406">IFERROR(_xlfn.STDEV.S(IF((DiscreteStatsTable[GroupByKey]=DiscreteStatsTable[[#This Row],[GroupByKey]]),(DiscreteStatsTable[GroupByKey]=DiscreteStatsTable[[#This Row],[GroupByKey]])*DiscreteStatsTable[Average])),0)</f>
        <v>0.76490392090955872</v>
      </c>
      <c r="P406" s="5" cm="1">
        <f t="array" ref="P406">MAX(IF((ProjectInfoTable[ProjectName]=DiscreteStatsTable[[#This Row],[ProjectName]]),(ProjectInfoTable[ProjectName]=DiscreteStatsTable[[#This Row],[ProjectName]])*ProjectInfoTable[ConfidenceInterval]))</f>
        <v>0.95</v>
      </c>
      <c r="Q406" s="5">
        <f>IF(AND(DiscreteStatsTable[[#This Row],[RepsWithStatObserved]]=1,Y406=0),200000000000000000000,IFERROR(_xlfn.T.INV.2T(1 -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406" s="5" cm="1">
        <f t="array" ref="R406">MIN(IF((DiscreteStatsTable[GroupByKey]=DiscreteStatsTable[[#This Row],[GroupByKey]]),(DiscreteStatsTable[GroupByKey]=DiscreteStatsTable[[#This Row],[GroupByKey]])*DiscreteStatsTable[Average]))</f>
        <v>0.24910662918173601</v>
      </c>
      <c r="S406" s="5" cm="1">
        <f t="array" ref="S406">MAX(IF((DiscreteStatsTable[GroupByKey]=DiscreteStatsTable[[#This Row],[GroupByKey]]),(DiscreteStatsTable[GroupByKey]=DiscreteStatsTable[[#This Row],[GroupByKey]])*DiscreteStatsTable[Average]))</f>
        <v>3.6335836290778101</v>
      </c>
      <c r="T406" s="5" cm="1">
        <f t="array" ref="T406">MIN(IF((DiscreteStatsTable[GroupByKey]=DiscreteStatsTable[[#This Row],[GroupByKey]]),(DiscreteStatsTable[GroupByKey]=DiscreteStatsTable[[#This Row],[GroupByKey]])*DiscreteStatsTable[Minimum]))</f>
        <v>0</v>
      </c>
      <c r="U406" s="5" cm="1">
        <f t="array" ref="U406">MAX(IF((DiscreteStatsTable[GroupByKey]=DiscreteStatsTable[[#This Row],[GroupByKey]]),(DiscreteStatsTable[GroupByKey]=DiscreteStatsTable[[#This Row],[GroupByKey]])*DiscreteStatsTable[Maximum]))</f>
        <v>14.899429331080601</v>
      </c>
      <c r="V406" s="5" cm="1">
        <f t="array" ref="V406">IFERROR(AVERAGE(IF((DiscreteStatsTable[GroupByKey]=DiscreteStatsTable[[#This Row],[GroupByKey]]),(DiscreteStatsTable[GroupByKey]=DiscreteStatsTable[[#This Row],[GroupByKey]])*DiscreteStatsTable[NumberObservations])),0)</f>
        <v>122.10526315789474</v>
      </c>
      <c r="W406" s="5">
        <f>IF((DiscreteStatsTable[[#This Row],[RepsRequested]]&gt;1),DiscreteStatsTable[[#This Row],[HalfWidth]],DiscreteStatsTable[[#This Row],[BatchMeansHalfWidth]])</f>
        <v>0.3686718886858002</v>
      </c>
      <c r="X406" s="5" cm="1">
        <f t="array" ref="X406">COUNT(IF((DiscreteStatsTable[GroupByKey]=DiscreteStatsTable[[#This Row],[GroupByKey]]),(DiscreteStatsTable[GroupByKey]=DiscreteStatsTable[[#This Row],[GroupByKey]])*DiscreteStatsTable[Replication]))</f>
        <v>19</v>
      </c>
      <c r="Y406" s="5">
        <f>IF(DiscreteStatsTable[[#This Row],[RepsRequested]]=DiscreteStatsTable[[#This Row],[RepsWithStatObserved]],1,0)</f>
        <v>1</v>
      </c>
    </row>
    <row r="407" spans="1:25" x14ac:dyDescent="0.25">
      <c r="A407" t="s">
        <v>67</v>
      </c>
      <c r="B407" t="s">
        <v>69</v>
      </c>
      <c r="C407">
        <v>7</v>
      </c>
      <c r="D407" t="s">
        <v>99</v>
      </c>
      <c r="E407" t="s">
        <v>90</v>
      </c>
      <c r="F407" t="s">
        <v>91</v>
      </c>
      <c r="G407">
        <v>0.47655011559389299</v>
      </c>
      <c r="H407">
        <v>2E+20</v>
      </c>
      <c r="I407">
        <v>0</v>
      </c>
      <c r="J407">
        <v>4.50418576716479</v>
      </c>
      <c r="K407">
        <v>111</v>
      </c>
      <c r="L40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compartida)Pasar a Caja.QueueWaiting TimeQueue</v>
      </c>
      <c r="M407" s="5" cm="1">
        <f t="array" ref="M407">MAX(IF((ProjectInfoTable[ProjectName]=DiscreteStatsTable[[#This Row],[ProjectName]]),(ProjectInfoTable[ProjectName]=DiscreteStatsTable[[#This Row],[ProjectName]])*ProjectInfoTable[NumberOfReplications]))</f>
        <v>19</v>
      </c>
      <c r="N407" s="5" cm="1">
        <f t="array" ref="N407">IFERROR(AVERAGE(IF((DiscreteStatsTable[GroupByKey]=DiscreteStatsTable[[#This Row],[GroupByKey]]),(DiscreteStatsTable[GroupByKey]=DiscreteStatsTable[[#This Row],[GroupByKey]])*DiscreteStatsTable[Average])),0)</f>
        <v>0.78149191546140195</v>
      </c>
      <c r="O407" s="5" cm="1">
        <f t="array" ref="O407">IFERROR(_xlfn.STDEV.S(IF((DiscreteStatsTable[GroupByKey]=DiscreteStatsTable[[#This Row],[GroupByKey]]),(DiscreteStatsTable[GroupByKey]=DiscreteStatsTable[[#This Row],[GroupByKey]])*DiscreteStatsTable[Average])),0)</f>
        <v>0.76490392090955872</v>
      </c>
      <c r="P407" s="5" cm="1">
        <f t="array" ref="P407">MAX(IF((ProjectInfoTable[ProjectName]=DiscreteStatsTable[[#This Row],[ProjectName]]),(ProjectInfoTable[ProjectName]=DiscreteStatsTable[[#This Row],[ProjectName]])*ProjectInfoTable[ConfidenceInterval]))</f>
        <v>0.95</v>
      </c>
      <c r="Q407" s="5">
        <f>IF(AND(DiscreteStatsTable[[#This Row],[RepsWithStatObserved]]=1,Y407=0),200000000000000000000,IFERROR(_xlfn.T.INV.2T(1 -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407" s="5" cm="1">
        <f t="array" ref="R407">MIN(IF((DiscreteStatsTable[GroupByKey]=DiscreteStatsTable[[#This Row],[GroupByKey]]),(DiscreteStatsTable[GroupByKey]=DiscreteStatsTable[[#This Row],[GroupByKey]])*DiscreteStatsTable[Average]))</f>
        <v>0.24910662918173601</v>
      </c>
      <c r="S407" s="5" cm="1">
        <f t="array" ref="S407">MAX(IF((DiscreteStatsTable[GroupByKey]=DiscreteStatsTable[[#This Row],[GroupByKey]]),(DiscreteStatsTable[GroupByKey]=DiscreteStatsTable[[#This Row],[GroupByKey]])*DiscreteStatsTable[Average]))</f>
        <v>3.6335836290778101</v>
      </c>
      <c r="T407" s="5" cm="1">
        <f t="array" ref="T407">MIN(IF((DiscreteStatsTable[GroupByKey]=DiscreteStatsTable[[#This Row],[GroupByKey]]),(DiscreteStatsTable[GroupByKey]=DiscreteStatsTable[[#This Row],[GroupByKey]])*DiscreteStatsTable[Minimum]))</f>
        <v>0</v>
      </c>
      <c r="U407" s="5" cm="1">
        <f t="array" ref="U407">MAX(IF((DiscreteStatsTable[GroupByKey]=DiscreteStatsTable[[#This Row],[GroupByKey]]),(DiscreteStatsTable[GroupByKey]=DiscreteStatsTable[[#This Row],[GroupByKey]])*DiscreteStatsTable[Maximum]))</f>
        <v>14.899429331080601</v>
      </c>
      <c r="V407" s="5" cm="1">
        <f t="array" ref="V407">IFERROR(AVERAGE(IF((DiscreteStatsTable[GroupByKey]=DiscreteStatsTable[[#This Row],[GroupByKey]]),(DiscreteStatsTable[GroupByKey]=DiscreteStatsTable[[#This Row],[GroupByKey]])*DiscreteStatsTable[NumberObservations])),0)</f>
        <v>122.10526315789474</v>
      </c>
      <c r="W407" s="5">
        <f>IF((DiscreteStatsTable[[#This Row],[RepsRequested]]&gt;1),DiscreteStatsTable[[#This Row],[HalfWidth]],DiscreteStatsTable[[#This Row],[BatchMeansHalfWidth]])</f>
        <v>0.3686718886858002</v>
      </c>
      <c r="X407" s="5" cm="1">
        <f t="array" ref="X407">COUNT(IF((DiscreteStatsTable[GroupByKey]=DiscreteStatsTable[[#This Row],[GroupByKey]]),(DiscreteStatsTable[GroupByKey]=DiscreteStatsTable[[#This Row],[GroupByKey]])*DiscreteStatsTable[Replication]))</f>
        <v>19</v>
      </c>
      <c r="Y407" s="5">
        <f>IF(DiscreteStatsTable[[#This Row],[RepsRequested]]=DiscreteStatsTable[[#This Row],[RepsWithStatObserved]],1,0)</f>
        <v>1</v>
      </c>
    </row>
    <row r="408" spans="1:25" x14ac:dyDescent="0.25">
      <c r="A408" t="s">
        <v>67</v>
      </c>
      <c r="B408" t="s">
        <v>69</v>
      </c>
      <c r="C408">
        <v>8</v>
      </c>
      <c r="D408" t="s">
        <v>99</v>
      </c>
      <c r="E408" t="s">
        <v>90</v>
      </c>
      <c r="F408" t="s">
        <v>91</v>
      </c>
      <c r="G408">
        <v>0.75130528662017104</v>
      </c>
      <c r="H408">
        <v>2E+20</v>
      </c>
      <c r="I408">
        <v>0</v>
      </c>
      <c r="J408">
        <v>3.4467560938354</v>
      </c>
      <c r="K408">
        <v>137</v>
      </c>
      <c r="L40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compartida)Pasar a Caja.QueueWaiting TimeQueue</v>
      </c>
      <c r="M408" s="5" cm="1">
        <f t="array" ref="M408">MAX(IF((ProjectInfoTable[ProjectName]=DiscreteStatsTable[[#This Row],[ProjectName]]),(ProjectInfoTable[ProjectName]=DiscreteStatsTable[[#This Row],[ProjectName]])*ProjectInfoTable[NumberOfReplications]))</f>
        <v>19</v>
      </c>
      <c r="N408" s="5" cm="1">
        <f t="array" ref="N408">IFERROR(AVERAGE(IF((DiscreteStatsTable[GroupByKey]=DiscreteStatsTable[[#This Row],[GroupByKey]]),(DiscreteStatsTable[GroupByKey]=DiscreteStatsTable[[#This Row],[GroupByKey]])*DiscreteStatsTable[Average])),0)</f>
        <v>0.78149191546140195</v>
      </c>
      <c r="O408" s="5" cm="1">
        <f t="array" ref="O408">IFERROR(_xlfn.STDEV.S(IF((DiscreteStatsTable[GroupByKey]=DiscreteStatsTable[[#This Row],[GroupByKey]]),(DiscreteStatsTable[GroupByKey]=DiscreteStatsTable[[#This Row],[GroupByKey]])*DiscreteStatsTable[Average])),0)</f>
        <v>0.76490392090955872</v>
      </c>
      <c r="P408" s="5" cm="1">
        <f t="array" ref="P408">MAX(IF((ProjectInfoTable[ProjectName]=DiscreteStatsTable[[#This Row],[ProjectName]]),(ProjectInfoTable[ProjectName]=DiscreteStatsTable[[#This Row],[ProjectName]])*ProjectInfoTable[ConfidenceInterval]))</f>
        <v>0.95</v>
      </c>
      <c r="Q408" s="5">
        <f>IF(AND(DiscreteStatsTable[[#This Row],[RepsWithStatObserved]]=1,Y408=0),200000000000000000000,IFERROR(_xlfn.T.INV.2T(1 -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408" s="5" cm="1">
        <f t="array" ref="R408">MIN(IF((DiscreteStatsTable[GroupByKey]=DiscreteStatsTable[[#This Row],[GroupByKey]]),(DiscreteStatsTable[GroupByKey]=DiscreteStatsTable[[#This Row],[GroupByKey]])*DiscreteStatsTable[Average]))</f>
        <v>0.24910662918173601</v>
      </c>
      <c r="S408" s="5" cm="1">
        <f t="array" ref="S408">MAX(IF((DiscreteStatsTable[GroupByKey]=DiscreteStatsTable[[#This Row],[GroupByKey]]),(DiscreteStatsTable[GroupByKey]=DiscreteStatsTable[[#This Row],[GroupByKey]])*DiscreteStatsTable[Average]))</f>
        <v>3.6335836290778101</v>
      </c>
      <c r="T408" s="5" cm="1">
        <f t="array" ref="T408">MIN(IF((DiscreteStatsTable[GroupByKey]=DiscreteStatsTable[[#This Row],[GroupByKey]]),(DiscreteStatsTable[GroupByKey]=DiscreteStatsTable[[#This Row],[GroupByKey]])*DiscreteStatsTable[Minimum]))</f>
        <v>0</v>
      </c>
      <c r="U408" s="5" cm="1">
        <f t="array" ref="U408">MAX(IF((DiscreteStatsTable[GroupByKey]=DiscreteStatsTable[[#This Row],[GroupByKey]]),(DiscreteStatsTable[GroupByKey]=DiscreteStatsTable[[#This Row],[GroupByKey]])*DiscreteStatsTable[Maximum]))</f>
        <v>14.899429331080601</v>
      </c>
      <c r="V408" s="5" cm="1">
        <f t="array" ref="V408">IFERROR(AVERAGE(IF((DiscreteStatsTable[GroupByKey]=DiscreteStatsTable[[#This Row],[GroupByKey]]),(DiscreteStatsTable[GroupByKey]=DiscreteStatsTable[[#This Row],[GroupByKey]])*DiscreteStatsTable[NumberObservations])),0)</f>
        <v>122.10526315789474</v>
      </c>
      <c r="W408" s="5">
        <f>IF((DiscreteStatsTable[[#This Row],[RepsRequested]]&gt;1),DiscreteStatsTable[[#This Row],[HalfWidth]],DiscreteStatsTable[[#This Row],[BatchMeansHalfWidth]])</f>
        <v>0.3686718886858002</v>
      </c>
      <c r="X408" s="5" cm="1">
        <f t="array" ref="X408">COUNT(IF((DiscreteStatsTable[GroupByKey]=DiscreteStatsTable[[#This Row],[GroupByKey]]),(DiscreteStatsTable[GroupByKey]=DiscreteStatsTable[[#This Row],[GroupByKey]])*DiscreteStatsTable[Replication]))</f>
        <v>19</v>
      </c>
      <c r="Y408" s="5">
        <f>IF(DiscreteStatsTable[[#This Row],[RepsRequested]]=DiscreteStatsTable[[#This Row],[RepsWithStatObserved]],1,0)</f>
        <v>1</v>
      </c>
    </row>
    <row r="409" spans="1:25" x14ac:dyDescent="0.25">
      <c r="A409" t="s">
        <v>67</v>
      </c>
      <c r="B409" t="s">
        <v>69</v>
      </c>
      <c r="C409">
        <v>9</v>
      </c>
      <c r="D409" t="s">
        <v>99</v>
      </c>
      <c r="E409" t="s">
        <v>90</v>
      </c>
      <c r="F409" t="s">
        <v>91</v>
      </c>
      <c r="G409">
        <v>0.380575983419984</v>
      </c>
      <c r="H409">
        <v>2E+20</v>
      </c>
      <c r="I409">
        <v>0</v>
      </c>
      <c r="J409">
        <v>2.9906109067628699</v>
      </c>
      <c r="K409">
        <v>113</v>
      </c>
      <c r="L40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compartida)Pasar a Caja.QueueWaiting TimeQueue</v>
      </c>
      <c r="M409" s="5" cm="1">
        <f t="array" ref="M409">MAX(IF((ProjectInfoTable[ProjectName]=DiscreteStatsTable[[#This Row],[ProjectName]]),(ProjectInfoTable[ProjectName]=DiscreteStatsTable[[#This Row],[ProjectName]])*ProjectInfoTable[NumberOfReplications]))</f>
        <v>19</v>
      </c>
      <c r="N409" s="5" cm="1">
        <f t="array" ref="N409">IFERROR(AVERAGE(IF((DiscreteStatsTable[GroupByKey]=DiscreteStatsTable[[#This Row],[GroupByKey]]),(DiscreteStatsTable[GroupByKey]=DiscreteStatsTable[[#This Row],[GroupByKey]])*DiscreteStatsTable[Average])),0)</f>
        <v>0.78149191546140195</v>
      </c>
      <c r="O409" s="5" cm="1">
        <f t="array" ref="O409">IFERROR(_xlfn.STDEV.S(IF((DiscreteStatsTable[GroupByKey]=DiscreteStatsTable[[#This Row],[GroupByKey]]),(DiscreteStatsTable[GroupByKey]=DiscreteStatsTable[[#This Row],[GroupByKey]])*DiscreteStatsTable[Average])),0)</f>
        <v>0.76490392090955872</v>
      </c>
      <c r="P409" s="5" cm="1">
        <f t="array" ref="P409">MAX(IF((ProjectInfoTable[ProjectName]=DiscreteStatsTable[[#This Row],[ProjectName]]),(ProjectInfoTable[ProjectName]=DiscreteStatsTable[[#This Row],[ProjectName]])*ProjectInfoTable[ConfidenceInterval]))</f>
        <v>0.95</v>
      </c>
      <c r="Q409" s="5">
        <f>IF(AND(DiscreteStatsTable[[#This Row],[RepsWithStatObserved]]=1,Y409=0),200000000000000000000,IFERROR(_xlfn.T.INV.2T(1 -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409" s="5" cm="1">
        <f t="array" ref="R409">MIN(IF((DiscreteStatsTable[GroupByKey]=DiscreteStatsTable[[#This Row],[GroupByKey]]),(DiscreteStatsTable[GroupByKey]=DiscreteStatsTable[[#This Row],[GroupByKey]])*DiscreteStatsTable[Average]))</f>
        <v>0.24910662918173601</v>
      </c>
      <c r="S409" s="5" cm="1">
        <f t="array" ref="S409">MAX(IF((DiscreteStatsTable[GroupByKey]=DiscreteStatsTable[[#This Row],[GroupByKey]]),(DiscreteStatsTable[GroupByKey]=DiscreteStatsTable[[#This Row],[GroupByKey]])*DiscreteStatsTable[Average]))</f>
        <v>3.6335836290778101</v>
      </c>
      <c r="T409" s="5" cm="1">
        <f t="array" ref="T409">MIN(IF((DiscreteStatsTable[GroupByKey]=DiscreteStatsTable[[#This Row],[GroupByKey]]),(DiscreteStatsTable[GroupByKey]=DiscreteStatsTable[[#This Row],[GroupByKey]])*DiscreteStatsTable[Minimum]))</f>
        <v>0</v>
      </c>
      <c r="U409" s="5" cm="1">
        <f t="array" ref="U409">MAX(IF((DiscreteStatsTable[GroupByKey]=DiscreteStatsTable[[#This Row],[GroupByKey]]),(DiscreteStatsTable[GroupByKey]=DiscreteStatsTable[[#This Row],[GroupByKey]])*DiscreteStatsTable[Maximum]))</f>
        <v>14.899429331080601</v>
      </c>
      <c r="V409" s="5" cm="1">
        <f t="array" ref="V409">IFERROR(AVERAGE(IF((DiscreteStatsTable[GroupByKey]=DiscreteStatsTable[[#This Row],[GroupByKey]]),(DiscreteStatsTable[GroupByKey]=DiscreteStatsTable[[#This Row],[GroupByKey]])*DiscreteStatsTable[NumberObservations])),0)</f>
        <v>122.10526315789474</v>
      </c>
      <c r="W409" s="5">
        <f>IF((DiscreteStatsTable[[#This Row],[RepsRequested]]&gt;1),DiscreteStatsTable[[#This Row],[HalfWidth]],DiscreteStatsTable[[#This Row],[BatchMeansHalfWidth]])</f>
        <v>0.3686718886858002</v>
      </c>
      <c r="X409" s="5" cm="1">
        <f t="array" ref="X409">COUNT(IF((DiscreteStatsTable[GroupByKey]=DiscreteStatsTable[[#This Row],[GroupByKey]]),(DiscreteStatsTable[GroupByKey]=DiscreteStatsTable[[#This Row],[GroupByKey]])*DiscreteStatsTable[Replication]))</f>
        <v>19</v>
      </c>
      <c r="Y409" s="5">
        <f>IF(DiscreteStatsTable[[#This Row],[RepsRequested]]=DiscreteStatsTable[[#This Row],[RepsWithStatObserved]],1,0)</f>
        <v>1</v>
      </c>
    </row>
    <row r="410" spans="1:25" x14ac:dyDescent="0.25">
      <c r="A410" t="s">
        <v>67</v>
      </c>
      <c r="B410" t="s">
        <v>69</v>
      </c>
      <c r="C410">
        <v>10</v>
      </c>
      <c r="D410" t="s">
        <v>99</v>
      </c>
      <c r="E410" t="s">
        <v>90</v>
      </c>
      <c r="F410" t="s">
        <v>91</v>
      </c>
      <c r="G410">
        <v>1.0278119850307299</v>
      </c>
      <c r="H410">
        <v>2E+20</v>
      </c>
      <c r="I410">
        <v>0</v>
      </c>
      <c r="J410">
        <v>5.58446918963429</v>
      </c>
      <c r="K410">
        <v>117</v>
      </c>
      <c r="L41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compartida)Pasar a Caja.QueueWaiting TimeQueue</v>
      </c>
      <c r="M410" s="5" cm="1">
        <f t="array" ref="M410">MAX(IF((ProjectInfoTable[ProjectName]=DiscreteStatsTable[[#This Row],[ProjectName]]),(ProjectInfoTable[ProjectName]=DiscreteStatsTable[[#This Row],[ProjectName]])*ProjectInfoTable[NumberOfReplications]))</f>
        <v>19</v>
      </c>
      <c r="N410" s="5" cm="1">
        <f t="array" ref="N410">IFERROR(AVERAGE(IF((DiscreteStatsTable[GroupByKey]=DiscreteStatsTable[[#This Row],[GroupByKey]]),(DiscreteStatsTable[GroupByKey]=DiscreteStatsTable[[#This Row],[GroupByKey]])*DiscreteStatsTable[Average])),0)</f>
        <v>0.78149191546140195</v>
      </c>
      <c r="O410" s="5" cm="1">
        <f t="array" ref="O410">IFERROR(_xlfn.STDEV.S(IF((DiscreteStatsTable[GroupByKey]=DiscreteStatsTable[[#This Row],[GroupByKey]]),(DiscreteStatsTable[GroupByKey]=DiscreteStatsTable[[#This Row],[GroupByKey]])*DiscreteStatsTable[Average])),0)</f>
        <v>0.76490392090955872</v>
      </c>
      <c r="P410" s="5" cm="1">
        <f t="array" ref="P410">MAX(IF((ProjectInfoTable[ProjectName]=DiscreteStatsTable[[#This Row],[ProjectName]]),(ProjectInfoTable[ProjectName]=DiscreteStatsTable[[#This Row],[ProjectName]])*ProjectInfoTable[ConfidenceInterval]))</f>
        <v>0.95</v>
      </c>
      <c r="Q410" s="5">
        <f>IF(AND(DiscreteStatsTable[[#This Row],[RepsWithStatObserved]]=1,Y410=0),200000000000000000000,IFERROR(_xlfn.T.INV.2T(1 -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410" s="5" cm="1">
        <f t="array" ref="R410">MIN(IF((DiscreteStatsTable[GroupByKey]=DiscreteStatsTable[[#This Row],[GroupByKey]]),(DiscreteStatsTable[GroupByKey]=DiscreteStatsTable[[#This Row],[GroupByKey]])*DiscreteStatsTable[Average]))</f>
        <v>0.24910662918173601</v>
      </c>
      <c r="S410" s="5" cm="1">
        <f t="array" ref="S410">MAX(IF((DiscreteStatsTable[GroupByKey]=DiscreteStatsTable[[#This Row],[GroupByKey]]),(DiscreteStatsTable[GroupByKey]=DiscreteStatsTable[[#This Row],[GroupByKey]])*DiscreteStatsTable[Average]))</f>
        <v>3.6335836290778101</v>
      </c>
      <c r="T410" s="5" cm="1">
        <f t="array" ref="T410">MIN(IF((DiscreteStatsTable[GroupByKey]=DiscreteStatsTable[[#This Row],[GroupByKey]]),(DiscreteStatsTable[GroupByKey]=DiscreteStatsTable[[#This Row],[GroupByKey]])*DiscreteStatsTable[Minimum]))</f>
        <v>0</v>
      </c>
      <c r="U410" s="5" cm="1">
        <f t="array" ref="U410">MAX(IF((DiscreteStatsTable[GroupByKey]=DiscreteStatsTable[[#This Row],[GroupByKey]]),(DiscreteStatsTable[GroupByKey]=DiscreteStatsTable[[#This Row],[GroupByKey]])*DiscreteStatsTable[Maximum]))</f>
        <v>14.899429331080601</v>
      </c>
      <c r="V410" s="5" cm="1">
        <f t="array" ref="V410">IFERROR(AVERAGE(IF((DiscreteStatsTable[GroupByKey]=DiscreteStatsTable[[#This Row],[GroupByKey]]),(DiscreteStatsTable[GroupByKey]=DiscreteStatsTable[[#This Row],[GroupByKey]])*DiscreteStatsTable[NumberObservations])),0)</f>
        <v>122.10526315789474</v>
      </c>
      <c r="W410" s="5">
        <f>IF((DiscreteStatsTable[[#This Row],[RepsRequested]]&gt;1),DiscreteStatsTable[[#This Row],[HalfWidth]],DiscreteStatsTable[[#This Row],[BatchMeansHalfWidth]])</f>
        <v>0.3686718886858002</v>
      </c>
      <c r="X410" s="5" cm="1">
        <f t="array" ref="X410">COUNT(IF((DiscreteStatsTable[GroupByKey]=DiscreteStatsTable[[#This Row],[GroupByKey]]),(DiscreteStatsTable[GroupByKey]=DiscreteStatsTable[[#This Row],[GroupByKey]])*DiscreteStatsTable[Replication]))</f>
        <v>19</v>
      </c>
      <c r="Y410" s="5">
        <f>IF(DiscreteStatsTable[[#This Row],[RepsRequested]]=DiscreteStatsTable[[#This Row],[RepsWithStatObserved]],1,0)</f>
        <v>1</v>
      </c>
    </row>
    <row r="411" spans="1:25" x14ac:dyDescent="0.25">
      <c r="A411" t="s">
        <v>67</v>
      </c>
      <c r="B411" t="s">
        <v>69</v>
      </c>
      <c r="C411">
        <v>11</v>
      </c>
      <c r="D411" t="s">
        <v>99</v>
      </c>
      <c r="E411" t="s">
        <v>90</v>
      </c>
      <c r="F411" t="s">
        <v>91</v>
      </c>
      <c r="G411">
        <v>0.64951868937698198</v>
      </c>
      <c r="H411">
        <v>2E+20</v>
      </c>
      <c r="I411">
        <v>0</v>
      </c>
      <c r="J411">
        <v>7.3991516676863096</v>
      </c>
      <c r="K411">
        <v>116</v>
      </c>
      <c r="L41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compartida)Pasar a Caja.QueueWaiting TimeQueue</v>
      </c>
      <c r="M411" s="5" cm="1">
        <f t="array" ref="M411">MAX(IF((ProjectInfoTable[ProjectName]=DiscreteStatsTable[[#This Row],[ProjectName]]),(ProjectInfoTable[ProjectName]=DiscreteStatsTable[[#This Row],[ProjectName]])*ProjectInfoTable[NumberOfReplications]))</f>
        <v>19</v>
      </c>
      <c r="N411" s="5" cm="1">
        <f t="array" ref="N411">IFERROR(AVERAGE(IF((DiscreteStatsTable[GroupByKey]=DiscreteStatsTable[[#This Row],[GroupByKey]]),(DiscreteStatsTable[GroupByKey]=DiscreteStatsTable[[#This Row],[GroupByKey]])*DiscreteStatsTable[Average])),0)</f>
        <v>0.78149191546140195</v>
      </c>
      <c r="O411" s="5" cm="1">
        <f t="array" ref="O411">IFERROR(_xlfn.STDEV.S(IF((DiscreteStatsTable[GroupByKey]=DiscreteStatsTable[[#This Row],[GroupByKey]]),(DiscreteStatsTable[GroupByKey]=DiscreteStatsTable[[#This Row],[GroupByKey]])*DiscreteStatsTable[Average])),0)</f>
        <v>0.76490392090955872</v>
      </c>
      <c r="P411" s="5" cm="1">
        <f t="array" ref="P411">MAX(IF((ProjectInfoTable[ProjectName]=DiscreteStatsTable[[#This Row],[ProjectName]]),(ProjectInfoTable[ProjectName]=DiscreteStatsTable[[#This Row],[ProjectName]])*ProjectInfoTable[ConfidenceInterval]))</f>
        <v>0.95</v>
      </c>
      <c r="Q411" s="5">
        <f>IF(AND(DiscreteStatsTable[[#This Row],[RepsWithStatObserved]]=1,Y411=0),200000000000000000000,IFERROR(_xlfn.T.INV.2T(1 -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411" s="5" cm="1">
        <f t="array" ref="R411">MIN(IF((DiscreteStatsTable[GroupByKey]=DiscreteStatsTable[[#This Row],[GroupByKey]]),(DiscreteStatsTable[GroupByKey]=DiscreteStatsTable[[#This Row],[GroupByKey]])*DiscreteStatsTable[Average]))</f>
        <v>0.24910662918173601</v>
      </c>
      <c r="S411" s="5" cm="1">
        <f t="array" ref="S411">MAX(IF((DiscreteStatsTable[GroupByKey]=DiscreteStatsTable[[#This Row],[GroupByKey]]),(DiscreteStatsTable[GroupByKey]=DiscreteStatsTable[[#This Row],[GroupByKey]])*DiscreteStatsTable[Average]))</f>
        <v>3.6335836290778101</v>
      </c>
      <c r="T411" s="5" cm="1">
        <f t="array" ref="T411">MIN(IF((DiscreteStatsTable[GroupByKey]=DiscreteStatsTable[[#This Row],[GroupByKey]]),(DiscreteStatsTable[GroupByKey]=DiscreteStatsTable[[#This Row],[GroupByKey]])*DiscreteStatsTable[Minimum]))</f>
        <v>0</v>
      </c>
      <c r="U411" s="5" cm="1">
        <f t="array" ref="U411">MAX(IF((DiscreteStatsTable[GroupByKey]=DiscreteStatsTable[[#This Row],[GroupByKey]]),(DiscreteStatsTable[GroupByKey]=DiscreteStatsTable[[#This Row],[GroupByKey]])*DiscreteStatsTable[Maximum]))</f>
        <v>14.899429331080601</v>
      </c>
      <c r="V411" s="5" cm="1">
        <f t="array" ref="V411">IFERROR(AVERAGE(IF((DiscreteStatsTable[GroupByKey]=DiscreteStatsTable[[#This Row],[GroupByKey]]),(DiscreteStatsTable[GroupByKey]=DiscreteStatsTable[[#This Row],[GroupByKey]])*DiscreteStatsTable[NumberObservations])),0)</f>
        <v>122.10526315789474</v>
      </c>
      <c r="W411" s="5">
        <f>IF((DiscreteStatsTable[[#This Row],[RepsRequested]]&gt;1),DiscreteStatsTable[[#This Row],[HalfWidth]],DiscreteStatsTable[[#This Row],[BatchMeansHalfWidth]])</f>
        <v>0.3686718886858002</v>
      </c>
      <c r="X411" s="5" cm="1">
        <f t="array" ref="X411">COUNT(IF((DiscreteStatsTable[GroupByKey]=DiscreteStatsTable[[#This Row],[GroupByKey]]),(DiscreteStatsTable[GroupByKey]=DiscreteStatsTable[[#This Row],[GroupByKey]])*DiscreteStatsTable[Replication]))</f>
        <v>19</v>
      </c>
      <c r="Y411" s="5">
        <f>IF(DiscreteStatsTable[[#This Row],[RepsRequested]]=DiscreteStatsTable[[#This Row],[RepsWithStatObserved]],1,0)</f>
        <v>1</v>
      </c>
    </row>
    <row r="412" spans="1:25" x14ac:dyDescent="0.25">
      <c r="A412" t="s">
        <v>67</v>
      </c>
      <c r="B412" t="s">
        <v>69</v>
      </c>
      <c r="C412">
        <v>12</v>
      </c>
      <c r="D412" t="s">
        <v>99</v>
      </c>
      <c r="E412" t="s">
        <v>90</v>
      </c>
      <c r="F412" t="s">
        <v>91</v>
      </c>
      <c r="G412">
        <v>0.74985048590401804</v>
      </c>
      <c r="H412">
        <v>2E+20</v>
      </c>
      <c r="I412">
        <v>0</v>
      </c>
      <c r="J412">
        <v>7.9683720644248304</v>
      </c>
      <c r="K412">
        <v>115</v>
      </c>
      <c r="L41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compartida)Pasar a Caja.QueueWaiting TimeQueue</v>
      </c>
      <c r="M412" s="5" cm="1">
        <f t="array" ref="M412">MAX(IF((ProjectInfoTable[ProjectName]=DiscreteStatsTable[[#This Row],[ProjectName]]),(ProjectInfoTable[ProjectName]=DiscreteStatsTable[[#This Row],[ProjectName]])*ProjectInfoTable[NumberOfReplications]))</f>
        <v>19</v>
      </c>
      <c r="N412" s="5" cm="1">
        <f t="array" ref="N412">IFERROR(AVERAGE(IF((DiscreteStatsTable[GroupByKey]=DiscreteStatsTable[[#This Row],[GroupByKey]]),(DiscreteStatsTable[GroupByKey]=DiscreteStatsTable[[#This Row],[GroupByKey]])*DiscreteStatsTable[Average])),0)</f>
        <v>0.78149191546140195</v>
      </c>
      <c r="O412" s="5" cm="1">
        <f t="array" ref="O412">IFERROR(_xlfn.STDEV.S(IF((DiscreteStatsTable[GroupByKey]=DiscreteStatsTable[[#This Row],[GroupByKey]]),(DiscreteStatsTable[GroupByKey]=DiscreteStatsTable[[#This Row],[GroupByKey]])*DiscreteStatsTable[Average])),0)</f>
        <v>0.76490392090955872</v>
      </c>
      <c r="P412" s="5" cm="1">
        <f t="array" ref="P412">MAX(IF((ProjectInfoTable[ProjectName]=DiscreteStatsTable[[#This Row],[ProjectName]]),(ProjectInfoTable[ProjectName]=DiscreteStatsTable[[#This Row],[ProjectName]])*ProjectInfoTable[ConfidenceInterval]))</f>
        <v>0.95</v>
      </c>
      <c r="Q412" s="5">
        <f>IF(AND(DiscreteStatsTable[[#This Row],[RepsWithStatObserved]]=1,Y412=0),200000000000000000000,IFERROR(_xlfn.T.INV.2T(1 -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412" s="5" cm="1">
        <f t="array" ref="R412">MIN(IF((DiscreteStatsTable[GroupByKey]=DiscreteStatsTable[[#This Row],[GroupByKey]]),(DiscreteStatsTable[GroupByKey]=DiscreteStatsTable[[#This Row],[GroupByKey]])*DiscreteStatsTable[Average]))</f>
        <v>0.24910662918173601</v>
      </c>
      <c r="S412" s="5" cm="1">
        <f t="array" ref="S412">MAX(IF((DiscreteStatsTable[GroupByKey]=DiscreteStatsTable[[#This Row],[GroupByKey]]),(DiscreteStatsTable[GroupByKey]=DiscreteStatsTable[[#This Row],[GroupByKey]])*DiscreteStatsTable[Average]))</f>
        <v>3.6335836290778101</v>
      </c>
      <c r="T412" s="5" cm="1">
        <f t="array" ref="T412">MIN(IF((DiscreteStatsTable[GroupByKey]=DiscreteStatsTable[[#This Row],[GroupByKey]]),(DiscreteStatsTable[GroupByKey]=DiscreteStatsTable[[#This Row],[GroupByKey]])*DiscreteStatsTable[Minimum]))</f>
        <v>0</v>
      </c>
      <c r="U412" s="5" cm="1">
        <f t="array" ref="U412">MAX(IF((DiscreteStatsTable[GroupByKey]=DiscreteStatsTable[[#This Row],[GroupByKey]]),(DiscreteStatsTable[GroupByKey]=DiscreteStatsTable[[#This Row],[GroupByKey]])*DiscreteStatsTable[Maximum]))</f>
        <v>14.899429331080601</v>
      </c>
      <c r="V412" s="5" cm="1">
        <f t="array" ref="V412">IFERROR(AVERAGE(IF((DiscreteStatsTable[GroupByKey]=DiscreteStatsTable[[#This Row],[GroupByKey]]),(DiscreteStatsTable[GroupByKey]=DiscreteStatsTable[[#This Row],[GroupByKey]])*DiscreteStatsTable[NumberObservations])),0)</f>
        <v>122.10526315789474</v>
      </c>
      <c r="W412" s="5">
        <f>IF((DiscreteStatsTable[[#This Row],[RepsRequested]]&gt;1),DiscreteStatsTable[[#This Row],[HalfWidth]],DiscreteStatsTable[[#This Row],[BatchMeansHalfWidth]])</f>
        <v>0.3686718886858002</v>
      </c>
      <c r="X412" s="5" cm="1">
        <f t="array" ref="X412">COUNT(IF((DiscreteStatsTable[GroupByKey]=DiscreteStatsTable[[#This Row],[GroupByKey]]),(DiscreteStatsTable[GroupByKey]=DiscreteStatsTable[[#This Row],[GroupByKey]])*DiscreteStatsTable[Replication]))</f>
        <v>19</v>
      </c>
      <c r="Y412" s="5">
        <f>IF(DiscreteStatsTable[[#This Row],[RepsRequested]]=DiscreteStatsTable[[#This Row],[RepsWithStatObserved]],1,0)</f>
        <v>1</v>
      </c>
    </row>
    <row r="413" spans="1:25" x14ac:dyDescent="0.25">
      <c r="A413" t="s">
        <v>67</v>
      </c>
      <c r="B413" t="s">
        <v>69</v>
      </c>
      <c r="C413">
        <v>13</v>
      </c>
      <c r="D413" t="s">
        <v>99</v>
      </c>
      <c r="E413" t="s">
        <v>90</v>
      </c>
      <c r="F413" t="s">
        <v>91</v>
      </c>
      <c r="G413">
        <v>0.67629330855955005</v>
      </c>
      <c r="H413">
        <v>2E+20</v>
      </c>
      <c r="I413">
        <v>0</v>
      </c>
      <c r="J413">
        <v>4.3474340135612399</v>
      </c>
      <c r="K413">
        <v>119</v>
      </c>
      <c r="L41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compartida)Pasar a Caja.QueueWaiting TimeQueue</v>
      </c>
      <c r="M413" s="5" cm="1">
        <f t="array" ref="M413">MAX(IF((ProjectInfoTable[ProjectName]=DiscreteStatsTable[[#This Row],[ProjectName]]),(ProjectInfoTable[ProjectName]=DiscreteStatsTable[[#This Row],[ProjectName]])*ProjectInfoTable[NumberOfReplications]))</f>
        <v>19</v>
      </c>
      <c r="N413" s="5" cm="1">
        <f t="array" ref="N413">IFERROR(AVERAGE(IF((DiscreteStatsTable[GroupByKey]=DiscreteStatsTable[[#This Row],[GroupByKey]]),(DiscreteStatsTable[GroupByKey]=DiscreteStatsTable[[#This Row],[GroupByKey]])*DiscreteStatsTable[Average])),0)</f>
        <v>0.78149191546140195</v>
      </c>
      <c r="O413" s="5" cm="1">
        <f t="array" ref="O413">IFERROR(_xlfn.STDEV.S(IF((DiscreteStatsTable[GroupByKey]=DiscreteStatsTable[[#This Row],[GroupByKey]]),(DiscreteStatsTable[GroupByKey]=DiscreteStatsTable[[#This Row],[GroupByKey]])*DiscreteStatsTable[Average])),0)</f>
        <v>0.76490392090955872</v>
      </c>
      <c r="P413" s="5" cm="1">
        <f t="array" ref="P413">MAX(IF((ProjectInfoTable[ProjectName]=DiscreteStatsTable[[#This Row],[ProjectName]]),(ProjectInfoTable[ProjectName]=DiscreteStatsTable[[#This Row],[ProjectName]])*ProjectInfoTable[ConfidenceInterval]))</f>
        <v>0.95</v>
      </c>
      <c r="Q413" s="5">
        <f>IF(AND(DiscreteStatsTable[[#This Row],[RepsWithStatObserved]]=1,Y413=0),200000000000000000000,IFERROR(_xlfn.T.INV.2T(1 -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413" s="5" cm="1">
        <f t="array" ref="R413">MIN(IF((DiscreteStatsTable[GroupByKey]=DiscreteStatsTable[[#This Row],[GroupByKey]]),(DiscreteStatsTable[GroupByKey]=DiscreteStatsTable[[#This Row],[GroupByKey]])*DiscreteStatsTable[Average]))</f>
        <v>0.24910662918173601</v>
      </c>
      <c r="S413" s="5" cm="1">
        <f t="array" ref="S413">MAX(IF((DiscreteStatsTable[GroupByKey]=DiscreteStatsTable[[#This Row],[GroupByKey]]),(DiscreteStatsTable[GroupByKey]=DiscreteStatsTable[[#This Row],[GroupByKey]])*DiscreteStatsTable[Average]))</f>
        <v>3.6335836290778101</v>
      </c>
      <c r="T413" s="5" cm="1">
        <f t="array" ref="T413">MIN(IF((DiscreteStatsTable[GroupByKey]=DiscreteStatsTable[[#This Row],[GroupByKey]]),(DiscreteStatsTable[GroupByKey]=DiscreteStatsTable[[#This Row],[GroupByKey]])*DiscreteStatsTable[Minimum]))</f>
        <v>0</v>
      </c>
      <c r="U413" s="5" cm="1">
        <f t="array" ref="U413">MAX(IF((DiscreteStatsTable[GroupByKey]=DiscreteStatsTable[[#This Row],[GroupByKey]]),(DiscreteStatsTable[GroupByKey]=DiscreteStatsTable[[#This Row],[GroupByKey]])*DiscreteStatsTable[Maximum]))</f>
        <v>14.899429331080601</v>
      </c>
      <c r="V413" s="5" cm="1">
        <f t="array" ref="V413">IFERROR(AVERAGE(IF((DiscreteStatsTable[GroupByKey]=DiscreteStatsTable[[#This Row],[GroupByKey]]),(DiscreteStatsTable[GroupByKey]=DiscreteStatsTable[[#This Row],[GroupByKey]])*DiscreteStatsTable[NumberObservations])),0)</f>
        <v>122.10526315789474</v>
      </c>
      <c r="W413" s="5">
        <f>IF((DiscreteStatsTable[[#This Row],[RepsRequested]]&gt;1),DiscreteStatsTable[[#This Row],[HalfWidth]],DiscreteStatsTable[[#This Row],[BatchMeansHalfWidth]])</f>
        <v>0.3686718886858002</v>
      </c>
      <c r="X413" s="5" cm="1">
        <f t="array" ref="X413">COUNT(IF((DiscreteStatsTable[GroupByKey]=DiscreteStatsTable[[#This Row],[GroupByKey]]),(DiscreteStatsTable[GroupByKey]=DiscreteStatsTable[[#This Row],[GroupByKey]])*DiscreteStatsTable[Replication]))</f>
        <v>19</v>
      </c>
      <c r="Y413" s="5">
        <f>IF(DiscreteStatsTable[[#This Row],[RepsRequested]]=DiscreteStatsTable[[#This Row],[RepsWithStatObserved]],1,0)</f>
        <v>1</v>
      </c>
    </row>
    <row r="414" spans="1:25" x14ac:dyDescent="0.25">
      <c r="A414" t="s">
        <v>67</v>
      </c>
      <c r="B414" t="s">
        <v>69</v>
      </c>
      <c r="C414">
        <v>14</v>
      </c>
      <c r="D414" t="s">
        <v>99</v>
      </c>
      <c r="E414" t="s">
        <v>90</v>
      </c>
      <c r="F414" t="s">
        <v>91</v>
      </c>
      <c r="G414">
        <v>0.85437104529887598</v>
      </c>
      <c r="H414">
        <v>2E+20</v>
      </c>
      <c r="I414">
        <v>0</v>
      </c>
      <c r="J414">
        <v>5.0628433401598398</v>
      </c>
      <c r="K414">
        <v>139</v>
      </c>
      <c r="L41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compartida)Pasar a Caja.QueueWaiting TimeQueue</v>
      </c>
      <c r="M414" s="5" cm="1">
        <f t="array" ref="M414">MAX(IF((ProjectInfoTable[ProjectName]=DiscreteStatsTable[[#This Row],[ProjectName]]),(ProjectInfoTable[ProjectName]=DiscreteStatsTable[[#This Row],[ProjectName]])*ProjectInfoTable[NumberOfReplications]))</f>
        <v>19</v>
      </c>
      <c r="N414" s="5" cm="1">
        <f t="array" ref="N414">IFERROR(AVERAGE(IF((DiscreteStatsTable[GroupByKey]=DiscreteStatsTable[[#This Row],[GroupByKey]]),(DiscreteStatsTable[GroupByKey]=DiscreteStatsTable[[#This Row],[GroupByKey]])*DiscreteStatsTable[Average])),0)</f>
        <v>0.78149191546140195</v>
      </c>
      <c r="O414" s="5" cm="1">
        <f t="array" ref="O414">IFERROR(_xlfn.STDEV.S(IF((DiscreteStatsTable[GroupByKey]=DiscreteStatsTable[[#This Row],[GroupByKey]]),(DiscreteStatsTable[GroupByKey]=DiscreteStatsTable[[#This Row],[GroupByKey]])*DiscreteStatsTable[Average])),0)</f>
        <v>0.76490392090955872</v>
      </c>
      <c r="P414" s="5" cm="1">
        <f t="array" ref="P414">MAX(IF((ProjectInfoTable[ProjectName]=DiscreteStatsTable[[#This Row],[ProjectName]]),(ProjectInfoTable[ProjectName]=DiscreteStatsTable[[#This Row],[ProjectName]])*ProjectInfoTable[ConfidenceInterval]))</f>
        <v>0.95</v>
      </c>
      <c r="Q414" s="5">
        <f>IF(AND(DiscreteStatsTable[[#This Row],[RepsWithStatObserved]]=1,Y414=0),200000000000000000000,IFERROR(_xlfn.T.INV.2T(1 -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414" s="5" cm="1">
        <f t="array" ref="R414">MIN(IF((DiscreteStatsTable[GroupByKey]=DiscreteStatsTable[[#This Row],[GroupByKey]]),(DiscreteStatsTable[GroupByKey]=DiscreteStatsTable[[#This Row],[GroupByKey]])*DiscreteStatsTable[Average]))</f>
        <v>0.24910662918173601</v>
      </c>
      <c r="S414" s="5" cm="1">
        <f t="array" ref="S414">MAX(IF((DiscreteStatsTable[GroupByKey]=DiscreteStatsTable[[#This Row],[GroupByKey]]),(DiscreteStatsTable[GroupByKey]=DiscreteStatsTable[[#This Row],[GroupByKey]])*DiscreteStatsTable[Average]))</f>
        <v>3.6335836290778101</v>
      </c>
      <c r="T414" s="5" cm="1">
        <f t="array" ref="T414">MIN(IF((DiscreteStatsTable[GroupByKey]=DiscreteStatsTable[[#This Row],[GroupByKey]]),(DiscreteStatsTable[GroupByKey]=DiscreteStatsTable[[#This Row],[GroupByKey]])*DiscreteStatsTable[Minimum]))</f>
        <v>0</v>
      </c>
      <c r="U414" s="5" cm="1">
        <f t="array" ref="U414">MAX(IF((DiscreteStatsTable[GroupByKey]=DiscreteStatsTable[[#This Row],[GroupByKey]]),(DiscreteStatsTable[GroupByKey]=DiscreteStatsTable[[#This Row],[GroupByKey]])*DiscreteStatsTable[Maximum]))</f>
        <v>14.899429331080601</v>
      </c>
      <c r="V414" s="5" cm="1">
        <f t="array" ref="V414">IFERROR(AVERAGE(IF((DiscreteStatsTable[GroupByKey]=DiscreteStatsTable[[#This Row],[GroupByKey]]),(DiscreteStatsTable[GroupByKey]=DiscreteStatsTable[[#This Row],[GroupByKey]])*DiscreteStatsTable[NumberObservations])),0)</f>
        <v>122.10526315789474</v>
      </c>
      <c r="W414" s="5">
        <f>IF((DiscreteStatsTable[[#This Row],[RepsRequested]]&gt;1),DiscreteStatsTable[[#This Row],[HalfWidth]],DiscreteStatsTable[[#This Row],[BatchMeansHalfWidth]])</f>
        <v>0.3686718886858002</v>
      </c>
      <c r="X414" s="5" cm="1">
        <f t="array" ref="X414">COUNT(IF((DiscreteStatsTable[GroupByKey]=DiscreteStatsTable[[#This Row],[GroupByKey]]),(DiscreteStatsTable[GroupByKey]=DiscreteStatsTable[[#This Row],[GroupByKey]])*DiscreteStatsTable[Replication]))</f>
        <v>19</v>
      </c>
      <c r="Y414" s="5">
        <f>IF(DiscreteStatsTable[[#This Row],[RepsRequested]]=DiscreteStatsTable[[#This Row],[RepsWithStatObserved]],1,0)</f>
        <v>1</v>
      </c>
    </row>
    <row r="415" spans="1:25" x14ac:dyDescent="0.25">
      <c r="A415" t="s">
        <v>67</v>
      </c>
      <c r="B415" t="s">
        <v>69</v>
      </c>
      <c r="C415">
        <v>15</v>
      </c>
      <c r="D415" t="s">
        <v>99</v>
      </c>
      <c r="E415" t="s">
        <v>90</v>
      </c>
      <c r="F415" t="s">
        <v>91</v>
      </c>
      <c r="G415">
        <v>0.54828089095907695</v>
      </c>
      <c r="H415">
        <v>2E+20</v>
      </c>
      <c r="I415">
        <v>0</v>
      </c>
      <c r="J415">
        <v>4.7863296997394702</v>
      </c>
      <c r="K415">
        <v>125</v>
      </c>
      <c r="L41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compartida)Pasar a Caja.QueueWaiting TimeQueue</v>
      </c>
      <c r="M415" s="5" cm="1">
        <f t="array" ref="M415">MAX(IF((ProjectInfoTable[ProjectName]=DiscreteStatsTable[[#This Row],[ProjectName]]),(ProjectInfoTable[ProjectName]=DiscreteStatsTable[[#This Row],[ProjectName]])*ProjectInfoTable[NumberOfReplications]))</f>
        <v>19</v>
      </c>
      <c r="N415" s="5" cm="1">
        <f t="array" ref="N415">IFERROR(AVERAGE(IF((DiscreteStatsTable[GroupByKey]=DiscreteStatsTable[[#This Row],[GroupByKey]]),(DiscreteStatsTable[GroupByKey]=DiscreteStatsTable[[#This Row],[GroupByKey]])*DiscreteStatsTable[Average])),0)</f>
        <v>0.78149191546140195</v>
      </c>
      <c r="O415" s="5" cm="1">
        <f t="array" ref="O415">IFERROR(_xlfn.STDEV.S(IF((DiscreteStatsTable[GroupByKey]=DiscreteStatsTable[[#This Row],[GroupByKey]]),(DiscreteStatsTable[GroupByKey]=DiscreteStatsTable[[#This Row],[GroupByKey]])*DiscreteStatsTable[Average])),0)</f>
        <v>0.76490392090955872</v>
      </c>
      <c r="P415" s="5" cm="1">
        <f t="array" ref="P415">MAX(IF((ProjectInfoTable[ProjectName]=DiscreteStatsTable[[#This Row],[ProjectName]]),(ProjectInfoTable[ProjectName]=DiscreteStatsTable[[#This Row],[ProjectName]])*ProjectInfoTable[ConfidenceInterval]))</f>
        <v>0.95</v>
      </c>
      <c r="Q415" s="5">
        <f>IF(AND(DiscreteStatsTable[[#This Row],[RepsWithStatObserved]]=1,Y415=0),200000000000000000000,IFERROR(_xlfn.T.INV.2T(1 -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415" s="5" cm="1">
        <f t="array" ref="R415">MIN(IF((DiscreteStatsTable[GroupByKey]=DiscreteStatsTable[[#This Row],[GroupByKey]]),(DiscreteStatsTable[GroupByKey]=DiscreteStatsTable[[#This Row],[GroupByKey]])*DiscreteStatsTable[Average]))</f>
        <v>0.24910662918173601</v>
      </c>
      <c r="S415" s="5" cm="1">
        <f t="array" ref="S415">MAX(IF((DiscreteStatsTable[GroupByKey]=DiscreteStatsTable[[#This Row],[GroupByKey]]),(DiscreteStatsTable[GroupByKey]=DiscreteStatsTable[[#This Row],[GroupByKey]])*DiscreteStatsTable[Average]))</f>
        <v>3.6335836290778101</v>
      </c>
      <c r="T415" s="5" cm="1">
        <f t="array" ref="T415">MIN(IF((DiscreteStatsTable[GroupByKey]=DiscreteStatsTable[[#This Row],[GroupByKey]]),(DiscreteStatsTable[GroupByKey]=DiscreteStatsTable[[#This Row],[GroupByKey]])*DiscreteStatsTable[Minimum]))</f>
        <v>0</v>
      </c>
      <c r="U415" s="5" cm="1">
        <f t="array" ref="U415">MAX(IF((DiscreteStatsTable[GroupByKey]=DiscreteStatsTable[[#This Row],[GroupByKey]]),(DiscreteStatsTable[GroupByKey]=DiscreteStatsTable[[#This Row],[GroupByKey]])*DiscreteStatsTable[Maximum]))</f>
        <v>14.899429331080601</v>
      </c>
      <c r="V415" s="5" cm="1">
        <f t="array" ref="V415">IFERROR(AVERAGE(IF((DiscreteStatsTable[GroupByKey]=DiscreteStatsTable[[#This Row],[GroupByKey]]),(DiscreteStatsTable[GroupByKey]=DiscreteStatsTable[[#This Row],[GroupByKey]])*DiscreteStatsTable[NumberObservations])),0)</f>
        <v>122.10526315789474</v>
      </c>
      <c r="W415" s="5">
        <f>IF((DiscreteStatsTable[[#This Row],[RepsRequested]]&gt;1),DiscreteStatsTable[[#This Row],[HalfWidth]],DiscreteStatsTable[[#This Row],[BatchMeansHalfWidth]])</f>
        <v>0.3686718886858002</v>
      </c>
      <c r="X415" s="5" cm="1">
        <f t="array" ref="X415">COUNT(IF((DiscreteStatsTable[GroupByKey]=DiscreteStatsTable[[#This Row],[GroupByKey]]),(DiscreteStatsTable[GroupByKey]=DiscreteStatsTable[[#This Row],[GroupByKey]])*DiscreteStatsTable[Replication]))</f>
        <v>19</v>
      </c>
      <c r="Y415" s="5">
        <f>IF(DiscreteStatsTable[[#This Row],[RepsRequested]]=DiscreteStatsTable[[#This Row],[RepsWithStatObserved]],1,0)</f>
        <v>1</v>
      </c>
    </row>
    <row r="416" spans="1:25" x14ac:dyDescent="0.25">
      <c r="A416" t="s">
        <v>67</v>
      </c>
      <c r="B416" t="s">
        <v>69</v>
      </c>
      <c r="C416">
        <v>16</v>
      </c>
      <c r="D416" t="s">
        <v>99</v>
      </c>
      <c r="E416" t="s">
        <v>90</v>
      </c>
      <c r="F416" t="s">
        <v>91</v>
      </c>
      <c r="G416">
        <v>0.24910662918173601</v>
      </c>
      <c r="H416">
        <v>2E+20</v>
      </c>
      <c r="I416">
        <v>0</v>
      </c>
      <c r="J416">
        <v>2.1536626607980098</v>
      </c>
      <c r="K416">
        <v>131</v>
      </c>
      <c r="L41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compartida)Pasar a Caja.QueueWaiting TimeQueue</v>
      </c>
      <c r="M416" s="5" cm="1">
        <f t="array" ref="M416">MAX(IF((ProjectInfoTable[ProjectName]=DiscreteStatsTable[[#This Row],[ProjectName]]),(ProjectInfoTable[ProjectName]=DiscreteStatsTable[[#This Row],[ProjectName]])*ProjectInfoTable[NumberOfReplications]))</f>
        <v>19</v>
      </c>
      <c r="N416" s="5" cm="1">
        <f t="array" ref="N416">IFERROR(AVERAGE(IF((DiscreteStatsTable[GroupByKey]=DiscreteStatsTable[[#This Row],[GroupByKey]]),(DiscreteStatsTable[GroupByKey]=DiscreteStatsTable[[#This Row],[GroupByKey]])*DiscreteStatsTable[Average])),0)</f>
        <v>0.78149191546140195</v>
      </c>
      <c r="O416" s="5" cm="1">
        <f t="array" ref="O416">IFERROR(_xlfn.STDEV.S(IF((DiscreteStatsTable[GroupByKey]=DiscreteStatsTable[[#This Row],[GroupByKey]]),(DiscreteStatsTable[GroupByKey]=DiscreteStatsTable[[#This Row],[GroupByKey]])*DiscreteStatsTable[Average])),0)</f>
        <v>0.76490392090955872</v>
      </c>
      <c r="P416" s="5" cm="1">
        <f t="array" ref="P416">MAX(IF((ProjectInfoTable[ProjectName]=DiscreteStatsTable[[#This Row],[ProjectName]]),(ProjectInfoTable[ProjectName]=DiscreteStatsTable[[#This Row],[ProjectName]])*ProjectInfoTable[ConfidenceInterval]))</f>
        <v>0.95</v>
      </c>
      <c r="Q416" s="5">
        <f>IF(AND(DiscreteStatsTable[[#This Row],[RepsWithStatObserved]]=1,Y416=0),200000000000000000000,IFERROR(_xlfn.T.INV.2T(1 -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416" s="5" cm="1">
        <f t="array" ref="R416">MIN(IF((DiscreteStatsTable[GroupByKey]=DiscreteStatsTable[[#This Row],[GroupByKey]]),(DiscreteStatsTable[GroupByKey]=DiscreteStatsTable[[#This Row],[GroupByKey]])*DiscreteStatsTable[Average]))</f>
        <v>0.24910662918173601</v>
      </c>
      <c r="S416" s="5" cm="1">
        <f t="array" ref="S416">MAX(IF((DiscreteStatsTable[GroupByKey]=DiscreteStatsTable[[#This Row],[GroupByKey]]),(DiscreteStatsTable[GroupByKey]=DiscreteStatsTable[[#This Row],[GroupByKey]])*DiscreteStatsTable[Average]))</f>
        <v>3.6335836290778101</v>
      </c>
      <c r="T416" s="5" cm="1">
        <f t="array" ref="T416">MIN(IF((DiscreteStatsTable[GroupByKey]=DiscreteStatsTable[[#This Row],[GroupByKey]]),(DiscreteStatsTable[GroupByKey]=DiscreteStatsTable[[#This Row],[GroupByKey]])*DiscreteStatsTable[Minimum]))</f>
        <v>0</v>
      </c>
      <c r="U416" s="5" cm="1">
        <f t="array" ref="U416">MAX(IF((DiscreteStatsTable[GroupByKey]=DiscreteStatsTable[[#This Row],[GroupByKey]]),(DiscreteStatsTable[GroupByKey]=DiscreteStatsTable[[#This Row],[GroupByKey]])*DiscreteStatsTable[Maximum]))</f>
        <v>14.899429331080601</v>
      </c>
      <c r="V416" s="5" cm="1">
        <f t="array" ref="V416">IFERROR(AVERAGE(IF((DiscreteStatsTable[GroupByKey]=DiscreteStatsTable[[#This Row],[GroupByKey]]),(DiscreteStatsTable[GroupByKey]=DiscreteStatsTable[[#This Row],[GroupByKey]])*DiscreteStatsTable[NumberObservations])),0)</f>
        <v>122.10526315789474</v>
      </c>
      <c r="W416" s="5">
        <f>IF((DiscreteStatsTable[[#This Row],[RepsRequested]]&gt;1),DiscreteStatsTable[[#This Row],[HalfWidth]],DiscreteStatsTable[[#This Row],[BatchMeansHalfWidth]])</f>
        <v>0.3686718886858002</v>
      </c>
      <c r="X416" s="5" cm="1">
        <f t="array" ref="X416">COUNT(IF((DiscreteStatsTable[GroupByKey]=DiscreteStatsTable[[#This Row],[GroupByKey]]),(DiscreteStatsTable[GroupByKey]=DiscreteStatsTable[[#This Row],[GroupByKey]])*DiscreteStatsTable[Replication]))</f>
        <v>19</v>
      </c>
      <c r="Y416" s="5">
        <f>IF(DiscreteStatsTable[[#This Row],[RepsRequested]]=DiscreteStatsTable[[#This Row],[RepsWithStatObserved]],1,0)</f>
        <v>1</v>
      </c>
    </row>
    <row r="417" spans="1:25" x14ac:dyDescent="0.25">
      <c r="A417" t="s">
        <v>67</v>
      </c>
      <c r="B417" t="s">
        <v>69</v>
      </c>
      <c r="C417">
        <v>17</v>
      </c>
      <c r="D417" t="s">
        <v>99</v>
      </c>
      <c r="E417" t="s">
        <v>90</v>
      </c>
      <c r="F417" t="s">
        <v>91</v>
      </c>
      <c r="G417">
        <v>0.55866480344465297</v>
      </c>
      <c r="H417">
        <v>2E+20</v>
      </c>
      <c r="I417">
        <v>0</v>
      </c>
      <c r="J417">
        <v>3.30704151289825</v>
      </c>
      <c r="K417">
        <v>121</v>
      </c>
      <c r="L41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compartida)Pasar a Caja.QueueWaiting TimeQueue</v>
      </c>
      <c r="M417" s="5" cm="1">
        <f t="array" ref="M417">MAX(IF((ProjectInfoTable[ProjectName]=DiscreteStatsTable[[#This Row],[ProjectName]]),(ProjectInfoTable[ProjectName]=DiscreteStatsTable[[#This Row],[ProjectName]])*ProjectInfoTable[NumberOfReplications]))</f>
        <v>19</v>
      </c>
      <c r="N417" s="5" cm="1">
        <f t="array" ref="N417">IFERROR(AVERAGE(IF((DiscreteStatsTable[GroupByKey]=DiscreteStatsTable[[#This Row],[GroupByKey]]),(DiscreteStatsTable[GroupByKey]=DiscreteStatsTable[[#This Row],[GroupByKey]])*DiscreteStatsTable[Average])),0)</f>
        <v>0.78149191546140195</v>
      </c>
      <c r="O417" s="5" cm="1">
        <f t="array" ref="O417">IFERROR(_xlfn.STDEV.S(IF((DiscreteStatsTable[GroupByKey]=DiscreteStatsTable[[#This Row],[GroupByKey]]),(DiscreteStatsTable[GroupByKey]=DiscreteStatsTable[[#This Row],[GroupByKey]])*DiscreteStatsTable[Average])),0)</f>
        <v>0.76490392090955872</v>
      </c>
      <c r="P417" s="5" cm="1">
        <f t="array" ref="P417">MAX(IF((ProjectInfoTable[ProjectName]=DiscreteStatsTable[[#This Row],[ProjectName]]),(ProjectInfoTable[ProjectName]=DiscreteStatsTable[[#This Row],[ProjectName]])*ProjectInfoTable[ConfidenceInterval]))</f>
        <v>0.95</v>
      </c>
      <c r="Q417" s="5">
        <f>IF(AND(DiscreteStatsTable[[#This Row],[RepsWithStatObserved]]=1,Y417=0),200000000000000000000,IFERROR(_xlfn.T.INV.2T(1 -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417" s="5" cm="1">
        <f t="array" ref="R417">MIN(IF((DiscreteStatsTable[GroupByKey]=DiscreteStatsTable[[#This Row],[GroupByKey]]),(DiscreteStatsTable[GroupByKey]=DiscreteStatsTable[[#This Row],[GroupByKey]])*DiscreteStatsTable[Average]))</f>
        <v>0.24910662918173601</v>
      </c>
      <c r="S417" s="5" cm="1">
        <f t="array" ref="S417">MAX(IF((DiscreteStatsTable[GroupByKey]=DiscreteStatsTable[[#This Row],[GroupByKey]]),(DiscreteStatsTable[GroupByKey]=DiscreteStatsTable[[#This Row],[GroupByKey]])*DiscreteStatsTable[Average]))</f>
        <v>3.6335836290778101</v>
      </c>
      <c r="T417" s="5" cm="1">
        <f t="array" ref="T417">MIN(IF((DiscreteStatsTable[GroupByKey]=DiscreteStatsTable[[#This Row],[GroupByKey]]),(DiscreteStatsTable[GroupByKey]=DiscreteStatsTable[[#This Row],[GroupByKey]])*DiscreteStatsTable[Minimum]))</f>
        <v>0</v>
      </c>
      <c r="U417" s="5" cm="1">
        <f t="array" ref="U417">MAX(IF((DiscreteStatsTable[GroupByKey]=DiscreteStatsTable[[#This Row],[GroupByKey]]),(DiscreteStatsTable[GroupByKey]=DiscreteStatsTable[[#This Row],[GroupByKey]])*DiscreteStatsTable[Maximum]))</f>
        <v>14.899429331080601</v>
      </c>
      <c r="V417" s="5" cm="1">
        <f t="array" ref="V417">IFERROR(AVERAGE(IF((DiscreteStatsTable[GroupByKey]=DiscreteStatsTable[[#This Row],[GroupByKey]]),(DiscreteStatsTable[GroupByKey]=DiscreteStatsTable[[#This Row],[GroupByKey]])*DiscreteStatsTable[NumberObservations])),0)</f>
        <v>122.10526315789474</v>
      </c>
      <c r="W417" s="5">
        <f>IF((DiscreteStatsTable[[#This Row],[RepsRequested]]&gt;1),DiscreteStatsTable[[#This Row],[HalfWidth]],DiscreteStatsTable[[#This Row],[BatchMeansHalfWidth]])</f>
        <v>0.3686718886858002</v>
      </c>
      <c r="X417" s="5" cm="1">
        <f t="array" ref="X417">COUNT(IF((DiscreteStatsTable[GroupByKey]=DiscreteStatsTable[[#This Row],[GroupByKey]]),(DiscreteStatsTable[GroupByKey]=DiscreteStatsTable[[#This Row],[GroupByKey]])*DiscreteStatsTable[Replication]))</f>
        <v>19</v>
      </c>
      <c r="Y417" s="5">
        <f>IF(DiscreteStatsTable[[#This Row],[RepsRequested]]=DiscreteStatsTable[[#This Row],[RepsWithStatObserved]],1,0)</f>
        <v>1</v>
      </c>
    </row>
    <row r="418" spans="1:25" x14ac:dyDescent="0.25">
      <c r="A418" t="s">
        <v>67</v>
      </c>
      <c r="B418" t="s">
        <v>69</v>
      </c>
      <c r="C418">
        <v>18</v>
      </c>
      <c r="D418" t="s">
        <v>99</v>
      </c>
      <c r="E418" t="s">
        <v>90</v>
      </c>
      <c r="F418" t="s">
        <v>91</v>
      </c>
      <c r="G418">
        <v>1.02392473462719</v>
      </c>
      <c r="H418">
        <v>2E+20</v>
      </c>
      <c r="I418">
        <v>0</v>
      </c>
      <c r="J418">
        <v>10.039623816863401</v>
      </c>
      <c r="K418">
        <v>124</v>
      </c>
      <c r="L41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compartida)Pasar a Caja.QueueWaiting TimeQueue</v>
      </c>
      <c r="M418" s="5" cm="1">
        <f t="array" ref="M418">MAX(IF((ProjectInfoTable[ProjectName]=DiscreteStatsTable[[#This Row],[ProjectName]]),(ProjectInfoTable[ProjectName]=DiscreteStatsTable[[#This Row],[ProjectName]])*ProjectInfoTable[NumberOfReplications]))</f>
        <v>19</v>
      </c>
      <c r="N418" s="5" cm="1">
        <f t="array" ref="N418">IFERROR(AVERAGE(IF((DiscreteStatsTable[GroupByKey]=DiscreteStatsTable[[#This Row],[GroupByKey]]),(DiscreteStatsTable[GroupByKey]=DiscreteStatsTable[[#This Row],[GroupByKey]])*DiscreteStatsTable[Average])),0)</f>
        <v>0.78149191546140195</v>
      </c>
      <c r="O418" s="5" cm="1">
        <f t="array" ref="O418">IFERROR(_xlfn.STDEV.S(IF((DiscreteStatsTable[GroupByKey]=DiscreteStatsTable[[#This Row],[GroupByKey]]),(DiscreteStatsTable[GroupByKey]=DiscreteStatsTable[[#This Row],[GroupByKey]])*DiscreteStatsTable[Average])),0)</f>
        <v>0.76490392090955872</v>
      </c>
      <c r="P418" s="5" cm="1">
        <f t="array" ref="P418">MAX(IF((ProjectInfoTable[ProjectName]=DiscreteStatsTable[[#This Row],[ProjectName]]),(ProjectInfoTable[ProjectName]=DiscreteStatsTable[[#This Row],[ProjectName]])*ProjectInfoTable[ConfidenceInterval]))</f>
        <v>0.95</v>
      </c>
      <c r="Q418" s="5">
        <f>IF(AND(DiscreteStatsTable[[#This Row],[RepsWithStatObserved]]=1,Y418=0),200000000000000000000,IFERROR(_xlfn.T.INV.2T(1 -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418" s="5" cm="1">
        <f t="array" ref="R418">MIN(IF((DiscreteStatsTable[GroupByKey]=DiscreteStatsTable[[#This Row],[GroupByKey]]),(DiscreteStatsTable[GroupByKey]=DiscreteStatsTable[[#This Row],[GroupByKey]])*DiscreteStatsTable[Average]))</f>
        <v>0.24910662918173601</v>
      </c>
      <c r="S418" s="5" cm="1">
        <f t="array" ref="S418">MAX(IF((DiscreteStatsTable[GroupByKey]=DiscreteStatsTable[[#This Row],[GroupByKey]]),(DiscreteStatsTable[GroupByKey]=DiscreteStatsTable[[#This Row],[GroupByKey]])*DiscreteStatsTable[Average]))</f>
        <v>3.6335836290778101</v>
      </c>
      <c r="T418" s="5" cm="1">
        <f t="array" ref="T418">MIN(IF((DiscreteStatsTable[GroupByKey]=DiscreteStatsTable[[#This Row],[GroupByKey]]),(DiscreteStatsTable[GroupByKey]=DiscreteStatsTable[[#This Row],[GroupByKey]])*DiscreteStatsTable[Minimum]))</f>
        <v>0</v>
      </c>
      <c r="U418" s="5" cm="1">
        <f t="array" ref="U418">MAX(IF((DiscreteStatsTable[GroupByKey]=DiscreteStatsTable[[#This Row],[GroupByKey]]),(DiscreteStatsTable[GroupByKey]=DiscreteStatsTable[[#This Row],[GroupByKey]])*DiscreteStatsTable[Maximum]))</f>
        <v>14.899429331080601</v>
      </c>
      <c r="V418" s="5" cm="1">
        <f t="array" ref="V418">IFERROR(AVERAGE(IF((DiscreteStatsTable[GroupByKey]=DiscreteStatsTable[[#This Row],[GroupByKey]]),(DiscreteStatsTable[GroupByKey]=DiscreteStatsTable[[#This Row],[GroupByKey]])*DiscreteStatsTable[NumberObservations])),0)</f>
        <v>122.10526315789474</v>
      </c>
      <c r="W418" s="5">
        <f>IF((DiscreteStatsTable[[#This Row],[RepsRequested]]&gt;1),DiscreteStatsTable[[#This Row],[HalfWidth]],DiscreteStatsTable[[#This Row],[BatchMeansHalfWidth]])</f>
        <v>0.3686718886858002</v>
      </c>
      <c r="X418" s="5" cm="1">
        <f t="array" ref="X418">COUNT(IF((DiscreteStatsTable[GroupByKey]=DiscreteStatsTable[[#This Row],[GroupByKey]]),(DiscreteStatsTable[GroupByKey]=DiscreteStatsTable[[#This Row],[GroupByKey]])*DiscreteStatsTable[Replication]))</f>
        <v>19</v>
      </c>
      <c r="Y418" s="5">
        <f>IF(DiscreteStatsTable[[#This Row],[RepsRequested]]=DiscreteStatsTable[[#This Row],[RepsWithStatObserved]],1,0)</f>
        <v>1</v>
      </c>
    </row>
    <row r="419" spans="1:25" x14ac:dyDescent="0.25">
      <c r="A419" t="s">
        <v>67</v>
      </c>
      <c r="B419" t="s">
        <v>69</v>
      </c>
      <c r="C419">
        <v>19</v>
      </c>
      <c r="D419" t="s">
        <v>99</v>
      </c>
      <c r="E419" t="s">
        <v>90</v>
      </c>
      <c r="F419" t="s">
        <v>91</v>
      </c>
      <c r="G419">
        <v>0.34526920159986202</v>
      </c>
      <c r="H419">
        <v>2E+20</v>
      </c>
      <c r="I419">
        <v>0</v>
      </c>
      <c r="J419">
        <v>3.3430544674653202</v>
      </c>
      <c r="K419">
        <v>123</v>
      </c>
      <c r="L41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compartida)Pasar a Caja.QueueWaiting TimeQueue</v>
      </c>
      <c r="M419" s="5" cm="1">
        <f t="array" ref="M419">MAX(IF((ProjectInfoTable[ProjectName]=DiscreteStatsTable[[#This Row],[ProjectName]]),(ProjectInfoTable[ProjectName]=DiscreteStatsTable[[#This Row],[ProjectName]])*ProjectInfoTable[NumberOfReplications]))</f>
        <v>19</v>
      </c>
      <c r="N419" s="5" cm="1">
        <f t="array" ref="N419">IFERROR(AVERAGE(IF((DiscreteStatsTable[GroupByKey]=DiscreteStatsTable[[#This Row],[GroupByKey]]),(DiscreteStatsTable[GroupByKey]=DiscreteStatsTable[[#This Row],[GroupByKey]])*DiscreteStatsTable[Average])),0)</f>
        <v>0.78149191546140195</v>
      </c>
      <c r="O419" s="5" cm="1">
        <f t="array" ref="O419">IFERROR(_xlfn.STDEV.S(IF((DiscreteStatsTable[GroupByKey]=DiscreteStatsTable[[#This Row],[GroupByKey]]),(DiscreteStatsTable[GroupByKey]=DiscreteStatsTable[[#This Row],[GroupByKey]])*DiscreteStatsTable[Average])),0)</f>
        <v>0.76490392090955872</v>
      </c>
      <c r="P419" s="5" cm="1">
        <f t="array" ref="P419">MAX(IF((ProjectInfoTable[ProjectName]=DiscreteStatsTable[[#This Row],[ProjectName]]),(ProjectInfoTable[ProjectName]=DiscreteStatsTable[[#This Row],[ProjectName]])*ProjectInfoTable[ConfidenceInterval]))</f>
        <v>0.95</v>
      </c>
      <c r="Q419" s="5">
        <f>IF(AND(DiscreteStatsTable[[#This Row],[RepsWithStatObserved]]=1,Y419=0),200000000000000000000,IFERROR(_xlfn.T.INV.2T(1 -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0.3686718886858002</v>
      </c>
      <c r="R419" s="5" cm="1">
        <f t="array" ref="R419">MIN(IF((DiscreteStatsTable[GroupByKey]=DiscreteStatsTable[[#This Row],[GroupByKey]]),(DiscreteStatsTable[GroupByKey]=DiscreteStatsTable[[#This Row],[GroupByKey]])*DiscreteStatsTable[Average]))</f>
        <v>0.24910662918173601</v>
      </c>
      <c r="S419" s="5" cm="1">
        <f t="array" ref="S419">MAX(IF((DiscreteStatsTable[GroupByKey]=DiscreteStatsTable[[#This Row],[GroupByKey]]),(DiscreteStatsTable[GroupByKey]=DiscreteStatsTable[[#This Row],[GroupByKey]])*DiscreteStatsTable[Average]))</f>
        <v>3.6335836290778101</v>
      </c>
      <c r="T419" s="5" cm="1">
        <f t="array" ref="T419">MIN(IF((DiscreteStatsTable[GroupByKey]=DiscreteStatsTable[[#This Row],[GroupByKey]]),(DiscreteStatsTable[GroupByKey]=DiscreteStatsTable[[#This Row],[GroupByKey]])*DiscreteStatsTable[Minimum]))</f>
        <v>0</v>
      </c>
      <c r="U419" s="5" cm="1">
        <f t="array" ref="U419">MAX(IF((DiscreteStatsTable[GroupByKey]=DiscreteStatsTable[[#This Row],[GroupByKey]]),(DiscreteStatsTable[GroupByKey]=DiscreteStatsTable[[#This Row],[GroupByKey]])*DiscreteStatsTable[Maximum]))</f>
        <v>14.899429331080601</v>
      </c>
      <c r="V419" s="5" cm="1">
        <f t="array" ref="V419">IFERROR(AVERAGE(IF((DiscreteStatsTable[GroupByKey]=DiscreteStatsTable[[#This Row],[GroupByKey]]),(DiscreteStatsTable[GroupByKey]=DiscreteStatsTable[[#This Row],[GroupByKey]])*DiscreteStatsTable[NumberObservations])),0)</f>
        <v>122.10526315789474</v>
      </c>
      <c r="W419" s="5">
        <f>IF((DiscreteStatsTable[[#This Row],[RepsRequested]]&gt;1),DiscreteStatsTable[[#This Row],[HalfWidth]],DiscreteStatsTable[[#This Row],[BatchMeansHalfWidth]])</f>
        <v>0.3686718886858002</v>
      </c>
      <c r="X419" s="5" cm="1">
        <f t="array" ref="X419">COUNT(IF((DiscreteStatsTable[GroupByKey]=DiscreteStatsTable[[#This Row],[GroupByKey]]),(DiscreteStatsTable[GroupByKey]=DiscreteStatsTable[[#This Row],[GroupByKey]])*DiscreteStatsTable[Replication]))</f>
        <v>19</v>
      </c>
      <c r="Y419" s="5">
        <f>IF(DiscreteStatsTable[[#This Row],[RepsRequested]]=DiscreteStatsTable[[#This Row],[RepsWithStatObserved]],1,0)</f>
        <v>1</v>
      </c>
    </row>
    <row r="420" spans="1:25" x14ac:dyDescent="0.25">
      <c r="A420" t="s">
        <v>67</v>
      </c>
      <c r="B420" t="s">
        <v>69</v>
      </c>
      <c r="C420">
        <v>1</v>
      </c>
      <c r="D420" t="s">
        <v>103</v>
      </c>
      <c r="E420" t="s">
        <v>85</v>
      </c>
      <c r="F420" t="s">
        <v>86</v>
      </c>
      <c r="G420">
        <v>4.8344956063072599</v>
      </c>
      <c r="H420">
        <v>2E+20</v>
      </c>
      <c r="I420">
        <v>7.9938055919171802E-2</v>
      </c>
      <c r="J420">
        <v>23.229576157810602</v>
      </c>
      <c r="K420">
        <v>150</v>
      </c>
      <c r="L42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compartida)PreparacionTotal Time Per EntityProcess</v>
      </c>
      <c r="M420" s="5" cm="1">
        <f t="array" ref="M420">MAX(IF((ProjectInfoTable[ProjectName]=DiscreteStatsTable[[#This Row],[ProjectName]]),(ProjectInfoTable[ProjectName]=DiscreteStatsTable[[#This Row],[ProjectName]])*ProjectInfoTable[NumberOfReplications]))</f>
        <v>19</v>
      </c>
      <c r="N420" s="5" cm="1">
        <f t="array" ref="N420">IFERROR(AVERAGE(IF((DiscreteStatsTable[GroupByKey]=DiscreteStatsTable[[#This Row],[GroupByKey]]),(DiscreteStatsTable[GroupByKey]=DiscreteStatsTable[[#This Row],[GroupByKey]])*DiscreteStatsTable[Average])),0)</f>
        <v>2.1273994880359743</v>
      </c>
      <c r="O420" s="5" cm="1">
        <f t="array" ref="O420">IFERROR(_xlfn.STDEV.S(IF((DiscreteStatsTable[GroupByKey]=DiscreteStatsTable[[#This Row],[GroupByKey]]),(DiscreteStatsTable[GroupByKey]=DiscreteStatsTable[[#This Row],[GroupByKey]])*DiscreteStatsTable[Average])),0)</f>
        <v>0.78312872053361837</v>
      </c>
      <c r="P420" s="5" cm="1">
        <f t="array" ref="P420">MAX(IF((ProjectInfoTable[ProjectName]=DiscreteStatsTable[[#This Row],[ProjectName]]),(ProjectInfoTable[ProjectName]=DiscreteStatsTable[[#This Row],[ProjectName]])*ProjectInfoTable[ConfidenceInterval]))</f>
        <v>0.95</v>
      </c>
      <c r="Q420" s="5">
        <f>IF(AND(DiscreteStatsTable[[#This Row],[RepsWithStatObserved]]=1,Y420=0),200000000000000000000,IFERROR(_xlfn.T.INV.2T(1 -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0.37745596092631467</v>
      </c>
      <c r="R420" s="5" cm="1">
        <f t="array" ref="R420">MIN(IF((DiscreteStatsTable[GroupByKey]=DiscreteStatsTable[[#This Row],[GroupByKey]]),(DiscreteStatsTable[GroupByKey]=DiscreteStatsTable[[#This Row],[GroupByKey]])*DiscreteStatsTable[Average]))</f>
        <v>1.4498913227505501</v>
      </c>
      <c r="S420" s="5" cm="1">
        <f t="array" ref="S420">MAX(IF((DiscreteStatsTable[GroupByKey]=DiscreteStatsTable[[#This Row],[GroupByKey]]),(DiscreteStatsTable[GroupByKey]=DiscreteStatsTable[[#This Row],[GroupByKey]])*DiscreteStatsTable[Average]))</f>
        <v>4.8344956063072599</v>
      </c>
      <c r="T420" s="5" cm="1">
        <f t="array" ref="T420">MIN(IF((DiscreteStatsTable[GroupByKey]=DiscreteStatsTable[[#This Row],[GroupByKey]]),(DiscreteStatsTable[GroupByKey]=DiscreteStatsTable[[#This Row],[GroupByKey]])*DiscreteStatsTable[Minimum]))</f>
        <v>0</v>
      </c>
      <c r="U420" s="5" cm="1">
        <f t="array" ref="U420">MAX(IF((DiscreteStatsTable[GroupByKey]=DiscreteStatsTable[[#This Row],[GroupByKey]]),(DiscreteStatsTable[GroupByKey]=DiscreteStatsTable[[#This Row],[GroupByKey]])*DiscreteStatsTable[Maximum]))</f>
        <v>23.229576157810602</v>
      </c>
      <c r="V420" s="5" cm="1">
        <f t="array" ref="V420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20" s="5">
        <f>IF((DiscreteStatsTable[[#This Row],[RepsRequested]]&gt;1),DiscreteStatsTable[[#This Row],[HalfWidth]],DiscreteStatsTable[[#This Row],[BatchMeansHalfWidth]])</f>
        <v>0.37745596092631467</v>
      </c>
      <c r="X420" s="5" cm="1">
        <f t="array" ref="X420">COUNT(IF((DiscreteStatsTable[GroupByKey]=DiscreteStatsTable[[#This Row],[GroupByKey]]),(DiscreteStatsTable[GroupByKey]=DiscreteStatsTable[[#This Row],[GroupByKey]])*DiscreteStatsTable[Replication]))</f>
        <v>19</v>
      </c>
      <c r="Y420" s="5">
        <f>IF(DiscreteStatsTable[[#This Row],[RepsRequested]]=DiscreteStatsTable[[#This Row],[RepsWithStatObserved]],1,0)</f>
        <v>1</v>
      </c>
    </row>
    <row r="421" spans="1:25" x14ac:dyDescent="0.25">
      <c r="A421" t="s">
        <v>67</v>
      </c>
      <c r="B421" t="s">
        <v>69</v>
      </c>
      <c r="C421">
        <v>1</v>
      </c>
      <c r="D421" t="s">
        <v>103</v>
      </c>
      <c r="E421" t="s">
        <v>87</v>
      </c>
      <c r="F421" t="s">
        <v>86</v>
      </c>
      <c r="G421">
        <v>1.4012481662594001</v>
      </c>
      <c r="H421">
        <v>2E+20</v>
      </c>
      <c r="I421">
        <v>2.1902795385045699E-2</v>
      </c>
      <c r="J421">
        <v>5.5732156457255799</v>
      </c>
      <c r="K421">
        <v>150</v>
      </c>
      <c r="L42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compartida)PreparacionVA Time Per EntityProcess</v>
      </c>
      <c r="M421" s="5" cm="1">
        <f t="array" ref="M421">MAX(IF((ProjectInfoTable[ProjectName]=DiscreteStatsTable[[#This Row],[ProjectName]]),(ProjectInfoTable[ProjectName]=DiscreteStatsTable[[#This Row],[ProjectName]])*ProjectInfoTable[NumberOfReplications]))</f>
        <v>19</v>
      </c>
      <c r="N421" s="5" cm="1">
        <f t="array" ref="N421">IFERROR(AVERAGE(IF((DiscreteStatsTable[GroupByKey]=DiscreteStatsTable[[#This Row],[GroupByKey]]),(DiscreteStatsTable[GroupByKey]=DiscreteStatsTable[[#This Row],[GroupByKey]])*DiscreteStatsTable[Average])),0)</f>
        <v>1.427042764340821</v>
      </c>
      <c r="O421" s="5" cm="1">
        <f t="array" ref="O421">IFERROR(_xlfn.STDEV.S(IF((DiscreteStatsTable[GroupByKey]=DiscreteStatsTable[[#This Row],[GroupByKey]]),(DiscreteStatsTable[GroupByKey]=DiscreteStatsTable[[#This Row],[GroupByKey]])*DiscreteStatsTable[Average])),0)</f>
        <v>0.15210233149440669</v>
      </c>
      <c r="P421" s="5" cm="1">
        <f t="array" ref="P421">MAX(IF((ProjectInfoTable[ProjectName]=DiscreteStatsTable[[#This Row],[ProjectName]]),(ProjectInfoTable[ProjectName]=DiscreteStatsTable[[#This Row],[ProjectName]])*ProjectInfoTable[ConfidenceInterval]))</f>
        <v>0.95</v>
      </c>
      <c r="Q421" s="5">
        <f>IF(AND(DiscreteStatsTable[[#This Row],[RepsWithStatObserved]]=1,Y421=0),200000000000000000000,IFERROR(_xlfn.T.INV.2T(1 -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7.3310977094843424E-2</v>
      </c>
      <c r="R421" s="5" cm="1">
        <f t="array" ref="R421">MIN(IF((DiscreteStatsTable[GroupByKey]=DiscreteStatsTable[[#This Row],[GroupByKey]]),(DiscreteStatsTable[GroupByKey]=DiscreteStatsTable[[#This Row],[GroupByKey]])*DiscreteStatsTable[Average]))</f>
        <v>1.1889341151258599</v>
      </c>
      <c r="S421" s="5" cm="1">
        <f t="array" ref="S421">MAX(IF((DiscreteStatsTable[GroupByKey]=DiscreteStatsTable[[#This Row],[GroupByKey]]),(DiscreteStatsTable[GroupByKey]=DiscreteStatsTable[[#This Row],[GroupByKey]])*DiscreteStatsTable[Average]))</f>
        <v>1.71891901774247</v>
      </c>
      <c r="T421" s="5" cm="1">
        <f t="array" ref="T421">MIN(IF((DiscreteStatsTable[GroupByKey]=DiscreteStatsTable[[#This Row],[GroupByKey]]),(DiscreteStatsTable[GroupByKey]=DiscreteStatsTable[[#This Row],[GroupByKey]])*DiscreteStatsTable[Minimum]))</f>
        <v>0</v>
      </c>
      <c r="U421" s="5" cm="1">
        <f t="array" ref="U421">MAX(IF((DiscreteStatsTable[GroupByKey]=DiscreteStatsTable[[#This Row],[GroupByKey]]),(DiscreteStatsTable[GroupByKey]=DiscreteStatsTable[[#This Row],[GroupByKey]])*DiscreteStatsTable[Maximum]))</f>
        <v>13.3285940274107</v>
      </c>
      <c r="V421" s="5" cm="1">
        <f t="array" ref="V421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21" s="5">
        <f>IF((DiscreteStatsTable[[#This Row],[RepsRequested]]&gt;1),DiscreteStatsTable[[#This Row],[HalfWidth]],DiscreteStatsTable[[#This Row],[BatchMeansHalfWidth]])</f>
        <v>7.3310977094843424E-2</v>
      </c>
      <c r="X421" s="5" cm="1">
        <f t="array" ref="X421">COUNT(IF((DiscreteStatsTable[GroupByKey]=DiscreteStatsTable[[#This Row],[GroupByKey]]),(DiscreteStatsTable[GroupByKey]=DiscreteStatsTable[[#This Row],[GroupByKey]])*DiscreteStatsTable[Replication]))</f>
        <v>19</v>
      </c>
      <c r="Y421" s="5">
        <f>IF(DiscreteStatsTable[[#This Row],[RepsRequested]]=DiscreteStatsTable[[#This Row],[RepsWithStatObserved]],1,0)</f>
        <v>1</v>
      </c>
    </row>
    <row r="422" spans="1:25" x14ac:dyDescent="0.25">
      <c r="A422" t="s">
        <v>67</v>
      </c>
      <c r="B422" t="s">
        <v>69</v>
      </c>
      <c r="C422">
        <v>1</v>
      </c>
      <c r="D422" t="s">
        <v>103</v>
      </c>
      <c r="E422" t="s">
        <v>88</v>
      </c>
      <c r="F422" t="s">
        <v>86</v>
      </c>
      <c r="G422">
        <v>3.4332474400478601</v>
      </c>
      <c r="H422">
        <v>2E+20</v>
      </c>
      <c r="I422">
        <v>0</v>
      </c>
      <c r="J422">
        <v>17.656360512085001</v>
      </c>
      <c r="K422">
        <v>150</v>
      </c>
      <c r="L42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compartida)PreparacionWait Time Per EntityProcess</v>
      </c>
      <c r="M422" s="5" cm="1">
        <f t="array" ref="M422">MAX(IF((ProjectInfoTable[ProjectName]=DiscreteStatsTable[[#This Row],[ProjectName]]),(ProjectInfoTable[ProjectName]=DiscreteStatsTable[[#This Row],[ProjectName]])*ProjectInfoTable[NumberOfReplications]))</f>
        <v>19</v>
      </c>
      <c r="N422" s="5" cm="1">
        <f t="array" ref="N422">IFERROR(AVERAGE(IF((DiscreteStatsTable[GroupByKey]=DiscreteStatsTable[[#This Row],[GroupByKey]]),(DiscreteStatsTable[GroupByKey]=DiscreteStatsTable[[#This Row],[GroupByKey]])*DiscreteStatsTable[Average])),0)</f>
        <v>0.70035672369515334</v>
      </c>
      <c r="O422" s="5" cm="1">
        <f t="array" ref="O422">IFERROR(_xlfn.STDEV.S(IF((DiscreteStatsTable[GroupByKey]=DiscreteStatsTable[[#This Row],[GroupByKey]]),(DiscreteStatsTable[GroupByKey]=DiscreteStatsTable[[#This Row],[GroupByKey]])*DiscreteStatsTable[Average])),0)</f>
        <v>0.73328049543419305</v>
      </c>
      <c r="P422" s="5" cm="1">
        <f t="array" ref="P422">MAX(IF((ProjectInfoTable[ProjectName]=DiscreteStatsTable[[#This Row],[ProjectName]]),(ProjectInfoTable[ProjectName]=DiscreteStatsTable[[#This Row],[ProjectName]])*ProjectInfoTable[ConfidenceInterval]))</f>
        <v>0.95</v>
      </c>
      <c r="Q422" s="5">
        <f>IF(AND(DiscreteStatsTable[[#This Row],[RepsWithStatObserved]]=1,Y422=0),200000000000000000000,IFERROR(_xlfn.T.INV.2T(1 -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0.35342988550342119</v>
      </c>
      <c r="R422" s="5" cm="1">
        <f t="array" ref="R422">MIN(IF((DiscreteStatsTable[GroupByKey]=DiscreteStatsTable[[#This Row],[GroupByKey]]),(DiscreteStatsTable[GroupByKey]=DiscreteStatsTable[[#This Row],[GroupByKey]])*DiscreteStatsTable[Average]))</f>
        <v>0.19405440212973199</v>
      </c>
      <c r="S422" s="5" cm="1">
        <f t="array" ref="S422">MAX(IF((DiscreteStatsTable[GroupByKey]=DiscreteStatsTable[[#This Row],[GroupByKey]]),(DiscreteStatsTable[GroupByKey]=DiscreteStatsTable[[#This Row],[GroupByKey]])*DiscreteStatsTable[Average]))</f>
        <v>3.4332474400478601</v>
      </c>
      <c r="T422" s="5" cm="1">
        <f t="array" ref="T422">MIN(IF((DiscreteStatsTable[GroupByKey]=DiscreteStatsTable[[#This Row],[GroupByKey]]),(DiscreteStatsTable[GroupByKey]=DiscreteStatsTable[[#This Row],[GroupByKey]])*DiscreteStatsTable[Minimum]))</f>
        <v>0</v>
      </c>
      <c r="U422" s="5" cm="1">
        <f t="array" ref="U422">MAX(IF((DiscreteStatsTable[GroupByKey]=DiscreteStatsTable[[#This Row],[GroupByKey]]),(DiscreteStatsTable[GroupByKey]=DiscreteStatsTable[[#This Row],[GroupByKey]])*DiscreteStatsTable[Maximum]))</f>
        <v>17.656360512085001</v>
      </c>
      <c r="V422" s="5" cm="1">
        <f t="array" ref="V422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22" s="5">
        <f>IF((DiscreteStatsTable[[#This Row],[RepsRequested]]&gt;1),DiscreteStatsTable[[#This Row],[HalfWidth]],DiscreteStatsTable[[#This Row],[BatchMeansHalfWidth]])</f>
        <v>0.35342988550342119</v>
      </c>
      <c r="X422" s="5" cm="1">
        <f t="array" ref="X422">COUNT(IF((DiscreteStatsTable[GroupByKey]=DiscreteStatsTable[[#This Row],[GroupByKey]]),(DiscreteStatsTable[GroupByKey]=DiscreteStatsTable[[#This Row],[GroupByKey]])*DiscreteStatsTable[Replication]))</f>
        <v>19</v>
      </c>
      <c r="Y422" s="5">
        <f>IF(DiscreteStatsTable[[#This Row],[RepsRequested]]=DiscreteStatsTable[[#This Row],[RepsWithStatObserved]],1,0)</f>
        <v>1</v>
      </c>
    </row>
    <row r="423" spans="1:25" x14ac:dyDescent="0.25">
      <c r="A423" t="s">
        <v>67</v>
      </c>
      <c r="B423" t="s">
        <v>69</v>
      </c>
      <c r="C423">
        <v>2</v>
      </c>
      <c r="D423" t="s">
        <v>103</v>
      </c>
      <c r="E423" t="s">
        <v>85</v>
      </c>
      <c r="F423" t="s">
        <v>86</v>
      </c>
      <c r="G423">
        <v>1.8668850172771101</v>
      </c>
      <c r="H423">
        <v>2E+20</v>
      </c>
      <c r="I423">
        <v>5.9166912246908503E-2</v>
      </c>
      <c r="J423">
        <v>6.5039861789624398</v>
      </c>
      <c r="K423">
        <v>111</v>
      </c>
      <c r="L42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compartida)PreparacionTotal Time Per EntityProcess</v>
      </c>
      <c r="M423" s="5" cm="1">
        <f t="array" ref="M423">MAX(IF((ProjectInfoTable[ProjectName]=DiscreteStatsTable[[#This Row],[ProjectName]]),(ProjectInfoTable[ProjectName]=DiscreteStatsTable[[#This Row],[ProjectName]])*ProjectInfoTable[NumberOfReplications]))</f>
        <v>19</v>
      </c>
      <c r="N423" s="5" cm="1">
        <f t="array" ref="N423">IFERROR(AVERAGE(IF((DiscreteStatsTable[GroupByKey]=DiscreteStatsTable[[#This Row],[GroupByKey]]),(DiscreteStatsTable[GroupByKey]=DiscreteStatsTable[[#This Row],[GroupByKey]])*DiscreteStatsTable[Average])),0)</f>
        <v>2.1273994880359743</v>
      </c>
      <c r="O423" s="5" cm="1">
        <f t="array" ref="O423">IFERROR(_xlfn.STDEV.S(IF((DiscreteStatsTable[GroupByKey]=DiscreteStatsTable[[#This Row],[GroupByKey]]),(DiscreteStatsTable[GroupByKey]=DiscreteStatsTable[[#This Row],[GroupByKey]])*DiscreteStatsTable[Average])),0)</f>
        <v>0.78312872053361837</v>
      </c>
      <c r="P423" s="5" cm="1">
        <f t="array" ref="P423">MAX(IF((ProjectInfoTable[ProjectName]=DiscreteStatsTable[[#This Row],[ProjectName]]),(ProjectInfoTable[ProjectName]=DiscreteStatsTable[[#This Row],[ProjectName]])*ProjectInfoTable[ConfidenceInterval]))</f>
        <v>0.95</v>
      </c>
      <c r="Q423" s="5">
        <f>IF(AND(DiscreteStatsTable[[#This Row],[RepsWithStatObserved]]=1,Y423=0),200000000000000000000,IFERROR(_xlfn.T.INV.2T(1 -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0.37745596092631467</v>
      </c>
      <c r="R423" s="5" cm="1">
        <f t="array" ref="R423">MIN(IF((DiscreteStatsTable[GroupByKey]=DiscreteStatsTable[[#This Row],[GroupByKey]]),(DiscreteStatsTable[GroupByKey]=DiscreteStatsTable[[#This Row],[GroupByKey]])*DiscreteStatsTable[Average]))</f>
        <v>1.4498913227505501</v>
      </c>
      <c r="S423" s="5" cm="1">
        <f t="array" ref="S423">MAX(IF((DiscreteStatsTable[GroupByKey]=DiscreteStatsTable[[#This Row],[GroupByKey]]),(DiscreteStatsTable[GroupByKey]=DiscreteStatsTable[[#This Row],[GroupByKey]])*DiscreteStatsTable[Average]))</f>
        <v>4.8344956063072599</v>
      </c>
      <c r="T423" s="5" cm="1">
        <f t="array" ref="T423">MIN(IF((DiscreteStatsTable[GroupByKey]=DiscreteStatsTable[[#This Row],[GroupByKey]]),(DiscreteStatsTable[GroupByKey]=DiscreteStatsTable[[#This Row],[GroupByKey]])*DiscreteStatsTable[Minimum]))</f>
        <v>0</v>
      </c>
      <c r="U423" s="5" cm="1">
        <f t="array" ref="U423">MAX(IF((DiscreteStatsTable[GroupByKey]=DiscreteStatsTable[[#This Row],[GroupByKey]]),(DiscreteStatsTable[GroupByKey]=DiscreteStatsTable[[#This Row],[GroupByKey]])*DiscreteStatsTable[Maximum]))</f>
        <v>23.229576157810602</v>
      </c>
      <c r="V423" s="5" cm="1">
        <f t="array" ref="V423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23" s="5">
        <f>IF((DiscreteStatsTable[[#This Row],[RepsRequested]]&gt;1),DiscreteStatsTable[[#This Row],[HalfWidth]],DiscreteStatsTable[[#This Row],[BatchMeansHalfWidth]])</f>
        <v>0.37745596092631467</v>
      </c>
      <c r="X423" s="5" cm="1">
        <f t="array" ref="X423">COUNT(IF((DiscreteStatsTable[GroupByKey]=DiscreteStatsTable[[#This Row],[GroupByKey]]),(DiscreteStatsTable[GroupByKey]=DiscreteStatsTable[[#This Row],[GroupByKey]])*DiscreteStatsTable[Replication]))</f>
        <v>19</v>
      </c>
      <c r="Y423" s="5">
        <f>IF(DiscreteStatsTable[[#This Row],[RepsRequested]]=DiscreteStatsTable[[#This Row],[RepsWithStatObserved]],1,0)</f>
        <v>1</v>
      </c>
    </row>
    <row r="424" spans="1:25" x14ac:dyDescent="0.25">
      <c r="A424" t="s">
        <v>67</v>
      </c>
      <c r="B424" t="s">
        <v>69</v>
      </c>
      <c r="C424">
        <v>2</v>
      </c>
      <c r="D424" t="s">
        <v>103</v>
      </c>
      <c r="E424" t="s">
        <v>87</v>
      </c>
      <c r="F424" t="s">
        <v>86</v>
      </c>
      <c r="G424">
        <v>1.3999349588383501</v>
      </c>
      <c r="H424">
        <v>2E+20</v>
      </c>
      <c r="I424">
        <v>5.9166912246908503E-2</v>
      </c>
      <c r="J424">
        <v>6.2803754705049597</v>
      </c>
      <c r="K424">
        <v>111</v>
      </c>
      <c r="L42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compartida)PreparacionVA Time Per EntityProcess</v>
      </c>
      <c r="M424" s="5" cm="1">
        <f t="array" ref="M424">MAX(IF((ProjectInfoTable[ProjectName]=DiscreteStatsTable[[#This Row],[ProjectName]]),(ProjectInfoTable[ProjectName]=DiscreteStatsTable[[#This Row],[ProjectName]])*ProjectInfoTable[NumberOfReplications]))</f>
        <v>19</v>
      </c>
      <c r="N424" s="5" cm="1">
        <f t="array" ref="N424">IFERROR(AVERAGE(IF((DiscreteStatsTable[GroupByKey]=DiscreteStatsTable[[#This Row],[GroupByKey]]),(DiscreteStatsTable[GroupByKey]=DiscreteStatsTable[[#This Row],[GroupByKey]])*DiscreteStatsTable[Average])),0)</f>
        <v>1.427042764340821</v>
      </c>
      <c r="O424" s="5" cm="1">
        <f t="array" ref="O424">IFERROR(_xlfn.STDEV.S(IF((DiscreteStatsTable[GroupByKey]=DiscreteStatsTable[[#This Row],[GroupByKey]]),(DiscreteStatsTable[GroupByKey]=DiscreteStatsTable[[#This Row],[GroupByKey]])*DiscreteStatsTable[Average])),0)</f>
        <v>0.15210233149440669</v>
      </c>
      <c r="P424" s="5" cm="1">
        <f t="array" ref="P424">MAX(IF((ProjectInfoTable[ProjectName]=DiscreteStatsTable[[#This Row],[ProjectName]]),(ProjectInfoTable[ProjectName]=DiscreteStatsTable[[#This Row],[ProjectName]])*ProjectInfoTable[ConfidenceInterval]))</f>
        <v>0.95</v>
      </c>
      <c r="Q424" s="5">
        <f>IF(AND(DiscreteStatsTable[[#This Row],[RepsWithStatObserved]]=1,Y424=0),200000000000000000000,IFERROR(_xlfn.T.INV.2T(1 -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7.3310977094843424E-2</v>
      </c>
      <c r="R424" s="5" cm="1">
        <f t="array" ref="R424">MIN(IF((DiscreteStatsTable[GroupByKey]=DiscreteStatsTable[[#This Row],[GroupByKey]]),(DiscreteStatsTable[GroupByKey]=DiscreteStatsTable[[#This Row],[GroupByKey]])*DiscreteStatsTable[Average]))</f>
        <v>1.1889341151258599</v>
      </c>
      <c r="S424" s="5" cm="1">
        <f t="array" ref="S424">MAX(IF((DiscreteStatsTable[GroupByKey]=DiscreteStatsTable[[#This Row],[GroupByKey]]),(DiscreteStatsTable[GroupByKey]=DiscreteStatsTable[[#This Row],[GroupByKey]])*DiscreteStatsTable[Average]))</f>
        <v>1.71891901774247</v>
      </c>
      <c r="T424" s="5" cm="1">
        <f t="array" ref="T424">MIN(IF((DiscreteStatsTable[GroupByKey]=DiscreteStatsTable[[#This Row],[GroupByKey]]),(DiscreteStatsTable[GroupByKey]=DiscreteStatsTable[[#This Row],[GroupByKey]])*DiscreteStatsTable[Minimum]))</f>
        <v>0</v>
      </c>
      <c r="U424" s="5" cm="1">
        <f t="array" ref="U424">MAX(IF((DiscreteStatsTable[GroupByKey]=DiscreteStatsTable[[#This Row],[GroupByKey]]),(DiscreteStatsTable[GroupByKey]=DiscreteStatsTable[[#This Row],[GroupByKey]])*DiscreteStatsTable[Maximum]))</f>
        <v>13.3285940274107</v>
      </c>
      <c r="V424" s="5" cm="1">
        <f t="array" ref="V424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24" s="5">
        <f>IF((DiscreteStatsTable[[#This Row],[RepsRequested]]&gt;1),DiscreteStatsTable[[#This Row],[HalfWidth]],DiscreteStatsTable[[#This Row],[BatchMeansHalfWidth]])</f>
        <v>7.3310977094843424E-2</v>
      </c>
      <c r="X424" s="5" cm="1">
        <f t="array" ref="X424">COUNT(IF((DiscreteStatsTable[GroupByKey]=DiscreteStatsTable[[#This Row],[GroupByKey]]),(DiscreteStatsTable[GroupByKey]=DiscreteStatsTable[[#This Row],[GroupByKey]])*DiscreteStatsTable[Replication]))</f>
        <v>19</v>
      </c>
      <c r="Y424" s="5">
        <f>IF(DiscreteStatsTable[[#This Row],[RepsRequested]]=DiscreteStatsTable[[#This Row],[RepsWithStatObserved]],1,0)</f>
        <v>1</v>
      </c>
    </row>
    <row r="425" spans="1:25" x14ac:dyDescent="0.25">
      <c r="A425" t="s">
        <v>67</v>
      </c>
      <c r="B425" t="s">
        <v>69</v>
      </c>
      <c r="C425">
        <v>2</v>
      </c>
      <c r="D425" t="s">
        <v>103</v>
      </c>
      <c r="E425" t="s">
        <v>88</v>
      </c>
      <c r="F425" t="s">
        <v>86</v>
      </c>
      <c r="G425">
        <v>0.46695005843875997</v>
      </c>
      <c r="H425">
        <v>2E+20</v>
      </c>
      <c r="I425">
        <v>0</v>
      </c>
      <c r="J425">
        <v>4.5084745559450097</v>
      </c>
      <c r="K425">
        <v>111</v>
      </c>
      <c r="L42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compartida)PreparacionWait Time Per EntityProcess</v>
      </c>
      <c r="M425" s="5" cm="1">
        <f t="array" ref="M425">MAX(IF((ProjectInfoTable[ProjectName]=DiscreteStatsTable[[#This Row],[ProjectName]]),(ProjectInfoTable[ProjectName]=DiscreteStatsTable[[#This Row],[ProjectName]])*ProjectInfoTable[NumberOfReplications]))</f>
        <v>19</v>
      </c>
      <c r="N425" s="5" cm="1">
        <f t="array" ref="N425">IFERROR(AVERAGE(IF((DiscreteStatsTable[GroupByKey]=DiscreteStatsTable[[#This Row],[GroupByKey]]),(DiscreteStatsTable[GroupByKey]=DiscreteStatsTable[[#This Row],[GroupByKey]])*DiscreteStatsTable[Average])),0)</f>
        <v>0.70035672369515334</v>
      </c>
      <c r="O425" s="5" cm="1">
        <f t="array" ref="O425">IFERROR(_xlfn.STDEV.S(IF((DiscreteStatsTable[GroupByKey]=DiscreteStatsTable[[#This Row],[GroupByKey]]),(DiscreteStatsTable[GroupByKey]=DiscreteStatsTable[[#This Row],[GroupByKey]])*DiscreteStatsTable[Average])),0)</f>
        <v>0.73328049543419305</v>
      </c>
      <c r="P425" s="5" cm="1">
        <f t="array" ref="P425">MAX(IF((ProjectInfoTable[ProjectName]=DiscreteStatsTable[[#This Row],[ProjectName]]),(ProjectInfoTable[ProjectName]=DiscreteStatsTable[[#This Row],[ProjectName]])*ProjectInfoTable[ConfidenceInterval]))</f>
        <v>0.95</v>
      </c>
      <c r="Q425" s="5">
        <f>IF(AND(DiscreteStatsTable[[#This Row],[RepsWithStatObserved]]=1,Y425=0),200000000000000000000,IFERROR(_xlfn.T.INV.2T(1 -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0.35342988550342119</v>
      </c>
      <c r="R425" s="5" cm="1">
        <f t="array" ref="R425">MIN(IF((DiscreteStatsTable[GroupByKey]=DiscreteStatsTable[[#This Row],[GroupByKey]]),(DiscreteStatsTable[GroupByKey]=DiscreteStatsTable[[#This Row],[GroupByKey]])*DiscreteStatsTable[Average]))</f>
        <v>0.19405440212973199</v>
      </c>
      <c r="S425" s="5" cm="1">
        <f t="array" ref="S425">MAX(IF((DiscreteStatsTable[GroupByKey]=DiscreteStatsTable[[#This Row],[GroupByKey]]),(DiscreteStatsTable[GroupByKey]=DiscreteStatsTable[[#This Row],[GroupByKey]])*DiscreteStatsTable[Average]))</f>
        <v>3.4332474400478601</v>
      </c>
      <c r="T425" s="5" cm="1">
        <f t="array" ref="T425">MIN(IF((DiscreteStatsTable[GroupByKey]=DiscreteStatsTable[[#This Row],[GroupByKey]]),(DiscreteStatsTable[GroupByKey]=DiscreteStatsTable[[#This Row],[GroupByKey]])*DiscreteStatsTable[Minimum]))</f>
        <v>0</v>
      </c>
      <c r="U425" s="5" cm="1">
        <f t="array" ref="U425">MAX(IF((DiscreteStatsTable[GroupByKey]=DiscreteStatsTable[[#This Row],[GroupByKey]]),(DiscreteStatsTable[GroupByKey]=DiscreteStatsTable[[#This Row],[GroupByKey]])*DiscreteStatsTable[Maximum]))</f>
        <v>17.656360512085001</v>
      </c>
      <c r="V425" s="5" cm="1">
        <f t="array" ref="V425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25" s="5">
        <f>IF((DiscreteStatsTable[[#This Row],[RepsRequested]]&gt;1),DiscreteStatsTable[[#This Row],[HalfWidth]],DiscreteStatsTable[[#This Row],[BatchMeansHalfWidth]])</f>
        <v>0.35342988550342119</v>
      </c>
      <c r="X425" s="5" cm="1">
        <f t="array" ref="X425">COUNT(IF((DiscreteStatsTable[GroupByKey]=DiscreteStatsTable[[#This Row],[GroupByKey]]),(DiscreteStatsTable[GroupByKey]=DiscreteStatsTable[[#This Row],[GroupByKey]])*DiscreteStatsTable[Replication]))</f>
        <v>19</v>
      </c>
      <c r="Y425" s="5">
        <f>IF(DiscreteStatsTable[[#This Row],[RepsRequested]]=DiscreteStatsTable[[#This Row],[RepsWithStatObserved]],1,0)</f>
        <v>1</v>
      </c>
    </row>
    <row r="426" spans="1:25" x14ac:dyDescent="0.25">
      <c r="A426" t="s">
        <v>67</v>
      </c>
      <c r="B426" t="s">
        <v>69</v>
      </c>
      <c r="C426">
        <v>3</v>
      </c>
      <c r="D426" t="s">
        <v>103</v>
      </c>
      <c r="E426" t="s">
        <v>85</v>
      </c>
      <c r="F426" t="s">
        <v>86</v>
      </c>
      <c r="G426">
        <v>3.1796427954414201</v>
      </c>
      <c r="H426">
        <v>2E+20</v>
      </c>
      <c r="I426">
        <v>0.127458279755018</v>
      </c>
      <c r="J426">
        <v>11.2375167997972</v>
      </c>
      <c r="K426">
        <v>114</v>
      </c>
      <c r="L42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compartida)PreparacionTotal Time Per EntityProcess</v>
      </c>
      <c r="M426" s="5" cm="1">
        <f t="array" ref="M426">MAX(IF((ProjectInfoTable[ProjectName]=DiscreteStatsTable[[#This Row],[ProjectName]]),(ProjectInfoTable[ProjectName]=DiscreteStatsTable[[#This Row],[ProjectName]])*ProjectInfoTable[NumberOfReplications]))</f>
        <v>19</v>
      </c>
      <c r="N426" s="5" cm="1">
        <f t="array" ref="N426">IFERROR(AVERAGE(IF((DiscreteStatsTable[GroupByKey]=DiscreteStatsTable[[#This Row],[GroupByKey]]),(DiscreteStatsTable[GroupByKey]=DiscreteStatsTable[[#This Row],[GroupByKey]])*DiscreteStatsTable[Average])),0)</f>
        <v>2.1273994880359743</v>
      </c>
      <c r="O426" s="5" cm="1">
        <f t="array" ref="O426">IFERROR(_xlfn.STDEV.S(IF((DiscreteStatsTable[GroupByKey]=DiscreteStatsTable[[#This Row],[GroupByKey]]),(DiscreteStatsTable[GroupByKey]=DiscreteStatsTable[[#This Row],[GroupByKey]])*DiscreteStatsTable[Average])),0)</f>
        <v>0.78312872053361837</v>
      </c>
      <c r="P426" s="5" cm="1">
        <f t="array" ref="P426">MAX(IF((ProjectInfoTable[ProjectName]=DiscreteStatsTable[[#This Row],[ProjectName]]),(ProjectInfoTable[ProjectName]=DiscreteStatsTable[[#This Row],[ProjectName]])*ProjectInfoTable[ConfidenceInterval]))</f>
        <v>0.95</v>
      </c>
      <c r="Q426" s="5">
        <f>IF(AND(DiscreteStatsTable[[#This Row],[RepsWithStatObserved]]=1,Y426=0),200000000000000000000,IFERROR(_xlfn.T.INV.2T(1 -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0.37745596092631467</v>
      </c>
      <c r="R426" s="5" cm="1">
        <f t="array" ref="R426">MIN(IF((DiscreteStatsTable[GroupByKey]=DiscreteStatsTable[[#This Row],[GroupByKey]]),(DiscreteStatsTable[GroupByKey]=DiscreteStatsTable[[#This Row],[GroupByKey]])*DiscreteStatsTable[Average]))</f>
        <v>1.4498913227505501</v>
      </c>
      <c r="S426" s="5" cm="1">
        <f t="array" ref="S426">MAX(IF((DiscreteStatsTable[GroupByKey]=DiscreteStatsTable[[#This Row],[GroupByKey]]),(DiscreteStatsTable[GroupByKey]=DiscreteStatsTable[[#This Row],[GroupByKey]])*DiscreteStatsTable[Average]))</f>
        <v>4.8344956063072599</v>
      </c>
      <c r="T426" s="5" cm="1">
        <f t="array" ref="T426">MIN(IF((DiscreteStatsTable[GroupByKey]=DiscreteStatsTable[[#This Row],[GroupByKey]]),(DiscreteStatsTable[GroupByKey]=DiscreteStatsTable[[#This Row],[GroupByKey]])*DiscreteStatsTable[Minimum]))</f>
        <v>0</v>
      </c>
      <c r="U426" s="5" cm="1">
        <f t="array" ref="U426">MAX(IF((DiscreteStatsTable[GroupByKey]=DiscreteStatsTable[[#This Row],[GroupByKey]]),(DiscreteStatsTable[GroupByKey]=DiscreteStatsTable[[#This Row],[GroupByKey]])*DiscreteStatsTable[Maximum]))</f>
        <v>23.229576157810602</v>
      </c>
      <c r="V426" s="5" cm="1">
        <f t="array" ref="V426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26" s="5">
        <f>IF((DiscreteStatsTable[[#This Row],[RepsRequested]]&gt;1),DiscreteStatsTable[[#This Row],[HalfWidth]],DiscreteStatsTable[[#This Row],[BatchMeansHalfWidth]])</f>
        <v>0.37745596092631467</v>
      </c>
      <c r="X426" s="5" cm="1">
        <f t="array" ref="X426">COUNT(IF((DiscreteStatsTable[GroupByKey]=DiscreteStatsTable[[#This Row],[GroupByKey]]),(DiscreteStatsTable[GroupByKey]=DiscreteStatsTable[[#This Row],[GroupByKey]])*DiscreteStatsTable[Replication]))</f>
        <v>19</v>
      </c>
      <c r="Y426" s="5">
        <f>IF(DiscreteStatsTable[[#This Row],[RepsRequested]]=DiscreteStatsTable[[#This Row],[RepsWithStatObserved]],1,0)</f>
        <v>1</v>
      </c>
    </row>
    <row r="427" spans="1:25" x14ac:dyDescent="0.25">
      <c r="A427" t="s">
        <v>67</v>
      </c>
      <c r="B427" t="s">
        <v>69</v>
      </c>
      <c r="C427">
        <v>3</v>
      </c>
      <c r="D427" t="s">
        <v>103</v>
      </c>
      <c r="E427" t="s">
        <v>87</v>
      </c>
      <c r="F427" t="s">
        <v>86</v>
      </c>
      <c r="G427">
        <v>1.6955771318027499</v>
      </c>
      <c r="H427">
        <v>2E+20</v>
      </c>
      <c r="I427">
        <v>7.2997086184301493E-2</v>
      </c>
      <c r="J427">
        <v>8.5067359411387091</v>
      </c>
      <c r="K427">
        <v>114</v>
      </c>
      <c r="L42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compartida)PreparacionVA Time Per EntityProcess</v>
      </c>
      <c r="M427" s="5" cm="1">
        <f t="array" ref="M427">MAX(IF((ProjectInfoTable[ProjectName]=DiscreteStatsTable[[#This Row],[ProjectName]]),(ProjectInfoTable[ProjectName]=DiscreteStatsTable[[#This Row],[ProjectName]])*ProjectInfoTable[NumberOfReplications]))</f>
        <v>19</v>
      </c>
      <c r="N427" s="5" cm="1">
        <f t="array" ref="N427">IFERROR(AVERAGE(IF((DiscreteStatsTable[GroupByKey]=DiscreteStatsTable[[#This Row],[GroupByKey]]),(DiscreteStatsTable[GroupByKey]=DiscreteStatsTable[[#This Row],[GroupByKey]])*DiscreteStatsTable[Average])),0)</f>
        <v>1.427042764340821</v>
      </c>
      <c r="O427" s="5" cm="1">
        <f t="array" ref="O427">IFERROR(_xlfn.STDEV.S(IF((DiscreteStatsTable[GroupByKey]=DiscreteStatsTable[[#This Row],[GroupByKey]]),(DiscreteStatsTable[GroupByKey]=DiscreteStatsTable[[#This Row],[GroupByKey]])*DiscreteStatsTable[Average])),0)</f>
        <v>0.15210233149440669</v>
      </c>
      <c r="P427" s="5" cm="1">
        <f t="array" ref="P427">MAX(IF((ProjectInfoTable[ProjectName]=DiscreteStatsTable[[#This Row],[ProjectName]]),(ProjectInfoTable[ProjectName]=DiscreteStatsTable[[#This Row],[ProjectName]])*ProjectInfoTable[ConfidenceInterval]))</f>
        <v>0.95</v>
      </c>
      <c r="Q427" s="5">
        <f>IF(AND(DiscreteStatsTable[[#This Row],[RepsWithStatObserved]]=1,Y427=0),200000000000000000000,IFERROR(_xlfn.T.INV.2T(1 -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7.3310977094843424E-2</v>
      </c>
      <c r="R427" s="5" cm="1">
        <f t="array" ref="R427">MIN(IF((DiscreteStatsTable[GroupByKey]=DiscreteStatsTable[[#This Row],[GroupByKey]]),(DiscreteStatsTable[GroupByKey]=DiscreteStatsTable[[#This Row],[GroupByKey]])*DiscreteStatsTable[Average]))</f>
        <v>1.1889341151258599</v>
      </c>
      <c r="S427" s="5" cm="1">
        <f t="array" ref="S427">MAX(IF((DiscreteStatsTable[GroupByKey]=DiscreteStatsTable[[#This Row],[GroupByKey]]),(DiscreteStatsTable[GroupByKey]=DiscreteStatsTable[[#This Row],[GroupByKey]])*DiscreteStatsTable[Average]))</f>
        <v>1.71891901774247</v>
      </c>
      <c r="T427" s="5" cm="1">
        <f t="array" ref="T427">MIN(IF((DiscreteStatsTable[GroupByKey]=DiscreteStatsTable[[#This Row],[GroupByKey]]),(DiscreteStatsTable[GroupByKey]=DiscreteStatsTable[[#This Row],[GroupByKey]])*DiscreteStatsTable[Minimum]))</f>
        <v>0</v>
      </c>
      <c r="U427" s="5" cm="1">
        <f t="array" ref="U427">MAX(IF((DiscreteStatsTable[GroupByKey]=DiscreteStatsTable[[#This Row],[GroupByKey]]),(DiscreteStatsTable[GroupByKey]=DiscreteStatsTable[[#This Row],[GroupByKey]])*DiscreteStatsTable[Maximum]))</f>
        <v>13.3285940274107</v>
      </c>
      <c r="V427" s="5" cm="1">
        <f t="array" ref="V427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27" s="5">
        <f>IF((DiscreteStatsTable[[#This Row],[RepsRequested]]&gt;1),DiscreteStatsTable[[#This Row],[HalfWidth]],DiscreteStatsTable[[#This Row],[BatchMeansHalfWidth]])</f>
        <v>7.3310977094843424E-2</v>
      </c>
      <c r="X427" s="5" cm="1">
        <f t="array" ref="X427">COUNT(IF((DiscreteStatsTable[GroupByKey]=DiscreteStatsTable[[#This Row],[GroupByKey]]),(DiscreteStatsTable[GroupByKey]=DiscreteStatsTable[[#This Row],[GroupByKey]])*DiscreteStatsTable[Replication]))</f>
        <v>19</v>
      </c>
      <c r="Y427" s="5">
        <f>IF(DiscreteStatsTable[[#This Row],[RepsRequested]]=DiscreteStatsTable[[#This Row],[RepsWithStatObserved]],1,0)</f>
        <v>1</v>
      </c>
    </row>
    <row r="428" spans="1:25" x14ac:dyDescent="0.25">
      <c r="A428" t="s">
        <v>67</v>
      </c>
      <c r="B428" t="s">
        <v>69</v>
      </c>
      <c r="C428">
        <v>3</v>
      </c>
      <c r="D428" t="s">
        <v>103</v>
      </c>
      <c r="E428" t="s">
        <v>88</v>
      </c>
      <c r="F428" t="s">
        <v>86</v>
      </c>
      <c r="G428">
        <v>1.48406566363867</v>
      </c>
      <c r="H428">
        <v>2E+20</v>
      </c>
      <c r="I428">
        <v>0</v>
      </c>
      <c r="J428">
        <v>7.6520649287739797</v>
      </c>
      <c r="K428">
        <v>114</v>
      </c>
      <c r="L42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compartida)PreparacionWait Time Per EntityProcess</v>
      </c>
      <c r="M428" s="5" cm="1">
        <f t="array" ref="M428">MAX(IF((ProjectInfoTable[ProjectName]=DiscreteStatsTable[[#This Row],[ProjectName]]),(ProjectInfoTable[ProjectName]=DiscreteStatsTable[[#This Row],[ProjectName]])*ProjectInfoTable[NumberOfReplications]))</f>
        <v>19</v>
      </c>
      <c r="N428" s="5" cm="1">
        <f t="array" ref="N428">IFERROR(AVERAGE(IF((DiscreteStatsTable[GroupByKey]=DiscreteStatsTable[[#This Row],[GroupByKey]]),(DiscreteStatsTable[GroupByKey]=DiscreteStatsTable[[#This Row],[GroupByKey]])*DiscreteStatsTable[Average])),0)</f>
        <v>0.70035672369515334</v>
      </c>
      <c r="O428" s="5" cm="1">
        <f t="array" ref="O428">IFERROR(_xlfn.STDEV.S(IF((DiscreteStatsTable[GroupByKey]=DiscreteStatsTable[[#This Row],[GroupByKey]]),(DiscreteStatsTable[GroupByKey]=DiscreteStatsTable[[#This Row],[GroupByKey]])*DiscreteStatsTable[Average])),0)</f>
        <v>0.73328049543419305</v>
      </c>
      <c r="P428" s="5" cm="1">
        <f t="array" ref="P428">MAX(IF((ProjectInfoTable[ProjectName]=DiscreteStatsTable[[#This Row],[ProjectName]]),(ProjectInfoTable[ProjectName]=DiscreteStatsTable[[#This Row],[ProjectName]])*ProjectInfoTable[ConfidenceInterval]))</f>
        <v>0.95</v>
      </c>
      <c r="Q428" s="5">
        <f>IF(AND(DiscreteStatsTable[[#This Row],[RepsWithStatObserved]]=1,Y428=0),200000000000000000000,IFERROR(_xlfn.T.INV.2T(1 -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0.35342988550342119</v>
      </c>
      <c r="R428" s="5" cm="1">
        <f t="array" ref="R428">MIN(IF((DiscreteStatsTable[GroupByKey]=DiscreteStatsTable[[#This Row],[GroupByKey]]),(DiscreteStatsTable[GroupByKey]=DiscreteStatsTable[[#This Row],[GroupByKey]])*DiscreteStatsTable[Average]))</f>
        <v>0.19405440212973199</v>
      </c>
      <c r="S428" s="5" cm="1">
        <f t="array" ref="S428">MAX(IF((DiscreteStatsTable[GroupByKey]=DiscreteStatsTable[[#This Row],[GroupByKey]]),(DiscreteStatsTable[GroupByKey]=DiscreteStatsTable[[#This Row],[GroupByKey]])*DiscreteStatsTable[Average]))</f>
        <v>3.4332474400478601</v>
      </c>
      <c r="T428" s="5" cm="1">
        <f t="array" ref="T428">MIN(IF((DiscreteStatsTable[GroupByKey]=DiscreteStatsTable[[#This Row],[GroupByKey]]),(DiscreteStatsTable[GroupByKey]=DiscreteStatsTable[[#This Row],[GroupByKey]])*DiscreteStatsTable[Minimum]))</f>
        <v>0</v>
      </c>
      <c r="U428" s="5" cm="1">
        <f t="array" ref="U428">MAX(IF((DiscreteStatsTable[GroupByKey]=DiscreteStatsTable[[#This Row],[GroupByKey]]),(DiscreteStatsTable[GroupByKey]=DiscreteStatsTable[[#This Row],[GroupByKey]])*DiscreteStatsTable[Maximum]))</f>
        <v>17.656360512085001</v>
      </c>
      <c r="V428" s="5" cm="1">
        <f t="array" ref="V428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28" s="5">
        <f>IF((DiscreteStatsTable[[#This Row],[RepsRequested]]&gt;1),DiscreteStatsTable[[#This Row],[HalfWidth]],DiscreteStatsTable[[#This Row],[BatchMeansHalfWidth]])</f>
        <v>0.35342988550342119</v>
      </c>
      <c r="X428" s="5" cm="1">
        <f t="array" ref="X428">COUNT(IF((DiscreteStatsTable[GroupByKey]=DiscreteStatsTable[[#This Row],[GroupByKey]]),(DiscreteStatsTable[GroupByKey]=DiscreteStatsTable[[#This Row],[GroupByKey]])*DiscreteStatsTable[Replication]))</f>
        <v>19</v>
      </c>
      <c r="Y428" s="5">
        <f>IF(DiscreteStatsTable[[#This Row],[RepsRequested]]=DiscreteStatsTable[[#This Row],[RepsWithStatObserved]],1,0)</f>
        <v>1</v>
      </c>
    </row>
    <row r="429" spans="1:25" x14ac:dyDescent="0.25">
      <c r="A429" t="s">
        <v>67</v>
      </c>
      <c r="B429" t="s">
        <v>69</v>
      </c>
      <c r="C429">
        <v>4</v>
      </c>
      <c r="D429" t="s">
        <v>103</v>
      </c>
      <c r="E429" t="s">
        <v>85</v>
      </c>
      <c r="F429" t="s">
        <v>86</v>
      </c>
      <c r="G429">
        <v>1.7253485747863699</v>
      </c>
      <c r="H429">
        <v>2E+20</v>
      </c>
      <c r="I429">
        <v>5.80931384492374E-2</v>
      </c>
      <c r="J429">
        <v>6.8507512540622599</v>
      </c>
      <c r="K429">
        <v>117</v>
      </c>
      <c r="L42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compartida)PreparacionTotal Time Per EntityProcess</v>
      </c>
      <c r="M429" s="5" cm="1">
        <f t="array" ref="M429">MAX(IF((ProjectInfoTable[ProjectName]=DiscreteStatsTable[[#This Row],[ProjectName]]),(ProjectInfoTable[ProjectName]=DiscreteStatsTable[[#This Row],[ProjectName]])*ProjectInfoTable[NumberOfReplications]))</f>
        <v>19</v>
      </c>
      <c r="N429" s="5" cm="1">
        <f t="array" ref="N429">IFERROR(AVERAGE(IF((DiscreteStatsTable[GroupByKey]=DiscreteStatsTable[[#This Row],[GroupByKey]]),(DiscreteStatsTable[GroupByKey]=DiscreteStatsTable[[#This Row],[GroupByKey]])*DiscreteStatsTable[Average])),0)</f>
        <v>2.1273994880359743</v>
      </c>
      <c r="O429" s="5" cm="1">
        <f t="array" ref="O429">IFERROR(_xlfn.STDEV.S(IF((DiscreteStatsTable[GroupByKey]=DiscreteStatsTable[[#This Row],[GroupByKey]]),(DiscreteStatsTable[GroupByKey]=DiscreteStatsTable[[#This Row],[GroupByKey]])*DiscreteStatsTable[Average])),0)</f>
        <v>0.78312872053361837</v>
      </c>
      <c r="P429" s="5" cm="1">
        <f t="array" ref="P429">MAX(IF((ProjectInfoTable[ProjectName]=DiscreteStatsTable[[#This Row],[ProjectName]]),(ProjectInfoTable[ProjectName]=DiscreteStatsTable[[#This Row],[ProjectName]])*ProjectInfoTable[ConfidenceInterval]))</f>
        <v>0.95</v>
      </c>
      <c r="Q429" s="5">
        <f>IF(AND(DiscreteStatsTable[[#This Row],[RepsWithStatObserved]]=1,Y429=0),200000000000000000000,IFERROR(_xlfn.T.INV.2T(1 -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0.37745596092631467</v>
      </c>
      <c r="R429" s="5" cm="1">
        <f t="array" ref="R429">MIN(IF((DiscreteStatsTable[GroupByKey]=DiscreteStatsTable[[#This Row],[GroupByKey]]),(DiscreteStatsTable[GroupByKey]=DiscreteStatsTable[[#This Row],[GroupByKey]])*DiscreteStatsTable[Average]))</f>
        <v>1.4498913227505501</v>
      </c>
      <c r="S429" s="5" cm="1">
        <f t="array" ref="S429">MAX(IF((DiscreteStatsTable[GroupByKey]=DiscreteStatsTable[[#This Row],[GroupByKey]]),(DiscreteStatsTable[GroupByKey]=DiscreteStatsTable[[#This Row],[GroupByKey]])*DiscreteStatsTable[Average]))</f>
        <v>4.8344956063072599</v>
      </c>
      <c r="T429" s="5" cm="1">
        <f t="array" ref="T429">MIN(IF((DiscreteStatsTable[GroupByKey]=DiscreteStatsTable[[#This Row],[GroupByKey]]),(DiscreteStatsTable[GroupByKey]=DiscreteStatsTable[[#This Row],[GroupByKey]])*DiscreteStatsTable[Minimum]))</f>
        <v>0</v>
      </c>
      <c r="U429" s="5" cm="1">
        <f t="array" ref="U429">MAX(IF((DiscreteStatsTable[GroupByKey]=DiscreteStatsTable[[#This Row],[GroupByKey]]),(DiscreteStatsTable[GroupByKey]=DiscreteStatsTable[[#This Row],[GroupByKey]])*DiscreteStatsTable[Maximum]))</f>
        <v>23.229576157810602</v>
      </c>
      <c r="V429" s="5" cm="1">
        <f t="array" ref="V429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29" s="5">
        <f>IF((DiscreteStatsTable[[#This Row],[RepsRequested]]&gt;1),DiscreteStatsTable[[#This Row],[HalfWidth]],DiscreteStatsTable[[#This Row],[BatchMeansHalfWidth]])</f>
        <v>0.37745596092631467</v>
      </c>
      <c r="X429" s="5" cm="1">
        <f t="array" ref="X429">COUNT(IF((DiscreteStatsTable[GroupByKey]=DiscreteStatsTable[[#This Row],[GroupByKey]]),(DiscreteStatsTable[GroupByKey]=DiscreteStatsTable[[#This Row],[GroupByKey]])*DiscreteStatsTable[Replication]))</f>
        <v>19</v>
      </c>
      <c r="Y429" s="5">
        <f>IF(DiscreteStatsTable[[#This Row],[RepsRequested]]=DiscreteStatsTable[[#This Row],[RepsWithStatObserved]],1,0)</f>
        <v>1</v>
      </c>
    </row>
    <row r="430" spans="1:25" x14ac:dyDescent="0.25">
      <c r="A430" t="s">
        <v>67</v>
      </c>
      <c r="B430" t="s">
        <v>69</v>
      </c>
      <c r="C430">
        <v>4</v>
      </c>
      <c r="D430" t="s">
        <v>103</v>
      </c>
      <c r="E430" t="s">
        <v>87</v>
      </c>
      <c r="F430" t="s">
        <v>86</v>
      </c>
      <c r="G430">
        <v>1.5194422637195</v>
      </c>
      <c r="H430">
        <v>2E+20</v>
      </c>
      <c r="I430">
        <v>5.80931384492374E-2</v>
      </c>
      <c r="J430">
        <v>6.8507512540622599</v>
      </c>
      <c r="K430">
        <v>117</v>
      </c>
      <c r="L43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compartida)PreparacionVA Time Per EntityProcess</v>
      </c>
      <c r="M430" s="5" cm="1">
        <f t="array" ref="M430">MAX(IF((ProjectInfoTable[ProjectName]=DiscreteStatsTable[[#This Row],[ProjectName]]),(ProjectInfoTable[ProjectName]=DiscreteStatsTable[[#This Row],[ProjectName]])*ProjectInfoTable[NumberOfReplications]))</f>
        <v>19</v>
      </c>
      <c r="N430" s="5" cm="1">
        <f t="array" ref="N430">IFERROR(AVERAGE(IF((DiscreteStatsTable[GroupByKey]=DiscreteStatsTable[[#This Row],[GroupByKey]]),(DiscreteStatsTable[GroupByKey]=DiscreteStatsTable[[#This Row],[GroupByKey]])*DiscreteStatsTable[Average])),0)</f>
        <v>1.427042764340821</v>
      </c>
      <c r="O430" s="5" cm="1">
        <f t="array" ref="O430">IFERROR(_xlfn.STDEV.S(IF((DiscreteStatsTable[GroupByKey]=DiscreteStatsTable[[#This Row],[GroupByKey]]),(DiscreteStatsTable[GroupByKey]=DiscreteStatsTable[[#This Row],[GroupByKey]])*DiscreteStatsTable[Average])),0)</f>
        <v>0.15210233149440669</v>
      </c>
      <c r="P430" s="5" cm="1">
        <f t="array" ref="P430">MAX(IF((ProjectInfoTable[ProjectName]=DiscreteStatsTable[[#This Row],[ProjectName]]),(ProjectInfoTable[ProjectName]=DiscreteStatsTable[[#This Row],[ProjectName]])*ProjectInfoTable[ConfidenceInterval]))</f>
        <v>0.95</v>
      </c>
      <c r="Q430" s="5">
        <f>IF(AND(DiscreteStatsTable[[#This Row],[RepsWithStatObserved]]=1,Y430=0),200000000000000000000,IFERROR(_xlfn.T.INV.2T(1 -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7.3310977094843424E-2</v>
      </c>
      <c r="R430" s="5" cm="1">
        <f t="array" ref="R430">MIN(IF((DiscreteStatsTable[GroupByKey]=DiscreteStatsTable[[#This Row],[GroupByKey]]),(DiscreteStatsTable[GroupByKey]=DiscreteStatsTable[[#This Row],[GroupByKey]])*DiscreteStatsTable[Average]))</f>
        <v>1.1889341151258599</v>
      </c>
      <c r="S430" s="5" cm="1">
        <f t="array" ref="S430">MAX(IF((DiscreteStatsTable[GroupByKey]=DiscreteStatsTable[[#This Row],[GroupByKey]]),(DiscreteStatsTable[GroupByKey]=DiscreteStatsTable[[#This Row],[GroupByKey]])*DiscreteStatsTable[Average]))</f>
        <v>1.71891901774247</v>
      </c>
      <c r="T430" s="5" cm="1">
        <f t="array" ref="T430">MIN(IF((DiscreteStatsTable[GroupByKey]=DiscreteStatsTable[[#This Row],[GroupByKey]]),(DiscreteStatsTable[GroupByKey]=DiscreteStatsTable[[#This Row],[GroupByKey]])*DiscreteStatsTable[Minimum]))</f>
        <v>0</v>
      </c>
      <c r="U430" s="5" cm="1">
        <f t="array" ref="U430">MAX(IF((DiscreteStatsTable[GroupByKey]=DiscreteStatsTable[[#This Row],[GroupByKey]]),(DiscreteStatsTable[GroupByKey]=DiscreteStatsTable[[#This Row],[GroupByKey]])*DiscreteStatsTable[Maximum]))</f>
        <v>13.3285940274107</v>
      </c>
      <c r="V430" s="5" cm="1">
        <f t="array" ref="V430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30" s="5">
        <f>IF((DiscreteStatsTable[[#This Row],[RepsRequested]]&gt;1),DiscreteStatsTable[[#This Row],[HalfWidth]],DiscreteStatsTable[[#This Row],[BatchMeansHalfWidth]])</f>
        <v>7.3310977094843424E-2</v>
      </c>
      <c r="X430" s="5" cm="1">
        <f t="array" ref="X430">COUNT(IF((DiscreteStatsTable[GroupByKey]=DiscreteStatsTable[[#This Row],[GroupByKey]]),(DiscreteStatsTable[GroupByKey]=DiscreteStatsTable[[#This Row],[GroupByKey]])*DiscreteStatsTable[Replication]))</f>
        <v>19</v>
      </c>
      <c r="Y430" s="5">
        <f>IF(DiscreteStatsTable[[#This Row],[RepsRequested]]=DiscreteStatsTable[[#This Row],[RepsWithStatObserved]],1,0)</f>
        <v>1</v>
      </c>
    </row>
    <row r="431" spans="1:25" x14ac:dyDescent="0.25">
      <c r="A431" t="s">
        <v>67</v>
      </c>
      <c r="B431" t="s">
        <v>69</v>
      </c>
      <c r="C431">
        <v>4</v>
      </c>
      <c r="D431" t="s">
        <v>103</v>
      </c>
      <c r="E431" t="s">
        <v>88</v>
      </c>
      <c r="F431" t="s">
        <v>86</v>
      </c>
      <c r="G431">
        <v>0.20590631106687199</v>
      </c>
      <c r="H431">
        <v>2E+20</v>
      </c>
      <c r="I431">
        <v>0</v>
      </c>
      <c r="J431">
        <v>3.0568609460551799</v>
      </c>
      <c r="K431">
        <v>117</v>
      </c>
      <c r="L43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compartida)PreparacionWait Time Per EntityProcess</v>
      </c>
      <c r="M431" s="5" cm="1">
        <f t="array" ref="M431">MAX(IF((ProjectInfoTable[ProjectName]=DiscreteStatsTable[[#This Row],[ProjectName]]),(ProjectInfoTable[ProjectName]=DiscreteStatsTable[[#This Row],[ProjectName]])*ProjectInfoTable[NumberOfReplications]))</f>
        <v>19</v>
      </c>
      <c r="N431" s="5" cm="1">
        <f t="array" ref="N431">IFERROR(AVERAGE(IF((DiscreteStatsTable[GroupByKey]=DiscreteStatsTable[[#This Row],[GroupByKey]]),(DiscreteStatsTable[GroupByKey]=DiscreteStatsTable[[#This Row],[GroupByKey]])*DiscreteStatsTable[Average])),0)</f>
        <v>0.70035672369515334</v>
      </c>
      <c r="O431" s="5" cm="1">
        <f t="array" ref="O431">IFERROR(_xlfn.STDEV.S(IF((DiscreteStatsTable[GroupByKey]=DiscreteStatsTable[[#This Row],[GroupByKey]]),(DiscreteStatsTable[GroupByKey]=DiscreteStatsTable[[#This Row],[GroupByKey]])*DiscreteStatsTable[Average])),0)</f>
        <v>0.73328049543419305</v>
      </c>
      <c r="P431" s="5" cm="1">
        <f t="array" ref="P431">MAX(IF((ProjectInfoTable[ProjectName]=DiscreteStatsTable[[#This Row],[ProjectName]]),(ProjectInfoTable[ProjectName]=DiscreteStatsTable[[#This Row],[ProjectName]])*ProjectInfoTable[ConfidenceInterval]))</f>
        <v>0.95</v>
      </c>
      <c r="Q431" s="5">
        <f>IF(AND(DiscreteStatsTable[[#This Row],[RepsWithStatObserved]]=1,Y431=0),200000000000000000000,IFERROR(_xlfn.T.INV.2T(1 -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0.35342988550342119</v>
      </c>
      <c r="R431" s="5" cm="1">
        <f t="array" ref="R431">MIN(IF((DiscreteStatsTable[GroupByKey]=DiscreteStatsTable[[#This Row],[GroupByKey]]),(DiscreteStatsTable[GroupByKey]=DiscreteStatsTable[[#This Row],[GroupByKey]])*DiscreteStatsTable[Average]))</f>
        <v>0.19405440212973199</v>
      </c>
      <c r="S431" s="5" cm="1">
        <f t="array" ref="S431">MAX(IF((DiscreteStatsTable[GroupByKey]=DiscreteStatsTable[[#This Row],[GroupByKey]]),(DiscreteStatsTable[GroupByKey]=DiscreteStatsTable[[#This Row],[GroupByKey]])*DiscreteStatsTable[Average]))</f>
        <v>3.4332474400478601</v>
      </c>
      <c r="T431" s="5" cm="1">
        <f t="array" ref="T431">MIN(IF((DiscreteStatsTable[GroupByKey]=DiscreteStatsTable[[#This Row],[GroupByKey]]),(DiscreteStatsTable[GroupByKey]=DiscreteStatsTable[[#This Row],[GroupByKey]])*DiscreteStatsTable[Minimum]))</f>
        <v>0</v>
      </c>
      <c r="U431" s="5" cm="1">
        <f t="array" ref="U431">MAX(IF((DiscreteStatsTable[GroupByKey]=DiscreteStatsTable[[#This Row],[GroupByKey]]),(DiscreteStatsTable[GroupByKey]=DiscreteStatsTable[[#This Row],[GroupByKey]])*DiscreteStatsTable[Maximum]))</f>
        <v>17.656360512085001</v>
      </c>
      <c r="V431" s="5" cm="1">
        <f t="array" ref="V431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31" s="5">
        <f>IF((DiscreteStatsTable[[#This Row],[RepsRequested]]&gt;1),DiscreteStatsTable[[#This Row],[HalfWidth]],DiscreteStatsTable[[#This Row],[BatchMeansHalfWidth]])</f>
        <v>0.35342988550342119</v>
      </c>
      <c r="X431" s="5" cm="1">
        <f t="array" ref="X431">COUNT(IF((DiscreteStatsTable[GroupByKey]=DiscreteStatsTable[[#This Row],[GroupByKey]]),(DiscreteStatsTable[GroupByKey]=DiscreteStatsTable[[#This Row],[GroupByKey]])*DiscreteStatsTable[Replication]))</f>
        <v>19</v>
      </c>
      <c r="Y431" s="5">
        <f>IF(DiscreteStatsTable[[#This Row],[RepsRequested]]=DiscreteStatsTable[[#This Row],[RepsWithStatObserved]],1,0)</f>
        <v>1</v>
      </c>
    </row>
    <row r="432" spans="1:25" x14ac:dyDescent="0.25">
      <c r="A432" t="s">
        <v>67</v>
      </c>
      <c r="B432" t="s">
        <v>69</v>
      </c>
      <c r="C432">
        <v>5</v>
      </c>
      <c r="D432" t="s">
        <v>103</v>
      </c>
      <c r="E432" t="s">
        <v>85</v>
      </c>
      <c r="F432" t="s">
        <v>86</v>
      </c>
      <c r="G432">
        <v>1.48358060575261</v>
      </c>
      <c r="H432">
        <v>2E+20</v>
      </c>
      <c r="I432">
        <v>0</v>
      </c>
      <c r="J432">
        <v>6.2610169990708799</v>
      </c>
      <c r="K432">
        <v>131</v>
      </c>
      <c r="L43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compartida)PreparacionTotal Time Per EntityProcess</v>
      </c>
      <c r="M432" s="5" cm="1">
        <f t="array" ref="M432">MAX(IF((ProjectInfoTable[ProjectName]=DiscreteStatsTable[[#This Row],[ProjectName]]),(ProjectInfoTable[ProjectName]=DiscreteStatsTable[[#This Row],[ProjectName]])*ProjectInfoTable[NumberOfReplications]))</f>
        <v>19</v>
      </c>
      <c r="N432" s="5" cm="1">
        <f t="array" ref="N432">IFERROR(AVERAGE(IF((DiscreteStatsTable[GroupByKey]=DiscreteStatsTable[[#This Row],[GroupByKey]]),(DiscreteStatsTable[GroupByKey]=DiscreteStatsTable[[#This Row],[GroupByKey]])*DiscreteStatsTable[Average])),0)</f>
        <v>2.1273994880359743</v>
      </c>
      <c r="O432" s="5" cm="1">
        <f t="array" ref="O432">IFERROR(_xlfn.STDEV.S(IF((DiscreteStatsTable[GroupByKey]=DiscreteStatsTable[[#This Row],[GroupByKey]]),(DiscreteStatsTable[GroupByKey]=DiscreteStatsTable[[#This Row],[GroupByKey]])*DiscreteStatsTable[Average])),0)</f>
        <v>0.78312872053361837</v>
      </c>
      <c r="P432" s="5" cm="1">
        <f t="array" ref="P432">MAX(IF((ProjectInfoTable[ProjectName]=DiscreteStatsTable[[#This Row],[ProjectName]]),(ProjectInfoTable[ProjectName]=DiscreteStatsTable[[#This Row],[ProjectName]])*ProjectInfoTable[ConfidenceInterval]))</f>
        <v>0.95</v>
      </c>
      <c r="Q432" s="5">
        <f>IF(AND(DiscreteStatsTable[[#This Row],[RepsWithStatObserved]]=1,Y432=0),200000000000000000000,IFERROR(_xlfn.T.INV.2T(1 -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0.37745596092631467</v>
      </c>
      <c r="R432" s="5" cm="1">
        <f t="array" ref="R432">MIN(IF((DiscreteStatsTable[GroupByKey]=DiscreteStatsTable[[#This Row],[GroupByKey]]),(DiscreteStatsTable[GroupByKey]=DiscreteStatsTable[[#This Row],[GroupByKey]])*DiscreteStatsTable[Average]))</f>
        <v>1.4498913227505501</v>
      </c>
      <c r="S432" s="5" cm="1">
        <f t="array" ref="S432">MAX(IF((DiscreteStatsTable[GroupByKey]=DiscreteStatsTable[[#This Row],[GroupByKey]]),(DiscreteStatsTable[GroupByKey]=DiscreteStatsTable[[#This Row],[GroupByKey]])*DiscreteStatsTable[Average]))</f>
        <v>4.8344956063072599</v>
      </c>
      <c r="T432" s="5" cm="1">
        <f t="array" ref="T432">MIN(IF((DiscreteStatsTable[GroupByKey]=DiscreteStatsTable[[#This Row],[GroupByKey]]),(DiscreteStatsTable[GroupByKey]=DiscreteStatsTable[[#This Row],[GroupByKey]])*DiscreteStatsTable[Minimum]))</f>
        <v>0</v>
      </c>
      <c r="U432" s="5" cm="1">
        <f t="array" ref="U432">MAX(IF((DiscreteStatsTable[GroupByKey]=DiscreteStatsTable[[#This Row],[GroupByKey]]),(DiscreteStatsTable[GroupByKey]=DiscreteStatsTable[[#This Row],[GroupByKey]])*DiscreteStatsTable[Maximum]))</f>
        <v>23.229576157810602</v>
      </c>
      <c r="V432" s="5" cm="1">
        <f t="array" ref="V432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32" s="5">
        <f>IF((DiscreteStatsTable[[#This Row],[RepsRequested]]&gt;1),DiscreteStatsTable[[#This Row],[HalfWidth]],DiscreteStatsTable[[#This Row],[BatchMeansHalfWidth]])</f>
        <v>0.37745596092631467</v>
      </c>
      <c r="X432" s="5" cm="1">
        <f t="array" ref="X432">COUNT(IF((DiscreteStatsTable[GroupByKey]=DiscreteStatsTable[[#This Row],[GroupByKey]]),(DiscreteStatsTable[GroupByKey]=DiscreteStatsTable[[#This Row],[GroupByKey]])*DiscreteStatsTable[Replication]))</f>
        <v>19</v>
      </c>
      <c r="Y432" s="5">
        <f>IF(DiscreteStatsTable[[#This Row],[RepsRequested]]=DiscreteStatsTable[[#This Row],[RepsWithStatObserved]],1,0)</f>
        <v>1</v>
      </c>
    </row>
    <row r="433" spans="1:25" x14ac:dyDescent="0.25">
      <c r="A433" t="s">
        <v>67</v>
      </c>
      <c r="B433" t="s">
        <v>69</v>
      </c>
      <c r="C433">
        <v>5</v>
      </c>
      <c r="D433" t="s">
        <v>103</v>
      </c>
      <c r="E433" t="s">
        <v>87</v>
      </c>
      <c r="F433" t="s">
        <v>86</v>
      </c>
      <c r="G433">
        <v>1.1889341151258599</v>
      </c>
      <c r="H433">
        <v>2E+20</v>
      </c>
      <c r="I433">
        <v>0</v>
      </c>
      <c r="J433">
        <v>5.9841987260652401</v>
      </c>
      <c r="K433">
        <v>131</v>
      </c>
      <c r="L43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compartida)PreparacionVA Time Per EntityProcess</v>
      </c>
      <c r="M433" s="5" cm="1">
        <f t="array" ref="M433">MAX(IF((ProjectInfoTable[ProjectName]=DiscreteStatsTable[[#This Row],[ProjectName]]),(ProjectInfoTable[ProjectName]=DiscreteStatsTable[[#This Row],[ProjectName]])*ProjectInfoTable[NumberOfReplications]))</f>
        <v>19</v>
      </c>
      <c r="N433" s="5" cm="1">
        <f t="array" ref="N433">IFERROR(AVERAGE(IF((DiscreteStatsTable[GroupByKey]=DiscreteStatsTable[[#This Row],[GroupByKey]]),(DiscreteStatsTable[GroupByKey]=DiscreteStatsTable[[#This Row],[GroupByKey]])*DiscreteStatsTable[Average])),0)</f>
        <v>1.427042764340821</v>
      </c>
      <c r="O433" s="5" cm="1">
        <f t="array" ref="O433">IFERROR(_xlfn.STDEV.S(IF((DiscreteStatsTable[GroupByKey]=DiscreteStatsTable[[#This Row],[GroupByKey]]),(DiscreteStatsTable[GroupByKey]=DiscreteStatsTable[[#This Row],[GroupByKey]])*DiscreteStatsTable[Average])),0)</f>
        <v>0.15210233149440669</v>
      </c>
      <c r="P433" s="5" cm="1">
        <f t="array" ref="P433">MAX(IF((ProjectInfoTable[ProjectName]=DiscreteStatsTable[[#This Row],[ProjectName]]),(ProjectInfoTable[ProjectName]=DiscreteStatsTable[[#This Row],[ProjectName]])*ProjectInfoTable[ConfidenceInterval]))</f>
        <v>0.95</v>
      </c>
      <c r="Q433" s="5">
        <f>IF(AND(DiscreteStatsTable[[#This Row],[RepsWithStatObserved]]=1,Y433=0),200000000000000000000,IFERROR(_xlfn.T.INV.2T(1 -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7.3310977094843424E-2</v>
      </c>
      <c r="R433" s="5" cm="1">
        <f t="array" ref="R433">MIN(IF((DiscreteStatsTable[GroupByKey]=DiscreteStatsTable[[#This Row],[GroupByKey]]),(DiscreteStatsTable[GroupByKey]=DiscreteStatsTable[[#This Row],[GroupByKey]])*DiscreteStatsTable[Average]))</f>
        <v>1.1889341151258599</v>
      </c>
      <c r="S433" s="5" cm="1">
        <f t="array" ref="S433">MAX(IF((DiscreteStatsTable[GroupByKey]=DiscreteStatsTable[[#This Row],[GroupByKey]]),(DiscreteStatsTable[GroupByKey]=DiscreteStatsTable[[#This Row],[GroupByKey]])*DiscreteStatsTable[Average]))</f>
        <v>1.71891901774247</v>
      </c>
      <c r="T433" s="5" cm="1">
        <f t="array" ref="T433">MIN(IF((DiscreteStatsTable[GroupByKey]=DiscreteStatsTable[[#This Row],[GroupByKey]]),(DiscreteStatsTable[GroupByKey]=DiscreteStatsTable[[#This Row],[GroupByKey]])*DiscreteStatsTable[Minimum]))</f>
        <v>0</v>
      </c>
      <c r="U433" s="5" cm="1">
        <f t="array" ref="U433">MAX(IF((DiscreteStatsTable[GroupByKey]=DiscreteStatsTable[[#This Row],[GroupByKey]]),(DiscreteStatsTable[GroupByKey]=DiscreteStatsTable[[#This Row],[GroupByKey]])*DiscreteStatsTable[Maximum]))</f>
        <v>13.3285940274107</v>
      </c>
      <c r="V433" s="5" cm="1">
        <f t="array" ref="V433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33" s="5">
        <f>IF((DiscreteStatsTable[[#This Row],[RepsRequested]]&gt;1),DiscreteStatsTable[[#This Row],[HalfWidth]],DiscreteStatsTable[[#This Row],[BatchMeansHalfWidth]])</f>
        <v>7.3310977094843424E-2</v>
      </c>
      <c r="X433" s="5" cm="1">
        <f t="array" ref="X433">COUNT(IF((DiscreteStatsTable[GroupByKey]=DiscreteStatsTable[[#This Row],[GroupByKey]]),(DiscreteStatsTable[GroupByKey]=DiscreteStatsTable[[#This Row],[GroupByKey]])*DiscreteStatsTable[Replication]))</f>
        <v>19</v>
      </c>
      <c r="Y433" s="5">
        <f>IF(DiscreteStatsTable[[#This Row],[RepsRequested]]=DiscreteStatsTable[[#This Row],[RepsWithStatObserved]],1,0)</f>
        <v>1</v>
      </c>
    </row>
    <row r="434" spans="1:25" x14ac:dyDescent="0.25">
      <c r="A434" t="s">
        <v>67</v>
      </c>
      <c r="B434" t="s">
        <v>69</v>
      </c>
      <c r="C434">
        <v>5</v>
      </c>
      <c r="D434" t="s">
        <v>103</v>
      </c>
      <c r="E434" t="s">
        <v>88</v>
      </c>
      <c r="F434" t="s">
        <v>86</v>
      </c>
      <c r="G434">
        <v>0.29464649062675102</v>
      </c>
      <c r="H434">
        <v>2E+20</v>
      </c>
      <c r="I434">
        <v>0</v>
      </c>
      <c r="J434">
        <v>3.7286278144762801</v>
      </c>
      <c r="K434">
        <v>131</v>
      </c>
      <c r="L43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compartida)PreparacionWait Time Per EntityProcess</v>
      </c>
      <c r="M434" s="5" cm="1">
        <f t="array" ref="M434">MAX(IF((ProjectInfoTable[ProjectName]=DiscreteStatsTable[[#This Row],[ProjectName]]),(ProjectInfoTable[ProjectName]=DiscreteStatsTable[[#This Row],[ProjectName]])*ProjectInfoTable[NumberOfReplications]))</f>
        <v>19</v>
      </c>
      <c r="N434" s="5" cm="1">
        <f t="array" ref="N434">IFERROR(AVERAGE(IF((DiscreteStatsTable[GroupByKey]=DiscreteStatsTable[[#This Row],[GroupByKey]]),(DiscreteStatsTable[GroupByKey]=DiscreteStatsTable[[#This Row],[GroupByKey]])*DiscreteStatsTable[Average])),0)</f>
        <v>0.70035672369515334</v>
      </c>
      <c r="O434" s="5" cm="1">
        <f t="array" ref="O434">IFERROR(_xlfn.STDEV.S(IF((DiscreteStatsTable[GroupByKey]=DiscreteStatsTable[[#This Row],[GroupByKey]]),(DiscreteStatsTable[GroupByKey]=DiscreteStatsTable[[#This Row],[GroupByKey]])*DiscreteStatsTable[Average])),0)</f>
        <v>0.73328049543419305</v>
      </c>
      <c r="P434" s="5" cm="1">
        <f t="array" ref="P434">MAX(IF((ProjectInfoTable[ProjectName]=DiscreteStatsTable[[#This Row],[ProjectName]]),(ProjectInfoTable[ProjectName]=DiscreteStatsTable[[#This Row],[ProjectName]])*ProjectInfoTable[ConfidenceInterval]))</f>
        <v>0.95</v>
      </c>
      <c r="Q434" s="5">
        <f>IF(AND(DiscreteStatsTable[[#This Row],[RepsWithStatObserved]]=1,Y434=0),200000000000000000000,IFERROR(_xlfn.T.INV.2T(1 -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0.35342988550342119</v>
      </c>
      <c r="R434" s="5" cm="1">
        <f t="array" ref="R434">MIN(IF((DiscreteStatsTable[GroupByKey]=DiscreteStatsTable[[#This Row],[GroupByKey]]),(DiscreteStatsTable[GroupByKey]=DiscreteStatsTable[[#This Row],[GroupByKey]])*DiscreteStatsTable[Average]))</f>
        <v>0.19405440212973199</v>
      </c>
      <c r="S434" s="5" cm="1">
        <f t="array" ref="S434">MAX(IF((DiscreteStatsTable[GroupByKey]=DiscreteStatsTable[[#This Row],[GroupByKey]]),(DiscreteStatsTable[GroupByKey]=DiscreteStatsTable[[#This Row],[GroupByKey]])*DiscreteStatsTable[Average]))</f>
        <v>3.4332474400478601</v>
      </c>
      <c r="T434" s="5" cm="1">
        <f t="array" ref="T434">MIN(IF((DiscreteStatsTable[GroupByKey]=DiscreteStatsTable[[#This Row],[GroupByKey]]),(DiscreteStatsTable[GroupByKey]=DiscreteStatsTable[[#This Row],[GroupByKey]])*DiscreteStatsTable[Minimum]))</f>
        <v>0</v>
      </c>
      <c r="U434" s="5" cm="1">
        <f t="array" ref="U434">MAX(IF((DiscreteStatsTable[GroupByKey]=DiscreteStatsTable[[#This Row],[GroupByKey]]),(DiscreteStatsTable[GroupByKey]=DiscreteStatsTable[[#This Row],[GroupByKey]])*DiscreteStatsTable[Maximum]))</f>
        <v>17.656360512085001</v>
      </c>
      <c r="V434" s="5" cm="1">
        <f t="array" ref="V434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34" s="5">
        <f>IF((DiscreteStatsTable[[#This Row],[RepsRequested]]&gt;1),DiscreteStatsTable[[#This Row],[HalfWidth]],DiscreteStatsTable[[#This Row],[BatchMeansHalfWidth]])</f>
        <v>0.35342988550342119</v>
      </c>
      <c r="X434" s="5" cm="1">
        <f t="array" ref="X434">COUNT(IF((DiscreteStatsTable[GroupByKey]=DiscreteStatsTable[[#This Row],[GroupByKey]]),(DiscreteStatsTable[GroupByKey]=DiscreteStatsTable[[#This Row],[GroupByKey]])*DiscreteStatsTable[Replication]))</f>
        <v>19</v>
      </c>
      <c r="Y434" s="5">
        <f>IF(DiscreteStatsTable[[#This Row],[RepsRequested]]=DiscreteStatsTable[[#This Row],[RepsWithStatObserved]],1,0)</f>
        <v>1</v>
      </c>
    </row>
    <row r="435" spans="1:25" x14ac:dyDescent="0.25">
      <c r="A435" t="s">
        <v>67</v>
      </c>
      <c r="B435" t="s">
        <v>69</v>
      </c>
      <c r="C435">
        <v>6</v>
      </c>
      <c r="D435" t="s">
        <v>103</v>
      </c>
      <c r="E435" t="s">
        <v>85</v>
      </c>
      <c r="F435" t="s">
        <v>86</v>
      </c>
      <c r="G435">
        <v>1.4782151737137399</v>
      </c>
      <c r="H435">
        <v>2E+20</v>
      </c>
      <c r="I435">
        <v>0.105802840230524</v>
      </c>
      <c r="J435">
        <v>6.6142730957825204</v>
      </c>
      <c r="K435">
        <v>115</v>
      </c>
      <c r="L43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compartida)PreparacionTotal Time Per EntityProcess</v>
      </c>
      <c r="M435" s="5" cm="1">
        <f t="array" ref="M435">MAX(IF((ProjectInfoTable[ProjectName]=DiscreteStatsTable[[#This Row],[ProjectName]]),(ProjectInfoTable[ProjectName]=DiscreteStatsTable[[#This Row],[ProjectName]])*ProjectInfoTable[NumberOfReplications]))</f>
        <v>19</v>
      </c>
      <c r="N435" s="5" cm="1">
        <f t="array" ref="N435">IFERROR(AVERAGE(IF((DiscreteStatsTable[GroupByKey]=DiscreteStatsTable[[#This Row],[GroupByKey]]),(DiscreteStatsTable[GroupByKey]=DiscreteStatsTable[[#This Row],[GroupByKey]])*DiscreteStatsTable[Average])),0)</f>
        <v>2.1273994880359743</v>
      </c>
      <c r="O435" s="5" cm="1">
        <f t="array" ref="O435">IFERROR(_xlfn.STDEV.S(IF((DiscreteStatsTable[GroupByKey]=DiscreteStatsTable[[#This Row],[GroupByKey]]),(DiscreteStatsTable[GroupByKey]=DiscreteStatsTable[[#This Row],[GroupByKey]])*DiscreteStatsTable[Average])),0)</f>
        <v>0.78312872053361837</v>
      </c>
      <c r="P435" s="5" cm="1">
        <f t="array" ref="P435">MAX(IF((ProjectInfoTable[ProjectName]=DiscreteStatsTable[[#This Row],[ProjectName]]),(ProjectInfoTable[ProjectName]=DiscreteStatsTable[[#This Row],[ProjectName]])*ProjectInfoTable[ConfidenceInterval]))</f>
        <v>0.95</v>
      </c>
      <c r="Q435" s="5">
        <f>IF(AND(DiscreteStatsTable[[#This Row],[RepsWithStatObserved]]=1,Y435=0),200000000000000000000,IFERROR(_xlfn.T.INV.2T(1 -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0.37745596092631467</v>
      </c>
      <c r="R435" s="5" cm="1">
        <f t="array" ref="R435">MIN(IF((DiscreteStatsTable[GroupByKey]=DiscreteStatsTable[[#This Row],[GroupByKey]]),(DiscreteStatsTable[GroupByKey]=DiscreteStatsTable[[#This Row],[GroupByKey]])*DiscreteStatsTable[Average]))</f>
        <v>1.4498913227505501</v>
      </c>
      <c r="S435" s="5" cm="1">
        <f t="array" ref="S435">MAX(IF((DiscreteStatsTable[GroupByKey]=DiscreteStatsTable[[#This Row],[GroupByKey]]),(DiscreteStatsTable[GroupByKey]=DiscreteStatsTable[[#This Row],[GroupByKey]])*DiscreteStatsTable[Average]))</f>
        <v>4.8344956063072599</v>
      </c>
      <c r="T435" s="5" cm="1">
        <f t="array" ref="T435">MIN(IF((DiscreteStatsTable[GroupByKey]=DiscreteStatsTable[[#This Row],[GroupByKey]]),(DiscreteStatsTable[GroupByKey]=DiscreteStatsTable[[#This Row],[GroupByKey]])*DiscreteStatsTable[Minimum]))</f>
        <v>0</v>
      </c>
      <c r="U435" s="5" cm="1">
        <f t="array" ref="U435">MAX(IF((DiscreteStatsTable[GroupByKey]=DiscreteStatsTable[[#This Row],[GroupByKey]]),(DiscreteStatsTable[GroupByKey]=DiscreteStatsTable[[#This Row],[GroupByKey]])*DiscreteStatsTable[Maximum]))</f>
        <v>23.229576157810602</v>
      </c>
      <c r="V435" s="5" cm="1">
        <f t="array" ref="V435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35" s="5">
        <f>IF((DiscreteStatsTable[[#This Row],[RepsRequested]]&gt;1),DiscreteStatsTable[[#This Row],[HalfWidth]],DiscreteStatsTable[[#This Row],[BatchMeansHalfWidth]])</f>
        <v>0.37745596092631467</v>
      </c>
      <c r="X435" s="5" cm="1">
        <f t="array" ref="X435">COUNT(IF((DiscreteStatsTable[GroupByKey]=DiscreteStatsTable[[#This Row],[GroupByKey]]),(DiscreteStatsTable[GroupByKey]=DiscreteStatsTable[[#This Row],[GroupByKey]])*DiscreteStatsTable[Replication]))</f>
        <v>19</v>
      </c>
      <c r="Y435" s="5">
        <f>IF(DiscreteStatsTable[[#This Row],[RepsRequested]]=DiscreteStatsTable[[#This Row],[RepsWithStatObserved]],1,0)</f>
        <v>1</v>
      </c>
    </row>
    <row r="436" spans="1:25" x14ac:dyDescent="0.25">
      <c r="A436" t="s">
        <v>67</v>
      </c>
      <c r="B436" t="s">
        <v>69</v>
      </c>
      <c r="C436">
        <v>6</v>
      </c>
      <c r="D436" t="s">
        <v>103</v>
      </c>
      <c r="E436" t="s">
        <v>87</v>
      </c>
      <c r="F436" t="s">
        <v>86</v>
      </c>
      <c r="G436">
        <v>1.284160771584</v>
      </c>
      <c r="H436">
        <v>2E+20</v>
      </c>
      <c r="I436">
        <v>7.7095089335372805E-2</v>
      </c>
      <c r="J436">
        <v>6.6142730957825204</v>
      </c>
      <c r="K436">
        <v>115</v>
      </c>
      <c r="L43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compartida)PreparacionVA Time Per EntityProcess</v>
      </c>
      <c r="M436" s="5" cm="1">
        <f t="array" ref="M436">MAX(IF((ProjectInfoTable[ProjectName]=DiscreteStatsTable[[#This Row],[ProjectName]]),(ProjectInfoTable[ProjectName]=DiscreteStatsTable[[#This Row],[ProjectName]])*ProjectInfoTable[NumberOfReplications]))</f>
        <v>19</v>
      </c>
      <c r="N436" s="5" cm="1">
        <f t="array" ref="N436">IFERROR(AVERAGE(IF((DiscreteStatsTable[GroupByKey]=DiscreteStatsTable[[#This Row],[GroupByKey]]),(DiscreteStatsTable[GroupByKey]=DiscreteStatsTable[[#This Row],[GroupByKey]])*DiscreteStatsTable[Average])),0)</f>
        <v>1.427042764340821</v>
      </c>
      <c r="O436" s="5" cm="1">
        <f t="array" ref="O436">IFERROR(_xlfn.STDEV.S(IF((DiscreteStatsTable[GroupByKey]=DiscreteStatsTable[[#This Row],[GroupByKey]]),(DiscreteStatsTable[GroupByKey]=DiscreteStatsTable[[#This Row],[GroupByKey]])*DiscreteStatsTable[Average])),0)</f>
        <v>0.15210233149440669</v>
      </c>
      <c r="P436" s="5" cm="1">
        <f t="array" ref="P436">MAX(IF((ProjectInfoTable[ProjectName]=DiscreteStatsTable[[#This Row],[ProjectName]]),(ProjectInfoTable[ProjectName]=DiscreteStatsTable[[#This Row],[ProjectName]])*ProjectInfoTable[ConfidenceInterval]))</f>
        <v>0.95</v>
      </c>
      <c r="Q436" s="5">
        <f>IF(AND(DiscreteStatsTable[[#This Row],[RepsWithStatObserved]]=1,Y436=0),200000000000000000000,IFERROR(_xlfn.T.INV.2T(1 -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7.3310977094843424E-2</v>
      </c>
      <c r="R436" s="5" cm="1">
        <f t="array" ref="R436">MIN(IF((DiscreteStatsTable[GroupByKey]=DiscreteStatsTable[[#This Row],[GroupByKey]]),(DiscreteStatsTable[GroupByKey]=DiscreteStatsTable[[#This Row],[GroupByKey]])*DiscreteStatsTable[Average]))</f>
        <v>1.1889341151258599</v>
      </c>
      <c r="S436" s="5" cm="1">
        <f t="array" ref="S436">MAX(IF((DiscreteStatsTable[GroupByKey]=DiscreteStatsTable[[#This Row],[GroupByKey]]),(DiscreteStatsTable[GroupByKey]=DiscreteStatsTable[[#This Row],[GroupByKey]])*DiscreteStatsTable[Average]))</f>
        <v>1.71891901774247</v>
      </c>
      <c r="T436" s="5" cm="1">
        <f t="array" ref="T436">MIN(IF((DiscreteStatsTable[GroupByKey]=DiscreteStatsTable[[#This Row],[GroupByKey]]),(DiscreteStatsTable[GroupByKey]=DiscreteStatsTable[[#This Row],[GroupByKey]])*DiscreteStatsTable[Minimum]))</f>
        <v>0</v>
      </c>
      <c r="U436" s="5" cm="1">
        <f t="array" ref="U436">MAX(IF((DiscreteStatsTable[GroupByKey]=DiscreteStatsTable[[#This Row],[GroupByKey]]),(DiscreteStatsTable[GroupByKey]=DiscreteStatsTable[[#This Row],[GroupByKey]])*DiscreteStatsTable[Maximum]))</f>
        <v>13.3285940274107</v>
      </c>
      <c r="V436" s="5" cm="1">
        <f t="array" ref="V436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36" s="5">
        <f>IF((DiscreteStatsTable[[#This Row],[RepsRequested]]&gt;1),DiscreteStatsTable[[#This Row],[HalfWidth]],DiscreteStatsTable[[#This Row],[BatchMeansHalfWidth]])</f>
        <v>7.3310977094843424E-2</v>
      </c>
      <c r="X436" s="5" cm="1">
        <f t="array" ref="X436">COUNT(IF((DiscreteStatsTable[GroupByKey]=DiscreteStatsTable[[#This Row],[GroupByKey]]),(DiscreteStatsTable[GroupByKey]=DiscreteStatsTable[[#This Row],[GroupByKey]])*DiscreteStatsTable[Replication]))</f>
        <v>19</v>
      </c>
      <c r="Y436" s="5">
        <f>IF(DiscreteStatsTable[[#This Row],[RepsRequested]]=DiscreteStatsTable[[#This Row],[RepsWithStatObserved]],1,0)</f>
        <v>1</v>
      </c>
    </row>
    <row r="437" spans="1:25" x14ac:dyDescent="0.25">
      <c r="A437" t="s">
        <v>67</v>
      </c>
      <c r="B437" t="s">
        <v>69</v>
      </c>
      <c r="C437">
        <v>6</v>
      </c>
      <c r="D437" t="s">
        <v>103</v>
      </c>
      <c r="E437" t="s">
        <v>88</v>
      </c>
      <c r="F437" t="s">
        <v>86</v>
      </c>
      <c r="G437">
        <v>0.19405440212973199</v>
      </c>
      <c r="H437">
        <v>2E+20</v>
      </c>
      <c r="I437">
        <v>0</v>
      </c>
      <c r="J437">
        <v>2.0400085159373198</v>
      </c>
      <c r="K437">
        <v>115</v>
      </c>
      <c r="L43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compartida)PreparacionWait Time Per EntityProcess</v>
      </c>
      <c r="M437" s="5" cm="1">
        <f t="array" ref="M437">MAX(IF((ProjectInfoTable[ProjectName]=DiscreteStatsTable[[#This Row],[ProjectName]]),(ProjectInfoTable[ProjectName]=DiscreteStatsTable[[#This Row],[ProjectName]])*ProjectInfoTable[NumberOfReplications]))</f>
        <v>19</v>
      </c>
      <c r="N437" s="5" cm="1">
        <f t="array" ref="N437">IFERROR(AVERAGE(IF((DiscreteStatsTable[GroupByKey]=DiscreteStatsTable[[#This Row],[GroupByKey]]),(DiscreteStatsTable[GroupByKey]=DiscreteStatsTable[[#This Row],[GroupByKey]])*DiscreteStatsTable[Average])),0)</f>
        <v>0.70035672369515334</v>
      </c>
      <c r="O437" s="5" cm="1">
        <f t="array" ref="O437">IFERROR(_xlfn.STDEV.S(IF((DiscreteStatsTable[GroupByKey]=DiscreteStatsTable[[#This Row],[GroupByKey]]),(DiscreteStatsTable[GroupByKey]=DiscreteStatsTable[[#This Row],[GroupByKey]])*DiscreteStatsTable[Average])),0)</f>
        <v>0.73328049543419305</v>
      </c>
      <c r="P437" s="5" cm="1">
        <f t="array" ref="P437">MAX(IF((ProjectInfoTable[ProjectName]=DiscreteStatsTable[[#This Row],[ProjectName]]),(ProjectInfoTable[ProjectName]=DiscreteStatsTable[[#This Row],[ProjectName]])*ProjectInfoTable[ConfidenceInterval]))</f>
        <v>0.95</v>
      </c>
      <c r="Q437" s="5">
        <f>IF(AND(DiscreteStatsTable[[#This Row],[RepsWithStatObserved]]=1,Y437=0),200000000000000000000,IFERROR(_xlfn.T.INV.2T(1 -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0.35342988550342119</v>
      </c>
      <c r="R437" s="5" cm="1">
        <f t="array" ref="R437">MIN(IF((DiscreteStatsTable[GroupByKey]=DiscreteStatsTable[[#This Row],[GroupByKey]]),(DiscreteStatsTable[GroupByKey]=DiscreteStatsTable[[#This Row],[GroupByKey]])*DiscreteStatsTable[Average]))</f>
        <v>0.19405440212973199</v>
      </c>
      <c r="S437" s="5" cm="1">
        <f t="array" ref="S437">MAX(IF((DiscreteStatsTable[GroupByKey]=DiscreteStatsTable[[#This Row],[GroupByKey]]),(DiscreteStatsTable[GroupByKey]=DiscreteStatsTable[[#This Row],[GroupByKey]])*DiscreteStatsTable[Average]))</f>
        <v>3.4332474400478601</v>
      </c>
      <c r="T437" s="5" cm="1">
        <f t="array" ref="T437">MIN(IF((DiscreteStatsTable[GroupByKey]=DiscreteStatsTable[[#This Row],[GroupByKey]]),(DiscreteStatsTable[GroupByKey]=DiscreteStatsTable[[#This Row],[GroupByKey]])*DiscreteStatsTable[Minimum]))</f>
        <v>0</v>
      </c>
      <c r="U437" s="5" cm="1">
        <f t="array" ref="U437">MAX(IF((DiscreteStatsTable[GroupByKey]=DiscreteStatsTable[[#This Row],[GroupByKey]]),(DiscreteStatsTable[GroupByKey]=DiscreteStatsTable[[#This Row],[GroupByKey]])*DiscreteStatsTable[Maximum]))</f>
        <v>17.656360512085001</v>
      </c>
      <c r="V437" s="5" cm="1">
        <f t="array" ref="V437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37" s="5">
        <f>IF((DiscreteStatsTable[[#This Row],[RepsRequested]]&gt;1),DiscreteStatsTable[[#This Row],[HalfWidth]],DiscreteStatsTable[[#This Row],[BatchMeansHalfWidth]])</f>
        <v>0.35342988550342119</v>
      </c>
      <c r="X437" s="5" cm="1">
        <f t="array" ref="X437">COUNT(IF((DiscreteStatsTable[GroupByKey]=DiscreteStatsTable[[#This Row],[GroupByKey]]),(DiscreteStatsTable[GroupByKey]=DiscreteStatsTable[[#This Row],[GroupByKey]])*DiscreteStatsTable[Replication]))</f>
        <v>19</v>
      </c>
      <c r="Y437" s="5">
        <f>IF(DiscreteStatsTable[[#This Row],[RepsRequested]]=DiscreteStatsTable[[#This Row],[RepsWithStatObserved]],1,0)</f>
        <v>1</v>
      </c>
    </row>
    <row r="438" spans="1:25" x14ac:dyDescent="0.25">
      <c r="A438" t="s">
        <v>67</v>
      </c>
      <c r="B438" t="s">
        <v>69</v>
      </c>
      <c r="C438">
        <v>7</v>
      </c>
      <c r="D438" t="s">
        <v>103</v>
      </c>
      <c r="E438" t="s">
        <v>85</v>
      </c>
      <c r="F438" t="s">
        <v>86</v>
      </c>
      <c r="G438">
        <v>1.6159804252051599</v>
      </c>
      <c r="H438">
        <v>2E+20</v>
      </c>
      <c r="I438">
        <v>7.0064682067112499E-2</v>
      </c>
      <c r="J438">
        <v>6.2360447002319903</v>
      </c>
      <c r="K438">
        <v>114</v>
      </c>
      <c r="L43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compartida)PreparacionTotal Time Per EntityProcess</v>
      </c>
      <c r="M438" s="5" cm="1">
        <f t="array" ref="M438">MAX(IF((ProjectInfoTable[ProjectName]=DiscreteStatsTable[[#This Row],[ProjectName]]),(ProjectInfoTable[ProjectName]=DiscreteStatsTable[[#This Row],[ProjectName]])*ProjectInfoTable[NumberOfReplications]))</f>
        <v>19</v>
      </c>
      <c r="N438" s="5" cm="1">
        <f t="array" ref="N438">IFERROR(AVERAGE(IF((DiscreteStatsTable[GroupByKey]=DiscreteStatsTable[[#This Row],[GroupByKey]]),(DiscreteStatsTable[GroupByKey]=DiscreteStatsTable[[#This Row],[GroupByKey]])*DiscreteStatsTable[Average])),0)</f>
        <v>2.1273994880359743</v>
      </c>
      <c r="O438" s="5" cm="1">
        <f t="array" ref="O438">IFERROR(_xlfn.STDEV.S(IF((DiscreteStatsTable[GroupByKey]=DiscreteStatsTable[[#This Row],[GroupByKey]]),(DiscreteStatsTable[GroupByKey]=DiscreteStatsTable[[#This Row],[GroupByKey]])*DiscreteStatsTable[Average])),0)</f>
        <v>0.78312872053361837</v>
      </c>
      <c r="P438" s="5" cm="1">
        <f t="array" ref="P438">MAX(IF((ProjectInfoTable[ProjectName]=DiscreteStatsTable[[#This Row],[ProjectName]]),(ProjectInfoTable[ProjectName]=DiscreteStatsTable[[#This Row],[ProjectName]])*ProjectInfoTable[ConfidenceInterval]))</f>
        <v>0.95</v>
      </c>
      <c r="Q438" s="5">
        <f>IF(AND(DiscreteStatsTable[[#This Row],[RepsWithStatObserved]]=1,Y438=0),200000000000000000000,IFERROR(_xlfn.T.INV.2T(1 -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0.37745596092631467</v>
      </c>
      <c r="R438" s="5" cm="1">
        <f t="array" ref="R438">MIN(IF((DiscreteStatsTable[GroupByKey]=DiscreteStatsTable[[#This Row],[GroupByKey]]),(DiscreteStatsTable[GroupByKey]=DiscreteStatsTable[[#This Row],[GroupByKey]])*DiscreteStatsTable[Average]))</f>
        <v>1.4498913227505501</v>
      </c>
      <c r="S438" s="5" cm="1">
        <f t="array" ref="S438">MAX(IF((DiscreteStatsTable[GroupByKey]=DiscreteStatsTable[[#This Row],[GroupByKey]]),(DiscreteStatsTable[GroupByKey]=DiscreteStatsTable[[#This Row],[GroupByKey]])*DiscreteStatsTable[Average]))</f>
        <v>4.8344956063072599</v>
      </c>
      <c r="T438" s="5" cm="1">
        <f t="array" ref="T438">MIN(IF((DiscreteStatsTable[GroupByKey]=DiscreteStatsTable[[#This Row],[GroupByKey]]),(DiscreteStatsTable[GroupByKey]=DiscreteStatsTable[[#This Row],[GroupByKey]])*DiscreteStatsTable[Minimum]))</f>
        <v>0</v>
      </c>
      <c r="U438" s="5" cm="1">
        <f t="array" ref="U438">MAX(IF((DiscreteStatsTable[GroupByKey]=DiscreteStatsTable[[#This Row],[GroupByKey]]),(DiscreteStatsTable[GroupByKey]=DiscreteStatsTable[[#This Row],[GroupByKey]])*DiscreteStatsTable[Maximum]))</f>
        <v>23.229576157810602</v>
      </c>
      <c r="V438" s="5" cm="1">
        <f t="array" ref="V438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38" s="5">
        <f>IF((DiscreteStatsTable[[#This Row],[RepsRequested]]&gt;1),DiscreteStatsTable[[#This Row],[HalfWidth]],DiscreteStatsTable[[#This Row],[BatchMeansHalfWidth]])</f>
        <v>0.37745596092631467</v>
      </c>
      <c r="X438" s="5" cm="1">
        <f t="array" ref="X438">COUNT(IF((DiscreteStatsTable[GroupByKey]=DiscreteStatsTable[[#This Row],[GroupByKey]]),(DiscreteStatsTable[GroupByKey]=DiscreteStatsTable[[#This Row],[GroupByKey]])*DiscreteStatsTable[Replication]))</f>
        <v>19</v>
      </c>
      <c r="Y438" s="5">
        <f>IF(DiscreteStatsTable[[#This Row],[RepsRequested]]=DiscreteStatsTable[[#This Row],[RepsWithStatObserved]],1,0)</f>
        <v>1</v>
      </c>
    </row>
    <row r="439" spans="1:25" x14ac:dyDescent="0.25">
      <c r="A439" t="s">
        <v>67</v>
      </c>
      <c r="B439" t="s">
        <v>69</v>
      </c>
      <c r="C439">
        <v>7</v>
      </c>
      <c r="D439" t="s">
        <v>103</v>
      </c>
      <c r="E439" t="s">
        <v>87</v>
      </c>
      <c r="F439" t="s">
        <v>86</v>
      </c>
      <c r="G439">
        <v>1.2212694257618599</v>
      </c>
      <c r="H439">
        <v>2E+20</v>
      </c>
      <c r="I439">
        <v>7.0064682067112499E-2</v>
      </c>
      <c r="J439">
        <v>5.6636555349242297</v>
      </c>
      <c r="K439">
        <v>114</v>
      </c>
      <c r="L43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compartida)PreparacionVA Time Per EntityProcess</v>
      </c>
      <c r="M439" s="5" cm="1">
        <f t="array" ref="M439">MAX(IF((ProjectInfoTable[ProjectName]=DiscreteStatsTable[[#This Row],[ProjectName]]),(ProjectInfoTable[ProjectName]=DiscreteStatsTable[[#This Row],[ProjectName]])*ProjectInfoTable[NumberOfReplications]))</f>
        <v>19</v>
      </c>
      <c r="N439" s="5" cm="1">
        <f t="array" ref="N439">IFERROR(AVERAGE(IF((DiscreteStatsTable[GroupByKey]=DiscreteStatsTable[[#This Row],[GroupByKey]]),(DiscreteStatsTable[GroupByKey]=DiscreteStatsTable[[#This Row],[GroupByKey]])*DiscreteStatsTable[Average])),0)</f>
        <v>1.427042764340821</v>
      </c>
      <c r="O439" s="5" cm="1">
        <f t="array" ref="O439">IFERROR(_xlfn.STDEV.S(IF((DiscreteStatsTable[GroupByKey]=DiscreteStatsTable[[#This Row],[GroupByKey]]),(DiscreteStatsTable[GroupByKey]=DiscreteStatsTable[[#This Row],[GroupByKey]])*DiscreteStatsTable[Average])),0)</f>
        <v>0.15210233149440669</v>
      </c>
      <c r="P439" s="5" cm="1">
        <f t="array" ref="P439">MAX(IF((ProjectInfoTable[ProjectName]=DiscreteStatsTable[[#This Row],[ProjectName]]),(ProjectInfoTable[ProjectName]=DiscreteStatsTable[[#This Row],[ProjectName]])*ProjectInfoTable[ConfidenceInterval]))</f>
        <v>0.95</v>
      </c>
      <c r="Q439" s="5">
        <f>IF(AND(DiscreteStatsTable[[#This Row],[RepsWithStatObserved]]=1,Y439=0),200000000000000000000,IFERROR(_xlfn.T.INV.2T(1 -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7.3310977094843424E-2</v>
      </c>
      <c r="R439" s="5" cm="1">
        <f t="array" ref="R439">MIN(IF((DiscreteStatsTable[GroupByKey]=DiscreteStatsTable[[#This Row],[GroupByKey]]),(DiscreteStatsTable[GroupByKey]=DiscreteStatsTable[[#This Row],[GroupByKey]])*DiscreteStatsTable[Average]))</f>
        <v>1.1889341151258599</v>
      </c>
      <c r="S439" s="5" cm="1">
        <f t="array" ref="S439">MAX(IF((DiscreteStatsTable[GroupByKey]=DiscreteStatsTable[[#This Row],[GroupByKey]]),(DiscreteStatsTable[GroupByKey]=DiscreteStatsTable[[#This Row],[GroupByKey]])*DiscreteStatsTable[Average]))</f>
        <v>1.71891901774247</v>
      </c>
      <c r="T439" s="5" cm="1">
        <f t="array" ref="T439">MIN(IF((DiscreteStatsTable[GroupByKey]=DiscreteStatsTable[[#This Row],[GroupByKey]]),(DiscreteStatsTable[GroupByKey]=DiscreteStatsTable[[#This Row],[GroupByKey]])*DiscreteStatsTable[Minimum]))</f>
        <v>0</v>
      </c>
      <c r="U439" s="5" cm="1">
        <f t="array" ref="U439">MAX(IF((DiscreteStatsTable[GroupByKey]=DiscreteStatsTable[[#This Row],[GroupByKey]]),(DiscreteStatsTable[GroupByKey]=DiscreteStatsTable[[#This Row],[GroupByKey]])*DiscreteStatsTable[Maximum]))</f>
        <v>13.3285940274107</v>
      </c>
      <c r="V439" s="5" cm="1">
        <f t="array" ref="V439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39" s="5">
        <f>IF((DiscreteStatsTable[[#This Row],[RepsRequested]]&gt;1),DiscreteStatsTable[[#This Row],[HalfWidth]],DiscreteStatsTable[[#This Row],[BatchMeansHalfWidth]])</f>
        <v>7.3310977094843424E-2</v>
      </c>
      <c r="X439" s="5" cm="1">
        <f t="array" ref="X439">COUNT(IF((DiscreteStatsTable[GroupByKey]=DiscreteStatsTable[[#This Row],[GroupByKey]]),(DiscreteStatsTable[GroupByKey]=DiscreteStatsTable[[#This Row],[GroupByKey]])*DiscreteStatsTable[Replication]))</f>
        <v>19</v>
      </c>
      <c r="Y439" s="5">
        <f>IF(DiscreteStatsTable[[#This Row],[RepsRequested]]=DiscreteStatsTable[[#This Row],[RepsWithStatObserved]],1,0)</f>
        <v>1</v>
      </c>
    </row>
    <row r="440" spans="1:25" x14ac:dyDescent="0.25">
      <c r="A440" t="s">
        <v>67</v>
      </c>
      <c r="B440" t="s">
        <v>69</v>
      </c>
      <c r="C440">
        <v>7</v>
      </c>
      <c r="D440" t="s">
        <v>103</v>
      </c>
      <c r="E440" t="s">
        <v>88</v>
      </c>
      <c r="F440" t="s">
        <v>86</v>
      </c>
      <c r="G440">
        <v>0.39471099944329802</v>
      </c>
      <c r="H440">
        <v>2E+20</v>
      </c>
      <c r="I440">
        <v>0</v>
      </c>
      <c r="J440">
        <v>2.5116513290956601</v>
      </c>
      <c r="K440">
        <v>114</v>
      </c>
      <c r="L44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compartida)PreparacionWait Time Per EntityProcess</v>
      </c>
      <c r="M440" s="5" cm="1">
        <f t="array" ref="M440">MAX(IF((ProjectInfoTable[ProjectName]=DiscreteStatsTable[[#This Row],[ProjectName]]),(ProjectInfoTable[ProjectName]=DiscreteStatsTable[[#This Row],[ProjectName]])*ProjectInfoTable[NumberOfReplications]))</f>
        <v>19</v>
      </c>
      <c r="N440" s="5" cm="1">
        <f t="array" ref="N440">IFERROR(AVERAGE(IF((DiscreteStatsTable[GroupByKey]=DiscreteStatsTable[[#This Row],[GroupByKey]]),(DiscreteStatsTable[GroupByKey]=DiscreteStatsTable[[#This Row],[GroupByKey]])*DiscreteStatsTable[Average])),0)</f>
        <v>0.70035672369515334</v>
      </c>
      <c r="O440" s="5" cm="1">
        <f t="array" ref="O440">IFERROR(_xlfn.STDEV.S(IF((DiscreteStatsTable[GroupByKey]=DiscreteStatsTable[[#This Row],[GroupByKey]]),(DiscreteStatsTable[GroupByKey]=DiscreteStatsTable[[#This Row],[GroupByKey]])*DiscreteStatsTable[Average])),0)</f>
        <v>0.73328049543419305</v>
      </c>
      <c r="P440" s="5" cm="1">
        <f t="array" ref="P440">MAX(IF((ProjectInfoTable[ProjectName]=DiscreteStatsTable[[#This Row],[ProjectName]]),(ProjectInfoTable[ProjectName]=DiscreteStatsTable[[#This Row],[ProjectName]])*ProjectInfoTable[ConfidenceInterval]))</f>
        <v>0.95</v>
      </c>
      <c r="Q440" s="5">
        <f>IF(AND(DiscreteStatsTable[[#This Row],[RepsWithStatObserved]]=1,Y440=0),200000000000000000000,IFERROR(_xlfn.T.INV.2T(1 -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0.35342988550342119</v>
      </c>
      <c r="R440" s="5" cm="1">
        <f t="array" ref="R440">MIN(IF((DiscreteStatsTable[GroupByKey]=DiscreteStatsTable[[#This Row],[GroupByKey]]),(DiscreteStatsTable[GroupByKey]=DiscreteStatsTable[[#This Row],[GroupByKey]])*DiscreteStatsTable[Average]))</f>
        <v>0.19405440212973199</v>
      </c>
      <c r="S440" s="5" cm="1">
        <f t="array" ref="S440">MAX(IF((DiscreteStatsTable[GroupByKey]=DiscreteStatsTable[[#This Row],[GroupByKey]]),(DiscreteStatsTable[GroupByKey]=DiscreteStatsTable[[#This Row],[GroupByKey]])*DiscreteStatsTable[Average]))</f>
        <v>3.4332474400478601</v>
      </c>
      <c r="T440" s="5" cm="1">
        <f t="array" ref="T440">MIN(IF((DiscreteStatsTable[GroupByKey]=DiscreteStatsTable[[#This Row],[GroupByKey]]),(DiscreteStatsTable[GroupByKey]=DiscreteStatsTable[[#This Row],[GroupByKey]])*DiscreteStatsTable[Minimum]))</f>
        <v>0</v>
      </c>
      <c r="U440" s="5" cm="1">
        <f t="array" ref="U440">MAX(IF((DiscreteStatsTable[GroupByKey]=DiscreteStatsTable[[#This Row],[GroupByKey]]),(DiscreteStatsTable[GroupByKey]=DiscreteStatsTable[[#This Row],[GroupByKey]])*DiscreteStatsTable[Maximum]))</f>
        <v>17.656360512085001</v>
      </c>
      <c r="V440" s="5" cm="1">
        <f t="array" ref="V440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40" s="5">
        <f>IF((DiscreteStatsTable[[#This Row],[RepsRequested]]&gt;1),DiscreteStatsTable[[#This Row],[HalfWidth]],DiscreteStatsTable[[#This Row],[BatchMeansHalfWidth]])</f>
        <v>0.35342988550342119</v>
      </c>
      <c r="X440" s="5" cm="1">
        <f t="array" ref="X440">COUNT(IF((DiscreteStatsTable[GroupByKey]=DiscreteStatsTable[[#This Row],[GroupByKey]]),(DiscreteStatsTable[GroupByKey]=DiscreteStatsTable[[#This Row],[GroupByKey]])*DiscreteStatsTable[Replication]))</f>
        <v>19</v>
      </c>
      <c r="Y440" s="5">
        <f>IF(DiscreteStatsTable[[#This Row],[RepsRequested]]=DiscreteStatsTable[[#This Row],[RepsWithStatObserved]],1,0)</f>
        <v>1</v>
      </c>
    </row>
    <row r="441" spans="1:25" x14ac:dyDescent="0.25">
      <c r="A441" t="s">
        <v>67</v>
      </c>
      <c r="B441" t="s">
        <v>69</v>
      </c>
      <c r="C441">
        <v>8</v>
      </c>
      <c r="D441" t="s">
        <v>103</v>
      </c>
      <c r="E441" t="s">
        <v>85</v>
      </c>
      <c r="F441" t="s">
        <v>86</v>
      </c>
      <c r="G441">
        <v>2.13448511150508</v>
      </c>
      <c r="H441">
        <v>2E+20</v>
      </c>
      <c r="I441">
        <v>0.125718801369786</v>
      </c>
      <c r="J441">
        <v>8.1616987267071597</v>
      </c>
      <c r="K441">
        <v>136</v>
      </c>
      <c r="L44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compartida)PreparacionTotal Time Per EntityProcess</v>
      </c>
      <c r="M441" s="5" cm="1">
        <f t="array" ref="M441">MAX(IF((ProjectInfoTable[ProjectName]=DiscreteStatsTable[[#This Row],[ProjectName]]),(ProjectInfoTable[ProjectName]=DiscreteStatsTable[[#This Row],[ProjectName]])*ProjectInfoTable[NumberOfReplications]))</f>
        <v>19</v>
      </c>
      <c r="N441" s="5" cm="1">
        <f t="array" ref="N441">IFERROR(AVERAGE(IF((DiscreteStatsTable[GroupByKey]=DiscreteStatsTable[[#This Row],[GroupByKey]]),(DiscreteStatsTable[GroupByKey]=DiscreteStatsTable[[#This Row],[GroupByKey]])*DiscreteStatsTable[Average])),0)</f>
        <v>2.1273994880359743</v>
      </c>
      <c r="O441" s="5" cm="1">
        <f t="array" ref="O441">IFERROR(_xlfn.STDEV.S(IF((DiscreteStatsTable[GroupByKey]=DiscreteStatsTable[[#This Row],[GroupByKey]]),(DiscreteStatsTable[GroupByKey]=DiscreteStatsTable[[#This Row],[GroupByKey]])*DiscreteStatsTable[Average])),0)</f>
        <v>0.78312872053361837</v>
      </c>
      <c r="P441" s="5" cm="1">
        <f t="array" ref="P441">MAX(IF((ProjectInfoTable[ProjectName]=DiscreteStatsTable[[#This Row],[ProjectName]]),(ProjectInfoTable[ProjectName]=DiscreteStatsTable[[#This Row],[ProjectName]])*ProjectInfoTable[ConfidenceInterval]))</f>
        <v>0.95</v>
      </c>
      <c r="Q441" s="5">
        <f>IF(AND(DiscreteStatsTable[[#This Row],[RepsWithStatObserved]]=1,Y441=0),200000000000000000000,IFERROR(_xlfn.T.INV.2T(1 -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0.37745596092631467</v>
      </c>
      <c r="R441" s="5" cm="1">
        <f t="array" ref="R441">MIN(IF((DiscreteStatsTable[GroupByKey]=DiscreteStatsTable[[#This Row],[GroupByKey]]),(DiscreteStatsTable[GroupByKey]=DiscreteStatsTable[[#This Row],[GroupByKey]])*DiscreteStatsTable[Average]))</f>
        <v>1.4498913227505501</v>
      </c>
      <c r="S441" s="5" cm="1">
        <f t="array" ref="S441">MAX(IF((DiscreteStatsTable[GroupByKey]=DiscreteStatsTable[[#This Row],[GroupByKey]]),(DiscreteStatsTable[GroupByKey]=DiscreteStatsTable[[#This Row],[GroupByKey]])*DiscreteStatsTable[Average]))</f>
        <v>4.8344956063072599</v>
      </c>
      <c r="T441" s="5" cm="1">
        <f t="array" ref="T441">MIN(IF((DiscreteStatsTable[GroupByKey]=DiscreteStatsTable[[#This Row],[GroupByKey]]),(DiscreteStatsTable[GroupByKey]=DiscreteStatsTable[[#This Row],[GroupByKey]])*DiscreteStatsTable[Minimum]))</f>
        <v>0</v>
      </c>
      <c r="U441" s="5" cm="1">
        <f t="array" ref="U441">MAX(IF((DiscreteStatsTable[GroupByKey]=DiscreteStatsTable[[#This Row],[GroupByKey]]),(DiscreteStatsTable[GroupByKey]=DiscreteStatsTable[[#This Row],[GroupByKey]])*DiscreteStatsTable[Maximum]))</f>
        <v>23.229576157810602</v>
      </c>
      <c r="V441" s="5" cm="1">
        <f t="array" ref="V441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41" s="5">
        <f>IF((DiscreteStatsTable[[#This Row],[RepsRequested]]&gt;1),DiscreteStatsTable[[#This Row],[HalfWidth]],DiscreteStatsTable[[#This Row],[BatchMeansHalfWidth]])</f>
        <v>0.37745596092631467</v>
      </c>
      <c r="X441" s="5" cm="1">
        <f t="array" ref="X441">COUNT(IF((DiscreteStatsTable[GroupByKey]=DiscreteStatsTable[[#This Row],[GroupByKey]]),(DiscreteStatsTable[GroupByKey]=DiscreteStatsTable[[#This Row],[GroupByKey]])*DiscreteStatsTable[Replication]))</f>
        <v>19</v>
      </c>
      <c r="Y441" s="5">
        <f>IF(DiscreteStatsTable[[#This Row],[RepsRequested]]=DiscreteStatsTable[[#This Row],[RepsWithStatObserved]],1,0)</f>
        <v>1</v>
      </c>
    </row>
    <row r="442" spans="1:25" x14ac:dyDescent="0.25">
      <c r="A442" t="s">
        <v>67</v>
      </c>
      <c r="B442" t="s">
        <v>69</v>
      </c>
      <c r="C442">
        <v>8</v>
      </c>
      <c r="D442" t="s">
        <v>103</v>
      </c>
      <c r="E442" t="s">
        <v>87</v>
      </c>
      <c r="F442" t="s">
        <v>86</v>
      </c>
      <c r="G442">
        <v>1.4573839043030801</v>
      </c>
      <c r="H442">
        <v>2E+20</v>
      </c>
      <c r="I442">
        <v>0.125718801369786</v>
      </c>
      <c r="J442">
        <v>7.2013072129116198</v>
      </c>
      <c r="K442">
        <v>136</v>
      </c>
      <c r="L44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compartida)PreparacionVA Time Per EntityProcess</v>
      </c>
      <c r="M442" s="5" cm="1">
        <f t="array" ref="M442">MAX(IF((ProjectInfoTable[ProjectName]=DiscreteStatsTable[[#This Row],[ProjectName]]),(ProjectInfoTable[ProjectName]=DiscreteStatsTable[[#This Row],[ProjectName]])*ProjectInfoTable[NumberOfReplications]))</f>
        <v>19</v>
      </c>
      <c r="N442" s="5" cm="1">
        <f t="array" ref="N442">IFERROR(AVERAGE(IF((DiscreteStatsTable[GroupByKey]=DiscreteStatsTable[[#This Row],[GroupByKey]]),(DiscreteStatsTable[GroupByKey]=DiscreteStatsTable[[#This Row],[GroupByKey]])*DiscreteStatsTable[Average])),0)</f>
        <v>1.427042764340821</v>
      </c>
      <c r="O442" s="5" cm="1">
        <f t="array" ref="O442">IFERROR(_xlfn.STDEV.S(IF((DiscreteStatsTable[GroupByKey]=DiscreteStatsTable[[#This Row],[GroupByKey]]),(DiscreteStatsTable[GroupByKey]=DiscreteStatsTable[[#This Row],[GroupByKey]])*DiscreteStatsTable[Average])),0)</f>
        <v>0.15210233149440669</v>
      </c>
      <c r="P442" s="5" cm="1">
        <f t="array" ref="P442">MAX(IF((ProjectInfoTable[ProjectName]=DiscreteStatsTable[[#This Row],[ProjectName]]),(ProjectInfoTable[ProjectName]=DiscreteStatsTable[[#This Row],[ProjectName]])*ProjectInfoTable[ConfidenceInterval]))</f>
        <v>0.95</v>
      </c>
      <c r="Q442" s="5">
        <f>IF(AND(DiscreteStatsTable[[#This Row],[RepsWithStatObserved]]=1,Y442=0),200000000000000000000,IFERROR(_xlfn.T.INV.2T(1 -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7.3310977094843424E-2</v>
      </c>
      <c r="R442" s="5" cm="1">
        <f t="array" ref="R442">MIN(IF((DiscreteStatsTable[GroupByKey]=DiscreteStatsTable[[#This Row],[GroupByKey]]),(DiscreteStatsTable[GroupByKey]=DiscreteStatsTable[[#This Row],[GroupByKey]])*DiscreteStatsTable[Average]))</f>
        <v>1.1889341151258599</v>
      </c>
      <c r="S442" s="5" cm="1">
        <f t="array" ref="S442">MAX(IF((DiscreteStatsTable[GroupByKey]=DiscreteStatsTable[[#This Row],[GroupByKey]]),(DiscreteStatsTable[GroupByKey]=DiscreteStatsTable[[#This Row],[GroupByKey]])*DiscreteStatsTable[Average]))</f>
        <v>1.71891901774247</v>
      </c>
      <c r="T442" s="5" cm="1">
        <f t="array" ref="T442">MIN(IF((DiscreteStatsTable[GroupByKey]=DiscreteStatsTable[[#This Row],[GroupByKey]]),(DiscreteStatsTable[GroupByKey]=DiscreteStatsTable[[#This Row],[GroupByKey]])*DiscreteStatsTable[Minimum]))</f>
        <v>0</v>
      </c>
      <c r="U442" s="5" cm="1">
        <f t="array" ref="U442">MAX(IF((DiscreteStatsTable[GroupByKey]=DiscreteStatsTable[[#This Row],[GroupByKey]]),(DiscreteStatsTable[GroupByKey]=DiscreteStatsTable[[#This Row],[GroupByKey]])*DiscreteStatsTable[Maximum]))</f>
        <v>13.3285940274107</v>
      </c>
      <c r="V442" s="5" cm="1">
        <f t="array" ref="V442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42" s="5">
        <f>IF((DiscreteStatsTable[[#This Row],[RepsRequested]]&gt;1),DiscreteStatsTable[[#This Row],[HalfWidth]],DiscreteStatsTable[[#This Row],[BatchMeansHalfWidth]])</f>
        <v>7.3310977094843424E-2</v>
      </c>
      <c r="X442" s="5" cm="1">
        <f t="array" ref="X442">COUNT(IF((DiscreteStatsTable[GroupByKey]=DiscreteStatsTable[[#This Row],[GroupByKey]]),(DiscreteStatsTable[GroupByKey]=DiscreteStatsTable[[#This Row],[GroupByKey]])*DiscreteStatsTable[Replication]))</f>
        <v>19</v>
      </c>
      <c r="Y442" s="5">
        <f>IF(DiscreteStatsTable[[#This Row],[RepsRequested]]=DiscreteStatsTable[[#This Row],[RepsWithStatObserved]],1,0)</f>
        <v>1</v>
      </c>
    </row>
    <row r="443" spans="1:25" x14ac:dyDescent="0.25">
      <c r="A443" t="s">
        <v>67</v>
      </c>
      <c r="B443" t="s">
        <v>69</v>
      </c>
      <c r="C443">
        <v>8</v>
      </c>
      <c r="D443" t="s">
        <v>103</v>
      </c>
      <c r="E443" t="s">
        <v>88</v>
      </c>
      <c r="F443" t="s">
        <v>86</v>
      </c>
      <c r="G443">
        <v>0.67710120720200795</v>
      </c>
      <c r="H443">
        <v>2E+20</v>
      </c>
      <c r="I443">
        <v>0</v>
      </c>
      <c r="J443">
        <v>3.1900833324625402</v>
      </c>
      <c r="K443">
        <v>136</v>
      </c>
      <c r="L44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compartida)PreparacionWait Time Per EntityProcess</v>
      </c>
      <c r="M443" s="5" cm="1">
        <f t="array" ref="M443">MAX(IF((ProjectInfoTable[ProjectName]=DiscreteStatsTable[[#This Row],[ProjectName]]),(ProjectInfoTable[ProjectName]=DiscreteStatsTable[[#This Row],[ProjectName]])*ProjectInfoTable[NumberOfReplications]))</f>
        <v>19</v>
      </c>
      <c r="N443" s="5" cm="1">
        <f t="array" ref="N443">IFERROR(AVERAGE(IF((DiscreteStatsTable[GroupByKey]=DiscreteStatsTable[[#This Row],[GroupByKey]]),(DiscreteStatsTable[GroupByKey]=DiscreteStatsTable[[#This Row],[GroupByKey]])*DiscreteStatsTable[Average])),0)</f>
        <v>0.70035672369515334</v>
      </c>
      <c r="O443" s="5" cm="1">
        <f t="array" ref="O443">IFERROR(_xlfn.STDEV.S(IF((DiscreteStatsTable[GroupByKey]=DiscreteStatsTable[[#This Row],[GroupByKey]]),(DiscreteStatsTable[GroupByKey]=DiscreteStatsTable[[#This Row],[GroupByKey]])*DiscreteStatsTable[Average])),0)</f>
        <v>0.73328049543419305</v>
      </c>
      <c r="P443" s="5" cm="1">
        <f t="array" ref="P443">MAX(IF((ProjectInfoTable[ProjectName]=DiscreteStatsTable[[#This Row],[ProjectName]]),(ProjectInfoTable[ProjectName]=DiscreteStatsTable[[#This Row],[ProjectName]])*ProjectInfoTable[ConfidenceInterval]))</f>
        <v>0.95</v>
      </c>
      <c r="Q443" s="5">
        <f>IF(AND(DiscreteStatsTable[[#This Row],[RepsWithStatObserved]]=1,Y443=0),200000000000000000000,IFERROR(_xlfn.T.INV.2T(1 -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0.35342988550342119</v>
      </c>
      <c r="R443" s="5" cm="1">
        <f t="array" ref="R443">MIN(IF((DiscreteStatsTable[GroupByKey]=DiscreteStatsTable[[#This Row],[GroupByKey]]),(DiscreteStatsTable[GroupByKey]=DiscreteStatsTable[[#This Row],[GroupByKey]])*DiscreteStatsTable[Average]))</f>
        <v>0.19405440212973199</v>
      </c>
      <c r="S443" s="5" cm="1">
        <f t="array" ref="S443">MAX(IF((DiscreteStatsTable[GroupByKey]=DiscreteStatsTable[[#This Row],[GroupByKey]]),(DiscreteStatsTable[GroupByKey]=DiscreteStatsTable[[#This Row],[GroupByKey]])*DiscreteStatsTable[Average]))</f>
        <v>3.4332474400478601</v>
      </c>
      <c r="T443" s="5" cm="1">
        <f t="array" ref="T443">MIN(IF((DiscreteStatsTable[GroupByKey]=DiscreteStatsTable[[#This Row],[GroupByKey]]),(DiscreteStatsTable[GroupByKey]=DiscreteStatsTable[[#This Row],[GroupByKey]])*DiscreteStatsTable[Minimum]))</f>
        <v>0</v>
      </c>
      <c r="U443" s="5" cm="1">
        <f t="array" ref="U443">MAX(IF((DiscreteStatsTable[GroupByKey]=DiscreteStatsTable[[#This Row],[GroupByKey]]),(DiscreteStatsTable[GroupByKey]=DiscreteStatsTable[[#This Row],[GroupByKey]])*DiscreteStatsTable[Maximum]))</f>
        <v>17.656360512085001</v>
      </c>
      <c r="V443" s="5" cm="1">
        <f t="array" ref="V443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43" s="5">
        <f>IF((DiscreteStatsTable[[#This Row],[RepsRequested]]&gt;1),DiscreteStatsTable[[#This Row],[HalfWidth]],DiscreteStatsTable[[#This Row],[BatchMeansHalfWidth]])</f>
        <v>0.35342988550342119</v>
      </c>
      <c r="X443" s="5" cm="1">
        <f t="array" ref="X443">COUNT(IF((DiscreteStatsTable[GroupByKey]=DiscreteStatsTable[[#This Row],[GroupByKey]]),(DiscreteStatsTable[GroupByKey]=DiscreteStatsTable[[#This Row],[GroupByKey]])*DiscreteStatsTable[Replication]))</f>
        <v>19</v>
      </c>
      <c r="Y443" s="5">
        <f>IF(DiscreteStatsTable[[#This Row],[RepsRequested]]=DiscreteStatsTable[[#This Row],[RepsWithStatObserved]],1,0)</f>
        <v>1</v>
      </c>
    </row>
    <row r="444" spans="1:25" x14ac:dyDescent="0.25">
      <c r="A444" t="s">
        <v>67</v>
      </c>
      <c r="B444" t="s">
        <v>69</v>
      </c>
      <c r="C444">
        <v>9</v>
      </c>
      <c r="D444" t="s">
        <v>103</v>
      </c>
      <c r="E444" t="s">
        <v>85</v>
      </c>
      <c r="F444" t="s">
        <v>86</v>
      </c>
      <c r="G444">
        <v>1.9568442770243399</v>
      </c>
      <c r="H444">
        <v>2E+20</v>
      </c>
      <c r="I444">
        <v>7.0999501424836395E-2</v>
      </c>
      <c r="J444">
        <v>9.1423864715919194</v>
      </c>
      <c r="K444">
        <v>111</v>
      </c>
      <c r="L44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compartida)PreparacionTotal Time Per EntityProcess</v>
      </c>
      <c r="M444" s="5" cm="1">
        <f t="array" ref="M444">MAX(IF((ProjectInfoTable[ProjectName]=DiscreteStatsTable[[#This Row],[ProjectName]]),(ProjectInfoTable[ProjectName]=DiscreteStatsTable[[#This Row],[ProjectName]])*ProjectInfoTable[NumberOfReplications]))</f>
        <v>19</v>
      </c>
      <c r="N444" s="5" cm="1">
        <f t="array" ref="N444">IFERROR(AVERAGE(IF((DiscreteStatsTable[GroupByKey]=DiscreteStatsTable[[#This Row],[GroupByKey]]),(DiscreteStatsTable[GroupByKey]=DiscreteStatsTable[[#This Row],[GroupByKey]])*DiscreteStatsTable[Average])),0)</f>
        <v>2.1273994880359743</v>
      </c>
      <c r="O444" s="5" cm="1">
        <f t="array" ref="O444">IFERROR(_xlfn.STDEV.S(IF((DiscreteStatsTable[GroupByKey]=DiscreteStatsTable[[#This Row],[GroupByKey]]),(DiscreteStatsTable[GroupByKey]=DiscreteStatsTable[[#This Row],[GroupByKey]])*DiscreteStatsTable[Average])),0)</f>
        <v>0.78312872053361837</v>
      </c>
      <c r="P444" s="5" cm="1">
        <f t="array" ref="P444">MAX(IF((ProjectInfoTable[ProjectName]=DiscreteStatsTable[[#This Row],[ProjectName]]),(ProjectInfoTable[ProjectName]=DiscreteStatsTable[[#This Row],[ProjectName]])*ProjectInfoTable[ConfidenceInterval]))</f>
        <v>0.95</v>
      </c>
      <c r="Q444" s="5">
        <f>IF(AND(DiscreteStatsTable[[#This Row],[RepsWithStatObserved]]=1,Y444=0),200000000000000000000,IFERROR(_xlfn.T.INV.2T(1 -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0.37745596092631467</v>
      </c>
      <c r="R444" s="5" cm="1">
        <f t="array" ref="R444">MIN(IF((DiscreteStatsTable[GroupByKey]=DiscreteStatsTable[[#This Row],[GroupByKey]]),(DiscreteStatsTable[GroupByKey]=DiscreteStatsTable[[#This Row],[GroupByKey]])*DiscreteStatsTable[Average]))</f>
        <v>1.4498913227505501</v>
      </c>
      <c r="S444" s="5" cm="1">
        <f t="array" ref="S444">MAX(IF((DiscreteStatsTable[GroupByKey]=DiscreteStatsTable[[#This Row],[GroupByKey]]),(DiscreteStatsTable[GroupByKey]=DiscreteStatsTable[[#This Row],[GroupByKey]])*DiscreteStatsTable[Average]))</f>
        <v>4.8344956063072599</v>
      </c>
      <c r="T444" s="5" cm="1">
        <f t="array" ref="T444">MIN(IF((DiscreteStatsTable[GroupByKey]=DiscreteStatsTable[[#This Row],[GroupByKey]]),(DiscreteStatsTable[GroupByKey]=DiscreteStatsTable[[#This Row],[GroupByKey]])*DiscreteStatsTable[Minimum]))</f>
        <v>0</v>
      </c>
      <c r="U444" s="5" cm="1">
        <f t="array" ref="U444">MAX(IF((DiscreteStatsTable[GroupByKey]=DiscreteStatsTable[[#This Row],[GroupByKey]]),(DiscreteStatsTable[GroupByKey]=DiscreteStatsTable[[#This Row],[GroupByKey]])*DiscreteStatsTable[Maximum]))</f>
        <v>23.229576157810602</v>
      </c>
      <c r="V444" s="5" cm="1">
        <f t="array" ref="V444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44" s="5">
        <f>IF((DiscreteStatsTable[[#This Row],[RepsRequested]]&gt;1),DiscreteStatsTable[[#This Row],[HalfWidth]],DiscreteStatsTable[[#This Row],[BatchMeansHalfWidth]])</f>
        <v>0.37745596092631467</v>
      </c>
      <c r="X444" s="5" cm="1">
        <f t="array" ref="X444">COUNT(IF((DiscreteStatsTable[GroupByKey]=DiscreteStatsTable[[#This Row],[GroupByKey]]),(DiscreteStatsTable[GroupByKey]=DiscreteStatsTable[[#This Row],[GroupByKey]])*DiscreteStatsTable[Replication]))</f>
        <v>19</v>
      </c>
      <c r="Y444" s="5">
        <f>IF(DiscreteStatsTable[[#This Row],[RepsRequested]]=DiscreteStatsTable[[#This Row],[RepsWithStatObserved]],1,0)</f>
        <v>1</v>
      </c>
    </row>
    <row r="445" spans="1:25" x14ac:dyDescent="0.25">
      <c r="A445" t="s">
        <v>67</v>
      </c>
      <c r="B445" t="s">
        <v>69</v>
      </c>
      <c r="C445">
        <v>9</v>
      </c>
      <c r="D445" t="s">
        <v>103</v>
      </c>
      <c r="E445" t="s">
        <v>87</v>
      </c>
      <c r="F445" t="s">
        <v>86</v>
      </c>
      <c r="G445">
        <v>1.5907611520745999</v>
      </c>
      <c r="H445">
        <v>2E+20</v>
      </c>
      <c r="I445">
        <v>7.0999501424836395E-2</v>
      </c>
      <c r="J445">
        <v>8.57990479594622</v>
      </c>
      <c r="K445">
        <v>111</v>
      </c>
      <c r="L44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compartida)PreparacionVA Time Per EntityProcess</v>
      </c>
      <c r="M445" s="5" cm="1">
        <f t="array" ref="M445">MAX(IF((ProjectInfoTable[ProjectName]=DiscreteStatsTable[[#This Row],[ProjectName]]),(ProjectInfoTable[ProjectName]=DiscreteStatsTable[[#This Row],[ProjectName]])*ProjectInfoTable[NumberOfReplications]))</f>
        <v>19</v>
      </c>
      <c r="N445" s="5" cm="1">
        <f t="array" ref="N445">IFERROR(AVERAGE(IF((DiscreteStatsTable[GroupByKey]=DiscreteStatsTable[[#This Row],[GroupByKey]]),(DiscreteStatsTable[GroupByKey]=DiscreteStatsTable[[#This Row],[GroupByKey]])*DiscreteStatsTable[Average])),0)</f>
        <v>1.427042764340821</v>
      </c>
      <c r="O445" s="5" cm="1">
        <f t="array" ref="O445">IFERROR(_xlfn.STDEV.S(IF((DiscreteStatsTable[GroupByKey]=DiscreteStatsTable[[#This Row],[GroupByKey]]),(DiscreteStatsTable[GroupByKey]=DiscreteStatsTable[[#This Row],[GroupByKey]])*DiscreteStatsTable[Average])),0)</f>
        <v>0.15210233149440669</v>
      </c>
      <c r="P445" s="5" cm="1">
        <f t="array" ref="P445">MAX(IF((ProjectInfoTable[ProjectName]=DiscreteStatsTable[[#This Row],[ProjectName]]),(ProjectInfoTable[ProjectName]=DiscreteStatsTable[[#This Row],[ProjectName]])*ProjectInfoTable[ConfidenceInterval]))</f>
        <v>0.95</v>
      </c>
      <c r="Q445" s="5">
        <f>IF(AND(DiscreteStatsTable[[#This Row],[RepsWithStatObserved]]=1,Y445=0),200000000000000000000,IFERROR(_xlfn.T.INV.2T(1 -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7.3310977094843424E-2</v>
      </c>
      <c r="R445" s="5" cm="1">
        <f t="array" ref="R445">MIN(IF((DiscreteStatsTable[GroupByKey]=DiscreteStatsTable[[#This Row],[GroupByKey]]),(DiscreteStatsTable[GroupByKey]=DiscreteStatsTable[[#This Row],[GroupByKey]])*DiscreteStatsTable[Average]))</f>
        <v>1.1889341151258599</v>
      </c>
      <c r="S445" s="5" cm="1">
        <f t="array" ref="S445">MAX(IF((DiscreteStatsTable[GroupByKey]=DiscreteStatsTable[[#This Row],[GroupByKey]]),(DiscreteStatsTable[GroupByKey]=DiscreteStatsTable[[#This Row],[GroupByKey]])*DiscreteStatsTable[Average]))</f>
        <v>1.71891901774247</v>
      </c>
      <c r="T445" s="5" cm="1">
        <f t="array" ref="T445">MIN(IF((DiscreteStatsTable[GroupByKey]=DiscreteStatsTable[[#This Row],[GroupByKey]]),(DiscreteStatsTable[GroupByKey]=DiscreteStatsTable[[#This Row],[GroupByKey]])*DiscreteStatsTable[Minimum]))</f>
        <v>0</v>
      </c>
      <c r="U445" s="5" cm="1">
        <f t="array" ref="U445">MAX(IF((DiscreteStatsTable[GroupByKey]=DiscreteStatsTable[[#This Row],[GroupByKey]]),(DiscreteStatsTable[GroupByKey]=DiscreteStatsTable[[#This Row],[GroupByKey]])*DiscreteStatsTable[Maximum]))</f>
        <v>13.3285940274107</v>
      </c>
      <c r="V445" s="5" cm="1">
        <f t="array" ref="V445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45" s="5">
        <f>IF((DiscreteStatsTable[[#This Row],[RepsRequested]]&gt;1),DiscreteStatsTable[[#This Row],[HalfWidth]],DiscreteStatsTable[[#This Row],[BatchMeansHalfWidth]])</f>
        <v>7.3310977094843424E-2</v>
      </c>
      <c r="X445" s="5" cm="1">
        <f t="array" ref="X445">COUNT(IF((DiscreteStatsTable[GroupByKey]=DiscreteStatsTable[[#This Row],[GroupByKey]]),(DiscreteStatsTable[GroupByKey]=DiscreteStatsTable[[#This Row],[GroupByKey]])*DiscreteStatsTable[Replication]))</f>
        <v>19</v>
      </c>
      <c r="Y445" s="5">
        <f>IF(DiscreteStatsTable[[#This Row],[RepsRequested]]=DiscreteStatsTable[[#This Row],[RepsWithStatObserved]],1,0)</f>
        <v>1</v>
      </c>
    </row>
    <row r="446" spans="1:25" x14ac:dyDescent="0.25">
      <c r="A446" t="s">
        <v>67</v>
      </c>
      <c r="B446" t="s">
        <v>69</v>
      </c>
      <c r="C446">
        <v>9</v>
      </c>
      <c r="D446" t="s">
        <v>103</v>
      </c>
      <c r="E446" t="s">
        <v>88</v>
      </c>
      <c r="F446" t="s">
        <v>86</v>
      </c>
      <c r="G446">
        <v>0.36608312494974399</v>
      </c>
      <c r="H446">
        <v>2E+20</v>
      </c>
      <c r="I446">
        <v>0</v>
      </c>
      <c r="J446">
        <v>3.7641684320137299</v>
      </c>
      <c r="K446">
        <v>111</v>
      </c>
      <c r="L44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compartida)PreparacionWait Time Per EntityProcess</v>
      </c>
      <c r="M446" s="5" cm="1">
        <f t="array" ref="M446">MAX(IF((ProjectInfoTable[ProjectName]=DiscreteStatsTable[[#This Row],[ProjectName]]),(ProjectInfoTable[ProjectName]=DiscreteStatsTable[[#This Row],[ProjectName]])*ProjectInfoTable[NumberOfReplications]))</f>
        <v>19</v>
      </c>
      <c r="N446" s="5" cm="1">
        <f t="array" ref="N446">IFERROR(AVERAGE(IF((DiscreteStatsTable[GroupByKey]=DiscreteStatsTable[[#This Row],[GroupByKey]]),(DiscreteStatsTable[GroupByKey]=DiscreteStatsTable[[#This Row],[GroupByKey]])*DiscreteStatsTable[Average])),0)</f>
        <v>0.70035672369515334</v>
      </c>
      <c r="O446" s="5" cm="1">
        <f t="array" ref="O446">IFERROR(_xlfn.STDEV.S(IF((DiscreteStatsTable[GroupByKey]=DiscreteStatsTable[[#This Row],[GroupByKey]]),(DiscreteStatsTable[GroupByKey]=DiscreteStatsTable[[#This Row],[GroupByKey]])*DiscreteStatsTable[Average])),0)</f>
        <v>0.73328049543419305</v>
      </c>
      <c r="P446" s="5" cm="1">
        <f t="array" ref="P446">MAX(IF((ProjectInfoTable[ProjectName]=DiscreteStatsTable[[#This Row],[ProjectName]]),(ProjectInfoTable[ProjectName]=DiscreteStatsTable[[#This Row],[ProjectName]])*ProjectInfoTable[ConfidenceInterval]))</f>
        <v>0.95</v>
      </c>
      <c r="Q446" s="5">
        <f>IF(AND(DiscreteStatsTable[[#This Row],[RepsWithStatObserved]]=1,Y446=0),200000000000000000000,IFERROR(_xlfn.T.INV.2T(1 -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0.35342988550342119</v>
      </c>
      <c r="R446" s="5" cm="1">
        <f t="array" ref="R446">MIN(IF((DiscreteStatsTable[GroupByKey]=DiscreteStatsTable[[#This Row],[GroupByKey]]),(DiscreteStatsTable[GroupByKey]=DiscreteStatsTable[[#This Row],[GroupByKey]])*DiscreteStatsTable[Average]))</f>
        <v>0.19405440212973199</v>
      </c>
      <c r="S446" s="5" cm="1">
        <f t="array" ref="S446">MAX(IF((DiscreteStatsTable[GroupByKey]=DiscreteStatsTable[[#This Row],[GroupByKey]]),(DiscreteStatsTable[GroupByKey]=DiscreteStatsTable[[#This Row],[GroupByKey]])*DiscreteStatsTable[Average]))</f>
        <v>3.4332474400478601</v>
      </c>
      <c r="T446" s="5" cm="1">
        <f t="array" ref="T446">MIN(IF((DiscreteStatsTable[GroupByKey]=DiscreteStatsTable[[#This Row],[GroupByKey]]),(DiscreteStatsTable[GroupByKey]=DiscreteStatsTable[[#This Row],[GroupByKey]])*DiscreteStatsTable[Minimum]))</f>
        <v>0</v>
      </c>
      <c r="U446" s="5" cm="1">
        <f t="array" ref="U446">MAX(IF((DiscreteStatsTable[GroupByKey]=DiscreteStatsTable[[#This Row],[GroupByKey]]),(DiscreteStatsTable[GroupByKey]=DiscreteStatsTable[[#This Row],[GroupByKey]])*DiscreteStatsTable[Maximum]))</f>
        <v>17.656360512085001</v>
      </c>
      <c r="V446" s="5" cm="1">
        <f t="array" ref="V446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46" s="5">
        <f>IF((DiscreteStatsTable[[#This Row],[RepsRequested]]&gt;1),DiscreteStatsTable[[#This Row],[HalfWidth]],DiscreteStatsTable[[#This Row],[BatchMeansHalfWidth]])</f>
        <v>0.35342988550342119</v>
      </c>
      <c r="X446" s="5" cm="1">
        <f t="array" ref="X446">COUNT(IF((DiscreteStatsTable[GroupByKey]=DiscreteStatsTable[[#This Row],[GroupByKey]]),(DiscreteStatsTable[GroupByKey]=DiscreteStatsTable[[#This Row],[GroupByKey]])*DiscreteStatsTable[Replication]))</f>
        <v>19</v>
      </c>
      <c r="Y446" s="5">
        <f>IF(DiscreteStatsTable[[#This Row],[RepsRequested]]=DiscreteStatsTable[[#This Row],[RepsWithStatObserved]],1,0)</f>
        <v>1</v>
      </c>
    </row>
    <row r="447" spans="1:25" x14ac:dyDescent="0.25">
      <c r="A447" t="s">
        <v>67</v>
      </c>
      <c r="B447" t="s">
        <v>69</v>
      </c>
      <c r="C447">
        <v>10</v>
      </c>
      <c r="D447" t="s">
        <v>103</v>
      </c>
      <c r="E447" t="s">
        <v>85</v>
      </c>
      <c r="F447" t="s">
        <v>86</v>
      </c>
      <c r="G447">
        <v>2.47860657346554</v>
      </c>
      <c r="H447">
        <v>2E+20</v>
      </c>
      <c r="I447">
        <v>0.14115056122463401</v>
      </c>
      <c r="J447">
        <v>11.269242824829499</v>
      </c>
      <c r="K447">
        <v>118</v>
      </c>
      <c r="L44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compartida)PreparacionTotal Time Per EntityProcess</v>
      </c>
      <c r="M447" s="5" cm="1">
        <f t="array" ref="M447">MAX(IF((ProjectInfoTable[ProjectName]=DiscreteStatsTable[[#This Row],[ProjectName]]),(ProjectInfoTable[ProjectName]=DiscreteStatsTable[[#This Row],[ProjectName]])*ProjectInfoTable[NumberOfReplications]))</f>
        <v>19</v>
      </c>
      <c r="N447" s="5" cm="1">
        <f t="array" ref="N447">IFERROR(AVERAGE(IF((DiscreteStatsTable[GroupByKey]=DiscreteStatsTable[[#This Row],[GroupByKey]]),(DiscreteStatsTable[GroupByKey]=DiscreteStatsTable[[#This Row],[GroupByKey]])*DiscreteStatsTable[Average])),0)</f>
        <v>2.1273994880359743</v>
      </c>
      <c r="O447" s="5" cm="1">
        <f t="array" ref="O447">IFERROR(_xlfn.STDEV.S(IF((DiscreteStatsTable[GroupByKey]=DiscreteStatsTable[[#This Row],[GroupByKey]]),(DiscreteStatsTable[GroupByKey]=DiscreteStatsTable[[#This Row],[GroupByKey]])*DiscreteStatsTable[Average])),0)</f>
        <v>0.78312872053361837</v>
      </c>
      <c r="P447" s="5" cm="1">
        <f t="array" ref="P447">MAX(IF((ProjectInfoTable[ProjectName]=DiscreteStatsTable[[#This Row],[ProjectName]]),(ProjectInfoTable[ProjectName]=DiscreteStatsTable[[#This Row],[ProjectName]])*ProjectInfoTable[ConfidenceInterval]))</f>
        <v>0.95</v>
      </c>
      <c r="Q447" s="5">
        <f>IF(AND(DiscreteStatsTable[[#This Row],[RepsWithStatObserved]]=1,Y447=0),200000000000000000000,IFERROR(_xlfn.T.INV.2T(1 -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0.37745596092631467</v>
      </c>
      <c r="R447" s="5" cm="1">
        <f t="array" ref="R447">MIN(IF((DiscreteStatsTable[GroupByKey]=DiscreteStatsTable[[#This Row],[GroupByKey]]),(DiscreteStatsTable[GroupByKey]=DiscreteStatsTable[[#This Row],[GroupByKey]])*DiscreteStatsTable[Average]))</f>
        <v>1.4498913227505501</v>
      </c>
      <c r="S447" s="5" cm="1">
        <f t="array" ref="S447">MAX(IF((DiscreteStatsTable[GroupByKey]=DiscreteStatsTable[[#This Row],[GroupByKey]]),(DiscreteStatsTable[GroupByKey]=DiscreteStatsTable[[#This Row],[GroupByKey]])*DiscreteStatsTable[Average]))</f>
        <v>4.8344956063072599</v>
      </c>
      <c r="T447" s="5" cm="1">
        <f t="array" ref="T447">MIN(IF((DiscreteStatsTable[GroupByKey]=DiscreteStatsTable[[#This Row],[GroupByKey]]),(DiscreteStatsTable[GroupByKey]=DiscreteStatsTable[[#This Row],[GroupByKey]])*DiscreteStatsTable[Minimum]))</f>
        <v>0</v>
      </c>
      <c r="U447" s="5" cm="1">
        <f t="array" ref="U447">MAX(IF((DiscreteStatsTable[GroupByKey]=DiscreteStatsTable[[#This Row],[GroupByKey]]),(DiscreteStatsTable[GroupByKey]=DiscreteStatsTable[[#This Row],[GroupByKey]])*DiscreteStatsTable[Maximum]))</f>
        <v>23.229576157810602</v>
      </c>
      <c r="V447" s="5" cm="1">
        <f t="array" ref="V447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47" s="5">
        <f>IF((DiscreteStatsTable[[#This Row],[RepsRequested]]&gt;1),DiscreteStatsTable[[#This Row],[HalfWidth]],DiscreteStatsTable[[#This Row],[BatchMeansHalfWidth]])</f>
        <v>0.37745596092631467</v>
      </c>
      <c r="X447" s="5" cm="1">
        <f t="array" ref="X447">COUNT(IF((DiscreteStatsTable[GroupByKey]=DiscreteStatsTable[[#This Row],[GroupByKey]]),(DiscreteStatsTable[GroupByKey]=DiscreteStatsTable[[#This Row],[GroupByKey]])*DiscreteStatsTable[Replication]))</f>
        <v>19</v>
      </c>
      <c r="Y447" s="5">
        <f>IF(DiscreteStatsTable[[#This Row],[RepsRequested]]=DiscreteStatsTable[[#This Row],[RepsWithStatObserved]],1,0)</f>
        <v>1</v>
      </c>
    </row>
    <row r="448" spans="1:25" x14ac:dyDescent="0.25">
      <c r="A448" t="s">
        <v>67</v>
      </c>
      <c r="B448" t="s">
        <v>69</v>
      </c>
      <c r="C448">
        <v>10</v>
      </c>
      <c r="D448" t="s">
        <v>103</v>
      </c>
      <c r="E448" t="s">
        <v>87</v>
      </c>
      <c r="F448" t="s">
        <v>86</v>
      </c>
      <c r="G448">
        <v>1.56151686783609</v>
      </c>
      <c r="H448">
        <v>2E+20</v>
      </c>
      <c r="I448">
        <v>0.14115056122463401</v>
      </c>
      <c r="J448">
        <v>10.6883403150057</v>
      </c>
      <c r="K448">
        <v>118</v>
      </c>
      <c r="L44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compartida)PreparacionVA Time Per EntityProcess</v>
      </c>
      <c r="M448" s="5" cm="1">
        <f t="array" ref="M448">MAX(IF((ProjectInfoTable[ProjectName]=DiscreteStatsTable[[#This Row],[ProjectName]]),(ProjectInfoTable[ProjectName]=DiscreteStatsTable[[#This Row],[ProjectName]])*ProjectInfoTable[NumberOfReplications]))</f>
        <v>19</v>
      </c>
      <c r="N448" s="5" cm="1">
        <f t="array" ref="N448">IFERROR(AVERAGE(IF((DiscreteStatsTable[GroupByKey]=DiscreteStatsTable[[#This Row],[GroupByKey]]),(DiscreteStatsTable[GroupByKey]=DiscreteStatsTable[[#This Row],[GroupByKey]])*DiscreteStatsTable[Average])),0)</f>
        <v>1.427042764340821</v>
      </c>
      <c r="O448" s="5" cm="1">
        <f t="array" ref="O448">IFERROR(_xlfn.STDEV.S(IF((DiscreteStatsTable[GroupByKey]=DiscreteStatsTable[[#This Row],[GroupByKey]]),(DiscreteStatsTable[GroupByKey]=DiscreteStatsTable[[#This Row],[GroupByKey]])*DiscreteStatsTable[Average])),0)</f>
        <v>0.15210233149440669</v>
      </c>
      <c r="P448" s="5" cm="1">
        <f t="array" ref="P448">MAX(IF((ProjectInfoTable[ProjectName]=DiscreteStatsTable[[#This Row],[ProjectName]]),(ProjectInfoTable[ProjectName]=DiscreteStatsTable[[#This Row],[ProjectName]])*ProjectInfoTable[ConfidenceInterval]))</f>
        <v>0.95</v>
      </c>
      <c r="Q448" s="5">
        <f>IF(AND(DiscreteStatsTable[[#This Row],[RepsWithStatObserved]]=1,Y448=0),200000000000000000000,IFERROR(_xlfn.T.INV.2T(1 -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7.3310977094843424E-2</v>
      </c>
      <c r="R448" s="5" cm="1">
        <f t="array" ref="R448">MIN(IF((DiscreteStatsTable[GroupByKey]=DiscreteStatsTable[[#This Row],[GroupByKey]]),(DiscreteStatsTable[GroupByKey]=DiscreteStatsTable[[#This Row],[GroupByKey]])*DiscreteStatsTable[Average]))</f>
        <v>1.1889341151258599</v>
      </c>
      <c r="S448" s="5" cm="1">
        <f t="array" ref="S448">MAX(IF((DiscreteStatsTable[GroupByKey]=DiscreteStatsTable[[#This Row],[GroupByKey]]),(DiscreteStatsTable[GroupByKey]=DiscreteStatsTable[[#This Row],[GroupByKey]])*DiscreteStatsTable[Average]))</f>
        <v>1.71891901774247</v>
      </c>
      <c r="T448" s="5" cm="1">
        <f t="array" ref="T448">MIN(IF((DiscreteStatsTable[GroupByKey]=DiscreteStatsTable[[#This Row],[GroupByKey]]),(DiscreteStatsTable[GroupByKey]=DiscreteStatsTable[[#This Row],[GroupByKey]])*DiscreteStatsTable[Minimum]))</f>
        <v>0</v>
      </c>
      <c r="U448" s="5" cm="1">
        <f t="array" ref="U448">MAX(IF((DiscreteStatsTable[GroupByKey]=DiscreteStatsTable[[#This Row],[GroupByKey]]),(DiscreteStatsTable[GroupByKey]=DiscreteStatsTable[[#This Row],[GroupByKey]])*DiscreteStatsTable[Maximum]))</f>
        <v>13.3285940274107</v>
      </c>
      <c r="V448" s="5" cm="1">
        <f t="array" ref="V448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48" s="5">
        <f>IF((DiscreteStatsTable[[#This Row],[RepsRequested]]&gt;1),DiscreteStatsTable[[#This Row],[HalfWidth]],DiscreteStatsTable[[#This Row],[BatchMeansHalfWidth]])</f>
        <v>7.3310977094843424E-2</v>
      </c>
      <c r="X448" s="5" cm="1">
        <f t="array" ref="X448">COUNT(IF((DiscreteStatsTable[GroupByKey]=DiscreteStatsTable[[#This Row],[GroupByKey]]),(DiscreteStatsTable[GroupByKey]=DiscreteStatsTable[[#This Row],[GroupByKey]])*DiscreteStatsTable[Replication]))</f>
        <v>19</v>
      </c>
      <c r="Y448" s="5">
        <f>IF(DiscreteStatsTable[[#This Row],[RepsRequested]]=DiscreteStatsTable[[#This Row],[RepsWithStatObserved]],1,0)</f>
        <v>1</v>
      </c>
    </row>
    <row r="449" spans="1:25" x14ac:dyDescent="0.25">
      <c r="A449" t="s">
        <v>67</v>
      </c>
      <c r="B449" t="s">
        <v>69</v>
      </c>
      <c r="C449">
        <v>10</v>
      </c>
      <c r="D449" t="s">
        <v>103</v>
      </c>
      <c r="E449" t="s">
        <v>88</v>
      </c>
      <c r="F449" t="s">
        <v>86</v>
      </c>
      <c r="G449">
        <v>0.91708970562945302</v>
      </c>
      <c r="H449">
        <v>2E+20</v>
      </c>
      <c r="I449">
        <v>0</v>
      </c>
      <c r="J449">
        <v>5.9915292249323198</v>
      </c>
      <c r="K449">
        <v>118</v>
      </c>
      <c r="L44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compartida)PreparacionWait Time Per EntityProcess</v>
      </c>
      <c r="M449" s="5" cm="1">
        <f t="array" ref="M449">MAX(IF((ProjectInfoTable[ProjectName]=DiscreteStatsTable[[#This Row],[ProjectName]]),(ProjectInfoTable[ProjectName]=DiscreteStatsTable[[#This Row],[ProjectName]])*ProjectInfoTable[NumberOfReplications]))</f>
        <v>19</v>
      </c>
      <c r="N449" s="5" cm="1">
        <f t="array" ref="N449">IFERROR(AVERAGE(IF((DiscreteStatsTable[GroupByKey]=DiscreteStatsTable[[#This Row],[GroupByKey]]),(DiscreteStatsTable[GroupByKey]=DiscreteStatsTable[[#This Row],[GroupByKey]])*DiscreteStatsTable[Average])),0)</f>
        <v>0.70035672369515334</v>
      </c>
      <c r="O449" s="5" cm="1">
        <f t="array" ref="O449">IFERROR(_xlfn.STDEV.S(IF((DiscreteStatsTable[GroupByKey]=DiscreteStatsTable[[#This Row],[GroupByKey]]),(DiscreteStatsTable[GroupByKey]=DiscreteStatsTable[[#This Row],[GroupByKey]])*DiscreteStatsTable[Average])),0)</f>
        <v>0.73328049543419305</v>
      </c>
      <c r="P449" s="5" cm="1">
        <f t="array" ref="P449">MAX(IF((ProjectInfoTable[ProjectName]=DiscreteStatsTable[[#This Row],[ProjectName]]),(ProjectInfoTable[ProjectName]=DiscreteStatsTable[[#This Row],[ProjectName]])*ProjectInfoTable[ConfidenceInterval]))</f>
        <v>0.95</v>
      </c>
      <c r="Q449" s="5">
        <f>IF(AND(DiscreteStatsTable[[#This Row],[RepsWithStatObserved]]=1,Y449=0),200000000000000000000,IFERROR(_xlfn.T.INV.2T(1 -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0.35342988550342119</v>
      </c>
      <c r="R449" s="5" cm="1">
        <f t="array" ref="R449">MIN(IF((DiscreteStatsTable[GroupByKey]=DiscreteStatsTable[[#This Row],[GroupByKey]]),(DiscreteStatsTable[GroupByKey]=DiscreteStatsTable[[#This Row],[GroupByKey]])*DiscreteStatsTable[Average]))</f>
        <v>0.19405440212973199</v>
      </c>
      <c r="S449" s="5" cm="1">
        <f t="array" ref="S449">MAX(IF((DiscreteStatsTable[GroupByKey]=DiscreteStatsTable[[#This Row],[GroupByKey]]),(DiscreteStatsTable[GroupByKey]=DiscreteStatsTable[[#This Row],[GroupByKey]])*DiscreteStatsTable[Average]))</f>
        <v>3.4332474400478601</v>
      </c>
      <c r="T449" s="5" cm="1">
        <f t="array" ref="T449">MIN(IF((DiscreteStatsTable[GroupByKey]=DiscreteStatsTable[[#This Row],[GroupByKey]]),(DiscreteStatsTable[GroupByKey]=DiscreteStatsTable[[#This Row],[GroupByKey]])*DiscreteStatsTable[Minimum]))</f>
        <v>0</v>
      </c>
      <c r="U449" s="5" cm="1">
        <f t="array" ref="U449">MAX(IF((DiscreteStatsTable[GroupByKey]=DiscreteStatsTable[[#This Row],[GroupByKey]]),(DiscreteStatsTable[GroupByKey]=DiscreteStatsTable[[#This Row],[GroupByKey]])*DiscreteStatsTable[Maximum]))</f>
        <v>17.656360512085001</v>
      </c>
      <c r="V449" s="5" cm="1">
        <f t="array" ref="V449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49" s="5">
        <f>IF((DiscreteStatsTable[[#This Row],[RepsRequested]]&gt;1),DiscreteStatsTable[[#This Row],[HalfWidth]],DiscreteStatsTable[[#This Row],[BatchMeansHalfWidth]])</f>
        <v>0.35342988550342119</v>
      </c>
      <c r="X449" s="5" cm="1">
        <f t="array" ref="X449">COUNT(IF((DiscreteStatsTable[GroupByKey]=DiscreteStatsTable[[#This Row],[GroupByKey]]),(DiscreteStatsTable[GroupByKey]=DiscreteStatsTable[[#This Row],[GroupByKey]])*DiscreteStatsTable[Replication]))</f>
        <v>19</v>
      </c>
      <c r="Y449" s="5">
        <f>IF(DiscreteStatsTable[[#This Row],[RepsRequested]]=DiscreteStatsTable[[#This Row],[RepsWithStatObserved]],1,0)</f>
        <v>1</v>
      </c>
    </row>
    <row r="450" spans="1:25" x14ac:dyDescent="0.25">
      <c r="A450" t="s">
        <v>67</v>
      </c>
      <c r="B450" t="s">
        <v>69</v>
      </c>
      <c r="C450">
        <v>11</v>
      </c>
      <c r="D450" t="s">
        <v>103</v>
      </c>
      <c r="E450" t="s">
        <v>85</v>
      </c>
      <c r="F450" t="s">
        <v>86</v>
      </c>
      <c r="G450">
        <v>2.0055349433787599</v>
      </c>
      <c r="H450">
        <v>2E+20</v>
      </c>
      <c r="I450">
        <v>6.3257868254424907E-2</v>
      </c>
      <c r="J450">
        <v>14.139688672061</v>
      </c>
      <c r="K450">
        <v>116</v>
      </c>
      <c r="L45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compartida)PreparacionTotal Time Per EntityProcess</v>
      </c>
      <c r="M450" s="5" cm="1">
        <f t="array" ref="M450">MAX(IF((ProjectInfoTable[ProjectName]=DiscreteStatsTable[[#This Row],[ProjectName]]),(ProjectInfoTable[ProjectName]=DiscreteStatsTable[[#This Row],[ProjectName]])*ProjectInfoTable[NumberOfReplications]))</f>
        <v>19</v>
      </c>
      <c r="N450" s="5" cm="1">
        <f t="array" ref="N450">IFERROR(AVERAGE(IF((DiscreteStatsTable[GroupByKey]=DiscreteStatsTable[[#This Row],[GroupByKey]]),(DiscreteStatsTable[GroupByKey]=DiscreteStatsTable[[#This Row],[GroupByKey]])*DiscreteStatsTable[Average])),0)</f>
        <v>2.1273994880359743</v>
      </c>
      <c r="O450" s="5" cm="1">
        <f t="array" ref="O450">IFERROR(_xlfn.STDEV.S(IF((DiscreteStatsTable[GroupByKey]=DiscreteStatsTable[[#This Row],[GroupByKey]]),(DiscreteStatsTable[GroupByKey]=DiscreteStatsTable[[#This Row],[GroupByKey]])*DiscreteStatsTable[Average])),0)</f>
        <v>0.78312872053361837</v>
      </c>
      <c r="P450" s="5" cm="1">
        <f t="array" ref="P450">MAX(IF((ProjectInfoTable[ProjectName]=DiscreteStatsTable[[#This Row],[ProjectName]]),(ProjectInfoTable[ProjectName]=DiscreteStatsTable[[#This Row],[ProjectName]])*ProjectInfoTable[ConfidenceInterval]))</f>
        <v>0.95</v>
      </c>
      <c r="Q450" s="5">
        <f>IF(AND(DiscreteStatsTable[[#This Row],[RepsWithStatObserved]]=1,Y450=0),200000000000000000000,IFERROR(_xlfn.T.INV.2T(1 -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0.37745596092631467</v>
      </c>
      <c r="R450" s="5" cm="1">
        <f t="array" ref="R450">MIN(IF((DiscreteStatsTable[GroupByKey]=DiscreteStatsTable[[#This Row],[GroupByKey]]),(DiscreteStatsTable[GroupByKey]=DiscreteStatsTable[[#This Row],[GroupByKey]])*DiscreteStatsTable[Average]))</f>
        <v>1.4498913227505501</v>
      </c>
      <c r="S450" s="5" cm="1">
        <f t="array" ref="S450">MAX(IF((DiscreteStatsTable[GroupByKey]=DiscreteStatsTable[[#This Row],[GroupByKey]]),(DiscreteStatsTable[GroupByKey]=DiscreteStatsTable[[#This Row],[GroupByKey]])*DiscreteStatsTable[Average]))</f>
        <v>4.8344956063072599</v>
      </c>
      <c r="T450" s="5" cm="1">
        <f t="array" ref="T450">MIN(IF((DiscreteStatsTable[GroupByKey]=DiscreteStatsTable[[#This Row],[GroupByKey]]),(DiscreteStatsTable[GroupByKey]=DiscreteStatsTable[[#This Row],[GroupByKey]])*DiscreteStatsTable[Minimum]))</f>
        <v>0</v>
      </c>
      <c r="U450" s="5" cm="1">
        <f t="array" ref="U450">MAX(IF((DiscreteStatsTable[GroupByKey]=DiscreteStatsTable[[#This Row],[GroupByKey]]),(DiscreteStatsTable[GroupByKey]=DiscreteStatsTable[[#This Row],[GroupByKey]])*DiscreteStatsTable[Maximum]))</f>
        <v>23.229576157810602</v>
      </c>
      <c r="V450" s="5" cm="1">
        <f t="array" ref="V450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50" s="5">
        <f>IF((DiscreteStatsTable[[#This Row],[RepsRequested]]&gt;1),DiscreteStatsTable[[#This Row],[HalfWidth]],DiscreteStatsTable[[#This Row],[BatchMeansHalfWidth]])</f>
        <v>0.37745596092631467</v>
      </c>
      <c r="X450" s="5" cm="1">
        <f t="array" ref="X450">COUNT(IF((DiscreteStatsTable[GroupByKey]=DiscreteStatsTable[[#This Row],[GroupByKey]]),(DiscreteStatsTable[GroupByKey]=DiscreteStatsTable[[#This Row],[GroupByKey]])*DiscreteStatsTable[Replication]))</f>
        <v>19</v>
      </c>
      <c r="Y450" s="5">
        <f>IF(DiscreteStatsTable[[#This Row],[RepsRequested]]=DiscreteStatsTable[[#This Row],[RepsWithStatObserved]],1,0)</f>
        <v>1</v>
      </c>
    </row>
    <row r="451" spans="1:25" x14ac:dyDescent="0.25">
      <c r="A451" t="s">
        <v>67</v>
      </c>
      <c r="B451" t="s">
        <v>69</v>
      </c>
      <c r="C451">
        <v>11</v>
      </c>
      <c r="D451" t="s">
        <v>103</v>
      </c>
      <c r="E451" t="s">
        <v>87</v>
      </c>
      <c r="F451" t="s">
        <v>86</v>
      </c>
      <c r="G451">
        <v>1.40321309110507</v>
      </c>
      <c r="H451">
        <v>2E+20</v>
      </c>
      <c r="I451">
        <v>6.3257868254424907E-2</v>
      </c>
      <c r="J451">
        <v>13.3285940274107</v>
      </c>
      <c r="K451">
        <v>116</v>
      </c>
      <c r="L45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compartida)PreparacionVA Time Per EntityProcess</v>
      </c>
      <c r="M451" s="5" cm="1">
        <f t="array" ref="M451">MAX(IF((ProjectInfoTable[ProjectName]=DiscreteStatsTable[[#This Row],[ProjectName]]),(ProjectInfoTable[ProjectName]=DiscreteStatsTable[[#This Row],[ProjectName]])*ProjectInfoTable[NumberOfReplications]))</f>
        <v>19</v>
      </c>
      <c r="N451" s="5" cm="1">
        <f t="array" ref="N451">IFERROR(AVERAGE(IF((DiscreteStatsTable[GroupByKey]=DiscreteStatsTable[[#This Row],[GroupByKey]]),(DiscreteStatsTable[GroupByKey]=DiscreteStatsTable[[#This Row],[GroupByKey]])*DiscreteStatsTable[Average])),0)</f>
        <v>1.427042764340821</v>
      </c>
      <c r="O451" s="5" cm="1">
        <f t="array" ref="O451">IFERROR(_xlfn.STDEV.S(IF((DiscreteStatsTable[GroupByKey]=DiscreteStatsTable[[#This Row],[GroupByKey]]),(DiscreteStatsTable[GroupByKey]=DiscreteStatsTable[[#This Row],[GroupByKey]])*DiscreteStatsTable[Average])),0)</f>
        <v>0.15210233149440669</v>
      </c>
      <c r="P451" s="5" cm="1">
        <f t="array" ref="P451">MAX(IF((ProjectInfoTable[ProjectName]=DiscreteStatsTable[[#This Row],[ProjectName]]),(ProjectInfoTable[ProjectName]=DiscreteStatsTable[[#This Row],[ProjectName]])*ProjectInfoTable[ConfidenceInterval]))</f>
        <v>0.95</v>
      </c>
      <c r="Q451" s="5">
        <f>IF(AND(DiscreteStatsTable[[#This Row],[RepsWithStatObserved]]=1,Y451=0),200000000000000000000,IFERROR(_xlfn.T.INV.2T(1 -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7.3310977094843424E-2</v>
      </c>
      <c r="R451" s="5" cm="1">
        <f t="array" ref="R451">MIN(IF((DiscreteStatsTable[GroupByKey]=DiscreteStatsTable[[#This Row],[GroupByKey]]),(DiscreteStatsTable[GroupByKey]=DiscreteStatsTable[[#This Row],[GroupByKey]])*DiscreteStatsTable[Average]))</f>
        <v>1.1889341151258599</v>
      </c>
      <c r="S451" s="5" cm="1">
        <f t="array" ref="S451">MAX(IF((DiscreteStatsTable[GroupByKey]=DiscreteStatsTable[[#This Row],[GroupByKey]]),(DiscreteStatsTable[GroupByKey]=DiscreteStatsTable[[#This Row],[GroupByKey]])*DiscreteStatsTable[Average]))</f>
        <v>1.71891901774247</v>
      </c>
      <c r="T451" s="5" cm="1">
        <f t="array" ref="T451">MIN(IF((DiscreteStatsTable[GroupByKey]=DiscreteStatsTable[[#This Row],[GroupByKey]]),(DiscreteStatsTable[GroupByKey]=DiscreteStatsTable[[#This Row],[GroupByKey]])*DiscreteStatsTable[Minimum]))</f>
        <v>0</v>
      </c>
      <c r="U451" s="5" cm="1">
        <f t="array" ref="U451">MAX(IF((DiscreteStatsTable[GroupByKey]=DiscreteStatsTable[[#This Row],[GroupByKey]]),(DiscreteStatsTable[GroupByKey]=DiscreteStatsTable[[#This Row],[GroupByKey]])*DiscreteStatsTable[Maximum]))</f>
        <v>13.3285940274107</v>
      </c>
      <c r="V451" s="5" cm="1">
        <f t="array" ref="V451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51" s="5">
        <f>IF((DiscreteStatsTable[[#This Row],[RepsRequested]]&gt;1),DiscreteStatsTable[[#This Row],[HalfWidth]],DiscreteStatsTable[[#This Row],[BatchMeansHalfWidth]])</f>
        <v>7.3310977094843424E-2</v>
      </c>
      <c r="X451" s="5" cm="1">
        <f t="array" ref="X451">COUNT(IF((DiscreteStatsTable[GroupByKey]=DiscreteStatsTable[[#This Row],[GroupByKey]]),(DiscreteStatsTable[GroupByKey]=DiscreteStatsTable[[#This Row],[GroupByKey]])*DiscreteStatsTable[Replication]))</f>
        <v>19</v>
      </c>
      <c r="Y451" s="5">
        <f>IF(DiscreteStatsTable[[#This Row],[RepsRequested]]=DiscreteStatsTable[[#This Row],[RepsWithStatObserved]],1,0)</f>
        <v>1</v>
      </c>
    </row>
    <row r="452" spans="1:25" x14ac:dyDescent="0.25">
      <c r="A452" t="s">
        <v>67</v>
      </c>
      <c r="B452" t="s">
        <v>69</v>
      </c>
      <c r="C452">
        <v>11</v>
      </c>
      <c r="D452" t="s">
        <v>103</v>
      </c>
      <c r="E452" t="s">
        <v>88</v>
      </c>
      <c r="F452" t="s">
        <v>86</v>
      </c>
      <c r="G452">
        <v>0.60232185227368795</v>
      </c>
      <c r="H452">
        <v>2E+20</v>
      </c>
      <c r="I452">
        <v>0</v>
      </c>
      <c r="J452">
        <v>6.8137213811786799</v>
      </c>
      <c r="K452">
        <v>116</v>
      </c>
      <c r="L45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compartida)PreparacionWait Time Per EntityProcess</v>
      </c>
      <c r="M452" s="5" cm="1">
        <f t="array" ref="M452">MAX(IF((ProjectInfoTable[ProjectName]=DiscreteStatsTable[[#This Row],[ProjectName]]),(ProjectInfoTable[ProjectName]=DiscreteStatsTable[[#This Row],[ProjectName]])*ProjectInfoTable[NumberOfReplications]))</f>
        <v>19</v>
      </c>
      <c r="N452" s="5" cm="1">
        <f t="array" ref="N452">IFERROR(AVERAGE(IF((DiscreteStatsTable[GroupByKey]=DiscreteStatsTable[[#This Row],[GroupByKey]]),(DiscreteStatsTable[GroupByKey]=DiscreteStatsTable[[#This Row],[GroupByKey]])*DiscreteStatsTable[Average])),0)</f>
        <v>0.70035672369515334</v>
      </c>
      <c r="O452" s="5" cm="1">
        <f t="array" ref="O452">IFERROR(_xlfn.STDEV.S(IF((DiscreteStatsTable[GroupByKey]=DiscreteStatsTable[[#This Row],[GroupByKey]]),(DiscreteStatsTable[GroupByKey]=DiscreteStatsTable[[#This Row],[GroupByKey]])*DiscreteStatsTable[Average])),0)</f>
        <v>0.73328049543419305</v>
      </c>
      <c r="P452" s="5" cm="1">
        <f t="array" ref="P452">MAX(IF((ProjectInfoTable[ProjectName]=DiscreteStatsTable[[#This Row],[ProjectName]]),(ProjectInfoTable[ProjectName]=DiscreteStatsTable[[#This Row],[ProjectName]])*ProjectInfoTable[ConfidenceInterval]))</f>
        <v>0.95</v>
      </c>
      <c r="Q452" s="5">
        <f>IF(AND(DiscreteStatsTable[[#This Row],[RepsWithStatObserved]]=1,Y452=0),200000000000000000000,IFERROR(_xlfn.T.INV.2T(1 -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0.35342988550342119</v>
      </c>
      <c r="R452" s="5" cm="1">
        <f t="array" ref="R452">MIN(IF((DiscreteStatsTable[GroupByKey]=DiscreteStatsTable[[#This Row],[GroupByKey]]),(DiscreteStatsTable[GroupByKey]=DiscreteStatsTable[[#This Row],[GroupByKey]])*DiscreteStatsTable[Average]))</f>
        <v>0.19405440212973199</v>
      </c>
      <c r="S452" s="5" cm="1">
        <f t="array" ref="S452">MAX(IF((DiscreteStatsTable[GroupByKey]=DiscreteStatsTable[[#This Row],[GroupByKey]]),(DiscreteStatsTable[GroupByKey]=DiscreteStatsTable[[#This Row],[GroupByKey]])*DiscreteStatsTable[Average]))</f>
        <v>3.4332474400478601</v>
      </c>
      <c r="T452" s="5" cm="1">
        <f t="array" ref="T452">MIN(IF((DiscreteStatsTable[GroupByKey]=DiscreteStatsTable[[#This Row],[GroupByKey]]),(DiscreteStatsTable[GroupByKey]=DiscreteStatsTable[[#This Row],[GroupByKey]])*DiscreteStatsTable[Minimum]))</f>
        <v>0</v>
      </c>
      <c r="U452" s="5" cm="1">
        <f t="array" ref="U452">MAX(IF((DiscreteStatsTable[GroupByKey]=DiscreteStatsTable[[#This Row],[GroupByKey]]),(DiscreteStatsTable[GroupByKey]=DiscreteStatsTable[[#This Row],[GroupByKey]])*DiscreteStatsTable[Maximum]))</f>
        <v>17.656360512085001</v>
      </c>
      <c r="V452" s="5" cm="1">
        <f t="array" ref="V452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52" s="5">
        <f>IF((DiscreteStatsTable[[#This Row],[RepsRequested]]&gt;1),DiscreteStatsTable[[#This Row],[HalfWidth]],DiscreteStatsTable[[#This Row],[BatchMeansHalfWidth]])</f>
        <v>0.35342988550342119</v>
      </c>
      <c r="X452" s="5" cm="1">
        <f t="array" ref="X452">COUNT(IF((DiscreteStatsTable[GroupByKey]=DiscreteStatsTable[[#This Row],[GroupByKey]]),(DiscreteStatsTable[GroupByKey]=DiscreteStatsTable[[#This Row],[GroupByKey]])*DiscreteStatsTable[Replication]))</f>
        <v>19</v>
      </c>
      <c r="Y452" s="5">
        <f>IF(DiscreteStatsTable[[#This Row],[RepsRequested]]=DiscreteStatsTable[[#This Row],[RepsWithStatObserved]],1,0)</f>
        <v>1</v>
      </c>
    </row>
    <row r="453" spans="1:25" x14ac:dyDescent="0.25">
      <c r="A453" t="s">
        <v>67</v>
      </c>
      <c r="B453" t="s">
        <v>69</v>
      </c>
      <c r="C453">
        <v>12</v>
      </c>
      <c r="D453" t="s">
        <v>103</v>
      </c>
      <c r="E453" t="s">
        <v>85</v>
      </c>
      <c r="F453" t="s">
        <v>86</v>
      </c>
      <c r="G453">
        <v>2.2655097482181499</v>
      </c>
      <c r="H453">
        <v>2E+20</v>
      </c>
      <c r="I453">
        <v>0.12166669375599801</v>
      </c>
      <c r="J453">
        <v>12.6988479536298</v>
      </c>
      <c r="K453">
        <v>119</v>
      </c>
      <c r="L45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compartida)PreparacionTotal Time Per EntityProcess</v>
      </c>
      <c r="M453" s="5" cm="1">
        <f t="array" ref="M453">MAX(IF((ProjectInfoTable[ProjectName]=DiscreteStatsTable[[#This Row],[ProjectName]]),(ProjectInfoTable[ProjectName]=DiscreteStatsTable[[#This Row],[ProjectName]])*ProjectInfoTable[NumberOfReplications]))</f>
        <v>19</v>
      </c>
      <c r="N453" s="5" cm="1">
        <f t="array" ref="N453">IFERROR(AVERAGE(IF((DiscreteStatsTable[GroupByKey]=DiscreteStatsTable[[#This Row],[GroupByKey]]),(DiscreteStatsTable[GroupByKey]=DiscreteStatsTable[[#This Row],[GroupByKey]])*DiscreteStatsTable[Average])),0)</f>
        <v>2.1273994880359743</v>
      </c>
      <c r="O453" s="5" cm="1">
        <f t="array" ref="O453">IFERROR(_xlfn.STDEV.S(IF((DiscreteStatsTable[GroupByKey]=DiscreteStatsTable[[#This Row],[GroupByKey]]),(DiscreteStatsTable[GroupByKey]=DiscreteStatsTable[[#This Row],[GroupByKey]])*DiscreteStatsTable[Average])),0)</f>
        <v>0.78312872053361837</v>
      </c>
      <c r="P453" s="5" cm="1">
        <f t="array" ref="P453">MAX(IF((ProjectInfoTable[ProjectName]=DiscreteStatsTable[[#This Row],[ProjectName]]),(ProjectInfoTable[ProjectName]=DiscreteStatsTable[[#This Row],[ProjectName]])*ProjectInfoTable[ConfidenceInterval]))</f>
        <v>0.95</v>
      </c>
      <c r="Q453" s="5">
        <f>IF(AND(DiscreteStatsTable[[#This Row],[RepsWithStatObserved]]=1,Y453=0),200000000000000000000,IFERROR(_xlfn.T.INV.2T(1 -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0.37745596092631467</v>
      </c>
      <c r="R453" s="5" cm="1">
        <f t="array" ref="R453">MIN(IF((DiscreteStatsTable[GroupByKey]=DiscreteStatsTable[[#This Row],[GroupByKey]]),(DiscreteStatsTable[GroupByKey]=DiscreteStatsTable[[#This Row],[GroupByKey]])*DiscreteStatsTable[Average]))</f>
        <v>1.4498913227505501</v>
      </c>
      <c r="S453" s="5" cm="1">
        <f t="array" ref="S453">MAX(IF((DiscreteStatsTable[GroupByKey]=DiscreteStatsTable[[#This Row],[GroupByKey]]),(DiscreteStatsTable[GroupByKey]=DiscreteStatsTable[[#This Row],[GroupByKey]])*DiscreteStatsTable[Average]))</f>
        <v>4.8344956063072599</v>
      </c>
      <c r="T453" s="5" cm="1">
        <f t="array" ref="T453">MIN(IF((DiscreteStatsTable[GroupByKey]=DiscreteStatsTable[[#This Row],[GroupByKey]]),(DiscreteStatsTable[GroupByKey]=DiscreteStatsTable[[#This Row],[GroupByKey]])*DiscreteStatsTable[Minimum]))</f>
        <v>0</v>
      </c>
      <c r="U453" s="5" cm="1">
        <f t="array" ref="U453">MAX(IF((DiscreteStatsTable[GroupByKey]=DiscreteStatsTable[[#This Row],[GroupByKey]]),(DiscreteStatsTable[GroupByKey]=DiscreteStatsTable[[#This Row],[GroupByKey]])*DiscreteStatsTable[Maximum]))</f>
        <v>23.229576157810602</v>
      </c>
      <c r="V453" s="5" cm="1">
        <f t="array" ref="V453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53" s="5">
        <f>IF((DiscreteStatsTable[[#This Row],[RepsRequested]]&gt;1),DiscreteStatsTable[[#This Row],[HalfWidth]],DiscreteStatsTable[[#This Row],[BatchMeansHalfWidth]])</f>
        <v>0.37745596092631467</v>
      </c>
      <c r="X453" s="5" cm="1">
        <f t="array" ref="X453">COUNT(IF((DiscreteStatsTable[GroupByKey]=DiscreteStatsTable[[#This Row],[GroupByKey]]),(DiscreteStatsTable[GroupByKey]=DiscreteStatsTable[[#This Row],[GroupByKey]])*DiscreteStatsTable[Replication]))</f>
        <v>19</v>
      </c>
      <c r="Y453" s="5">
        <f>IF(DiscreteStatsTable[[#This Row],[RepsRequested]]=DiscreteStatsTable[[#This Row],[RepsWithStatObserved]],1,0)</f>
        <v>1</v>
      </c>
    </row>
    <row r="454" spans="1:25" x14ac:dyDescent="0.25">
      <c r="A454" t="s">
        <v>67</v>
      </c>
      <c r="B454" t="s">
        <v>69</v>
      </c>
      <c r="C454">
        <v>12</v>
      </c>
      <c r="D454" t="s">
        <v>103</v>
      </c>
      <c r="E454" t="s">
        <v>87</v>
      </c>
      <c r="F454" t="s">
        <v>86</v>
      </c>
      <c r="G454">
        <v>1.48653798609683</v>
      </c>
      <c r="H454">
        <v>2E+20</v>
      </c>
      <c r="I454">
        <v>0.104467793621836</v>
      </c>
      <c r="J454">
        <v>9.46533050877356</v>
      </c>
      <c r="K454">
        <v>119</v>
      </c>
      <c r="L45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compartida)PreparacionVA Time Per EntityProcess</v>
      </c>
      <c r="M454" s="5" cm="1">
        <f t="array" ref="M454">MAX(IF((ProjectInfoTable[ProjectName]=DiscreteStatsTable[[#This Row],[ProjectName]]),(ProjectInfoTable[ProjectName]=DiscreteStatsTable[[#This Row],[ProjectName]])*ProjectInfoTable[NumberOfReplications]))</f>
        <v>19</v>
      </c>
      <c r="N454" s="5" cm="1">
        <f t="array" ref="N454">IFERROR(AVERAGE(IF((DiscreteStatsTable[GroupByKey]=DiscreteStatsTable[[#This Row],[GroupByKey]]),(DiscreteStatsTable[GroupByKey]=DiscreteStatsTable[[#This Row],[GroupByKey]])*DiscreteStatsTable[Average])),0)</f>
        <v>1.427042764340821</v>
      </c>
      <c r="O454" s="5" cm="1">
        <f t="array" ref="O454">IFERROR(_xlfn.STDEV.S(IF((DiscreteStatsTable[GroupByKey]=DiscreteStatsTable[[#This Row],[GroupByKey]]),(DiscreteStatsTable[GroupByKey]=DiscreteStatsTable[[#This Row],[GroupByKey]])*DiscreteStatsTable[Average])),0)</f>
        <v>0.15210233149440669</v>
      </c>
      <c r="P454" s="5" cm="1">
        <f t="array" ref="P454">MAX(IF((ProjectInfoTable[ProjectName]=DiscreteStatsTable[[#This Row],[ProjectName]]),(ProjectInfoTable[ProjectName]=DiscreteStatsTable[[#This Row],[ProjectName]])*ProjectInfoTable[ConfidenceInterval]))</f>
        <v>0.95</v>
      </c>
      <c r="Q454" s="5">
        <f>IF(AND(DiscreteStatsTable[[#This Row],[RepsWithStatObserved]]=1,Y454=0),200000000000000000000,IFERROR(_xlfn.T.INV.2T(1 -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7.3310977094843424E-2</v>
      </c>
      <c r="R454" s="5" cm="1">
        <f t="array" ref="R454">MIN(IF((DiscreteStatsTable[GroupByKey]=DiscreteStatsTable[[#This Row],[GroupByKey]]),(DiscreteStatsTable[GroupByKey]=DiscreteStatsTable[[#This Row],[GroupByKey]])*DiscreteStatsTable[Average]))</f>
        <v>1.1889341151258599</v>
      </c>
      <c r="S454" s="5" cm="1">
        <f t="array" ref="S454">MAX(IF((DiscreteStatsTable[GroupByKey]=DiscreteStatsTable[[#This Row],[GroupByKey]]),(DiscreteStatsTable[GroupByKey]=DiscreteStatsTable[[#This Row],[GroupByKey]])*DiscreteStatsTable[Average]))</f>
        <v>1.71891901774247</v>
      </c>
      <c r="T454" s="5" cm="1">
        <f t="array" ref="T454">MIN(IF((DiscreteStatsTable[GroupByKey]=DiscreteStatsTable[[#This Row],[GroupByKey]]),(DiscreteStatsTable[GroupByKey]=DiscreteStatsTable[[#This Row],[GroupByKey]])*DiscreteStatsTable[Minimum]))</f>
        <v>0</v>
      </c>
      <c r="U454" s="5" cm="1">
        <f t="array" ref="U454">MAX(IF((DiscreteStatsTable[GroupByKey]=DiscreteStatsTable[[#This Row],[GroupByKey]]),(DiscreteStatsTable[GroupByKey]=DiscreteStatsTable[[#This Row],[GroupByKey]])*DiscreteStatsTable[Maximum]))</f>
        <v>13.3285940274107</v>
      </c>
      <c r="V454" s="5" cm="1">
        <f t="array" ref="V454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54" s="5">
        <f>IF((DiscreteStatsTable[[#This Row],[RepsRequested]]&gt;1),DiscreteStatsTable[[#This Row],[HalfWidth]],DiscreteStatsTable[[#This Row],[BatchMeansHalfWidth]])</f>
        <v>7.3310977094843424E-2</v>
      </c>
      <c r="X454" s="5" cm="1">
        <f t="array" ref="X454">COUNT(IF((DiscreteStatsTable[GroupByKey]=DiscreteStatsTable[[#This Row],[GroupByKey]]),(DiscreteStatsTable[GroupByKey]=DiscreteStatsTable[[#This Row],[GroupByKey]])*DiscreteStatsTable[Replication]))</f>
        <v>19</v>
      </c>
      <c r="Y454" s="5">
        <f>IF(DiscreteStatsTable[[#This Row],[RepsRequested]]=DiscreteStatsTable[[#This Row],[RepsWithStatObserved]],1,0)</f>
        <v>1</v>
      </c>
    </row>
    <row r="455" spans="1:25" x14ac:dyDescent="0.25">
      <c r="A455" t="s">
        <v>67</v>
      </c>
      <c r="B455" t="s">
        <v>69</v>
      </c>
      <c r="C455">
        <v>12</v>
      </c>
      <c r="D455" t="s">
        <v>103</v>
      </c>
      <c r="E455" t="s">
        <v>88</v>
      </c>
      <c r="F455" t="s">
        <v>86</v>
      </c>
      <c r="G455">
        <v>0.77897176212132302</v>
      </c>
      <c r="H455">
        <v>2E+20</v>
      </c>
      <c r="I455">
        <v>0</v>
      </c>
      <c r="J455">
        <v>9.1613483299710001</v>
      </c>
      <c r="K455">
        <v>119</v>
      </c>
      <c r="L45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compartida)PreparacionWait Time Per EntityProcess</v>
      </c>
      <c r="M455" s="5" cm="1">
        <f t="array" ref="M455">MAX(IF((ProjectInfoTable[ProjectName]=DiscreteStatsTable[[#This Row],[ProjectName]]),(ProjectInfoTable[ProjectName]=DiscreteStatsTable[[#This Row],[ProjectName]])*ProjectInfoTable[NumberOfReplications]))</f>
        <v>19</v>
      </c>
      <c r="N455" s="5" cm="1">
        <f t="array" ref="N455">IFERROR(AVERAGE(IF((DiscreteStatsTable[GroupByKey]=DiscreteStatsTable[[#This Row],[GroupByKey]]),(DiscreteStatsTable[GroupByKey]=DiscreteStatsTable[[#This Row],[GroupByKey]])*DiscreteStatsTable[Average])),0)</f>
        <v>0.70035672369515334</v>
      </c>
      <c r="O455" s="5" cm="1">
        <f t="array" ref="O455">IFERROR(_xlfn.STDEV.S(IF((DiscreteStatsTable[GroupByKey]=DiscreteStatsTable[[#This Row],[GroupByKey]]),(DiscreteStatsTable[GroupByKey]=DiscreteStatsTable[[#This Row],[GroupByKey]])*DiscreteStatsTable[Average])),0)</f>
        <v>0.73328049543419305</v>
      </c>
      <c r="P455" s="5" cm="1">
        <f t="array" ref="P455">MAX(IF((ProjectInfoTable[ProjectName]=DiscreteStatsTable[[#This Row],[ProjectName]]),(ProjectInfoTable[ProjectName]=DiscreteStatsTable[[#This Row],[ProjectName]])*ProjectInfoTable[ConfidenceInterval]))</f>
        <v>0.95</v>
      </c>
      <c r="Q455" s="5">
        <f>IF(AND(DiscreteStatsTable[[#This Row],[RepsWithStatObserved]]=1,Y455=0),200000000000000000000,IFERROR(_xlfn.T.INV.2T(1 -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0.35342988550342119</v>
      </c>
      <c r="R455" s="5" cm="1">
        <f t="array" ref="R455">MIN(IF((DiscreteStatsTable[GroupByKey]=DiscreteStatsTable[[#This Row],[GroupByKey]]),(DiscreteStatsTable[GroupByKey]=DiscreteStatsTable[[#This Row],[GroupByKey]])*DiscreteStatsTable[Average]))</f>
        <v>0.19405440212973199</v>
      </c>
      <c r="S455" s="5" cm="1">
        <f t="array" ref="S455">MAX(IF((DiscreteStatsTable[GroupByKey]=DiscreteStatsTable[[#This Row],[GroupByKey]]),(DiscreteStatsTable[GroupByKey]=DiscreteStatsTable[[#This Row],[GroupByKey]])*DiscreteStatsTable[Average]))</f>
        <v>3.4332474400478601</v>
      </c>
      <c r="T455" s="5" cm="1">
        <f t="array" ref="T455">MIN(IF((DiscreteStatsTable[GroupByKey]=DiscreteStatsTable[[#This Row],[GroupByKey]]),(DiscreteStatsTable[GroupByKey]=DiscreteStatsTable[[#This Row],[GroupByKey]])*DiscreteStatsTable[Minimum]))</f>
        <v>0</v>
      </c>
      <c r="U455" s="5" cm="1">
        <f t="array" ref="U455">MAX(IF((DiscreteStatsTable[GroupByKey]=DiscreteStatsTable[[#This Row],[GroupByKey]]),(DiscreteStatsTable[GroupByKey]=DiscreteStatsTable[[#This Row],[GroupByKey]])*DiscreteStatsTable[Maximum]))</f>
        <v>17.656360512085001</v>
      </c>
      <c r="V455" s="5" cm="1">
        <f t="array" ref="V455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55" s="5">
        <f>IF((DiscreteStatsTable[[#This Row],[RepsRequested]]&gt;1),DiscreteStatsTable[[#This Row],[HalfWidth]],DiscreteStatsTable[[#This Row],[BatchMeansHalfWidth]])</f>
        <v>0.35342988550342119</v>
      </c>
      <c r="X455" s="5" cm="1">
        <f t="array" ref="X455">COUNT(IF((DiscreteStatsTable[GroupByKey]=DiscreteStatsTable[[#This Row],[GroupByKey]]),(DiscreteStatsTable[GroupByKey]=DiscreteStatsTable[[#This Row],[GroupByKey]])*DiscreteStatsTable[Replication]))</f>
        <v>19</v>
      </c>
      <c r="Y455" s="5">
        <f>IF(DiscreteStatsTable[[#This Row],[RepsRequested]]=DiscreteStatsTable[[#This Row],[RepsWithStatObserved]],1,0)</f>
        <v>1</v>
      </c>
    </row>
    <row r="456" spans="1:25" x14ac:dyDescent="0.25">
      <c r="A456" t="s">
        <v>67</v>
      </c>
      <c r="B456" t="s">
        <v>69</v>
      </c>
      <c r="C456">
        <v>13</v>
      </c>
      <c r="D456" t="s">
        <v>103</v>
      </c>
      <c r="E456" t="s">
        <v>85</v>
      </c>
      <c r="F456" t="s">
        <v>86</v>
      </c>
      <c r="G456">
        <v>1.9685930981400701</v>
      </c>
      <c r="H456">
        <v>2E+20</v>
      </c>
      <c r="I456">
        <v>0.14573988196207199</v>
      </c>
      <c r="J456">
        <v>9.0975233865828198</v>
      </c>
      <c r="K456">
        <v>115</v>
      </c>
      <c r="L45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compartida)PreparacionTotal Time Per EntityProcess</v>
      </c>
      <c r="M456" s="5" cm="1">
        <f t="array" ref="M456">MAX(IF((ProjectInfoTable[ProjectName]=DiscreteStatsTable[[#This Row],[ProjectName]]),(ProjectInfoTable[ProjectName]=DiscreteStatsTable[[#This Row],[ProjectName]])*ProjectInfoTable[NumberOfReplications]))</f>
        <v>19</v>
      </c>
      <c r="N456" s="5" cm="1">
        <f t="array" ref="N456">IFERROR(AVERAGE(IF((DiscreteStatsTable[GroupByKey]=DiscreteStatsTable[[#This Row],[GroupByKey]]),(DiscreteStatsTable[GroupByKey]=DiscreteStatsTable[[#This Row],[GroupByKey]])*DiscreteStatsTable[Average])),0)</f>
        <v>2.1273994880359743</v>
      </c>
      <c r="O456" s="5" cm="1">
        <f t="array" ref="O456">IFERROR(_xlfn.STDEV.S(IF((DiscreteStatsTable[GroupByKey]=DiscreteStatsTable[[#This Row],[GroupByKey]]),(DiscreteStatsTable[GroupByKey]=DiscreteStatsTable[[#This Row],[GroupByKey]])*DiscreteStatsTable[Average])),0)</f>
        <v>0.78312872053361837</v>
      </c>
      <c r="P456" s="5" cm="1">
        <f t="array" ref="P456">MAX(IF((ProjectInfoTable[ProjectName]=DiscreteStatsTable[[#This Row],[ProjectName]]),(ProjectInfoTable[ProjectName]=DiscreteStatsTable[[#This Row],[ProjectName]])*ProjectInfoTable[ConfidenceInterval]))</f>
        <v>0.95</v>
      </c>
      <c r="Q456" s="5">
        <f>IF(AND(DiscreteStatsTable[[#This Row],[RepsWithStatObserved]]=1,Y456=0),200000000000000000000,IFERROR(_xlfn.T.INV.2T(1 -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0.37745596092631467</v>
      </c>
      <c r="R456" s="5" cm="1">
        <f t="array" ref="R456">MIN(IF((DiscreteStatsTable[GroupByKey]=DiscreteStatsTable[[#This Row],[GroupByKey]]),(DiscreteStatsTable[GroupByKey]=DiscreteStatsTable[[#This Row],[GroupByKey]])*DiscreteStatsTable[Average]))</f>
        <v>1.4498913227505501</v>
      </c>
      <c r="S456" s="5" cm="1">
        <f t="array" ref="S456">MAX(IF((DiscreteStatsTable[GroupByKey]=DiscreteStatsTable[[#This Row],[GroupByKey]]),(DiscreteStatsTable[GroupByKey]=DiscreteStatsTable[[#This Row],[GroupByKey]])*DiscreteStatsTable[Average]))</f>
        <v>4.8344956063072599</v>
      </c>
      <c r="T456" s="5" cm="1">
        <f t="array" ref="T456">MIN(IF((DiscreteStatsTable[GroupByKey]=DiscreteStatsTable[[#This Row],[GroupByKey]]),(DiscreteStatsTable[GroupByKey]=DiscreteStatsTable[[#This Row],[GroupByKey]])*DiscreteStatsTable[Minimum]))</f>
        <v>0</v>
      </c>
      <c r="U456" s="5" cm="1">
        <f t="array" ref="U456">MAX(IF((DiscreteStatsTable[GroupByKey]=DiscreteStatsTable[[#This Row],[GroupByKey]]),(DiscreteStatsTable[GroupByKey]=DiscreteStatsTable[[#This Row],[GroupByKey]])*DiscreteStatsTable[Maximum]))</f>
        <v>23.229576157810602</v>
      </c>
      <c r="V456" s="5" cm="1">
        <f t="array" ref="V456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56" s="5">
        <f>IF((DiscreteStatsTable[[#This Row],[RepsRequested]]&gt;1),DiscreteStatsTable[[#This Row],[HalfWidth]],DiscreteStatsTable[[#This Row],[BatchMeansHalfWidth]])</f>
        <v>0.37745596092631467</v>
      </c>
      <c r="X456" s="5" cm="1">
        <f t="array" ref="X456">COUNT(IF((DiscreteStatsTable[GroupByKey]=DiscreteStatsTable[[#This Row],[GroupByKey]]),(DiscreteStatsTable[GroupByKey]=DiscreteStatsTable[[#This Row],[GroupByKey]])*DiscreteStatsTable[Replication]))</f>
        <v>19</v>
      </c>
      <c r="Y456" s="5">
        <f>IF(DiscreteStatsTable[[#This Row],[RepsRequested]]=DiscreteStatsTable[[#This Row],[RepsWithStatObserved]],1,0)</f>
        <v>1</v>
      </c>
    </row>
    <row r="457" spans="1:25" x14ac:dyDescent="0.25">
      <c r="A457" t="s">
        <v>67</v>
      </c>
      <c r="B457" t="s">
        <v>69</v>
      </c>
      <c r="C457">
        <v>13</v>
      </c>
      <c r="D457" t="s">
        <v>103</v>
      </c>
      <c r="E457" t="s">
        <v>87</v>
      </c>
      <c r="F457" t="s">
        <v>86</v>
      </c>
      <c r="G457">
        <v>1.5133152030685899</v>
      </c>
      <c r="H457">
        <v>2E+20</v>
      </c>
      <c r="I457">
        <v>0.10024265530432799</v>
      </c>
      <c r="J457">
        <v>9.0975233865828198</v>
      </c>
      <c r="K457">
        <v>115</v>
      </c>
      <c r="L45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compartida)PreparacionVA Time Per EntityProcess</v>
      </c>
      <c r="M457" s="5" cm="1">
        <f t="array" ref="M457">MAX(IF((ProjectInfoTable[ProjectName]=DiscreteStatsTable[[#This Row],[ProjectName]]),(ProjectInfoTable[ProjectName]=DiscreteStatsTable[[#This Row],[ProjectName]])*ProjectInfoTable[NumberOfReplications]))</f>
        <v>19</v>
      </c>
      <c r="N457" s="5" cm="1">
        <f t="array" ref="N457">IFERROR(AVERAGE(IF((DiscreteStatsTable[GroupByKey]=DiscreteStatsTable[[#This Row],[GroupByKey]]),(DiscreteStatsTable[GroupByKey]=DiscreteStatsTable[[#This Row],[GroupByKey]])*DiscreteStatsTable[Average])),0)</f>
        <v>1.427042764340821</v>
      </c>
      <c r="O457" s="5" cm="1">
        <f t="array" ref="O457">IFERROR(_xlfn.STDEV.S(IF((DiscreteStatsTable[GroupByKey]=DiscreteStatsTable[[#This Row],[GroupByKey]]),(DiscreteStatsTable[GroupByKey]=DiscreteStatsTable[[#This Row],[GroupByKey]])*DiscreteStatsTable[Average])),0)</f>
        <v>0.15210233149440669</v>
      </c>
      <c r="P457" s="5" cm="1">
        <f t="array" ref="P457">MAX(IF((ProjectInfoTable[ProjectName]=DiscreteStatsTable[[#This Row],[ProjectName]]),(ProjectInfoTable[ProjectName]=DiscreteStatsTable[[#This Row],[ProjectName]])*ProjectInfoTable[ConfidenceInterval]))</f>
        <v>0.95</v>
      </c>
      <c r="Q457" s="5">
        <f>IF(AND(DiscreteStatsTable[[#This Row],[RepsWithStatObserved]]=1,Y457=0),200000000000000000000,IFERROR(_xlfn.T.INV.2T(1 -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7.3310977094843424E-2</v>
      </c>
      <c r="R457" s="5" cm="1">
        <f t="array" ref="R457">MIN(IF((DiscreteStatsTable[GroupByKey]=DiscreteStatsTable[[#This Row],[GroupByKey]]),(DiscreteStatsTable[GroupByKey]=DiscreteStatsTable[[#This Row],[GroupByKey]])*DiscreteStatsTable[Average]))</f>
        <v>1.1889341151258599</v>
      </c>
      <c r="S457" s="5" cm="1">
        <f t="array" ref="S457">MAX(IF((DiscreteStatsTable[GroupByKey]=DiscreteStatsTable[[#This Row],[GroupByKey]]),(DiscreteStatsTable[GroupByKey]=DiscreteStatsTable[[#This Row],[GroupByKey]])*DiscreteStatsTable[Average]))</f>
        <v>1.71891901774247</v>
      </c>
      <c r="T457" s="5" cm="1">
        <f t="array" ref="T457">MIN(IF((DiscreteStatsTable[GroupByKey]=DiscreteStatsTable[[#This Row],[GroupByKey]]),(DiscreteStatsTable[GroupByKey]=DiscreteStatsTable[[#This Row],[GroupByKey]])*DiscreteStatsTable[Minimum]))</f>
        <v>0</v>
      </c>
      <c r="U457" s="5" cm="1">
        <f t="array" ref="U457">MAX(IF((DiscreteStatsTable[GroupByKey]=DiscreteStatsTable[[#This Row],[GroupByKey]]),(DiscreteStatsTable[GroupByKey]=DiscreteStatsTable[[#This Row],[GroupByKey]])*DiscreteStatsTable[Maximum]))</f>
        <v>13.3285940274107</v>
      </c>
      <c r="V457" s="5" cm="1">
        <f t="array" ref="V457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57" s="5">
        <f>IF((DiscreteStatsTable[[#This Row],[RepsRequested]]&gt;1),DiscreteStatsTable[[#This Row],[HalfWidth]],DiscreteStatsTable[[#This Row],[BatchMeansHalfWidth]])</f>
        <v>7.3310977094843424E-2</v>
      </c>
      <c r="X457" s="5" cm="1">
        <f t="array" ref="X457">COUNT(IF((DiscreteStatsTable[GroupByKey]=DiscreteStatsTable[[#This Row],[GroupByKey]]),(DiscreteStatsTable[GroupByKey]=DiscreteStatsTable[[#This Row],[GroupByKey]])*DiscreteStatsTable[Replication]))</f>
        <v>19</v>
      </c>
      <c r="Y457" s="5">
        <f>IF(DiscreteStatsTable[[#This Row],[RepsRequested]]=DiscreteStatsTable[[#This Row],[RepsWithStatObserved]],1,0)</f>
        <v>1</v>
      </c>
    </row>
    <row r="458" spans="1:25" x14ac:dyDescent="0.25">
      <c r="A458" t="s">
        <v>67</v>
      </c>
      <c r="B458" t="s">
        <v>69</v>
      </c>
      <c r="C458">
        <v>13</v>
      </c>
      <c r="D458" t="s">
        <v>103</v>
      </c>
      <c r="E458" t="s">
        <v>88</v>
      </c>
      <c r="F458" t="s">
        <v>86</v>
      </c>
      <c r="G458">
        <v>0.45527789507148497</v>
      </c>
      <c r="H458">
        <v>2E+20</v>
      </c>
      <c r="I458">
        <v>0</v>
      </c>
      <c r="J458">
        <v>2.9647038153457301</v>
      </c>
      <c r="K458">
        <v>115</v>
      </c>
      <c r="L45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compartida)PreparacionWait Time Per EntityProcess</v>
      </c>
      <c r="M458" s="5" cm="1">
        <f t="array" ref="M458">MAX(IF((ProjectInfoTable[ProjectName]=DiscreteStatsTable[[#This Row],[ProjectName]]),(ProjectInfoTable[ProjectName]=DiscreteStatsTable[[#This Row],[ProjectName]])*ProjectInfoTable[NumberOfReplications]))</f>
        <v>19</v>
      </c>
      <c r="N458" s="5" cm="1">
        <f t="array" ref="N458">IFERROR(AVERAGE(IF((DiscreteStatsTable[GroupByKey]=DiscreteStatsTable[[#This Row],[GroupByKey]]),(DiscreteStatsTable[GroupByKey]=DiscreteStatsTable[[#This Row],[GroupByKey]])*DiscreteStatsTable[Average])),0)</f>
        <v>0.70035672369515334</v>
      </c>
      <c r="O458" s="5" cm="1">
        <f t="array" ref="O458">IFERROR(_xlfn.STDEV.S(IF((DiscreteStatsTable[GroupByKey]=DiscreteStatsTable[[#This Row],[GroupByKey]]),(DiscreteStatsTable[GroupByKey]=DiscreteStatsTable[[#This Row],[GroupByKey]])*DiscreteStatsTable[Average])),0)</f>
        <v>0.73328049543419305</v>
      </c>
      <c r="P458" s="5" cm="1">
        <f t="array" ref="P458">MAX(IF((ProjectInfoTable[ProjectName]=DiscreteStatsTable[[#This Row],[ProjectName]]),(ProjectInfoTable[ProjectName]=DiscreteStatsTable[[#This Row],[ProjectName]])*ProjectInfoTable[ConfidenceInterval]))</f>
        <v>0.95</v>
      </c>
      <c r="Q458" s="5">
        <f>IF(AND(DiscreteStatsTable[[#This Row],[RepsWithStatObserved]]=1,Y458=0),200000000000000000000,IFERROR(_xlfn.T.INV.2T(1 -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0.35342988550342119</v>
      </c>
      <c r="R458" s="5" cm="1">
        <f t="array" ref="R458">MIN(IF((DiscreteStatsTable[GroupByKey]=DiscreteStatsTable[[#This Row],[GroupByKey]]),(DiscreteStatsTable[GroupByKey]=DiscreteStatsTable[[#This Row],[GroupByKey]])*DiscreteStatsTable[Average]))</f>
        <v>0.19405440212973199</v>
      </c>
      <c r="S458" s="5" cm="1">
        <f t="array" ref="S458">MAX(IF((DiscreteStatsTable[GroupByKey]=DiscreteStatsTable[[#This Row],[GroupByKey]]),(DiscreteStatsTable[GroupByKey]=DiscreteStatsTable[[#This Row],[GroupByKey]])*DiscreteStatsTable[Average]))</f>
        <v>3.4332474400478601</v>
      </c>
      <c r="T458" s="5" cm="1">
        <f t="array" ref="T458">MIN(IF((DiscreteStatsTable[GroupByKey]=DiscreteStatsTable[[#This Row],[GroupByKey]]),(DiscreteStatsTable[GroupByKey]=DiscreteStatsTable[[#This Row],[GroupByKey]])*DiscreteStatsTable[Minimum]))</f>
        <v>0</v>
      </c>
      <c r="U458" s="5" cm="1">
        <f t="array" ref="U458">MAX(IF((DiscreteStatsTable[GroupByKey]=DiscreteStatsTable[[#This Row],[GroupByKey]]),(DiscreteStatsTable[GroupByKey]=DiscreteStatsTable[[#This Row],[GroupByKey]])*DiscreteStatsTable[Maximum]))</f>
        <v>17.656360512085001</v>
      </c>
      <c r="V458" s="5" cm="1">
        <f t="array" ref="V458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58" s="5">
        <f>IF((DiscreteStatsTable[[#This Row],[RepsRequested]]&gt;1),DiscreteStatsTable[[#This Row],[HalfWidth]],DiscreteStatsTable[[#This Row],[BatchMeansHalfWidth]])</f>
        <v>0.35342988550342119</v>
      </c>
      <c r="X458" s="5" cm="1">
        <f t="array" ref="X458">COUNT(IF((DiscreteStatsTable[GroupByKey]=DiscreteStatsTable[[#This Row],[GroupByKey]]),(DiscreteStatsTable[GroupByKey]=DiscreteStatsTable[[#This Row],[GroupByKey]])*DiscreteStatsTable[Replication]))</f>
        <v>19</v>
      </c>
      <c r="Y458" s="5">
        <f>IF(DiscreteStatsTable[[#This Row],[RepsRequested]]=DiscreteStatsTable[[#This Row],[RepsWithStatObserved]],1,0)</f>
        <v>1</v>
      </c>
    </row>
    <row r="459" spans="1:25" x14ac:dyDescent="0.25">
      <c r="A459" t="s">
        <v>67</v>
      </c>
      <c r="B459" t="s">
        <v>69</v>
      </c>
      <c r="C459">
        <v>14</v>
      </c>
      <c r="D459" t="s">
        <v>103</v>
      </c>
      <c r="E459" t="s">
        <v>85</v>
      </c>
      <c r="F459" t="s">
        <v>86</v>
      </c>
      <c r="G459">
        <v>2.1561817465934299</v>
      </c>
      <c r="H459">
        <v>2E+20</v>
      </c>
      <c r="I459">
        <v>0.11042830725234901</v>
      </c>
      <c r="J459">
        <v>9.0489908522134499</v>
      </c>
      <c r="K459">
        <v>133</v>
      </c>
      <c r="L45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compartida)PreparacionTotal Time Per EntityProcess</v>
      </c>
      <c r="M459" s="5" cm="1">
        <f t="array" ref="M459">MAX(IF((ProjectInfoTable[ProjectName]=DiscreteStatsTable[[#This Row],[ProjectName]]),(ProjectInfoTable[ProjectName]=DiscreteStatsTable[[#This Row],[ProjectName]])*ProjectInfoTable[NumberOfReplications]))</f>
        <v>19</v>
      </c>
      <c r="N459" s="5" cm="1">
        <f t="array" ref="N459">IFERROR(AVERAGE(IF((DiscreteStatsTable[GroupByKey]=DiscreteStatsTable[[#This Row],[GroupByKey]]),(DiscreteStatsTable[GroupByKey]=DiscreteStatsTable[[#This Row],[GroupByKey]])*DiscreteStatsTable[Average])),0)</f>
        <v>2.1273994880359743</v>
      </c>
      <c r="O459" s="5" cm="1">
        <f t="array" ref="O459">IFERROR(_xlfn.STDEV.S(IF((DiscreteStatsTable[GroupByKey]=DiscreteStatsTable[[#This Row],[GroupByKey]]),(DiscreteStatsTable[GroupByKey]=DiscreteStatsTable[[#This Row],[GroupByKey]])*DiscreteStatsTable[Average])),0)</f>
        <v>0.78312872053361837</v>
      </c>
      <c r="P459" s="5" cm="1">
        <f t="array" ref="P459">MAX(IF((ProjectInfoTable[ProjectName]=DiscreteStatsTable[[#This Row],[ProjectName]]),(ProjectInfoTable[ProjectName]=DiscreteStatsTable[[#This Row],[ProjectName]])*ProjectInfoTable[ConfidenceInterval]))</f>
        <v>0.95</v>
      </c>
      <c r="Q459" s="5">
        <f>IF(AND(DiscreteStatsTable[[#This Row],[RepsWithStatObserved]]=1,Y459=0),200000000000000000000,IFERROR(_xlfn.T.INV.2T(1 -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0.37745596092631467</v>
      </c>
      <c r="R459" s="5" cm="1">
        <f t="array" ref="R459">MIN(IF((DiscreteStatsTable[GroupByKey]=DiscreteStatsTable[[#This Row],[GroupByKey]]),(DiscreteStatsTable[GroupByKey]=DiscreteStatsTable[[#This Row],[GroupByKey]])*DiscreteStatsTable[Average]))</f>
        <v>1.4498913227505501</v>
      </c>
      <c r="S459" s="5" cm="1">
        <f t="array" ref="S459">MAX(IF((DiscreteStatsTable[GroupByKey]=DiscreteStatsTable[[#This Row],[GroupByKey]]),(DiscreteStatsTable[GroupByKey]=DiscreteStatsTable[[#This Row],[GroupByKey]])*DiscreteStatsTable[Average]))</f>
        <v>4.8344956063072599</v>
      </c>
      <c r="T459" s="5" cm="1">
        <f t="array" ref="T459">MIN(IF((DiscreteStatsTable[GroupByKey]=DiscreteStatsTable[[#This Row],[GroupByKey]]),(DiscreteStatsTable[GroupByKey]=DiscreteStatsTable[[#This Row],[GroupByKey]])*DiscreteStatsTable[Minimum]))</f>
        <v>0</v>
      </c>
      <c r="U459" s="5" cm="1">
        <f t="array" ref="U459">MAX(IF((DiscreteStatsTable[GroupByKey]=DiscreteStatsTable[[#This Row],[GroupByKey]]),(DiscreteStatsTable[GroupByKey]=DiscreteStatsTable[[#This Row],[GroupByKey]])*DiscreteStatsTable[Maximum]))</f>
        <v>23.229576157810602</v>
      </c>
      <c r="V459" s="5" cm="1">
        <f t="array" ref="V459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59" s="5">
        <f>IF((DiscreteStatsTable[[#This Row],[RepsRequested]]&gt;1),DiscreteStatsTable[[#This Row],[HalfWidth]],DiscreteStatsTable[[#This Row],[BatchMeansHalfWidth]])</f>
        <v>0.37745596092631467</v>
      </c>
      <c r="X459" s="5" cm="1">
        <f t="array" ref="X459">COUNT(IF((DiscreteStatsTable[GroupByKey]=DiscreteStatsTable[[#This Row],[GroupByKey]]),(DiscreteStatsTable[GroupByKey]=DiscreteStatsTable[[#This Row],[GroupByKey]])*DiscreteStatsTable[Replication]))</f>
        <v>19</v>
      </c>
      <c r="Y459" s="5">
        <f>IF(DiscreteStatsTable[[#This Row],[RepsRequested]]=DiscreteStatsTable[[#This Row],[RepsWithStatObserved]],1,0)</f>
        <v>1</v>
      </c>
    </row>
    <row r="460" spans="1:25" x14ac:dyDescent="0.25">
      <c r="A460" t="s">
        <v>67</v>
      </c>
      <c r="B460" t="s">
        <v>69</v>
      </c>
      <c r="C460">
        <v>14</v>
      </c>
      <c r="D460" t="s">
        <v>103</v>
      </c>
      <c r="E460" t="s">
        <v>87</v>
      </c>
      <c r="F460" t="s">
        <v>86</v>
      </c>
      <c r="G460">
        <v>1.3386725304453</v>
      </c>
      <c r="H460">
        <v>2E+20</v>
      </c>
      <c r="I460">
        <v>7.4615462491237905E-2</v>
      </c>
      <c r="J460">
        <v>6.9319163281625702</v>
      </c>
      <c r="K460">
        <v>133</v>
      </c>
      <c r="L46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compartida)PreparacionVA Time Per EntityProcess</v>
      </c>
      <c r="M460" s="5" cm="1">
        <f t="array" ref="M460">MAX(IF((ProjectInfoTable[ProjectName]=DiscreteStatsTable[[#This Row],[ProjectName]]),(ProjectInfoTable[ProjectName]=DiscreteStatsTable[[#This Row],[ProjectName]])*ProjectInfoTable[NumberOfReplications]))</f>
        <v>19</v>
      </c>
      <c r="N460" s="5" cm="1">
        <f t="array" ref="N460">IFERROR(AVERAGE(IF((DiscreteStatsTable[GroupByKey]=DiscreteStatsTable[[#This Row],[GroupByKey]]),(DiscreteStatsTable[GroupByKey]=DiscreteStatsTable[[#This Row],[GroupByKey]])*DiscreteStatsTable[Average])),0)</f>
        <v>1.427042764340821</v>
      </c>
      <c r="O460" s="5" cm="1">
        <f t="array" ref="O460">IFERROR(_xlfn.STDEV.S(IF((DiscreteStatsTable[GroupByKey]=DiscreteStatsTable[[#This Row],[GroupByKey]]),(DiscreteStatsTable[GroupByKey]=DiscreteStatsTable[[#This Row],[GroupByKey]])*DiscreteStatsTable[Average])),0)</f>
        <v>0.15210233149440669</v>
      </c>
      <c r="P460" s="5" cm="1">
        <f t="array" ref="P460">MAX(IF((ProjectInfoTable[ProjectName]=DiscreteStatsTable[[#This Row],[ProjectName]]),(ProjectInfoTable[ProjectName]=DiscreteStatsTable[[#This Row],[ProjectName]])*ProjectInfoTable[ConfidenceInterval]))</f>
        <v>0.95</v>
      </c>
      <c r="Q460" s="5">
        <f>IF(AND(DiscreteStatsTable[[#This Row],[RepsWithStatObserved]]=1,Y460=0),200000000000000000000,IFERROR(_xlfn.T.INV.2T(1 -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7.3310977094843424E-2</v>
      </c>
      <c r="R460" s="5" cm="1">
        <f t="array" ref="R460">MIN(IF((DiscreteStatsTable[GroupByKey]=DiscreteStatsTable[[#This Row],[GroupByKey]]),(DiscreteStatsTable[GroupByKey]=DiscreteStatsTable[[#This Row],[GroupByKey]])*DiscreteStatsTable[Average]))</f>
        <v>1.1889341151258599</v>
      </c>
      <c r="S460" s="5" cm="1">
        <f t="array" ref="S460">MAX(IF((DiscreteStatsTable[GroupByKey]=DiscreteStatsTable[[#This Row],[GroupByKey]]),(DiscreteStatsTable[GroupByKey]=DiscreteStatsTable[[#This Row],[GroupByKey]])*DiscreteStatsTable[Average]))</f>
        <v>1.71891901774247</v>
      </c>
      <c r="T460" s="5" cm="1">
        <f t="array" ref="T460">MIN(IF((DiscreteStatsTable[GroupByKey]=DiscreteStatsTable[[#This Row],[GroupByKey]]),(DiscreteStatsTable[GroupByKey]=DiscreteStatsTable[[#This Row],[GroupByKey]])*DiscreteStatsTable[Minimum]))</f>
        <v>0</v>
      </c>
      <c r="U460" s="5" cm="1">
        <f t="array" ref="U460">MAX(IF((DiscreteStatsTable[GroupByKey]=DiscreteStatsTable[[#This Row],[GroupByKey]]),(DiscreteStatsTable[GroupByKey]=DiscreteStatsTable[[#This Row],[GroupByKey]])*DiscreteStatsTable[Maximum]))</f>
        <v>13.3285940274107</v>
      </c>
      <c r="V460" s="5" cm="1">
        <f t="array" ref="V460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60" s="5">
        <f>IF((DiscreteStatsTable[[#This Row],[RepsRequested]]&gt;1),DiscreteStatsTable[[#This Row],[HalfWidth]],DiscreteStatsTable[[#This Row],[BatchMeansHalfWidth]])</f>
        <v>7.3310977094843424E-2</v>
      </c>
      <c r="X460" s="5" cm="1">
        <f t="array" ref="X460">COUNT(IF((DiscreteStatsTable[GroupByKey]=DiscreteStatsTable[[#This Row],[GroupByKey]]),(DiscreteStatsTable[GroupByKey]=DiscreteStatsTable[[#This Row],[GroupByKey]])*DiscreteStatsTable[Replication]))</f>
        <v>19</v>
      </c>
      <c r="Y460" s="5">
        <f>IF(DiscreteStatsTable[[#This Row],[RepsRequested]]=DiscreteStatsTable[[#This Row],[RepsWithStatObserved]],1,0)</f>
        <v>1</v>
      </c>
    </row>
    <row r="461" spans="1:25" x14ac:dyDescent="0.25">
      <c r="A461" t="s">
        <v>67</v>
      </c>
      <c r="B461" t="s">
        <v>69</v>
      </c>
      <c r="C461">
        <v>14</v>
      </c>
      <c r="D461" t="s">
        <v>103</v>
      </c>
      <c r="E461" t="s">
        <v>88</v>
      </c>
      <c r="F461" t="s">
        <v>86</v>
      </c>
      <c r="G461">
        <v>0.81750921614813199</v>
      </c>
      <c r="H461">
        <v>2E+20</v>
      </c>
      <c r="I461">
        <v>0</v>
      </c>
      <c r="J461">
        <v>4.7162811155878597</v>
      </c>
      <c r="K461">
        <v>133</v>
      </c>
      <c r="L46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compartida)PreparacionWait Time Per EntityProcess</v>
      </c>
      <c r="M461" s="5" cm="1">
        <f t="array" ref="M461">MAX(IF((ProjectInfoTable[ProjectName]=DiscreteStatsTable[[#This Row],[ProjectName]]),(ProjectInfoTable[ProjectName]=DiscreteStatsTable[[#This Row],[ProjectName]])*ProjectInfoTable[NumberOfReplications]))</f>
        <v>19</v>
      </c>
      <c r="N461" s="5" cm="1">
        <f t="array" ref="N461">IFERROR(AVERAGE(IF((DiscreteStatsTable[GroupByKey]=DiscreteStatsTable[[#This Row],[GroupByKey]]),(DiscreteStatsTable[GroupByKey]=DiscreteStatsTable[[#This Row],[GroupByKey]])*DiscreteStatsTable[Average])),0)</f>
        <v>0.70035672369515334</v>
      </c>
      <c r="O461" s="5" cm="1">
        <f t="array" ref="O461">IFERROR(_xlfn.STDEV.S(IF((DiscreteStatsTable[GroupByKey]=DiscreteStatsTable[[#This Row],[GroupByKey]]),(DiscreteStatsTable[GroupByKey]=DiscreteStatsTable[[#This Row],[GroupByKey]])*DiscreteStatsTable[Average])),0)</f>
        <v>0.73328049543419305</v>
      </c>
      <c r="P461" s="5" cm="1">
        <f t="array" ref="P461">MAX(IF((ProjectInfoTable[ProjectName]=DiscreteStatsTable[[#This Row],[ProjectName]]),(ProjectInfoTable[ProjectName]=DiscreteStatsTable[[#This Row],[ProjectName]])*ProjectInfoTable[ConfidenceInterval]))</f>
        <v>0.95</v>
      </c>
      <c r="Q461" s="5">
        <f>IF(AND(DiscreteStatsTable[[#This Row],[RepsWithStatObserved]]=1,Y461=0),200000000000000000000,IFERROR(_xlfn.T.INV.2T(1 -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0.35342988550342119</v>
      </c>
      <c r="R461" s="5" cm="1">
        <f t="array" ref="R461">MIN(IF((DiscreteStatsTable[GroupByKey]=DiscreteStatsTable[[#This Row],[GroupByKey]]),(DiscreteStatsTable[GroupByKey]=DiscreteStatsTable[[#This Row],[GroupByKey]])*DiscreteStatsTable[Average]))</f>
        <v>0.19405440212973199</v>
      </c>
      <c r="S461" s="5" cm="1">
        <f t="array" ref="S461">MAX(IF((DiscreteStatsTable[GroupByKey]=DiscreteStatsTable[[#This Row],[GroupByKey]]),(DiscreteStatsTable[GroupByKey]=DiscreteStatsTable[[#This Row],[GroupByKey]])*DiscreteStatsTable[Average]))</f>
        <v>3.4332474400478601</v>
      </c>
      <c r="T461" s="5" cm="1">
        <f t="array" ref="T461">MIN(IF((DiscreteStatsTable[GroupByKey]=DiscreteStatsTable[[#This Row],[GroupByKey]]),(DiscreteStatsTable[GroupByKey]=DiscreteStatsTable[[#This Row],[GroupByKey]])*DiscreteStatsTable[Minimum]))</f>
        <v>0</v>
      </c>
      <c r="U461" s="5" cm="1">
        <f t="array" ref="U461">MAX(IF((DiscreteStatsTable[GroupByKey]=DiscreteStatsTable[[#This Row],[GroupByKey]]),(DiscreteStatsTable[GroupByKey]=DiscreteStatsTable[[#This Row],[GroupByKey]])*DiscreteStatsTable[Maximum]))</f>
        <v>17.656360512085001</v>
      </c>
      <c r="V461" s="5" cm="1">
        <f t="array" ref="V461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61" s="5">
        <f>IF((DiscreteStatsTable[[#This Row],[RepsRequested]]&gt;1),DiscreteStatsTable[[#This Row],[HalfWidth]],DiscreteStatsTable[[#This Row],[BatchMeansHalfWidth]])</f>
        <v>0.35342988550342119</v>
      </c>
      <c r="X461" s="5" cm="1">
        <f t="array" ref="X461">COUNT(IF((DiscreteStatsTable[GroupByKey]=DiscreteStatsTable[[#This Row],[GroupByKey]]),(DiscreteStatsTable[GroupByKey]=DiscreteStatsTable[[#This Row],[GroupByKey]])*DiscreteStatsTable[Replication]))</f>
        <v>19</v>
      </c>
      <c r="Y461" s="5">
        <f>IF(DiscreteStatsTable[[#This Row],[RepsRequested]]=DiscreteStatsTable[[#This Row],[RepsWithStatObserved]],1,0)</f>
        <v>1</v>
      </c>
    </row>
    <row r="462" spans="1:25" x14ac:dyDescent="0.25">
      <c r="A462" t="s">
        <v>67</v>
      </c>
      <c r="B462" t="s">
        <v>69</v>
      </c>
      <c r="C462">
        <v>15</v>
      </c>
      <c r="D462" t="s">
        <v>103</v>
      </c>
      <c r="E462" t="s">
        <v>85</v>
      </c>
      <c r="F462" t="s">
        <v>86</v>
      </c>
      <c r="G462">
        <v>1.8839222205764401</v>
      </c>
      <c r="H462">
        <v>2E+20</v>
      </c>
      <c r="I462">
        <v>7.6522781955731006E-2</v>
      </c>
      <c r="J462">
        <v>7.1899565602825097</v>
      </c>
      <c r="K462">
        <v>127</v>
      </c>
      <c r="L46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compartida)PreparacionTotal Time Per EntityProcess</v>
      </c>
      <c r="M462" s="5" cm="1">
        <f t="array" ref="M462">MAX(IF((ProjectInfoTable[ProjectName]=DiscreteStatsTable[[#This Row],[ProjectName]]),(ProjectInfoTable[ProjectName]=DiscreteStatsTable[[#This Row],[ProjectName]])*ProjectInfoTable[NumberOfReplications]))</f>
        <v>19</v>
      </c>
      <c r="N462" s="5" cm="1">
        <f t="array" ref="N462">IFERROR(AVERAGE(IF((DiscreteStatsTable[GroupByKey]=DiscreteStatsTable[[#This Row],[GroupByKey]]),(DiscreteStatsTable[GroupByKey]=DiscreteStatsTable[[#This Row],[GroupByKey]])*DiscreteStatsTable[Average])),0)</f>
        <v>2.1273994880359743</v>
      </c>
      <c r="O462" s="5" cm="1">
        <f t="array" ref="O462">IFERROR(_xlfn.STDEV.S(IF((DiscreteStatsTable[GroupByKey]=DiscreteStatsTable[[#This Row],[GroupByKey]]),(DiscreteStatsTable[GroupByKey]=DiscreteStatsTable[[#This Row],[GroupByKey]])*DiscreteStatsTable[Average])),0)</f>
        <v>0.78312872053361837</v>
      </c>
      <c r="P462" s="5" cm="1">
        <f t="array" ref="P462">MAX(IF((ProjectInfoTable[ProjectName]=DiscreteStatsTable[[#This Row],[ProjectName]]),(ProjectInfoTable[ProjectName]=DiscreteStatsTable[[#This Row],[ProjectName]])*ProjectInfoTable[ConfidenceInterval]))</f>
        <v>0.95</v>
      </c>
      <c r="Q462" s="5">
        <f>IF(AND(DiscreteStatsTable[[#This Row],[RepsWithStatObserved]]=1,Y462=0),200000000000000000000,IFERROR(_xlfn.T.INV.2T(1 -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0.37745596092631467</v>
      </c>
      <c r="R462" s="5" cm="1">
        <f t="array" ref="R462">MIN(IF((DiscreteStatsTable[GroupByKey]=DiscreteStatsTable[[#This Row],[GroupByKey]]),(DiscreteStatsTable[GroupByKey]=DiscreteStatsTable[[#This Row],[GroupByKey]])*DiscreteStatsTable[Average]))</f>
        <v>1.4498913227505501</v>
      </c>
      <c r="S462" s="5" cm="1">
        <f t="array" ref="S462">MAX(IF((DiscreteStatsTable[GroupByKey]=DiscreteStatsTable[[#This Row],[GroupByKey]]),(DiscreteStatsTable[GroupByKey]=DiscreteStatsTable[[#This Row],[GroupByKey]])*DiscreteStatsTable[Average]))</f>
        <v>4.8344956063072599</v>
      </c>
      <c r="T462" s="5" cm="1">
        <f t="array" ref="T462">MIN(IF((DiscreteStatsTable[GroupByKey]=DiscreteStatsTable[[#This Row],[GroupByKey]]),(DiscreteStatsTable[GroupByKey]=DiscreteStatsTable[[#This Row],[GroupByKey]])*DiscreteStatsTable[Minimum]))</f>
        <v>0</v>
      </c>
      <c r="U462" s="5" cm="1">
        <f t="array" ref="U462">MAX(IF((DiscreteStatsTable[GroupByKey]=DiscreteStatsTable[[#This Row],[GroupByKey]]),(DiscreteStatsTable[GroupByKey]=DiscreteStatsTable[[#This Row],[GroupByKey]])*DiscreteStatsTable[Maximum]))</f>
        <v>23.229576157810602</v>
      </c>
      <c r="V462" s="5" cm="1">
        <f t="array" ref="V462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62" s="5">
        <f>IF((DiscreteStatsTable[[#This Row],[RepsRequested]]&gt;1),DiscreteStatsTable[[#This Row],[HalfWidth]],DiscreteStatsTable[[#This Row],[BatchMeansHalfWidth]])</f>
        <v>0.37745596092631467</v>
      </c>
      <c r="X462" s="5" cm="1">
        <f t="array" ref="X462">COUNT(IF((DiscreteStatsTable[GroupByKey]=DiscreteStatsTable[[#This Row],[GroupByKey]]),(DiscreteStatsTable[GroupByKey]=DiscreteStatsTable[[#This Row],[GroupByKey]])*DiscreteStatsTable[Replication]))</f>
        <v>19</v>
      </c>
      <c r="Y462" s="5">
        <f>IF(DiscreteStatsTable[[#This Row],[RepsRequested]]=DiscreteStatsTable[[#This Row],[RepsWithStatObserved]],1,0)</f>
        <v>1</v>
      </c>
    </row>
    <row r="463" spans="1:25" x14ac:dyDescent="0.25">
      <c r="A463" t="s">
        <v>67</v>
      </c>
      <c r="B463" t="s">
        <v>69</v>
      </c>
      <c r="C463">
        <v>15</v>
      </c>
      <c r="D463" t="s">
        <v>103</v>
      </c>
      <c r="E463" t="s">
        <v>87</v>
      </c>
      <c r="F463" t="s">
        <v>86</v>
      </c>
      <c r="G463">
        <v>1.3925614396197199</v>
      </c>
      <c r="H463">
        <v>2E+20</v>
      </c>
      <c r="I463">
        <v>7.6522781955731006E-2</v>
      </c>
      <c r="J463">
        <v>7.1899565602825097</v>
      </c>
      <c r="K463">
        <v>127</v>
      </c>
      <c r="L46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compartida)PreparacionVA Time Per EntityProcess</v>
      </c>
      <c r="M463" s="5" cm="1">
        <f t="array" ref="M463">MAX(IF((ProjectInfoTable[ProjectName]=DiscreteStatsTable[[#This Row],[ProjectName]]),(ProjectInfoTable[ProjectName]=DiscreteStatsTable[[#This Row],[ProjectName]])*ProjectInfoTable[NumberOfReplications]))</f>
        <v>19</v>
      </c>
      <c r="N463" s="5" cm="1">
        <f t="array" ref="N463">IFERROR(AVERAGE(IF((DiscreteStatsTable[GroupByKey]=DiscreteStatsTable[[#This Row],[GroupByKey]]),(DiscreteStatsTable[GroupByKey]=DiscreteStatsTable[[#This Row],[GroupByKey]])*DiscreteStatsTable[Average])),0)</f>
        <v>1.427042764340821</v>
      </c>
      <c r="O463" s="5" cm="1">
        <f t="array" ref="O463">IFERROR(_xlfn.STDEV.S(IF((DiscreteStatsTable[GroupByKey]=DiscreteStatsTable[[#This Row],[GroupByKey]]),(DiscreteStatsTable[GroupByKey]=DiscreteStatsTable[[#This Row],[GroupByKey]])*DiscreteStatsTable[Average])),0)</f>
        <v>0.15210233149440669</v>
      </c>
      <c r="P463" s="5" cm="1">
        <f t="array" ref="P463">MAX(IF((ProjectInfoTable[ProjectName]=DiscreteStatsTable[[#This Row],[ProjectName]]),(ProjectInfoTable[ProjectName]=DiscreteStatsTable[[#This Row],[ProjectName]])*ProjectInfoTable[ConfidenceInterval]))</f>
        <v>0.95</v>
      </c>
      <c r="Q463" s="5">
        <f>IF(AND(DiscreteStatsTable[[#This Row],[RepsWithStatObserved]]=1,Y463=0),200000000000000000000,IFERROR(_xlfn.T.INV.2T(1 -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7.3310977094843424E-2</v>
      </c>
      <c r="R463" s="5" cm="1">
        <f t="array" ref="R463">MIN(IF((DiscreteStatsTable[GroupByKey]=DiscreteStatsTable[[#This Row],[GroupByKey]]),(DiscreteStatsTable[GroupByKey]=DiscreteStatsTable[[#This Row],[GroupByKey]])*DiscreteStatsTable[Average]))</f>
        <v>1.1889341151258599</v>
      </c>
      <c r="S463" s="5" cm="1">
        <f t="array" ref="S463">MAX(IF((DiscreteStatsTable[GroupByKey]=DiscreteStatsTable[[#This Row],[GroupByKey]]),(DiscreteStatsTable[GroupByKey]=DiscreteStatsTable[[#This Row],[GroupByKey]])*DiscreteStatsTable[Average]))</f>
        <v>1.71891901774247</v>
      </c>
      <c r="T463" s="5" cm="1">
        <f t="array" ref="T463">MIN(IF((DiscreteStatsTable[GroupByKey]=DiscreteStatsTable[[#This Row],[GroupByKey]]),(DiscreteStatsTable[GroupByKey]=DiscreteStatsTable[[#This Row],[GroupByKey]])*DiscreteStatsTable[Minimum]))</f>
        <v>0</v>
      </c>
      <c r="U463" s="5" cm="1">
        <f t="array" ref="U463">MAX(IF((DiscreteStatsTable[GroupByKey]=DiscreteStatsTable[[#This Row],[GroupByKey]]),(DiscreteStatsTable[GroupByKey]=DiscreteStatsTable[[#This Row],[GroupByKey]])*DiscreteStatsTable[Maximum]))</f>
        <v>13.3285940274107</v>
      </c>
      <c r="V463" s="5" cm="1">
        <f t="array" ref="V463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63" s="5">
        <f>IF((DiscreteStatsTable[[#This Row],[RepsRequested]]&gt;1),DiscreteStatsTable[[#This Row],[HalfWidth]],DiscreteStatsTable[[#This Row],[BatchMeansHalfWidth]])</f>
        <v>7.3310977094843424E-2</v>
      </c>
      <c r="X463" s="5" cm="1">
        <f t="array" ref="X463">COUNT(IF((DiscreteStatsTable[GroupByKey]=DiscreteStatsTable[[#This Row],[GroupByKey]]),(DiscreteStatsTable[GroupByKey]=DiscreteStatsTable[[#This Row],[GroupByKey]])*DiscreteStatsTable[Replication]))</f>
        <v>19</v>
      </c>
      <c r="Y463" s="5">
        <f>IF(DiscreteStatsTable[[#This Row],[RepsRequested]]=DiscreteStatsTable[[#This Row],[RepsWithStatObserved]],1,0)</f>
        <v>1</v>
      </c>
    </row>
    <row r="464" spans="1:25" x14ac:dyDescent="0.25">
      <c r="A464" t="s">
        <v>67</v>
      </c>
      <c r="B464" t="s">
        <v>69</v>
      </c>
      <c r="C464">
        <v>15</v>
      </c>
      <c r="D464" t="s">
        <v>103</v>
      </c>
      <c r="E464" t="s">
        <v>88</v>
      </c>
      <c r="F464" t="s">
        <v>86</v>
      </c>
      <c r="G464">
        <v>0.49136078095671498</v>
      </c>
      <c r="H464">
        <v>2E+20</v>
      </c>
      <c r="I464">
        <v>0</v>
      </c>
      <c r="J464">
        <v>4.5561174591506699</v>
      </c>
      <c r="K464">
        <v>127</v>
      </c>
      <c r="L46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compartida)PreparacionWait Time Per EntityProcess</v>
      </c>
      <c r="M464" s="5" cm="1">
        <f t="array" ref="M464">MAX(IF((ProjectInfoTable[ProjectName]=DiscreteStatsTable[[#This Row],[ProjectName]]),(ProjectInfoTable[ProjectName]=DiscreteStatsTable[[#This Row],[ProjectName]])*ProjectInfoTable[NumberOfReplications]))</f>
        <v>19</v>
      </c>
      <c r="N464" s="5" cm="1">
        <f t="array" ref="N464">IFERROR(AVERAGE(IF((DiscreteStatsTable[GroupByKey]=DiscreteStatsTable[[#This Row],[GroupByKey]]),(DiscreteStatsTable[GroupByKey]=DiscreteStatsTable[[#This Row],[GroupByKey]])*DiscreteStatsTable[Average])),0)</f>
        <v>0.70035672369515334</v>
      </c>
      <c r="O464" s="5" cm="1">
        <f t="array" ref="O464">IFERROR(_xlfn.STDEV.S(IF((DiscreteStatsTable[GroupByKey]=DiscreteStatsTable[[#This Row],[GroupByKey]]),(DiscreteStatsTable[GroupByKey]=DiscreteStatsTable[[#This Row],[GroupByKey]])*DiscreteStatsTable[Average])),0)</f>
        <v>0.73328049543419305</v>
      </c>
      <c r="P464" s="5" cm="1">
        <f t="array" ref="P464">MAX(IF((ProjectInfoTable[ProjectName]=DiscreteStatsTable[[#This Row],[ProjectName]]),(ProjectInfoTable[ProjectName]=DiscreteStatsTable[[#This Row],[ProjectName]])*ProjectInfoTable[ConfidenceInterval]))</f>
        <v>0.95</v>
      </c>
      <c r="Q464" s="5">
        <f>IF(AND(DiscreteStatsTable[[#This Row],[RepsWithStatObserved]]=1,Y464=0),200000000000000000000,IFERROR(_xlfn.T.INV.2T(1 -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0.35342988550342119</v>
      </c>
      <c r="R464" s="5" cm="1">
        <f t="array" ref="R464">MIN(IF((DiscreteStatsTable[GroupByKey]=DiscreteStatsTable[[#This Row],[GroupByKey]]),(DiscreteStatsTable[GroupByKey]=DiscreteStatsTable[[#This Row],[GroupByKey]])*DiscreteStatsTable[Average]))</f>
        <v>0.19405440212973199</v>
      </c>
      <c r="S464" s="5" cm="1">
        <f t="array" ref="S464">MAX(IF((DiscreteStatsTable[GroupByKey]=DiscreteStatsTable[[#This Row],[GroupByKey]]),(DiscreteStatsTable[GroupByKey]=DiscreteStatsTable[[#This Row],[GroupByKey]])*DiscreteStatsTable[Average]))</f>
        <v>3.4332474400478601</v>
      </c>
      <c r="T464" s="5" cm="1">
        <f t="array" ref="T464">MIN(IF((DiscreteStatsTable[GroupByKey]=DiscreteStatsTable[[#This Row],[GroupByKey]]),(DiscreteStatsTable[GroupByKey]=DiscreteStatsTable[[#This Row],[GroupByKey]])*DiscreteStatsTable[Minimum]))</f>
        <v>0</v>
      </c>
      <c r="U464" s="5" cm="1">
        <f t="array" ref="U464">MAX(IF((DiscreteStatsTable[GroupByKey]=DiscreteStatsTable[[#This Row],[GroupByKey]]),(DiscreteStatsTable[GroupByKey]=DiscreteStatsTable[[#This Row],[GroupByKey]])*DiscreteStatsTable[Maximum]))</f>
        <v>17.656360512085001</v>
      </c>
      <c r="V464" s="5" cm="1">
        <f t="array" ref="V464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64" s="5">
        <f>IF((DiscreteStatsTable[[#This Row],[RepsRequested]]&gt;1),DiscreteStatsTable[[#This Row],[HalfWidth]],DiscreteStatsTable[[#This Row],[BatchMeansHalfWidth]])</f>
        <v>0.35342988550342119</v>
      </c>
      <c r="X464" s="5" cm="1">
        <f t="array" ref="X464">COUNT(IF((DiscreteStatsTable[GroupByKey]=DiscreteStatsTable[[#This Row],[GroupByKey]]),(DiscreteStatsTable[GroupByKey]=DiscreteStatsTable[[#This Row],[GroupByKey]])*DiscreteStatsTable[Replication]))</f>
        <v>19</v>
      </c>
      <c r="Y464" s="5">
        <f>IF(DiscreteStatsTable[[#This Row],[RepsRequested]]=DiscreteStatsTable[[#This Row],[RepsWithStatObserved]],1,0)</f>
        <v>1</v>
      </c>
    </row>
    <row r="465" spans="1:25" x14ac:dyDescent="0.25">
      <c r="A465" t="s">
        <v>67</v>
      </c>
      <c r="B465" t="s">
        <v>69</v>
      </c>
      <c r="C465">
        <v>16</v>
      </c>
      <c r="D465" t="s">
        <v>103</v>
      </c>
      <c r="E465" t="s">
        <v>85</v>
      </c>
      <c r="F465" t="s">
        <v>86</v>
      </c>
      <c r="G465">
        <v>1.4498913227505501</v>
      </c>
      <c r="H465">
        <v>2E+20</v>
      </c>
      <c r="I465">
        <v>6.2892149244035495E-2</v>
      </c>
      <c r="J465">
        <v>7.7684269055628601</v>
      </c>
      <c r="K465">
        <v>131</v>
      </c>
      <c r="L46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compartida)PreparacionTotal Time Per EntityProcess</v>
      </c>
      <c r="M465" s="5" cm="1">
        <f t="array" ref="M465">MAX(IF((ProjectInfoTable[ProjectName]=DiscreteStatsTable[[#This Row],[ProjectName]]),(ProjectInfoTable[ProjectName]=DiscreteStatsTable[[#This Row],[ProjectName]])*ProjectInfoTable[NumberOfReplications]))</f>
        <v>19</v>
      </c>
      <c r="N465" s="5" cm="1">
        <f t="array" ref="N465">IFERROR(AVERAGE(IF((DiscreteStatsTable[GroupByKey]=DiscreteStatsTable[[#This Row],[GroupByKey]]),(DiscreteStatsTable[GroupByKey]=DiscreteStatsTable[[#This Row],[GroupByKey]])*DiscreteStatsTable[Average])),0)</f>
        <v>2.1273994880359743</v>
      </c>
      <c r="O465" s="5" cm="1">
        <f t="array" ref="O465">IFERROR(_xlfn.STDEV.S(IF((DiscreteStatsTable[GroupByKey]=DiscreteStatsTable[[#This Row],[GroupByKey]]),(DiscreteStatsTable[GroupByKey]=DiscreteStatsTable[[#This Row],[GroupByKey]])*DiscreteStatsTable[Average])),0)</f>
        <v>0.78312872053361837</v>
      </c>
      <c r="P465" s="5" cm="1">
        <f t="array" ref="P465">MAX(IF((ProjectInfoTable[ProjectName]=DiscreteStatsTable[[#This Row],[ProjectName]]),(ProjectInfoTable[ProjectName]=DiscreteStatsTable[[#This Row],[ProjectName]])*ProjectInfoTable[ConfidenceInterval]))</f>
        <v>0.95</v>
      </c>
      <c r="Q465" s="5">
        <f>IF(AND(DiscreteStatsTable[[#This Row],[RepsWithStatObserved]]=1,Y465=0),200000000000000000000,IFERROR(_xlfn.T.INV.2T(1 -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0.37745596092631467</v>
      </c>
      <c r="R465" s="5" cm="1">
        <f t="array" ref="R465">MIN(IF((DiscreteStatsTable[GroupByKey]=DiscreteStatsTable[[#This Row],[GroupByKey]]),(DiscreteStatsTable[GroupByKey]=DiscreteStatsTable[[#This Row],[GroupByKey]])*DiscreteStatsTable[Average]))</f>
        <v>1.4498913227505501</v>
      </c>
      <c r="S465" s="5" cm="1">
        <f t="array" ref="S465">MAX(IF((DiscreteStatsTable[GroupByKey]=DiscreteStatsTable[[#This Row],[GroupByKey]]),(DiscreteStatsTable[GroupByKey]=DiscreteStatsTable[[#This Row],[GroupByKey]])*DiscreteStatsTable[Average]))</f>
        <v>4.8344956063072599</v>
      </c>
      <c r="T465" s="5" cm="1">
        <f t="array" ref="T465">MIN(IF((DiscreteStatsTable[GroupByKey]=DiscreteStatsTable[[#This Row],[GroupByKey]]),(DiscreteStatsTable[GroupByKey]=DiscreteStatsTable[[#This Row],[GroupByKey]])*DiscreteStatsTable[Minimum]))</f>
        <v>0</v>
      </c>
      <c r="U465" s="5" cm="1">
        <f t="array" ref="U465">MAX(IF((DiscreteStatsTable[GroupByKey]=DiscreteStatsTable[[#This Row],[GroupByKey]]),(DiscreteStatsTable[GroupByKey]=DiscreteStatsTable[[#This Row],[GroupByKey]])*DiscreteStatsTable[Maximum]))</f>
        <v>23.229576157810602</v>
      </c>
      <c r="V465" s="5" cm="1">
        <f t="array" ref="V465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65" s="5">
        <f>IF((DiscreteStatsTable[[#This Row],[RepsRequested]]&gt;1),DiscreteStatsTable[[#This Row],[HalfWidth]],DiscreteStatsTable[[#This Row],[BatchMeansHalfWidth]])</f>
        <v>0.37745596092631467</v>
      </c>
      <c r="X465" s="5" cm="1">
        <f t="array" ref="X465">COUNT(IF((DiscreteStatsTable[GroupByKey]=DiscreteStatsTable[[#This Row],[GroupByKey]]),(DiscreteStatsTable[GroupByKey]=DiscreteStatsTable[[#This Row],[GroupByKey]])*DiscreteStatsTable[Replication]))</f>
        <v>19</v>
      </c>
      <c r="Y465" s="5">
        <f>IF(DiscreteStatsTable[[#This Row],[RepsRequested]]=DiscreteStatsTable[[#This Row],[RepsWithStatObserved]],1,0)</f>
        <v>1</v>
      </c>
    </row>
    <row r="466" spans="1:25" x14ac:dyDescent="0.25">
      <c r="A466" t="s">
        <v>67</v>
      </c>
      <c r="B466" t="s">
        <v>69</v>
      </c>
      <c r="C466">
        <v>16</v>
      </c>
      <c r="D466" t="s">
        <v>103</v>
      </c>
      <c r="E466" t="s">
        <v>87</v>
      </c>
      <c r="F466" t="s">
        <v>86</v>
      </c>
      <c r="G466">
        <v>1.2531378347248601</v>
      </c>
      <c r="H466">
        <v>2E+20</v>
      </c>
      <c r="I466">
        <v>6.2892149244035495E-2</v>
      </c>
      <c r="J466">
        <v>6.6994021734569502</v>
      </c>
      <c r="K466">
        <v>131</v>
      </c>
      <c r="L46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compartida)PreparacionVA Time Per EntityProcess</v>
      </c>
      <c r="M466" s="5" cm="1">
        <f t="array" ref="M466">MAX(IF((ProjectInfoTable[ProjectName]=DiscreteStatsTable[[#This Row],[ProjectName]]),(ProjectInfoTable[ProjectName]=DiscreteStatsTable[[#This Row],[ProjectName]])*ProjectInfoTable[NumberOfReplications]))</f>
        <v>19</v>
      </c>
      <c r="N466" s="5" cm="1">
        <f t="array" ref="N466">IFERROR(AVERAGE(IF((DiscreteStatsTable[GroupByKey]=DiscreteStatsTable[[#This Row],[GroupByKey]]),(DiscreteStatsTable[GroupByKey]=DiscreteStatsTable[[#This Row],[GroupByKey]])*DiscreteStatsTable[Average])),0)</f>
        <v>1.427042764340821</v>
      </c>
      <c r="O466" s="5" cm="1">
        <f t="array" ref="O466">IFERROR(_xlfn.STDEV.S(IF((DiscreteStatsTable[GroupByKey]=DiscreteStatsTable[[#This Row],[GroupByKey]]),(DiscreteStatsTable[GroupByKey]=DiscreteStatsTable[[#This Row],[GroupByKey]])*DiscreteStatsTable[Average])),0)</f>
        <v>0.15210233149440669</v>
      </c>
      <c r="P466" s="5" cm="1">
        <f t="array" ref="P466">MAX(IF((ProjectInfoTable[ProjectName]=DiscreteStatsTable[[#This Row],[ProjectName]]),(ProjectInfoTable[ProjectName]=DiscreteStatsTable[[#This Row],[ProjectName]])*ProjectInfoTable[ConfidenceInterval]))</f>
        <v>0.95</v>
      </c>
      <c r="Q466" s="5">
        <f>IF(AND(DiscreteStatsTable[[#This Row],[RepsWithStatObserved]]=1,Y466=0),200000000000000000000,IFERROR(_xlfn.T.INV.2T(1 -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7.3310977094843424E-2</v>
      </c>
      <c r="R466" s="5" cm="1">
        <f t="array" ref="R466">MIN(IF((DiscreteStatsTable[GroupByKey]=DiscreteStatsTable[[#This Row],[GroupByKey]]),(DiscreteStatsTable[GroupByKey]=DiscreteStatsTable[[#This Row],[GroupByKey]])*DiscreteStatsTable[Average]))</f>
        <v>1.1889341151258599</v>
      </c>
      <c r="S466" s="5" cm="1">
        <f t="array" ref="S466">MAX(IF((DiscreteStatsTable[GroupByKey]=DiscreteStatsTable[[#This Row],[GroupByKey]]),(DiscreteStatsTable[GroupByKey]=DiscreteStatsTable[[#This Row],[GroupByKey]])*DiscreteStatsTable[Average]))</f>
        <v>1.71891901774247</v>
      </c>
      <c r="T466" s="5" cm="1">
        <f t="array" ref="T466">MIN(IF((DiscreteStatsTable[GroupByKey]=DiscreteStatsTable[[#This Row],[GroupByKey]]),(DiscreteStatsTable[GroupByKey]=DiscreteStatsTable[[#This Row],[GroupByKey]])*DiscreteStatsTable[Minimum]))</f>
        <v>0</v>
      </c>
      <c r="U466" s="5" cm="1">
        <f t="array" ref="U466">MAX(IF((DiscreteStatsTable[GroupByKey]=DiscreteStatsTable[[#This Row],[GroupByKey]]),(DiscreteStatsTable[GroupByKey]=DiscreteStatsTable[[#This Row],[GroupByKey]])*DiscreteStatsTable[Maximum]))</f>
        <v>13.3285940274107</v>
      </c>
      <c r="V466" s="5" cm="1">
        <f t="array" ref="V466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66" s="5">
        <f>IF((DiscreteStatsTable[[#This Row],[RepsRequested]]&gt;1),DiscreteStatsTable[[#This Row],[HalfWidth]],DiscreteStatsTable[[#This Row],[BatchMeansHalfWidth]])</f>
        <v>7.3310977094843424E-2</v>
      </c>
      <c r="X466" s="5" cm="1">
        <f t="array" ref="X466">COUNT(IF((DiscreteStatsTable[GroupByKey]=DiscreteStatsTable[[#This Row],[GroupByKey]]),(DiscreteStatsTable[GroupByKey]=DiscreteStatsTable[[#This Row],[GroupByKey]])*DiscreteStatsTable[Replication]))</f>
        <v>19</v>
      </c>
      <c r="Y466" s="5">
        <f>IF(DiscreteStatsTable[[#This Row],[RepsRequested]]=DiscreteStatsTable[[#This Row],[RepsWithStatObserved]],1,0)</f>
        <v>1</v>
      </c>
    </row>
    <row r="467" spans="1:25" x14ac:dyDescent="0.25">
      <c r="A467" t="s">
        <v>67</v>
      </c>
      <c r="B467" t="s">
        <v>69</v>
      </c>
      <c r="C467">
        <v>16</v>
      </c>
      <c r="D467" t="s">
        <v>103</v>
      </c>
      <c r="E467" t="s">
        <v>88</v>
      </c>
      <c r="F467" t="s">
        <v>86</v>
      </c>
      <c r="G467">
        <v>0.19675348802568801</v>
      </c>
      <c r="H467">
        <v>2E+20</v>
      </c>
      <c r="I467">
        <v>0</v>
      </c>
      <c r="J467">
        <v>2.0095796098252499</v>
      </c>
      <c r="K467">
        <v>131</v>
      </c>
      <c r="L46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compartida)PreparacionWait Time Per EntityProcess</v>
      </c>
      <c r="M467" s="5" cm="1">
        <f t="array" ref="M467">MAX(IF((ProjectInfoTable[ProjectName]=DiscreteStatsTable[[#This Row],[ProjectName]]),(ProjectInfoTable[ProjectName]=DiscreteStatsTable[[#This Row],[ProjectName]])*ProjectInfoTable[NumberOfReplications]))</f>
        <v>19</v>
      </c>
      <c r="N467" s="5" cm="1">
        <f t="array" ref="N467">IFERROR(AVERAGE(IF((DiscreteStatsTable[GroupByKey]=DiscreteStatsTable[[#This Row],[GroupByKey]]),(DiscreteStatsTable[GroupByKey]=DiscreteStatsTable[[#This Row],[GroupByKey]])*DiscreteStatsTable[Average])),0)</f>
        <v>0.70035672369515334</v>
      </c>
      <c r="O467" s="5" cm="1">
        <f t="array" ref="O467">IFERROR(_xlfn.STDEV.S(IF((DiscreteStatsTable[GroupByKey]=DiscreteStatsTable[[#This Row],[GroupByKey]]),(DiscreteStatsTable[GroupByKey]=DiscreteStatsTable[[#This Row],[GroupByKey]])*DiscreteStatsTable[Average])),0)</f>
        <v>0.73328049543419305</v>
      </c>
      <c r="P467" s="5" cm="1">
        <f t="array" ref="P467">MAX(IF((ProjectInfoTable[ProjectName]=DiscreteStatsTable[[#This Row],[ProjectName]]),(ProjectInfoTable[ProjectName]=DiscreteStatsTable[[#This Row],[ProjectName]])*ProjectInfoTable[ConfidenceInterval]))</f>
        <v>0.95</v>
      </c>
      <c r="Q467" s="5">
        <f>IF(AND(DiscreteStatsTable[[#This Row],[RepsWithStatObserved]]=1,Y467=0),200000000000000000000,IFERROR(_xlfn.T.INV.2T(1 -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0.35342988550342119</v>
      </c>
      <c r="R467" s="5" cm="1">
        <f t="array" ref="R467">MIN(IF((DiscreteStatsTable[GroupByKey]=DiscreteStatsTable[[#This Row],[GroupByKey]]),(DiscreteStatsTable[GroupByKey]=DiscreteStatsTable[[#This Row],[GroupByKey]])*DiscreteStatsTable[Average]))</f>
        <v>0.19405440212973199</v>
      </c>
      <c r="S467" s="5" cm="1">
        <f t="array" ref="S467">MAX(IF((DiscreteStatsTable[GroupByKey]=DiscreteStatsTable[[#This Row],[GroupByKey]]),(DiscreteStatsTable[GroupByKey]=DiscreteStatsTable[[#This Row],[GroupByKey]])*DiscreteStatsTable[Average]))</f>
        <v>3.4332474400478601</v>
      </c>
      <c r="T467" s="5" cm="1">
        <f t="array" ref="T467">MIN(IF((DiscreteStatsTable[GroupByKey]=DiscreteStatsTable[[#This Row],[GroupByKey]]),(DiscreteStatsTable[GroupByKey]=DiscreteStatsTable[[#This Row],[GroupByKey]])*DiscreteStatsTable[Minimum]))</f>
        <v>0</v>
      </c>
      <c r="U467" s="5" cm="1">
        <f t="array" ref="U467">MAX(IF((DiscreteStatsTable[GroupByKey]=DiscreteStatsTable[[#This Row],[GroupByKey]]),(DiscreteStatsTable[GroupByKey]=DiscreteStatsTable[[#This Row],[GroupByKey]])*DiscreteStatsTable[Maximum]))</f>
        <v>17.656360512085001</v>
      </c>
      <c r="V467" s="5" cm="1">
        <f t="array" ref="V467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67" s="5">
        <f>IF((DiscreteStatsTable[[#This Row],[RepsRequested]]&gt;1),DiscreteStatsTable[[#This Row],[HalfWidth]],DiscreteStatsTable[[#This Row],[BatchMeansHalfWidth]])</f>
        <v>0.35342988550342119</v>
      </c>
      <c r="X467" s="5" cm="1">
        <f t="array" ref="X467">COUNT(IF((DiscreteStatsTable[GroupByKey]=DiscreteStatsTable[[#This Row],[GroupByKey]]),(DiscreteStatsTable[GroupByKey]=DiscreteStatsTable[[#This Row],[GroupByKey]])*DiscreteStatsTable[Replication]))</f>
        <v>19</v>
      </c>
      <c r="Y467" s="5">
        <f>IF(DiscreteStatsTable[[#This Row],[RepsRequested]]=DiscreteStatsTable[[#This Row],[RepsWithStatObserved]],1,0)</f>
        <v>1</v>
      </c>
    </row>
    <row r="468" spans="1:25" x14ac:dyDescent="0.25">
      <c r="A468" t="s">
        <v>67</v>
      </c>
      <c r="B468" t="s">
        <v>69</v>
      </c>
      <c r="C468">
        <v>17</v>
      </c>
      <c r="D468" t="s">
        <v>103</v>
      </c>
      <c r="E468" t="s">
        <v>85</v>
      </c>
      <c r="F468" t="s">
        <v>86</v>
      </c>
      <c r="G468">
        <v>1.8890053524362</v>
      </c>
      <c r="H468">
        <v>2E+20</v>
      </c>
      <c r="I468">
        <v>7.0754975650373794E-2</v>
      </c>
      <c r="J468">
        <v>8.9156302968360706</v>
      </c>
      <c r="K468">
        <v>124</v>
      </c>
      <c r="L46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compartida)PreparacionTotal Time Per EntityProcess</v>
      </c>
      <c r="M468" s="5" cm="1">
        <f t="array" ref="M468">MAX(IF((ProjectInfoTable[ProjectName]=DiscreteStatsTable[[#This Row],[ProjectName]]),(ProjectInfoTable[ProjectName]=DiscreteStatsTable[[#This Row],[ProjectName]])*ProjectInfoTable[NumberOfReplications]))</f>
        <v>19</v>
      </c>
      <c r="N468" s="5" cm="1">
        <f t="array" ref="N468">IFERROR(AVERAGE(IF((DiscreteStatsTable[GroupByKey]=DiscreteStatsTable[[#This Row],[GroupByKey]]),(DiscreteStatsTable[GroupByKey]=DiscreteStatsTable[[#This Row],[GroupByKey]])*DiscreteStatsTable[Average])),0)</f>
        <v>2.1273994880359743</v>
      </c>
      <c r="O468" s="5" cm="1">
        <f t="array" ref="O468">IFERROR(_xlfn.STDEV.S(IF((DiscreteStatsTable[GroupByKey]=DiscreteStatsTable[[#This Row],[GroupByKey]]),(DiscreteStatsTable[GroupByKey]=DiscreteStatsTable[[#This Row],[GroupByKey]])*DiscreteStatsTable[Average])),0)</f>
        <v>0.78312872053361837</v>
      </c>
      <c r="P468" s="5" cm="1">
        <f t="array" ref="P468">MAX(IF((ProjectInfoTable[ProjectName]=DiscreteStatsTable[[#This Row],[ProjectName]]),(ProjectInfoTable[ProjectName]=DiscreteStatsTable[[#This Row],[ProjectName]])*ProjectInfoTable[ConfidenceInterval]))</f>
        <v>0.95</v>
      </c>
      <c r="Q468" s="5">
        <f>IF(AND(DiscreteStatsTable[[#This Row],[RepsWithStatObserved]]=1,Y468=0),200000000000000000000,IFERROR(_xlfn.T.INV.2T(1 -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0.37745596092631467</v>
      </c>
      <c r="R468" s="5" cm="1">
        <f t="array" ref="R468">MIN(IF((DiscreteStatsTable[GroupByKey]=DiscreteStatsTable[[#This Row],[GroupByKey]]),(DiscreteStatsTable[GroupByKey]=DiscreteStatsTable[[#This Row],[GroupByKey]])*DiscreteStatsTable[Average]))</f>
        <v>1.4498913227505501</v>
      </c>
      <c r="S468" s="5" cm="1">
        <f t="array" ref="S468">MAX(IF((DiscreteStatsTable[GroupByKey]=DiscreteStatsTable[[#This Row],[GroupByKey]]),(DiscreteStatsTable[GroupByKey]=DiscreteStatsTable[[#This Row],[GroupByKey]])*DiscreteStatsTable[Average]))</f>
        <v>4.8344956063072599</v>
      </c>
      <c r="T468" s="5" cm="1">
        <f t="array" ref="T468">MIN(IF((DiscreteStatsTable[GroupByKey]=DiscreteStatsTable[[#This Row],[GroupByKey]]),(DiscreteStatsTable[GroupByKey]=DiscreteStatsTable[[#This Row],[GroupByKey]])*DiscreteStatsTable[Minimum]))</f>
        <v>0</v>
      </c>
      <c r="U468" s="5" cm="1">
        <f t="array" ref="U468">MAX(IF((DiscreteStatsTable[GroupByKey]=DiscreteStatsTable[[#This Row],[GroupByKey]]),(DiscreteStatsTable[GroupByKey]=DiscreteStatsTable[[#This Row],[GroupByKey]])*DiscreteStatsTable[Maximum]))</f>
        <v>23.229576157810602</v>
      </c>
      <c r="V468" s="5" cm="1">
        <f t="array" ref="V468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68" s="5">
        <f>IF((DiscreteStatsTable[[#This Row],[RepsRequested]]&gt;1),DiscreteStatsTable[[#This Row],[HalfWidth]],DiscreteStatsTable[[#This Row],[BatchMeansHalfWidth]])</f>
        <v>0.37745596092631467</v>
      </c>
      <c r="X468" s="5" cm="1">
        <f t="array" ref="X468">COUNT(IF((DiscreteStatsTable[GroupByKey]=DiscreteStatsTable[[#This Row],[GroupByKey]]),(DiscreteStatsTable[GroupByKey]=DiscreteStatsTable[[#This Row],[GroupByKey]])*DiscreteStatsTable[Replication]))</f>
        <v>19</v>
      </c>
      <c r="Y468" s="5">
        <f>IF(DiscreteStatsTable[[#This Row],[RepsRequested]]=DiscreteStatsTable[[#This Row],[RepsWithStatObserved]],1,0)</f>
        <v>1</v>
      </c>
    </row>
    <row r="469" spans="1:25" x14ac:dyDescent="0.25">
      <c r="A469" t="s">
        <v>67</v>
      </c>
      <c r="B469" t="s">
        <v>69</v>
      </c>
      <c r="C469">
        <v>17</v>
      </c>
      <c r="D469" t="s">
        <v>103</v>
      </c>
      <c r="E469" t="s">
        <v>87</v>
      </c>
      <c r="F469" t="s">
        <v>86</v>
      </c>
      <c r="G469">
        <v>1.44163883248143</v>
      </c>
      <c r="H469">
        <v>2E+20</v>
      </c>
      <c r="I469">
        <v>7.0754975650373794E-2</v>
      </c>
      <c r="J469">
        <v>8.9156302968360706</v>
      </c>
      <c r="K469">
        <v>124</v>
      </c>
      <c r="L46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compartida)PreparacionVA Time Per EntityProcess</v>
      </c>
      <c r="M469" s="5" cm="1">
        <f t="array" ref="M469">MAX(IF((ProjectInfoTable[ProjectName]=DiscreteStatsTable[[#This Row],[ProjectName]]),(ProjectInfoTable[ProjectName]=DiscreteStatsTable[[#This Row],[ProjectName]])*ProjectInfoTable[NumberOfReplications]))</f>
        <v>19</v>
      </c>
      <c r="N469" s="5" cm="1">
        <f t="array" ref="N469">IFERROR(AVERAGE(IF((DiscreteStatsTable[GroupByKey]=DiscreteStatsTable[[#This Row],[GroupByKey]]),(DiscreteStatsTable[GroupByKey]=DiscreteStatsTable[[#This Row],[GroupByKey]])*DiscreteStatsTable[Average])),0)</f>
        <v>1.427042764340821</v>
      </c>
      <c r="O469" s="5" cm="1">
        <f t="array" ref="O469">IFERROR(_xlfn.STDEV.S(IF((DiscreteStatsTable[GroupByKey]=DiscreteStatsTable[[#This Row],[GroupByKey]]),(DiscreteStatsTable[GroupByKey]=DiscreteStatsTable[[#This Row],[GroupByKey]])*DiscreteStatsTable[Average])),0)</f>
        <v>0.15210233149440669</v>
      </c>
      <c r="P469" s="5" cm="1">
        <f t="array" ref="P469">MAX(IF((ProjectInfoTable[ProjectName]=DiscreteStatsTable[[#This Row],[ProjectName]]),(ProjectInfoTable[ProjectName]=DiscreteStatsTable[[#This Row],[ProjectName]])*ProjectInfoTable[ConfidenceInterval]))</f>
        <v>0.95</v>
      </c>
      <c r="Q469" s="5">
        <f>IF(AND(DiscreteStatsTable[[#This Row],[RepsWithStatObserved]]=1,Y469=0),200000000000000000000,IFERROR(_xlfn.T.INV.2T(1 -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7.3310977094843424E-2</v>
      </c>
      <c r="R469" s="5" cm="1">
        <f t="array" ref="R469">MIN(IF((DiscreteStatsTable[GroupByKey]=DiscreteStatsTable[[#This Row],[GroupByKey]]),(DiscreteStatsTable[GroupByKey]=DiscreteStatsTable[[#This Row],[GroupByKey]])*DiscreteStatsTable[Average]))</f>
        <v>1.1889341151258599</v>
      </c>
      <c r="S469" s="5" cm="1">
        <f t="array" ref="S469">MAX(IF((DiscreteStatsTable[GroupByKey]=DiscreteStatsTable[[#This Row],[GroupByKey]]),(DiscreteStatsTable[GroupByKey]=DiscreteStatsTable[[#This Row],[GroupByKey]])*DiscreteStatsTable[Average]))</f>
        <v>1.71891901774247</v>
      </c>
      <c r="T469" s="5" cm="1">
        <f t="array" ref="T469">MIN(IF((DiscreteStatsTable[GroupByKey]=DiscreteStatsTable[[#This Row],[GroupByKey]]),(DiscreteStatsTable[GroupByKey]=DiscreteStatsTable[[#This Row],[GroupByKey]])*DiscreteStatsTable[Minimum]))</f>
        <v>0</v>
      </c>
      <c r="U469" s="5" cm="1">
        <f t="array" ref="U469">MAX(IF((DiscreteStatsTable[GroupByKey]=DiscreteStatsTable[[#This Row],[GroupByKey]]),(DiscreteStatsTable[GroupByKey]=DiscreteStatsTable[[#This Row],[GroupByKey]])*DiscreteStatsTable[Maximum]))</f>
        <v>13.3285940274107</v>
      </c>
      <c r="V469" s="5" cm="1">
        <f t="array" ref="V469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69" s="5">
        <f>IF((DiscreteStatsTable[[#This Row],[RepsRequested]]&gt;1),DiscreteStatsTable[[#This Row],[HalfWidth]],DiscreteStatsTable[[#This Row],[BatchMeansHalfWidth]])</f>
        <v>7.3310977094843424E-2</v>
      </c>
      <c r="X469" s="5" cm="1">
        <f t="array" ref="X469">COUNT(IF((DiscreteStatsTable[GroupByKey]=DiscreteStatsTable[[#This Row],[GroupByKey]]),(DiscreteStatsTable[GroupByKey]=DiscreteStatsTable[[#This Row],[GroupByKey]])*DiscreteStatsTable[Replication]))</f>
        <v>19</v>
      </c>
      <c r="Y469" s="5">
        <f>IF(DiscreteStatsTable[[#This Row],[RepsRequested]]=DiscreteStatsTable[[#This Row],[RepsWithStatObserved]],1,0)</f>
        <v>1</v>
      </c>
    </row>
    <row r="470" spans="1:25" x14ac:dyDescent="0.25">
      <c r="A470" t="s">
        <v>67</v>
      </c>
      <c r="B470" t="s">
        <v>69</v>
      </c>
      <c r="C470">
        <v>17</v>
      </c>
      <c r="D470" t="s">
        <v>103</v>
      </c>
      <c r="E470" t="s">
        <v>88</v>
      </c>
      <c r="F470" t="s">
        <v>86</v>
      </c>
      <c r="G470">
        <v>0.447366519954769</v>
      </c>
      <c r="H470">
        <v>2E+20</v>
      </c>
      <c r="I470">
        <v>0</v>
      </c>
      <c r="J470">
        <v>3.6859567937453002</v>
      </c>
      <c r="K470">
        <v>124</v>
      </c>
      <c r="L47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compartida)PreparacionWait Time Per EntityProcess</v>
      </c>
      <c r="M470" s="5" cm="1">
        <f t="array" ref="M470">MAX(IF((ProjectInfoTable[ProjectName]=DiscreteStatsTable[[#This Row],[ProjectName]]),(ProjectInfoTable[ProjectName]=DiscreteStatsTable[[#This Row],[ProjectName]])*ProjectInfoTable[NumberOfReplications]))</f>
        <v>19</v>
      </c>
      <c r="N470" s="5" cm="1">
        <f t="array" ref="N470">IFERROR(AVERAGE(IF((DiscreteStatsTable[GroupByKey]=DiscreteStatsTable[[#This Row],[GroupByKey]]),(DiscreteStatsTable[GroupByKey]=DiscreteStatsTable[[#This Row],[GroupByKey]])*DiscreteStatsTable[Average])),0)</f>
        <v>0.70035672369515334</v>
      </c>
      <c r="O470" s="5" cm="1">
        <f t="array" ref="O470">IFERROR(_xlfn.STDEV.S(IF((DiscreteStatsTable[GroupByKey]=DiscreteStatsTable[[#This Row],[GroupByKey]]),(DiscreteStatsTable[GroupByKey]=DiscreteStatsTable[[#This Row],[GroupByKey]])*DiscreteStatsTable[Average])),0)</f>
        <v>0.73328049543419305</v>
      </c>
      <c r="P470" s="5" cm="1">
        <f t="array" ref="P470">MAX(IF((ProjectInfoTable[ProjectName]=DiscreteStatsTable[[#This Row],[ProjectName]]),(ProjectInfoTable[ProjectName]=DiscreteStatsTable[[#This Row],[ProjectName]])*ProjectInfoTable[ConfidenceInterval]))</f>
        <v>0.95</v>
      </c>
      <c r="Q470" s="5">
        <f>IF(AND(DiscreteStatsTable[[#This Row],[RepsWithStatObserved]]=1,Y470=0),200000000000000000000,IFERROR(_xlfn.T.INV.2T(1 -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0.35342988550342119</v>
      </c>
      <c r="R470" s="5" cm="1">
        <f t="array" ref="R470">MIN(IF((DiscreteStatsTable[GroupByKey]=DiscreteStatsTable[[#This Row],[GroupByKey]]),(DiscreteStatsTable[GroupByKey]=DiscreteStatsTable[[#This Row],[GroupByKey]])*DiscreteStatsTable[Average]))</f>
        <v>0.19405440212973199</v>
      </c>
      <c r="S470" s="5" cm="1">
        <f t="array" ref="S470">MAX(IF((DiscreteStatsTable[GroupByKey]=DiscreteStatsTable[[#This Row],[GroupByKey]]),(DiscreteStatsTable[GroupByKey]=DiscreteStatsTable[[#This Row],[GroupByKey]])*DiscreteStatsTable[Average]))</f>
        <v>3.4332474400478601</v>
      </c>
      <c r="T470" s="5" cm="1">
        <f t="array" ref="T470">MIN(IF((DiscreteStatsTable[GroupByKey]=DiscreteStatsTable[[#This Row],[GroupByKey]]),(DiscreteStatsTable[GroupByKey]=DiscreteStatsTable[[#This Row],[GroupByKey]])*DiscreteStatsTable[Minimum]))</f>
        <v>0</v>
      </c>
      <c r="U470" s="5" cm="1">
        <f t="array" ref="U470">MAX(IF((DiscreteStatsTable[GroupByKey]=DiscreteStatsTable[[#This Row],[GroupByKey]]),(DiscreteStatsTable[GroupByKey]=DiscreteStatsTable[[#This Row],[GroupByKey]])*DiscreteStatsTable[Maximum]))</f>
        <v>17.656360512085001</v>
      </c>
      <c r="V470" s="5" cm="1">
        <f t="array" ref="V470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70" s="5">
        <f>IF((DiscreteStatsTable[[#This Row],[RepsRequested]]&gt;1),DiscreteStatsTable[[#This Row],[HalfWidth]],DiscreteStatsTable[[#This Row],[BatchMeansHalfWidth]])</f>
        <v>0.35342988550342119</v>
      </c>
      <c r="X470" s="5" cm="1">
        <f t="array" ref="X470">COUNT(IF((DiscreteStatsTable[GroupByKey]=DiscreteStatsTable[[#This Row],[GroupByKey]]),(DiscreteStatsTable[GroupByKey]=DiscreteStatsTable[[#This Row],[GroupByKey]])*DiscreteStatsTable[Replication]))</f>
        <v>19</v>
      </c>
      <c r="Y470" s="5">
        <f>IF(DiscreteStatsTable[[#This Row],[RepsRequested]]=DiscreteStatsTable[[#This Row],[RepsWithStatObserved]],1,0)</f>
        <v>1</v>
      </c>
    </row>
    <row r="471" spans="1:25" x14ac:dyDescent="0.25">
      <c r="A471" t="s">
        <v>67</v>
      </c>
      <c r="B471" t="s">
        <v>69</v>
      </c>
      <c r="C471">
        <v>18</v>
      </c>
      <c r="D471" t="s">
        <v>103</v>
      </c>
      <c r="E471" t="s">
        <v>85</v>
      </c>
      <c r="F471" t="s">
        <v>86</v>
      </c>
      <c r="G471">
        <v>2.5074835011506802</v>
      </c>
      <c r="H471">
        <v>2E+20</v>
      </c>
      <c r="I471">
        <v>0.136362017680426</v>
      </c>
      <c r="J471">
        <v>14.493705040271401</v>
      </c>
      <c r="K471">
        <v>121</v>
      </c>
      <c r="L47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compartida)PreparacionTotal Time Per EntityProcess</v>
      </c>
      <c r="M471" s="5" cm="1">
        <f t="array" ref="M471">MAX(IF((ProjectInfoTable[ProjectName]=DiscreteStatsTable[[#This Row],[ProjectName]]),(ProjectInfoTable[ProjectName]=DiscreteStatsTable[[#This Row],[ProjectName]])*ProjectInfoTable[NumberOfReplications]))</f>
        <v>19</v>
      </c>
      <c r="N471" s="5" cm="1">
        <f t="array" ref="N471">IFERROR(AVERAGE(IF((DiscreteStatsTable[GroupByKey]=DiscreteStatsTable[[#This Row],[GroupByKey]]),(DiscreteStatsTable[GroupByKey]=DiscreteStatsTable[[#This Row],[GroupByKey]])*DiscreteStatsTable[Average])),0)</f>
        <v>2.1273994880359743</v>
      </c>
      <c r="O471" s="5" cm="1">
        <f t="array" ref="O471">IFERROR(_xlfn.STDEV.S(IF((DiscreteStatsTable[GroupByKey]=DiscreteStatsTable[[#This Row],[GroupByKey]]),(DiscreteStatsTable[GroupByKey]=DiscreteStatsTable[[#This Row],[GroupByKey]])*DiscreteStatsTable[Average])),0)</f>
        <v>0.78312872053361837</v>
      </c>
      <c r="P471" s="5" cm="1">
        <f t="array" ref="P471">MAX(IF((ProjectInfoTable[ProjectName]=DiscreteStatsTable[[#This Row],[ProjectName]]),(ProjectInfoTable[ProjectName]=DiscreteStatsTable[[#This Row],[ProjectName]])*ProjectInfoTable[ConfidenceInterval]))</f>
        <v>0.95</v>
      </c>
      <c r="Q471" s="5">
        <f>IF(AND(DiscreteStatsTable[[#This Row],[RepsWithStatObserved]]=1,Y471=0),200000000000000000000,IFERROR(_xlfn.T.INV.2T(1 -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0.37745596092631467</v>
      </c>
      <c r="R471" s="5" cm="1">
        <f t="array" ref="R471">MIN(IF((DiscreteStatsTable[GroupByKey]=DiscreteStatsTable[[#This Row],[GroupByKey]]),(DiscreteStatsTable[GroupByKey]=DiscreteStatsTable[[#This Row],[GroupByKey]])*DiscreteStatsTable[Average]))</f>
        <v>1.4498913227505501</v>
      </c>
      <c r="S471" s="5" cm="1">
        <f t="array" ref="S471">MAX(IF((DiscreteStatsTable[GroupByKey]=DiscreteStatsTable[[#This Row],[GroupByKey]]),(DiscreteStatsTable[GroupByKey]=DiscreteStatsTable[[#This Row],[GroupByKey]])*DiscreteStatsTable[Average]))</f>
        <v>4.8344956063072599</v>
      </c>
      <c r="T471" s="5" cm="1">
        <f t="array" ref="T471">MIN(IF((DiscreteStatsTable[GroupByKey]=DiscreteStatsTable[[#This Row],[GroupByKey]]),(DiscreteStatsTable[GroupByKey]=DiscreteStatsTable[[#This Row],[GroupByKey]])*DiscreteStatsTable[Minimum]))</f>
        <v>0</v>
      </c>
      <c r="U471" s="5" cm="1">
        <f t="array" ref="U471">MAX(IF((DiscreteStatsTable[GroupByKey]=DiscreteStatsTable[[#This Row],[GroupByKey]]),(DiscreteStatsTable[GroupByKey]=DiscreteStatsTable[[#This Row],[GroupByKey]])*DiscreteStatsTable[Maximum]))</f>
        <v>23.229576157810602</v>
      </c>
      <c r="V471" s="5" cm="1">
        <f t="array" ref="V471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71" s="5">
        <f>IF((DiscreteStatsTable[[#This Row],[RepsRequested]]&gt;1),DiscreteStatsTable[[#This Row],[HalfWidth]],DiscreteStatsTable[[#This Row],[BatchMeansHalfWidth]])</f>
        <v>0.37745596092631467</v>
      </c>
      <c r="X471" s="5" cm="1">
        <f t="array" ref="X471">COUNT(IF((DiscreteStatsTable[GroupByKey]=DiscreteStatsTable[[#This Row],[GroupByKey]]),(DiscreteStatsTable[GroupByKey]=DiscreteStatsTable[[#This Row],[GroupByKey]])*DiscreteStatsTable[Replication]))</f>
        <v>19</v>
      </c>
      <c r="Y471" s="5">
        <f>IF(DiscreteStatsTable[[#This Row],[RepsRequested]]=DiscreteStatsTable[[#This Row],[RepsWithStatObserved]],1,0)</f>
        <v>1</v>
      </c>
    </row>
    <row r="472" spans="1:25" x14ac:dyDescent="0.25">
      <c r="A472" t="s">
        <v>67</v>
      </c>
      <c r="B472" t="s">
        <v>69</v>
      </c>
      <c r="C472">
        <v>18</v>
      </c>
      <c r="D472" t="s">
        <v>103</v>
      </c>
      <c r="E472" t="s">
        <v>87</v>
      </c>
      <c r="F472" t="s">
        <v>86</v>
      </c>
      <c r="G472">
        <v>1.71891901774247</v>
      </c>
      <c r="H472">
        <v>2E+20</v>
      </c>
      <c r="I472">
        <v>0</v>
      </c>
      <c r="J472">
        <v>12.0362708068504</v>
      </c>
      <c r="K472">
        <v>121</v>
      </c>
      <c r="L47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compartida)PreparacionVA Time Per EntityProcess</v>
      </c>
      <c r="M472" s="5" cm="1">
        <f t="array" ref="M472">MAX(IF((ProjectInfoTable[ProjectName]=DiscreteStatsTable[[#This Row],[ProjectName]]),(ProjectInfoTable[ProjectName]=DiscreteStatsTable[[#This Row],[ProjectName]])*ProjectInfoTable[NumberOfReplications]))</f>
        <v>19</v>
      </c>
      <c r="N472" s="5" cm="1">
        <f t="array" ref="N472">IFERROR(AVERAGE(IF((DiscreteStatsTable[GroupByKey]=DiscreteStatsTable[[#This Row],[GroupByKey]]),(DiscreteStatsTable[GroupByKey]=DiscreteStatsTable[[#This Row],[GroupByKey]])*DiscreteStatsTable[Average])),0)</f>
        <v>1.427042764340821</v>
      </c>
      <c r="O472" s="5" cm="1">
        <f t="array" ref="O472">IFERROR(_xlfn.STDEV.S(IF((DiscreteStatsTable[GroupByKey]=DiscreteStatsTable[[#This Row],[GroupByKey]]),(DiscreteStatsTable[GroupByKey]=DiscreteStatsTable[[#This Row],[GroupByKey]])*DiscreteStatsTable[Average])),0)</f>
        <v>0.15210233149440669</v>
      </c>
      <c r="P472" s="5" cm="1">
        <f t="array" ref="P472">MAX(IF((ProjectInfoTable[ProjectName]=DiscreteStatsTable[[#This Row],[ProjectName]]),(ProjectInfoTable[ProjectName]=DiscreteStatsTable[[#This Row],[ProjectName]])*ProjectInfoTable[ConfidenceInterval]))</f>
        <v>0.95</v>
      </c>
      <c r="Q472" s="5">
        <f>IF(AND(DiscreteStatsTable[[#This Row],[RepsWithStatObserved]]=1,Y472=0),200000000000000000000,IFERROR(_xlfn.T.INV.2T(1 -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7.3310977094843424E-2</v>
      </c>
      <c r="R472" s="5" cm="1">
        <f t="array" ref="R472">MIN(IF((DiscreteStatsTable[GroupByKey]=DiscreteStatsTable[[#This Row],[GroupByKey]]),(DiscreteStatsTable[GroupByKey]=DiscreteStatsTable[[#This Row],[GroupByKey]])*DiscreteStatsTable[Average]))</f>
        <v>1.1889341151258599</v>
      </c>
      <c r="S472" s="5" cm="1">
        <f t="array" ref="S472">MAX(IF((DiscreteStatsTable[GroupByKey]=DiscreteStatsTable[[#This Row],[GroupByKey]]),(DiscreteStatsTable[GroupByKey]=DiscreteStatsTable[[#This Row],[GroupByKey]])*DiscreteStatsTable[Average]))</f>
        <v>1.71891901774247</v>
      </c>
      <c r="T472" s="5" cm="1">
        <f t="array" ref="T472">MIN(IF((DiscreteStatsTable[GroupByKey]=DiscreteStatsTable[[#This Row],[GroupByKey]]),(DiscreteStatsTable[GroupByKey]=DiscreteStatsTable[[#This Row],[GroupByKey]])*DiscreteStatsTable[Minimum]))</f>
        <v>0</v>
      </c>
      <c r="U472" s="5" cm="1">
        <f t="array" ref="U472">MAX(IF((DiscreteStatsTable[GroupByKey]=DiscreteStatsTable[[#This Row],[GroupByKey]]),(DiscreteStatsTable[GroupByKey]=DiscreteStatsTable[[#This Row],[GroupByKey]])*DiscreteStatsTable[Maximum]))</f>
        <v>13.3285940274107</v>
      </c>
      <c r="V472" s="5" cm="1">
        <f t="array" ref="V472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72" s="5">
        <f>IF((DiscreteStatsTable[[#This Row],[RepsRequested]]&gt;1),DiscreteStatsTable[[#This Row],[HalfWidth]],DiscreteStatsTable[[#This Row],[BatchMeansHalfWidth]])</f>
        <v>7.3310977094843424E-2</v>
      </c>
      <c r="X472" s="5" cm="1">
        <f t="array" ref="X472">COUNT(IF((DiscreteStatsTable[GroupByKey]=DiscreteStatsTable[[#This Row],[GroupByKey]]),(DiscreteStatsTable[GroupByKey]=DiscreteStatsTable[[#This Row],[GroupByKey]])*DiscreteStatsTable[Replication]))</f>
        <v>19</v>
      </c>
      <c r="Y472" s="5">
        <f>IF(DiscreteStatsTable[[#This Row],[RepsRequested]]=DiscreteStatsTable[[#This Row],[RepsWithStatObserved]],1,0)</f>
        <v>1</v>
      </c>
    </row>
    <row r="473" spans="1:25" x14ac:dyDescent="0.25">
      <c r="A473" t="s">
        <v>67</v>
      </c>
      <c r="B473" t="s">
        <v>69</v>
      </c>
      <c r="C473">
        <v>18</v>
      </c>
      <c r="D473" t="s">
        <v>103</v>
      </c>
      <c r="E473" t="s">
        <v>88</v>
      </c>
      <c r="F473" t="s">
        <v>86</v>
      </c>
      <c r="G473">
        <v>0.78856448340821095</v>
      </c>
      <c r="H473">
        <v>2E+20</v>
      </c>
      <c r="I473">
        <v>0</v>
      </c>
      <c r="J473">
        <v>9.6271429415646601</v>
      </c>
      <c r="K473">
        <v>121</v>
      </c>
      <c r="L47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compartida)PreparacionWait Time Per EntityProcess</v>
      </c>
      <c r="M473" s="5" cm="1">
        <f t="array" ref="M473">MAX(IF((ProjectInfoTable[ProjectName]=DiscreteStatsTable[[#This Row],[ProjectName]]),(ProjectInfoTable[ProjectName]=DiscreteStatsTable[[#This Row],[ProjectName]])*ProjectInfoTable[NumberOfReplications]))</f>
        <v>19</v>
      </c>
      <c r="N473" s="5" cm="1">
        <f t="array" ref="N473">IFERROR(AVERAGE(IF((DiscreteStatsTable[GroupByKey]=DiscreteStatsTable[[#This Row],[GroupByKey]]),(DiscreteStatsTable[GroupByKey]=DiscreteStatsTable[[#This Row],[GroupByKey]])*DiscreteStatsTable[Average])),0)</f>
        <v>0.70035672369515334</v>
      </c>
      <c r="O473" s="5" cm="1">
        <f t="array" ref="O473">IFERROR(_xlfn.STDEV.S(IF((DiscreteStatsTable[GroupByKey]=DiscreteStatsTable[[#This Row],[GroupByKey]]),(DiscreteStatsTable[GroupByKey]=DiscreteStatsTable[[#This Row],[GroupByKey]])*DiscreteStatsTable[Average])),0)</f>
        <v>0.73328049543419305</v>
      </c>
      <c r="P473" s="5" cm="1">
        <f t="array" ref="P473">MAX(IF((ProjectInfoTable[ProjectName]=DiscreteStatsTable[[#This Row],[ProjectName]]),(ProjectInfoTable[ProjectName]=DiscreteStatsTable[[#This Row],[ProjectName]])*ProjectInfoTable[ConfidenceInterval]))</f>
        <v>0.95</v>
      </c>
      <c r="Q473" s="5">
        <f>IF(AND(DiscreteStatsTable[[#This Row],[RepsWithStatObserved]]=1,Y473=0),200000000000000000000,IFERROR(_xlfn.T.INV.2T(1 -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0.35342988550342119</v>
      </c>
      <c r="R473" s="5" cm="1">
        <f t="array" ref="R473">MIN(IF((DiscreteStatsTable[GroupByKey]=DiscreteStatsTable[[#This Row],[GroupByKey]]),(DiscreteStatsTable[GroupByKey]=DiscreteStatsTable[[#This Row],[GroupByKey]])*DiscreteStatsTable[Average]))</f>
        <v>0.19405440212973199</v>
      </c>
      <c r="S473" s="5" cm="1">
        <f t="array" ref="S473">MAX(IF((DiscreteStatsTable[GroupByKey]=DiscreteStatsTable[[#This Row],[GroupByKey]]),(DiscreteStatsTable[GroupByKey]=DiscreteStatsTable[[#This Row],[GroupByKey]])*DiscreteStatsTable[Average]))</f>
        <v>3.4332474400478601</v>
      </c>
      <c r="T473" s="5" cm="1">
        <f t="array" ref="T473">MIN(IF((DiscreteStatsTable[GroupByKey]=DiscreteStatsTable[[#This Row],[GroupByKey]]),(DiscreteStatsTable[GroupByKey]=DiscreteStatsTable[[#This Row],[GroupByKey]])*DiscreteStatsTable[Minimum]))</f>
        <v>0</v>
      </c>
      <c r="U473" s="5" cm="1">
        <f t="array" ref="U473">MAX(IF((DiscreteStatsTable[GroupByKey]=DiscreteStatsTable[[#This Row],[GroupByKey]]),(DiscreteStatsTable[GroupByKey]=DiscreteStatsTable[[#This Row],[GroupByKey]])*DiscreteStatsTable[Maximum]))</f>
        <v>17.656360512085001</v>
      </c>
      <c r="V473" s="5" cm="1">
        <f t="array" ref="V473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73" s="5">
        <f>IF((DiscreteStatsTable[[#This Row],[RepsRequested]]&gt;1),DiscreteStatsTable[[#This Row],[HalfWidth]],DiscreteStatsTable[[#This Row],[BatchMeansHalfWidth]])</f>
        <v>0.35342988550342119</v>
      </c>
      <c r="X473" s="5" cm="1">
        <f t="array" ref="X473">COUNT(IF((DiscreteStatsTable[GroupByKey]=DiscreteStatsTable[[#This Row],[GroupByKey]]),(DiscreteStatsTable[GroupByKey]=DiscreteStatsTable[[#This Row],[GroupByKey]])*DiscreteStatsTable[Replication]))</f>
        <v>19</v>
      </c>
      <c r="Y473" s="5">
        <f>IF(DiscreteStatsTable[[#This Row],[RepsRequested]]=DiscreteStatsTable[[#This Row],[RepsWithStatObserved]],1,0)</f>
        <v>1</v>
      </c>
    </row>
    <row r="474" spans="1:25" x14ac:dyDescent="0.25">
      <c r="A474" t="s">
        <v>67</v>
      </c>
      <c r="B474" t="s">
        <v>69</v>
      </c>
      <c r="C474">
        <v>19</v>
      </c>
      <c r="D474" t="s">
        <v>103</v>
      </c>
      <c r="E474" t="s">
        <v>85</v>
      </c>
      <c r="F474" t="s">
        <v>86</v>
      </c>
      <c r="G474">
        <v>1.5403841789606001</v>
      </c>
      <c r="H474">
        <v>2E+20</v>
      </c>
      <c r="I474">
        <v>0.109088228551613</v>
      </c>
      <c r="J474">
        <v>8.4392311968733509</v>
      </c>
      <c r="K474">
        <v>121</v>
      </c>
      <c r="L47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compartida)PreparacionTotal Time Per EntityProcess</v>
      </c>
      <c r="M474" s="5" cm="1">
        <f t="array" ref="M474">MAX(IF((ProjectInfoTable[ProjectName]=DiscreteStatsTable[[#This Row],[ProjectName]]),(ProjectInfoTable[ProjectName]=DiscreteStatsTable[[#This Row],[ProjectName]])*ProjectInfoTable[NumberOfReplications]))</f>
        <v>19</v>
      </c>
      <c r="N474" s="5" cm="1">
        <f t="array" ref="N474">IFERROR(AVERAGE(IF((DiscreteStatsTable[GroupByKey]=DiscreteStatsTable[[#This Row],[GroupByKey]]),(DiscreteStatsTable[GroupByKey]=DiscreteStatsTable[[#This Row],[GroupByKey]])*DiscreteStatsTable[Average])),0)</f>
        <v>2.1273994880359743</v>
      </c>
      <c r="O474" s="5" cm="1">
        <f t="array" ref="O474">IFERROR(_xlfn.STDEV.S(IF((DiscreteStatsTable[GroupByKey]=DiscreteStatsTable[[#This Row],[GroupByKey]]),(DiscreteStatsTable[GroupByKey]=DiscreteStatsTable[[#This Row],[GroupByKey]])*DiscreteStatsTable[Average])),0)</f>
        <v>0.78312872053361837</v>
      </c>
      <c r="P474" s="5" cm="1">
        <f t="array" ref="P474">MAX(IF((ProjectInfoTable[ProjectName]=DiscreteStatsTable[[#This Row],[ProjectName]]),(ProjectInfoTable[ProjectName]=DiscreteStatsTable[[#This Row],[ProjectName]])*ProjectInfoTable[ConfidenceInterval]))</f>
        <v>0.95</v>
      </c>
      <c r="Q474" s="5">
        <f>IF(AND(DiscreteStatsTable[[#This Row],[RepsWithStatObserved]]=1,Y474=0),200000000000000000000,IFERROR(_xlfn.T.INV.2T(1 -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0.37745596092631467</v>
      </c>
      <c r="R474" s="5" cm="1">
        <f t="array" ref="R474">MIN(IF((DiscreteStatsTable[GroupByKey]=DiscreteStatsTable[[#This Row],[GroupByKey]]),(DiscreteStatsTable[GroupByKey]=DiscreteStatsTable[[#This Row],[GroupByKey]])*DiscreteStatsTable[Average]))</f>
        <v>1.4498913227505501</v>
      </c>
      <c r="S474" s="5" cm="1">
        <f t="array" ref="S474">MAX(IF((DiscreteStatsTable[GroupByKey]=DiscreteStatsTable[[#This Row],[GroupByKey]]),(DiscreteStatsTable[GroupByKey]=DiscreteStatsTable[[#This Row],[GroupByKey]])*DiscreteStatsTable[Average]))</f>
        <v>4.8344956063072599</v>
      </c>
      <c r="T474" s="5" cm="1">
        <f t="array" ref="T474">MIN(IF((DiscreteStatsTable[GroupByKey]=DiscreteStatsTable[[#This Row],[GroupByKey]]),(DiscreteStatsTable[GroupByKey]=DiscreteStatsTable[[#This Row],[GroupByKey]])*DiscreteStatsTable[Minimum]))</f>
        <v>0</v>
      </c>
      <c r="U474" s="5" cm="1">
        <f t="array" ref="U474">MAX(IF((DiscreteStatsTable[GroupByKey]=DiscreteStatsTable[[#This Row],[GroupByKey]]),(DiscreteStatsTable[GroupByKey]=DiscreteStatsTable[[#This Row],[GroupByKey]])*DiscreteStatsTable[Maximum]))</f>
        <v>23.229576157810602</v>
      </c>
      <c r="V474" s="5" cm="1">
        <f t="array" ref="V474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74" s="5">
        <f>IF((DiscreteStatsTable[[#This Row],[RepsRequested]]&gt;1),DiscreteStatsTable[[#This Row],[HalfWidth]],DiscreteStatsTable[[#This Row],[BatchMeansHalfWidth]])</f>
        <v>0.37745596092631467</v>
      </c>
      <c r="X474" s="5" cm="1">
        <f t="array" ref="X474">COUNT(IF((DiscreteStatsTable[GroupByKey]=DiscreteStatsTable[[#This Row],[GroupByKey]]),(DiscreteStatsTable[GroupByKey]=DiscreteStatsTable[[#This Row],[GroupByKey]])*DiscreteStatsTable[Replication]))</f>
        <v>19</v>
      </c>
      <c r="Y474" s="5">
        <f>IF(DiscreteStatsTable[[#This Row],[RepsRequested]]=DiscreteStatsTable[[#This Row],[RepsWithStatObserved]],1,0)</f>
        <v>1</v>
      </c>
    </row>
    <row r="475" spans="1:25" x14ac:dyDescent="0.25">
      <c r="A475" t="s">
        <v>67</v>
      </c>
      <c r="B475" t="s">
        <v>69</v>
      </c>
      <c r="C475">
        <v>19</v>
      </c>
      <c r="D475" t="s">
        <v>103</v>
      </c>
      <c r="E475" t="s">
        <v>87</v>
      </c>
      <c r="F475" t="s">
        <v>86</v>
      </c>
      <c r="G475">
        <v>1.24558782988584</v>
      </c>
      <c r="H475">
        <v>2E+20</v>
      </c>
      <c r="I475">
        <v>7.7292610103711495E-2</v>
      </c>
      <c r="J475">
        <v>7.2932303851256099</v>
      </c>
      <c r="K475">
        <v>121</v>
      </c>
      <c r="L47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compartida)PreparacionVA Time Per EntityProcess</v>
      </c>
      <c r="M475" s="5" cm="1">
        <f t="array" ref="M475">MAX(IF((ProjectInfoTable[ProjectName]=DiscreteStatsTable[[#This Row],[ProjectName]]),(ProjectInfoTable[ProjectName]=DiscreteStatsTable[[#This Row],[ProjectName]])*ProjectInfoTable[NumberOfReplications]))</f>
        <v>19</v>
      </c>
      <c r="N475" s="5" cm="1">
        <f t="array" ref="N475">IFERROR(AVERAGE(IF((DiscreteStatsTable[GroupByKey]=DiscreteStatsTable[[#This Row],[GroupByKey]]),(DiscreteStatsTable[GroupByKey]=DiscreteStatsTable[[#This Row],[GroupByKey]])*DiscreteStatsTable[Average])),0)</f>
        <v>1.427042764340821</v>
      </c>
      <c r="O475" s="5" cm="1">
        <f t="array" ref="O475">IFERROR(_xlfn.STDEV.S(IF((DiscreteStatsTable[GroupByKey]=DiscreteStatsTable[[#This Row],[GroupByKey]]),(DiscreteStatsTable[GroupByKey]=DiscreteStatsTable[[#This Row],[GroupByKey]])*DiscreteStatsTable[Average])),0)</f>
        <v>0.15210233149440669</v>
      </c>
      <c r="P475" s="5" cm="1">
        <f t="array" ref="P475">MAX(IF((ProjectInfoTable[ProjectName]=DiscreteStatsTable[[#This Row],[ProjectName]]),(ProjectInfoTable[ProjectName]=DiscreteStatsTable[[#This Row],[ProjectName]])*ProjectInfoTable[ConfidenceInterval]))</f>
        <v>0.95</v>
      </c>
      <c r="Q475" s="5">
        <f>IF(AND(DiscreteStatsTable[[#This Row],[RepsWithStatObserved]]=1,Y475=0),200000000000000000000,IFERROR(_xlfn.T.INV.2T(1 -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7.3310977094843424E-2</v>
      </c>
      <c r="R475" s="5" cm="1">
        <f t="array" ref="R475">MIN(IF((DiscreteStatsTable[GroupByKey]=DiscreteStatsTable[[#This Row],[GroupByKey]]),(DiscreteStatsTable[GroupByKey]=DiscreteStatsTable[[#This Row],[GroupByKey]])*DiscreteStatsTable[Average]))</f>
        <v>1.1889341151258599</v>
      </c>
      <c r="S475" s="5" cm="1">
        <f t="array" ref="S475">MAX(IF((DiscreteStatsTable[GroupByKey]=DiscreteStatsTable[[#This Row],[GroupByKey]]),(DiscreteStatsTable[GroupByKey]=DiscreteStatsTable[[#This Row],[GroupByKey]])*DiscreteStatsTable[Average]))</f>
        <v>1.71891901774247</v>
      </c>
      <c r="T475" s="5" cm="1">
        <f t="array" ref="T475">MIN(IF((DiscreteStatsTable[GroupByKey]=DiscreteStatsTable[[#This Row],[GroupByKey]]),(DiscreteStatsTable[GroupByKey]=DiscreteStatsTable[[#This Row],[GroupByKey]])*DiscreteStatsTable[Minimum]))</f>
        <v>0</v>
      </c>
      <c r="U475" s="5" cm="1">
        <f t="array" ref="U475">MAX(IF((DiscreteStatsTable[GroupByKey]=DiscreteStatsTable[[#This Row],[GroupByKey]]),(DiscreteStatsTable[GroupByKey]=DiscreteStatsTable[[#This Row],[GroupByKey]])*DiscreteStatsTable[Maximum]))</f>
        <v>13.3285940274107</v>
      </c>
      <c r="V475" s="5" cm="1">
        <f t="array" ref="V475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75" s="5">
        <f>IF((DiscreteStatsTable[[#This Row],[RepsRequested]]&gt;1),DiscreteStatsTable[[#This Row],[HalfWidth]],DiscreteStatsTable[[#This Row],[BatchMeansHalfWidth]])</f>
        <v>7.3310977094843424E-2</v>
      </c>
      <c r="X475" s="5" cm="1">
        <f t="array" ref="X475">COUNT(IF((DiscreteStatsTable[GroupByKey]=DiscreteStatsTable[[#This Row],[GroupByKey]]),(DiscreteStatsTable[GroupByKey]=DiscreteStatsTable[[#This Row],[GroupByKey]])*DiscreteStatsTable[Replication]))</f>
        <v>19</v>
      </c>
      <c r="Y475" s="5">
        <f>IF(DiscreteStatsTable[[#This Row],[RepsRequested]]=DiscreteStatsTable[[#This Row],[RepsWithStatObserved]],1,0)</f>
        <v>1</v>
      </c>
    </row>
    <row r="476" spans="1:25" x14ac:dyDescent="0.25">
      <c r="A476" t="s">
        <v>67</v>
      </c>
      <c r="B476" t="s">
        <v>69</v>
      </c>
      <c r="C476">
        <v>19</v>
      </c>
      <c r="D476" t="s">
        <v>103</v>
      </c>
      <c r="E476" t="s">
        <v>88</v>
      </c>
      <c r="F476" t="s">
        <v>86</v>
      </c>
      <c r="G476">
        <v>0.29479634907475699</v>
      </c>
      <c r="H476">
        <v>2E+20</v>
      </c>
      <c r="I476">
        <v>0</v>
      </c>
      <c r="J476">
        <v>3.5961114330544</v>
      </c>
      <c r="K476">
        <v>121</v>
      </c>
      <c r="L47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compartida)PreparacionWait Time Per EntityProcess</v>
      </c>
      <c r="M476" s="5" cm="1">
        <f t="array" ref="M476">MAX(IF((ProjectInfoTable[ProjectName]=DiscreteStatsTable[[#This Row],[ProjectName]]),(ProjectInfoTable[ProjectName]=DiscreteStatsTable[[#This Row],[ProjectName]])*ProjectInfoTable[NumberOfReplications]))</f>
        <v>19</v>
      </c>
      <c r="N476" s="5" cm="1">
        <f t="array" ref="N476">IFERROR(AVERAGE(IF((DiscreteStatsTable[GroupByKey]=DiscreteStatsTable[[#This Row],[GroupByKey]]),(DiscreteStatsTable[GroupByKey]=DiscreteStatsTable[[#This Row],[GroupByKey]])*DiscreteStatsTable[Average])),0)</f>
        <v>0.70035672369515334</v>
      </c>
      <c r="O476" s="5" cm="1">
        <f t="array" ref="O476">IFERROR(_xlfn.STDEV.S(IF((DiscreteStatsTable[GroupByKey]=DiscreteStatsTable[[#This Row],[GroupByKey]]),(DiscreteStatsTable[GroupByKey]=DiscreteStatsTable[[#This Row],[GroupByKey]])*DiscreteStatsTable[Average])),0)</f>
        <v>0.73328049543419305</v>
      </c>
      <c r="P476" s="5" cm="1">
        <f t="array" ref="P476">MAX(IF((ProjectInfoTable[ProjectName]=DiscreteStatsTable[[#This Row],[ProjectName]]),(ProjectInfoTable[ProjectName]=DiscreteStatsTable[[#This Row],[ProjectName]])*ProjectInfoTable[ConfidenceInterval]))</f>
        <v>0.95</v>
      </c>
      <c r="Q476" s="5">
        <f>IF(AND(DiscreteStatsTable[[#This Row],[RepsWithStatObserved]]=1,Y476=0),200000000000000000000,IFERROR(_xlfn.T.INV.2T(1 -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0.35342988550342119</v>
      </c>
      <c r="R476" s="5" cm="1">
        <f t="array" ref="R476">MIN(IF((DiscreteStatsTable[GroupByKey]=DiscreteStatsTable[[#This Row],[GroupByKey]]),(DiscreteStatsTable[GroupByKey]=DiscreteStatsTable[[#This Row],[GroupByKey]])*DiscreteStatsTable[Average]))</f>
        <v>0.19405440212973199</v>
      </c>
      <c r="S476" s="5" cm="1">
        <f t="array" ref="S476">MAX(IF((DiscreteStatsTable[GroupByKey]=DiscreteStatsTable[[#This Row],[GroupByKey]]),(DiscreteStatsTable[GroupByKey]=DiscreteStatsTable[[#This Row],[GroupByKey]])*DiscreteStatsTable[Average]))</f>
        <v>3.4332474400478601</v>
      </c>
      <c r="T476" s="5" cm="1">
        <f t="array" ref="T476">MIN(IF((DiscreteStatsTable[GroupByKey]=DiscreteStatsTable[[#This Row],[GroupByKey]]),(DiscreteStatsTable[GroupByKey]=DiscreteStatsTable[[#This Row],[GroupByKey]])*DiscreteStatsTable[Minimum]))</f>
        <v>0</v>
      </c>
      <c r="U476" s="5" cm="1">
        <f t="array" ref="U476">MAX(IF((DiscreteStatsTable[GroupByKey]=DiscreteStatsTable[[#This Row],[GroupByKey]]),(DiscreteStatsTable[GroupByKey]=DiscreteStatsTable[[#This Row],[GroupByKey]])*DiscreteStatsTable[Maximum]))</f>
        <v>17.656360512085001</v>
      </c>
      <c r="V476" s="5" cm="1">
        <f t="array" ref="V476">IFERROR(AVERAGE(IF((DiscreteStatsTable[GroupByKey]=DiscreteStatsTable[[#This Row],[GroupByKey]]),(DiscreteStatsTable[GroupByKey]=DiscreteStatsTable[[#This Row],[GroupByKey]])*DiscreteStatsTable[NumberObservations])),0)</f>
        <v>122.31578947368421</v>
      </c>
      <c r="W476" s="5">
        <f>IF((DiscreteStatsTable[[#This Row],[RepsRequested]]&gt;1),DiscreteStatsTable[[#This Row],[HalfWidth]],DiscreteStatsTable[[#This Row],[BatchMeansHalfWidth]])</f>
        <v>0.35342988550342119</v>
      </c>
      <c r="X476" s="5" cm="1">
        <f t="array" ref="X476">COUNT(IF((DiscreteStatsTable[GroupByKey]=DiscreteStatsTable[[#This Row],[GroupByKey]]),(DiscreteStatsTable[GroupByKey]=DiscreteStatsTable[[#This Row],[GroupByKey]])*DiscreteStatsTable[Replication]))</f>
        <v>19</v>
      </c>
      <c r="Y476" s="5">
        <f>IF(DiscreteStatsTable[[#This Row],[RepsRequested]]=DiscreteStatsTable[[#This Row],[RepsWithStatObserved]],1,0)</f>
        <v>1</v>
      </c>
    </row>
    <row r="477" spans="1:25" x14ac:dyDescent="0.25">
      <c r="A477" t="s">
        <v>67</v>
      </c>
      <c r="B477" t="s">
        <v>69</v>
      </c>
      <c r="C477">
        <v>1</v>
      </c>
      <c r="D477" t="s">
        <v>104</v>
      </c>
      <c r="E477" t="s">
        <v>90</v>
      </c>
      <c r="F477" t="s">
        <v>91</v>
      </c>
      <c r="G477">
        <v>3.2614571838962898</v>
      </c>
      <c r="H477">
        <v>2E+20</v>
      </c>
      <c r="I477">
        <v>0</v>
      </c>
      <c r="J477">
        <v>15.231041134973101</v>
      </c>
      <c r="K477">
        <v>148</v>
      </c>
      <c r="L47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compartida)Preparacion.QueueWaiting TimeQueue</v>
      </c>
      <c r="M477" s="5" cm="1">
        <f t="array" ref="M477">MAX(IF((ProjectInfoTable[ProjectName]=DiscreteStatsTable[[#This Row],[ProjectName]]),(ProjectInfoTable[ProjectName]=DiscreteStatsTable[[#This Row],[ProjectName]])*ProjectInfoTable[NumberOfReplications]))</f>
        <v>19</v>
      </c>
      <c r="N477" s="5" cm="1">
        <f t="array" ref="N477">IFERROR(AVERAGE(IF((DiscreteStatsTable[GroupByKey]=DiscreteStatsTable[[#This Row],[GroupByKey]]),(DiscreteStatsTable[GroupByKey]=DiscreteStatsTable[[#This Row],[GroupByKey]])*DiscreteStatsTable[Average])),0)</f>
        <v>0.69352531674172502</v>
      </c>
      <c r="O477" s="5" cm="1">
        <f t="array" ref="O477">IFERROR(_xlfn.STDEV.S(IF((DiscreteStatsTable[GroupByKey]=DiscreteStatsTable[[#This Row],[GroupByKey]]),(DiscreteStatsTable[GroupByKey]=DiscreteStatsTable[[#This Row],[GroupByKey]])*DiscreteStatsTable[Average])),0)</f>
        <v>0.6930057279295283</v>
      </c>
      <c r="P477" s="5" cm="1">
        <f t="array" ref="P477">MAX(IF((ProjectInfoTable[ProjectName]=DiscreteStatsTable[[#This Row],[ProjectName]]),(ProjectInfoTable[ProjectName]=DiscreteStatsTable[[#This Row],[ProjectName]])*ProjectInfoTable[ConfidenceInterval]))</f>
        <v>0.95</v>
      </c>
      <c r="Q477" s="5">
        <f>IF(AND(DiscreteStatsTable[[#This Row],[RepsWithStatObserved]]=1,Y477=0),200000000000000000000,IFERROR(_xlfn.T.INV.2T(1 -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477" s="5" cm="1">
        <f t="array" ref="R477">MIN(IF((DiscreteStatsTable[GroupByKey]=DiscreteStatsTable[[#This Row],[GroupByKey]]),(DiscreteStatsTable[GroupByKey]=DiscreteStatsTable[[#This Row],[GroupByKey]])*DiscreteStatsTable[Average]))</f>
        <v>0.19675348802568801</v>
      </c>
      <c r="S477" s="5" cm="1">
        <f t="array" ref="S477">MAX(IF((DiscreteStatsTable[GroupByKey]=DiscreteStatsTable[[#This Row],[GroupByKey]]),(DiscreteStatsTable[GroupByKey]=DiscreteStatsTable[[#This Row],[GroupByKey]])*DiscreteStatsTable[Average]))</f>
        <v>3.2614571838962898</v>
      </c>
      <c r="T477" s="5" cm="1">
        <f t="array" ref="T477">MIN(IF((DiscreteStatsTable[GroupByKey]=DiscreteStatsTable[[#This Row],[GroupByKey]]),(DiscreteStatsTable[GroupByKey]=DiscreteStatsTable[[#This Row],[GroupByKey]])*DiscreteStatsTable[Minimum]))</f>
        <v>0</v>
      </c>
      <c r="U477" s="5" cm="1">
        <f t="array" ref="U477">MAX(IF((DiscreteStatsTable[GroupByKey]=DiscreteStatsTable[[#This Row],[GroupByKey]]),(DiscreteStatsTable[GroupByKey]=DiscreteStatsTable[[#This Row],[GroupByKey]])*DiscreteStatsTable[Maximum]))</f>
        <v>15.231041134973101</v>
      </c>
      <c r="V477" s="5" cm="1">
        <f t="array" ref="V477">IFERROR(AVERAGE(IF((DiscreteStatsTable[GroupByKey]=DiscreteStatsTable[[#This Row],[GroupByKey]]),(DiscreteStatsTable[GroupByKey]=DiscreteStatsTable[[#This Row],[GroupByKey]])*DiscreteStatsTable[NumberObservations])),0)</f>
        <v>122.26315789473684</v>
      </c>
      <c r="W477" s="5">
        <f>IF((DiscreteStatsTable[[#This Row],[RepsRequested]]&gt;1),DiscreteStatsTable[[#This Row],[HalfWidth]],DiscreteStatsTable[[#This Row],[BatchMeansHalfWidth]])</f>
        <v>0.33401806893870795</v>
      </c>
      <c r="X477" s="5" cm="1">
        <f t="array" ref="X477">COUNT(IF((DiscreteStatsTable[GroupByKey]=DiscreteStatsTable[[#This Row],[GroupByKey]]),(DiscreteStatsTable[GroupByKey]=DiscreteStatsTable[[#This Row],[GroupByKey]])*DiscreteStatsTable[Replication]))</f>
        <v>19</v>
      </c>
      <c r="Y477" s="5">
        <f>IF(DiscreteStatsTable[[#This Row],[RepsRequested]]=DiscreteStatsTable[[#This Row],[RepsWithStatObserved]],1,0)</f>
        <v>1</v>
      </c>
    </row>
    <row r="478" spans="1:25" x14ac:dyDescent="0.25">
      <c r="A478" t="s">
        <v>67</v>
      </c>
      <c r="B478" t="s">
        <v>69</v>
      </c>
      <c r="C478">
        <v>2</v>
      </c>
      <c r="D478" t="s">
        <v>104</v>
      </c>
      <c r="E478" t="s">
        <v>90</v>
      </c>
      <c r="F478" t="s">
        <v>91</v>
      </c>
      <c r="G478">
        <v>0.52201282707834895</v>
      </c>
      <c r="H478">
        <v>2E+20</v>
      </c>
      <c r="I478">
        <v>0</v>
      </c>
      <c r="J478">
        <v>4.5084745559450097</v>
      </c>
      <c r="K478">
        <v>111</v>
      </c>
      <c r="L47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compartida)Preparacion.QueueWaiting TimeQueue</v>
      </c>
      <c r="M478" s="5" cm="1">
        <f t="array" ref="M478">MAX(IF((ProjectInfoTable[ProjectName]=DiscreteStatsTable[[#This Row],[ProjectName]]),(ProjectInfoTable[ProjectName]=DiscreteStatsTable[[#This Row],[ProjectName]])*ProjectInfoTable[NumberOfReplications]))</f>
        <v>19</v>
      </c>
      <c r="N478" s="5" cm="1">
        <f t="array" ref="N478">IFERROR(AVERAGE(IF((DiscreteStatsTable[GroupByKey]=DiscreteStatsTable[[#This Row],[GroupByKey]]),(DiscreteStatsTable[GroupByKey]=DiscreteStatsTable[[#This Row],[GroupByKey]])*DiscreteStatsTable[Average])),0)</f>
        <v>0.69352531674172502</v>
      </c>
      <c r="O478" s="5" cm="1">
        <f t="array" ref="O478">IFERROR(_xlfn.STDEV.S(IF((DiscreteStatsTable[GroupByKey]=DiscreteStatsTable[[#This Row],[GroupByKey]]),(DiscreteStatsTable[GroupByKey]=DiscreteStatsTable[[#This Row],[GroupByKey]])*DiscreteStatsTable[Average])),0)</f>
        <v>0.6930057279295283</v>
      </c>
      <c r="P478" s="5" cm="1">
        <f t="array" ref="P478">MAX(IF((ProjectInfoTable[ProjectName]=DiscreteStatsTable[[#This Row],[ProjectName]]),(ProjectInfoTable[ProjectName]=DiscreteStatsTable[[#This Row],[ProjectName]])*ProjectInfoTable[ConfidenceInterval]))</f>
        <v>0.95</v>
      </c>
      <c r="Q478" s="5">
        <f>IF(AND(DiscreteStatsTable[[#This Row],[RepsWithStatObserved]]=1,Y478=0),200000000000000000000,IFERROR(_xlfn.T.INV.2T(1 -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478" s="5" cm="1">
        <f t="array" ref="R478">MIN(IF((DiscreteStatsTable[GroupByKey]=DiscreteStatsTable[[#This Row],[GroupByKey]]),(DiscreteStatsTable[GroupByKey]=DiscreteStatsTable[[#This Row],[GroupByKey]])*DiscreteStatsTable[Average]))</f>
        <v>0.19675348802568801</v>
      </c>
      <c r="S478" s="5" cm="1">
        <f t="array" ref="S478">MAX(IF((DiscreteStatsTable[GroupByKey]=DiscreteStatsTable[[#This Row],[GroupByKey]]),(DiscreteStatsTable[GroupByKey]=DiscreteStatsTable[[#This Row],[GroupByKey]])*DiscreteStatsTable[Average]))</f>
        <v>3.2614571838962898</v>
      </c>
      <c r="T478" s="5" cm="1">
        <f t="array" ref="T478">MIN(IF((DiscreteStatsTable[GroupByKey]=DiscreteStatsTable[[#This Row],[GroupByKey]]),(DiscreteStatsTable[GroupByKey]=DiscreteStatsTable[[#This Row],[GroupByKey]])*DiscreteStatsTable[Minimum]))</f>
        <v>0</v>
      </c>
      <c r="U478" s="5" cm="1">
        <f t="array" ref="U478">MAX(IF((DiscreteStatsTable[GroupByKey]=DiscreteStatsTable[[#This Row],[GroupByKey]]),(DiscreteStatsTable[GroupByKey]=DiscreteStatsTable[[#This Row],[GroupByKey]])*DiscreteStatsTable[Maximum]))</f>
        <v>15.231041134973101</v>
      </c>
      <c r="V478" s="5" cm="1">
        <f t="array" ref="V478">IFERROR(AVERAGE(IF((DiscreteStatsTable[GroupByKey]=DiscreteStatsTable[[#This Row],[GroupByKey]]),(DiscreteStatsTable[GroupByKey]=DiscreteStatsTable[[#This Row],[GroupByKey]])*DiscreteStatsTable[NumberObservations])),0)</f>
        <v>122.26315789473684</v>
      </c>
      <c r="W478" s="5">
        <f>IF((DiscreteStatsTable[[#This Row],[RepsRequested]]&gt;1),DiscreteStatsTable[[#This Row],[HalfWidth]],DiscreteStatsTable[[#This Row],[BatchMeansHalfWidth]])</f>
        <v>0.33401806893870795</v>
      </c>
      <c r="X478" s="5" cm="1">
        <f t="array" ref="X478">COUNT(IF((DiscreteStatsTable[GroupByKey]=DiscreteStatsTable[[#This Row],[GroupByKey]]),(DiscreteStatsTable[GroupByKey]=DiscreteStatsTable[[#This Row],[GroupByKey]])*DiscreteStatsTable[Replication]))</f>
        <v>19</v>
      </c>
      <c r="Y478" s="5">
        <f>IF(DiscreteStatsTable[[#This Row],[RepsRequested]]=DiscreteStatsTable[[#This Row],[RepsWithStatObserved]],1,0)</f>
        <v>1</v>
      </c>
    </row>
    <row r="479" spans="1:25" x14ac:dyDescent="0.25">
      <c r="A479" t="s">
        <v>67</v>
      </c>
      <c r="B479" t="s">
        <v>69</v>
      </c>
      <c r="C479">
        <v>3</v>
      </c>
      <c r="D479" t="s">
        <v>104</v>
      </c>
      <c r="E479" t="s">
        <v>90</v>
      </c>
      <c r="F479" t="s">
        <v>91</v>
      </c>
      <c r="G479">
        <v>1.4305181876598601</v>
      </c>
      <c r="H479">
        <v>2E+20</v>
      </c>
      <c r="I479">
        <v>0</v>
      </c>
      <c r="J479">
        <v>7.6520649287739797</v>
      </c>
      <c r="K479">
        <v>114</v>
      </c>
      <c r="L47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compartida)Preparacion.QueueWaiting TimeQueue</v>
      </c>
      <c r="M479" s="5" cm="1">
        <f t="array" ref="M479">MAX(IF((ProjectInfoTable[ProjectName]=DiscreteStatsTable[[#This Row],[ProjectName]]),(ProjectInfoTable[ProjectName]=DiscreteStatsTable[[#This Row],[ProjectName]])*ProjectInfoTable[NumberOfReplications]))</f>
        <v>19</v>
      </c>
      <c r="N479" s="5" cm="1">
        <f t="array" ref="N479">IFERROR(AVERAGE(IF((DiscreteStatsTable[GroupByKey]=DiscreteStatsTable[[#This Row],[GroupByKey]]),(DiscreteStatsTable[GroupByKey]=DiscreteStatsTable[[#This Row],[GroupByKey]])*DiscreteStatsTable[Average])),0)</f>
        <v>0.69352531674172502</v>
      </c>
      <c r="O479" s="5" cm="1">
        <f t="array" ref="O479">IFERROR(_xlfn.STDEV.S(IF((DiscreteStatsTable[GroupByKey]=DiscreteStatsTable[[#This Row],[GroupByKey]]),(DiscreteStatsTable[GroupByKey]=DiscreteStatsTable[[#This Row],[GroupByKey]])*DiscreteStatsTable[Average])),0)</f>
        <v>0.6930057279295283</v>
      </c>
      <c r="P479" s="5" cm="1">
        <f t="array" ref="P479">MAX(IF((ProjectInfoTable[ProjectName]=DiscreteStatsTable[[#This Row],[ProjectName]]),(ProjectInfoTable[ProjectName]=DiscreteStatsTable[[#This Row],[ProjectName]])*ProjectInfoTable[ConfidenceInterval]))</f>
        <v>0.95</v>
      </c>
      <c r="Q479" s="5">
        <f>IF(AND(DiscreteStatsTable[[#This Row],[RepsWithStatObserved]]=1,Y479=0),200000000000000000000,IFERROR(_xlfn.T.INV.2T(1 -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479" s="5" cm="1">
        <f t="array" ref="R479">MIN(IF((DiscreteStatsTable[GroupByKey]=DiscreteStatsTable[[#This Row],[GroupByKey]]),(DiscreteStatsTable[GroupByKey]=DiscreteStatsTable[[#This Row],[GroupByKey]])*DiscreteStatsTable[Average]))</f>
        <v>0.19675348802568801</v>
      </c>
      <c r="S479" s="5" cm="1">
        <f t="array" ref="S479">MAX(IF((DiscreteStatsTable[GroupByKey]=DiscreteStatsTable[[#This Row],[GroupByKey]]),(DiscreteStatsTable[GroupByKey]=DiscreteStatsTable[[#This Row],[GroupByKey]])*DiscreteStatsTable[Average]))</f>
        <v>3.2614571838962898</v>
      </c>
      <c r="T479" s="5" cm="1">
        <f t="array" ref="T479">MIN(IF((DiscreteStatsTable[GroupByKey]=DiscreteStatsTable[[#This Row],[GroupByKey]]),(DiscreteStatsTable[GroupByKey]=DiscreteStatsTable[[#This Row],[GroupByKey]])*DiscreteStatsTable[Minimum]))</f>
        <v>0</v>
      </c>
      <c r="U479" s="5" cm="1">
        <f t="array" ref="U479">MAX(IF((DiscreteStatsTable[GroupByKey]=DiscreteStatsTable[[#This Row],[GroupByKey]]),(DiscreteStatsTable[GroupByKey]=DiscreteStatsTable[[#This Row],[GroupByKey]])*DiscreteStatsTable[Maximum]))</f>
        <v>15.231041134973101</v>
      </c>
      <c r="V479" s="5" cm="1">
        <f t="array" ref="V479">IFERROR(AVERAGE(IF((DiscreteStatsTable[GroupByKey]=DiscreteStatsTable[[#This Row],[GroupByKey]]),(DiscreteStatsTable[GroupByKey]=DiscreteStatsTable[[#This Row],[GroupByKey]])*DiscreteStatsTable[NumberObservations])),0)</f>
        <v>122.26315789473684</v>
      </c>
      <c r="W479" s="5">
        <f>IF((DiscreteStatsTable[[#This Row],[RepsRequested]]&gt;1),DiscreteStatsTable[[#This Row],[HalfWidth]],DiscreteStatsTable[[#This Row],[BatchMeansHalfWidth]])</f>
        <v>0.33401806893870795</v>
      </c>
      <c r="X479" s="5" cm="1">
        <f t="array" ref="X479">COUNT(IF((DiscreteStatsTable[GroupByKey]=DiscreteStatsTable[[#This Row],[GroupByKey]]),(DiscreteStatsTable[GroupByKey]=DiscreteStatsTable[[#This Row],[GroupByKey]])*DiscreteStatsTable[Replication]))</f>
        <v>19</v>
      </c>
      <c r="Y479" s="5">
        <f>IF(DiscreteStatsTable[[#This Row],[RepsRequested]]=DiscreteStatsTable[[#This Row],[RepsWithStatObserved]],1,0)</f>
        <v>1</v>
      </c>
    </row>
    <row r="480" spans="1:25" x14ac:dyDescent="0.25">
      <c r="A480" t="s">
        <v>67</v>
      </c>
      <c r="B480" t="s">
        <v>69</v>
      </c>
      <c r="C480">
        <v>4</v>
      </c>
      <c r="D480" t="s">
        <v>104</v>
      </c>
      <c r="E480" t="s">
        <v>90</v>
      </c>
      <c r="F480" t="s">
        <v>91</v>
      </c>
      <c r="G480">
        <v>0.20590631106687199</v>
      </c>
      <c r="H480">
        <v>2E+20</v>
      </c>
      <c r="I480">
        <v>0</v>
      </c>
      <c r="J480">
        <v>3.0568609460551799</v>
      </c>
      <c r="K480">
        <v>117</v>
      </c>
      <c r="L48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compartida)Preparacion.QueueWaiting TimeQueue</v>
      </c>
      <c r="M480" s="5" cm="1">
        <f t="array" ref="M480">MAX(IF((ProjectInfoTable[ProjectName]=DiscreteStatsTable[[#This Row],[ProjectName]]),(ProjectInfoTable[ProjectName]=DiscreteStatsTable[[#This Row],[ProjectName]])*ProjectInfoTable[NumberOfReplications]))</f>
        <v>19</v>
      </c>
      <c r="N480" s="5" cm="1">
        <f t="array" ref="N480">IFERROR(AVERAGE(IF((DiscreteStatsTable[GroupByKey]=DiscreteStatsTable[[#This Row],[GroupByKey]]),(DiscreteStatsTable[GroupByKey]=DiscreteStatsTable[[#This Row],[GroupByKey]])*DiscreteStatsTable[Average])),0)</f>
        <v>0.69352531674172502</v>
      </c>
      <c r="O480" s="5" cm="1">
        <f t="array" ref="O480">IFERROR(_xlfn.STDEV.S(IF((DiscreteStatsTable[GroupByKey]=DiscreteStatsTable[[#This Row],[GroupByKey]]),(DiscreteStatsTable[GroupByKey]=DiscreteStatsTable[[#This Row],[GroupByKey]])*DiscreteStatsTable[Average])),0)</f>
        <v>0.6930057279295283</v>
      </c>
      <c r="P480" s="5" cm="1">
        <f t="array" ref="P480">MAX(IF((ProjectInfoTable[ProjectName]=DiscreteStatsTable[[#This Row],[ProjectName]]),(ProjectInfoTable[ProjectName]=DiscreteStatsTable[[#This Row],[ProjectName]])*ProjectInfoTable[ConfidenceInterval]))</f>
        <v>0.95</v>
      </c>
      <c r="Q480" s="5">
        <f>IF(AND(DiscreteStatsTable[[#This Row],[RepsWithStatObserved]]=1,Y480=0),200000000000000000000,IFERROR(_xlfn.T.INV.2T(1 -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480" s="5" cm="1">
        <f t="array" ref="R480">MIN(IF((DiscreteStatsTable[GroupByKey]=DiscreteStatsTable[[#This Row],[GroupByKey]]),(DiscreteStatsTable[GroupByKey]=DiscreteStatsTable[[#This Row],[GroupByKey]])*DiscreteStatsTable[Average]))</f>
        <v>0.19675348802568801</v>
      </c>
      <c r="S480" s="5" cm="1">
        <f t="array" ref="S480">MAX(IF((DiscreteStatsTable[GroupByKey]=DiscreteStatsTable[[#This Row],[GroupByKey]]),(DiscreteStatsTable[GroupByKey]=DiscreteStatsTable[[#This Row],[GroupByKey]])*DiscreteStatsTable[Average]))</f>
        <v>3.2614571838962898</v>
      </c>
      <c r="T480" s="5" cm="1">
        <f t="array" ref="T480">MIN(IF((DiscreteStatsTable[GroupByKey]=DiscreteStatsTable[[#This Row],[GroupByKey]]),(DiscreteStatsTable[GroupByKey]=DiscreteStatsTable[[#This Row],[GroupByKey]])*DiscreteStatsTable[Minimum]))</f>
        <v>0</v>
      </c>
      <c r="U480" s="5" cm="1">
        <f t="array" ref="U480">MAX(IF((DiscreteStatsTable[GroupByKey]=DiscreteStatsTable[[#This Row],[GroupByKey]]),(DiscreteStatsTable[GroupByKey]=DiscreteStatsTable[[#This Row],[GroupByKey]])*DiscreteStatsTable[Maximum]))</f>
        <v>15.231041134973101</v>
      </c>
      <c r="V480" s="5" cm="1">
        <f t="array" ref="V480">IFERROR(AVERAGE(IF((DiscreteStatsTable[GroupByKey]=DiscreteStatsTable[[#This Row],[GroupByKey]]),(DiscreteStatsTable[GroupByKey]=DiscreteStatsTable[[#This Row],[GroupByKey]])*DiscreteStatsTable[NumberObservations])),0)</f>
        <v>122.26315789473684</v>
      </c>
      <c r="W480" s="5">
        <f>IF((DiscreteStatsTable[[#This Row],[RepsRequested]]&gt;1),DiscreteStatsTable[[#This Row],[HalfWidth]],DiscreteStatsTable[[#This Row],[BatchMeansHalfWidth]])</f>
        <v>0.33401806893870795</v>
      </c>
      <c r="X480" s="5" cm="1">
        <f t="array" ref="X480">COUNT(IF((DiscreteStatsTable[GroupByKey]=DiscreteStatsTable[[#This Row],[GroupByKey]]),(DiscreteStatsTable[GroupByKey]=DiscreteStatsTable[[#This Row],[GroupByKey]])*DiscreteStatsTable[Replication]))</f>
        <v>19</v>
      </c>
      <c r="Y480" s="5">
        <f>IF(DiscreteStatsTable[[#This Row],[RepsRequested]]=DiscreteStatsTable[[#This Row],[RepsWithStatObserved]],1,0)</f>
        <v>1</v>
      </c>
    </row>
    <row r="481" spans="1:25" x14ac:dyDescent="0.25">
      <c r="A481" t="s">
        <v>67</v>
      </c>
      <c r="B481" t="s">
        <v>69</v>
      </c>
      <c r="C481">
        <v>5</v>
      </c>
      <c r="D481" t="s">
        <v>104</v>
      </c>
      <c r="E481" t="s">
        <v>90</v>
      </c>
      <c r="F481" t="s">
        <v>91</v>
      </c>
      <c r="G481">
        <v>0.29464649062675102</v>
      </c>
      <c r="H481">
        <v>2E+20</v>
      </c>
      <c r="I481">
        <v>0</v>
      </c>
      <c r="J481">
        <v>3.7286278144762801</v>
      </c>
      <c r="K481">
        <v>131</v>
      </c>
      <c r="L48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compartida)Preparacion.QueueWaiting TimeQueue</v>
      </c>
      <c r="M481" s="5" cm="1">
        <f t="array" ref="M481">MAX(IF((ProjectInfoTable[ProjectName]=DiscreteStatsTable[[#This Row],[ProjectName]]),(ProjectInfoTable[ProjectName]=DiscreteStatsTable[[#This Row],[ProjectName]])*ProjectInfoTable[NumberOfReplications]))</f>
        <v>19</v>
      </c>
      <c r="N481" s="5" cm="1">
        <f t="array" ref="N481">IFERROR(AVERAGE(IF((DiscreteStatsTable[GroupByKey]=DiscreteStatsTable[[#This Row],[GroupByKey]]),(DiscreteStatsTable[GroupByKey]=DiscreteStatsTable[[#This Row],[GroupByKey]])*DiscreteStatsTable[Average])),0)</f>
        <v>0.69352531674172502</v>
      </c>
      <c r="O481" s="5" cm="1">
        <f t="array" ref="O481">IFERROR(_xlfn.STDEV.S(IF((DiscreteStatsTable[GroupByKey]=DiscreteStatsTable[[#This Row],[GroupByKey]]),(DiscreteStatsTable[GroupByKey]=DiscreteStatsTable[[#This Row],[GroupByKey]])*DiscreteStatsTable[Average])),0)</f>
        <v>0.6930057279295283</v>
      </c>
      <c r="P481" s="5" cm="1">
        <f t="array" ref="P481">MAX(IF((ProjectInfoTable[ProjectName]=DiscreteStatsTable[[#This Row],[ProjectName]]),(ProjectInfoTable[ProjectName]=DiscreteStatsTable[[#This Row],[ProjectName]])*ProjectInfoTable[ConfidenceInterval]))</f>
        <v>0.95</v>
      </c>
      <c r="Q481" s="5">
        <f>IF(AND(DiscreteStatsTable[[#This Row],[RepsWithStatObserved]]=1,Y481=0),200000000000000000000,IFERROR(_xlfn.T.INV.2T(1 -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481" s="5" cm="1">
        <f t="array" ref="R481">MIN(IF((DiscreteStatsTable[GroupByKey]=DiscreteStatsTable[[#This Row],[GroupByKey]]),(DiscreteStatsTable[GroupByKey]=DiscreteStatsTable[[#This Row],[GroupByKey]])*DiscreteStatsTable[Average]))</f>
        <v>0.19675348802568801</v>
      </c>
      <c r="S481" s="5" cm="1">
        <f t="array" ref="S481">MAX(IF((DiscreteStatsTable[GroupByKey]=DiscreteStatsTable[[#This Row],[GroupByKey]]),(DiscreteStatsTable[GroupByKey]=DiscreteStatsTable[[#This Row],[GroupByKey]])*DiscreteStatsTable[Average]))</f>
        <v>3.2614571838962898</v>
      </c>
      <c r="T481" s="5" cm="1">
        <f t="array" ref="T481">MIN(IF((DiscreteStatsTable[GroupByKey]=DiscreteStatsTable[[#This Row],[GroupByKey]]),(DiscreteStatsTable[GroupByKey]=DiscreteStatsTable[[#This Row],[GroupByKey]])*DiscreteStatsTable[Minimum]))</f>
        <v>0</v>
      </c>
      <c r="U481" s="5" cm="1">
        <f t="array" ref="U481">MAX(IF((DiscreteStatsTable[GroupByKey]=DiscreteStatsTable[[#This Row],[GroupByKey]]),(DiscreteStatsTable[GroupByKey]=DiscreteStatsTable[[#This Row],[GroupByKey]])*DiscreteStatsTable[Maximum]))</f>
        <v>15.231041134973101</v>
      </c>
      <c r="V481" s="5" cm="1">
        <f t="array" ref="V481">IFERROR(AVERAGE(IF((DiscreteStatsTable[GroupByKey]=DiscreteStatsTable[[#This Row],[GroupByKey]]),(DiscreteStatsTable[GroupByKey]=DiscreteStatsTable[[#This Row],[GroupByKey]])*DiscreteStatsTable[NumberObservations])),0)</f>
        <v>122.26315789473684</v>
      </c>
      <c r="W481" s="5">
        <f>IF((DiscreteStatsTable[[#This Row],[RepsRequested]]&gt;1),DiscreteStatsTable[[#This Row],[HalfWidth]],DiscreteStatsTable[[#This Row],[BatchMeansHalfWidth]])</f>
        <v>0.33401806893870795</v>
      </c>
      <c r="X481" s="5" cm="1">
        <f t="array" ref="X481">COUNT(IF((DiscreteStatsTable[GroupByKey]=DiscreteStatsTable[[#This Row],[GroupByKey]]),(DiscreteStatsTable[GroupByKey]=DiscreteStatsTable[[#This Row],[GroupByKey]])*DiscreteStatsTable[Replication]))</f>
        <v>19</v>
      </c>
      <c r="Y481" s="5">
        <f>IF(DiscreteStatsTable[[#This Row],[RepsRequested]]=DiscreteStatsTable[[#This Row],[RepsWithStatObserved]],1,0)</f>
        <v>1</v>
      </c>
    </row>
    <row r="482" spans="1:25" x14ac:dyDescent="0.25">
      <c r="A482" t="s">
        <v>67</v>
      </c>
      <c r="B482" t="s">
        <v>69</v>
      </c>
      <c r="C482">
        <v>6</v>
      </c>
      <c r="D482" t="s">
        <v>104</v>
      </c>
      <c r="E482" t="s">
        <v>90</v>
      </c>
      <c r="F482" t="s">
        <v>91</v>
      </c>
      <c r="G482">
        <v>0.202792560515587</v>
      </c>
      <c r="H482">
        <v>2E+20</v>
      </c>
      <c r="I482">
        <v>0</v>
      </c>
      <c r="J482">
        <v>2.0400085159373198</v>
      </c>
      <c r="K482">
        <v>116</v>
      </c>
      <c r="L48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compartida)Preparacion.QueueWaiting TimeQueue</v>
      </c>
      <c r="M482" s="5" cm="1">
        <f t="array" ref="M482">MAX(IF((ProjectInfoTable[ProjectName]=DiscreteStatsTable[[#This Row],[ProjectName]]),(ProjectInfoTable[ProjectName]=DiscreteStatsTable[[#This Row],[ProjectName]])*ProjectInfoTable[NumberOfReplications]))</f>
        <v>19</v>
      </c>
      <c r="N482" s="5" cm="1">
        <f t="array" ref="N482">IFERROR(AVERAGE(IF((DiscreteStatsTable[GroupByKey]=DiscreteStatsTable[[#This Row],[GroupByKey]]),(DiscreteStatsTable[GroupByKey]=DiscreteStatsTable[[#This Row],[GroupByKey]])*DiscreteStatsTable[Average])),0)</f>
        <v>0.69352531674172502</v>
      </c>
      <c r="O482" s="5" cm="1">
        <f t="array" ref="O482">IFERROR(_xlfn.STDEV.S(IF((DiscreteStatsTable[GroupByKey]=DiscreteStatsTable[[#This Row],[GroupByKey]]),(DiscreteStatsTable[GroupByKey]=DiscreteStatsTable[[#This Row],[GroupByKey]])*DiscreteStatsTable[Average])),0)</f>
        <v>0.6930057279295283</v>
      </c>
      <c r="P482" s="5" cm="1">
        <f t="array" ref="P482">MAX(IF((ProjectInfoTable[ProjectName]=DiscreteStatsTable[[#This Row],[ProjectName]]),(ProjectInfoTable[ProjectName]=DiscreteStatsTable[[#This Row],[ProjectName]])*ProjectInfoTable[ConfidenceInterval]))</f>
        <v>0.95</v>
      </c>
      <c r="Q482" s="5">
        <f>IF(AND(DiscreteStatsTable[[#This Row],[RepsWithStatObserved]]=1,Y482=0),200000000000000000000,IFERROR(_xlfn.T.INV.2T(1 -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482" s="5" cm="1">
        <f t="array" ref="R482">MIN(IF((DiscreteStatsTable[GroupByKey]=DiscreteStatsTable[[#This Row],[GroupByKey]]),(DiscreteStatsTable[GroupByKey]=DiscreteStatsTable[[#This Row],[GroupByKey]])*DiscreteStatsTable[Average]))</f>
        <v>0.19675348802568801</v>
      </c>
      <c r="S482" s="5" cm="1">
        <f t="array" ref="S482">MAX(IF((DiscreteStatsTable[GroupByKey]=DiscreteStatsTable[[#This Row],[GroupByKey]]),(DiscreteStatsTable[GroupByKey]=DiscreteStatsTable[[#This Row],[GroupByKey]])*DiscreteStatsTable[Average]))</f>
        <v>3.2614571838962898</v>
      </c>
      <c r="T482" s="5" cm="1">
        <f t="array" ref="T482">MIN(IF((DiscreteStatsTable[GroupByKey]=DiscreteStatsTable[[#This Row],[GroupByKey]]),(DiscreteStatsTable[GroupByKey]=DiscreteStatsTable[[#This Row],[GroupByKey]])*DiscreteStatsTable[Minimum]))</f>
        <v>0</v>
      </c>
      <c r="U482" s="5" cm="1">
        <f t="array" ref="U482">MAX(IF((DiscreteStatsTable[GroupByKey]=DiscreteStatsTable[[#This Row],[GroupByKey]]),(DiscreteStatsTable[GroupByKey]=DiscreteStatsTable[[#This Row],[GroupByKey]])*DiscreteStatsTable[Maximum]))</f>
        <v>15.231041134973101</v>
      </c>
      <c r="V482" s="5" cm="1">
        <f t="array" ref="V482">IFERROR(AVERAGE(IF((DiscreteStatsTable[GroupByKey]=DiscreteStatsTable[[#This Row],[GroupByKey]]),(DiscreteStatsTable[GroupByKey]=DiscreteStatsTable[[#This Row],[GroupByKey]])*DiscreteStatsTable[NumberObservations])),0)</f>
        <v>122.26315789473684</v>
      </c>
      <c r="W482" s="5">
        <f>IF((DiscreteStatsTable[[#This Row],[RepsRequested]]&gt;1),DiscreteStatsTable[[#This Row],[HalfWidth]],DiscreteStatsTable[[#This Row],[BatchMeansHalfWidth]])</f>
        <v>0.33401806893870795</v>
      </c>
      <c r="X482" s="5" cm="1">
        <f t="array" ref="X482">COUNT(IF((DiscreteStatsTable[GroupByKey]=DiscreteStatsTable[[#This Row],[GroupByKey]]),(DiscreteStatsTable[GroupByKey]=DiscreteStatsTable[[#This Row],[GroupByKey]])*DiscreteStatsTable[Replication]))</f>
        <v>19</v>
      </c>
      <c r="Y482" s="5">
        <f>IF(DiscreteStatsTable[[#This Row],[RepsRequested]]=DiscreteStatsTable[[#This Row],[RepsWithStatObserved]],1,0)</f>
        <v>1</v>
      </c>
    </row>
    <row r="483" spans="1:25" x14ac:dyDescent="0.25">
      <c r="A483" t="s">
        <v>67</v>
      </c>
      <c r="B483" t="s">
        <v>69</v>
      </c>
      <c r="C483">
        <v>7</v>
      </c>
      <c r="D483" t="s">
        <v>104</v>
      </c>
      <c r="E483" t="s">
        <v>90</v>
      </c>
      <c r="F483" t="s">
        <v>91</v>
      </c>
      <c r="G483">
        <v>0.38897841412815898</v>
      </c>
      <c r="H483">
        <v>2E+20</v>
      </c>
      <c r="I483">
        <v>0</v>
      </c>
      <c r="J483">
        <v>2.5116513290956601</v>
      </c>
      <c r="K483">
        <v>112</v>
      </c>
      <c r="L48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compartida)Preparacion.QueueWaiting TimeQueue</v>
      </c>
      <c r="M483" s="5" cm="1">
        <f t="array" ref="M483">MAX(IF((ProjectInfoTable[ProjectName]=DiscreteStatsTable[[#This Row],[ProjectName]]),(ProjectInfoTable[ProjectName]=DiscreteStatsTable[[#This Row],[ProjectName]])*ProjectInfoTable[NumberOfReplications]))</f>
        <v>19</v>
      </c>
      <c r="N483" s="5" cm="1">
        <f t="array" ref="N483">IFERROR(AVERAGE(IF((DiscreteStatsTable[GroupByKey]=DiscreteStatsTable[[#This Row],[GroupByKey]]),(DiscreteStatsTable[GroupByKey]=DiscreteStatsTable[[#This Row],[GroupByKey]])*DiscreteStatsTable[Average])),0)</f>
        <v>0.69352531674172502</v>
      </c>
      <c r="O483" s="5" cm="1">
        <f t="array" ref="O483">IFERROR(_xlfn.STDEV.S(IF((DiscreteStatsTable[GroupByKey]=DiscreteStatsTable[[#This Row],[GroupByKey]]),(DiscreteStatsTable[GroupByKey]=DiscreteStatsTable[[#This Row],[GroupByKey]])*DiscreteStatsTable[Average])),0)</f>
        <v>0.6930057279295283</v>
      </c>
      <c r="P483" s="5" cm="1">
        <f t="array" ref="P483">MAX(IF((ProjectInfoTable[ProjectName]=DiscreteStatsTable[[#This Row],[ProjectName]]),(ProjectInfoTable[ProjectName]=DiscreteStatsTable[[#This Row],[ProjectName]])*ProjectInfoTable[ConfidenceInterval]))</f>
        <v>0.95</v>
      </c>
      <c r="Q483" s="5">
        <f>IF(AND(DiscreteStatsTable[[#This Row],[RepsWithStatObserved]]=1,Y483=0),200000000000000000000,IFERROR(_xlfn.T.INV.2T(1 -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483" s="5" cm="1">
        <f t="array" ref="R483">MIN(IF((DiscreteStatsTable[GroupByKey]=DiscreteStatsTable[[#This Row],[GroupByKey]]),(DiscreteStatsTable[GroupByKey]=DiscreteStatsTable[[#This Row],[GroupByKey]])*DiscreteStatsTable[Average]))</f>
        <v>0.19675348802568801</v>
      </c>
      <c r="S483" s="5" cm="1">
        <f t="array" ref="S483">MAX(IF((DiscreteStatsTable[GroupByKey]=DiscreteStatsTable[[#This Row],[GroupByKey]]),(DiscreteStatsTable[GroupByKey]=DiscreteStatsTable[[#This Row],[GroupByKey]])*DiscreteStatsTable[Average]))</f>
        <v>3.2614571838962898</v>
      </c>
      <c r="T483" s="5" cm="1">
        <f t="array" ref="T483">MIN(IF((DiscreteStatsTable[GroupByKey]=DiscreteStatsTable[[#This Row],[GroupByKey]]),(DiscreteStatsTable[GroupByKey]=DiscreteStatsTable[[#This Row],[GroupByKey]])*DiscreteStatsTable[Minimum]))</f>
        <v>0</v>
      </c>
      <c r="U483" s="5" cm="1">
        <f t="array" ref="U483">MAX(IF((DiscreteStatsTable[GroupByKey]=DiscreteStatsTable[[#This Row],[GroupByKey]]),(DiscreteStatsTable[GroupByKey]=DiscreteStatsTable[[#This Row],[GroupByKey]])*DiscreteStatsTable[Maximum]))</f>
        <v>15.231041134973101</v>
      </c>
      <c r="V483" s="5" cm="1">
        <f t="array" ref="V483">IFERROR(AVERAGE(IF((DiscreteStatsTable[GroupByKey]=DiscreteStatsTable[[#This Row],[GroupByKey]]),(DiscreteStatsTable[GroupByKey]=DiscreteStatsTable[[#This Row],[GroupByKey]])*DiscreteStatsTable[NumberObservations])),0)</f>
        <v>122.26315789473684</v>
      </c>
      <c r="W483" s="5">
        <f>IF((DiscreteStatsTable[[#This Row],[RepsRequested]]&gt;1),DiscreteStatsTable[[#This Row],[HalfWidth]],DiscreteStatsTable[[#This Row],[BatchMeansHalfWidth]])</f>
        <v>0.33401806893870795</v>
      </c>
      <c r="X483" s="5" cm="1">
        <f t="array" ref="X483">COUNT(IF((DiscreteStatsTable[GroupByKey]=DiscreteStatsTable[[#This Row],[GroupByKey]]),(DiscreteStatsTable[GroupByKey]=DiscreteStatsTable[[#This Row],[GroupByKey]])*DiscreteStatsTable[Replication]))</f>
        <v>19</v>
      </c>
      <c r="Y483" s="5">
        <f>IF(DiscreteStatsTable[[#This Row],[RepsRequested]]=DiscreteStatsTable[[#This Row],[RepsWithStatObserved]],1,0)</f>
        <v>1</v>
      </c>
    </row>
    <row r="484" spans="1:25" x14ac:dyDescent="0.25">
      <c r="A484" t="s">
        <v>67</v>
      </c>
      <c r="B484" t="s">
        <v>69</v>
      </c>
      <c r="C484">
        <v>8</v>
      </c>
      <c r="D484" t="s">
        <v>104</v>
      </c>
      <c r="E484" t="s">
        <v>90</v>
      </c>
      <c r="F484" t="s">
        <v>91</v>
      </c>
      <c r="G484">
        <v>0.67710120720200795</v>
      </c>
      <c r="H484">
        <v>2E+20</v>
      </c>
      <c r="I484">
        <v>0</v>
      </c>
      <c r="J484">
        <v>3.1900833324625402</v>
      </c>
      <c r="K484">
        <v>136</v>
      </c>
      <c r="L48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compartida)Preparacion.QueueWaiting TimeQueue</v>
      </c>
      <c r="M484" s="5" cm="1">
        <f t="array" ref="M484">MAX(IF((ProjectInfoTable[ProjectName]=DiscreteStatsTable[[#This Row],[ProjectName]]),(ProjectInfoTable[ProjectName]=DiscreteStatsTable[[#This Row],[ProjectName]])*ProjectInfoTable[NumberOfReplications]))</f>
        <v>19</v>
      </c>
      <c r="N484" s="5" cm="1">
        <f t="array" ref="N484">IFERROR(AVERAGE(IF((DiscreteStatsTable[GroupByKey]=DiscreteStatsTable[[#This Row],[GroupByKey]]),(DiscreteStatsTable[GroupByKey]=DiscreteStatsTable[[#This Row],[GroupByKey]])*DiscreteStatsTable[Average])),0)</f>
        <v>0.69352531674172502</v>
      </c>
      <c r="O484" s="5" cm="1">
        <f t="array" ref="O484">IFERROR(_xlfn.STDEV.S(IF((DiscreteStatsTable[GroupByKey]=DiscreteStatsTable[[#This Row],[GroupByKey]]),(DiscreteStatsTable[GroupByKey]=DiscreteStatsTable[[#This Row],[GroupByKey]])*DiscreteStatsTable[Average])),0)</f>
        <v>0.6930057279295283</v>
      </c>
      <c r="P484" s="5" cm="1">
        <f t="array" ref="P484">MAX(IF((ProjectInfoTable[ProjectName]=DiscreteStatsTable[[#This Row],[ProjectName]]),(ProjectInfoTable[ProjectName]=DiscreteStatsTable[[#This Row],[ProjectName]])*ProjectInfoTable[ConfidenceInterval]))</f>
        <v>0.95</v>
      </c>
      <c r="Q484" s="5">
        <f>IF(AND(DiscreteStatsTable[[#This Row],[RepsWithStatObserved]]=1,Y484=0),200000000000000000000,IFERROR(_xlfn.T.INV.2T(1 -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484" s="5" cm="1">
        <f t="array" ref="R484">MIN(IF((DiscreteStatsTable[GroupByKey]=DiscreteStatsTable[[#This Row],[GroupByKey]]),(DiscreteStatsTable[GroupByKey]=DiscreteStatsTable[[#This Row],[GroupByKey]])*DiscreteStatsTable[Average]))</f>
        <v>0.19675348802568801</v>
      </c>
      <c r="S484" s="5" cm="1">
        <f t="array" ref="S484">MAX(IF((DiscreteStatsTable[GroupByKey]=DiscreteStatsTable[[#This Row],[GroupByKey]]),(DiscreteStatsTable[GroupByKey]=DiscreteStatsTable[[#This Row],[GroupByKey]])*DiscreteStatsTable[Average]))</f>
        <v>3.2614571838962898</v>
      </c>
      <c r="T484" s="5" cm="1">
        <f t="array" ref="T484">MIN(IF((DiscreteStatsTable[GroupByKey]=DiscreteStatsTable[[#This Row],[GroupByKey]]),(DiscreteStatsTable[GroupByKey]=DiscreteStatsTable[[#This Row],[GroupByKey]])*DiscreteStatsTable[Minimum]))</f>
        <v>0</v>
      </c>
      <c r="U484" s="5" cm="1">
        <f t="array" ref="U484">MAX(IF((DiscreteStatsTable[GroupByKey]=DiscreteStatsTable[[#This Row],[GroupByKey]]),(DiscreteStatsTable[GroupByKey]=DiscreteStatsTable[[#This Row],[GroupByKey]])*DiscreteStatsTable[Maximum]))</f>
        <v>15.231041134973101</v>
      </c>
      <c r="V484" s="5" cm="1">
        <f t="array" ref="V484">IFERROR(AVERAGE(IF((DiscreteStatsTable[GroupByKey]=DiscreteStatsTable[[#This Row],[GroupByKey]]),(DiscreteStatsTable[GroupByKey]=DiscreteStatsTable[[#This Row],[GroupByKey]])*DiscreteStatsTable[NumberObservations])),0)</f>
        <v>122.26315789473684</v>
      </c>
      <c r="W484" s="5">
        <f>IF((DiscreteStatsTable[[#This Row],[RepsRequested]]&gt;1),DiscreteStatsTable[[#This Row],[HalfWidth]],DiscreteStatsTable[[#This Row],[BatchMeansHalfWidth]])</f>
        <v>0.33401806893870795</v>
      </c>
      <c r="X484" s="5" cm="1">
        <f t="array" ref="X484">COUNT(IF((DiscreteStatsTable[GroupByKey]=DiscreteStatsTable[[#This Row],[GroupByKey]]),(DiscreteStatsTable[GroupByKey]=DiscreteStatsTable[[#This Row],[GroupByKey]])*DiscreteStatsTable[Replication]))</f>
        <v>19</v>
      </c>
      <c r="Y484" s="5">
        <f>IF(DiscreteStatsTable[[#This Row],[RepsRequested]]=DiscreteStatsTable[[#This Row],[RepsWithStatObserved]],1,0)</f>
        <v>1</v>
      </c>
    </row>
    <row r="485" spans="1:25" x14ac:dyDescent="0.25">
      <c r="A485" t="s">
        <v>67</v>
      </c>
      <c r="B485" t="s">
        <v>69</v>
      </c>
      <c r="C485">
        <v>9</v>
      </c>
      <c r="D485" t="s">
        <v>104</v>
      </c>
      <c r="E485" t="s">
        <v>90</v>
      </c>
      <c r="F485" t="s">
        <v>91</v>
      </c>
      <c r="G485">
        <v>0.37959191796525998</v>
      </c>
      <c r="H485">
        <v>2E+20</v>
      </c>
      <c r="I485">
        <v>0</v>
      </c>
      <c r="J485">
        <v>3.7641684320137299</v>
      </c>
      <c r="K485">
        <v>113</v>
      </c>
      <c r="L48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compartida)Preparacion.QueueWaiting TimeQueue</v>
      </c>
      <c r="M485" s="5" cm="1">
        <f t="array" ref="M485">MAX(IF((ProjectInfoTable[ProjectName]=DiscreteStatsTable[[#This Row],[ProjectName]]),(ProjectInfoTable[ProjectName]=DiscreteStatsTable[[#This Row],[ProjectName]])*ProjectInfoTable[NumberOfReplications]))</f>
        <v>19</v>
      </c>
      <c r="N485" s="5" cm="1">
        <f t="array" ref="N485">IFERROR(AVERAGE(IF((DiscreteStatsTable[GroupByKey]=DiscreteStatsTable[[#This Row],[GroupByKey]]),(DiscreteStatsTable[GroupByKey]=DiscreteStatsTable[[#This Row],[GroupByKey]])*DiscreteStatsTable[Average])),0)</f>
        <v>0.69352531674172502</v>
      </c>
      <c r="O485" s="5" cm="1">
        <f t="array" ref="O485">IFERROR(_xlfn.STDEV.S(IF((DiscreteStatsTable[GroupByKey]=DiscreteStatsTable[[#This Row],[GroupByKey]]),(DiscreteStatsTable[GroupByKey]=DiscreteStatsTable[[#This Row],[GroupByKey]])*DiscreteStatsTable[Average])),0)</f>
        <v>0.6930057279295283</v>
      </c>
      <c r="P485" s="5" cm="1">
        <f t="array" ref="P485">MAX(IF((ProjectInfoTable[ProjectName]=DiscreteStatsTable[[#This Row],[ProjectName]]),(ProjectInfoTable[ProjectName]=DiscreteStatsTable[[#This Row],[ProjectName]])*ProjectInfoTable[ConfidenceInterval]))</f>
        <v>0.95</v>
      </c>
      <c r="Q485" s="5">
        <f>IF(AND(DiscreteStatsTable[[#This Row],[RepsWithStatObserved]]=1,Y485=0),200000000000000000000,IFERROR(_xlfn.T.INV.2T(1 -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485" s="5" cm="1">
        <f t="array" ref="R485">MIN(IF((DiscreteStatsTable[GroupByKey]=DiscreteStatsTable[[#This Row],[GroupByKey]]),(DiscreteStatsTable[GroupByKey]=DiscreteStatsTable[[#This Row],[GroupByKey]])*DiscreteStatsTable[Average]))</f>
        <v>0.19675348802568801</v>
      </c>
      <c r="S485" s="5" cm="1">
        <f t="array" ref="S485">MAX(IF((DiscreteStatsTable[GroupByKey]=DiscreteStatsTable[[#This Row],[GroupByKey]]),(DiscreteStatsTable[GroupByKey]=DiscreteStatsTable[[#This Row],[GroupByKey]])*DiscreteStatsTable[Average]))</f>
        <v>3.2614571838962898</v>
      </c>
      <c r="T485" s="5" cm="1">
        <f t="array" ref="T485">MIN(IF((DiscreteStatsTable[GroupByKey]=DiscreteStatsTable[[#This Row],[GroupByKey]]),(DiscreteStatsTable[GroupByKey]=DiscreteStatsTable[[#This Row],[GroupByKey]])*DiscreteStatsTable[Minimum]))</f>
        <v>0</v>
      </c>
      <c r="U485" s="5" cm="1">
        <f t="array" ref="U485">MAX(IF((DiscreteStatsTable[GroupByKey]=DiscreteStatsTable[[#This Row],[GroupByKey]]),(DiscreteStatsTable[GroupByKey]=DiscreteStatsTable[[#This Row],[GroupByKey]])*DiscreteStatsTable[Maximum]))</f>
        <v>15.231041134973101</v>
      </c>
      <c r="V485" s="5" cm="1">
        <f t="array" ref="V485">IFERROR(AVERAGE(IF((DiscreteStatsTable[GroupByKey]=DiscreteStatsTable[[#This Row],[GroupByKey]]),(DiscreteStatsTable[GroupByKey]=DiscreteStatsTable[[#This Row],[GroupByKey]])*DiscreteStatsTable[NumberObservations])),0)</f>
        <v>122.26315789473684</v>
      </c>
      <c r="W485" s="5">
        <f>IF((DiscreteStatsTable[[#This Row],[RepsRequested]]&gt;1),DiscreteStatsTable[[#This Row],[HalfWidth]],DiscreteStatsTable[[#This Row],[BatchMeansHalfWidth]])</f>
        <v>0.33401806893870795</v>
      </c>
      <c r="X485" s="5" cm="1">
        <f t="array" ref="X485">COUNT(IF((DiscreteStatsTable[GroupByKey]=DiscreteStatsTable[[#This Row],[GroupByKey]]),(DiscreteStatsTable[GroupByKey]=DiscreteStatsTable[[#This Row],[GroupByKey]])*DiscreteStatsTable[Replication]))</f>
        <v>19</v>
      </c>
      <c r="Y485" s="5">
        <f>IF(DiscreteStatsTable[[#This Row],[RepsRequested]]=DiscreteStatsTable[[#This Row],[RepsWithStatObserved]],1,0)</f>
        <v>1</v>
      </c>
    </row>
    <row r="486" spans="1:25" x14ac:dyDescent="0.25">
      <c r="A486" t="s">
        <v>67</v>
      </c>
      <c r="B486" t="s">
        <v>69</v>
      </c>
      <c r="C486">
        <v>10</v>
      </c>
      <c r="D486" t="s">
        <v>104</v>
      </c>
      <c r="E486" t="s">
        <v>90</v>
      </c>
      <c r="F486" t="s">
        <v>91</v>
      </c>
      <c r="G486">
        <v>0.91708970562945302</v>
      </c>
      <c r="H486">
        <v>2E+20</v>
      </c>
      <c r="I486">
        <v>0</v>
      </c>
      <c r="J486">
        <v>5.9915292249323198</v>
      </c>
      <c r="K486">
        <v>118</v>
      </c>
      <c r="L48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compartida)Preparacion.QueueWaiting TimeQueue</v>
      </c>
      <c r="M486" s="5" cm="1">
        <f t="array" ref="M486">MAX(IF((ProjectInfoTable[ProjectName]=DiscreteStatsTable[[#This Row],[ProjectName]]),(ProjectInfoTable[ProjectName]=DiscreteStatsTable[[#This Row],[ProjectName]])*ProjectInfoTable[NumberOfReplications]))</f>
        <v>19</v>
      </c>
      <c r="N486" s="5" cm="1">
        <f t="array" ref="N486">IFERROR(AVERAGE(IF((DiscreteStatsTable[GroupByKey]=DiscreteStatsTable[[#This Row],[GroupByKey]]),(DiscreteStatsTable[GroupByKey]=DiscreteStatsTable[[#This Row],[GroupByKey]])*DiscreteStatsTable[Average])),0)</f>
        <v>0.69352531674172502</v>
      </c>
      <c r="O486" s="5" cm="1">
        <f t="array" ref="O486">IFERROR(_xlfn.STDEV.S(IF((DiscreteStatsTable[GroupByKey]=DiscreteStatsTable[[#This Row],[GroupByKey]]),(DiscreteStatsTable[GroupByKey]=DiscreteStatsTable[[#This Row],[GroupByKey]])*DiscreteStatsTable[Average])),0)</f>
        <v>0.6930057279295283</v>
      </c>
      <c r="P486" s="5" cm="1">
        <f t="array" ref="P486">MAX(IF((ProjectInfoTable[ProjectName]=DiscreteStatsTable[[#This Row],[ProjectName]]),(ProjectInfoTable[ProjectName]=DiscreteStatsTable[[#This Row],[ProjectName]])*ProjectInfoTable[ConfidenceInterval]))</f>
        <v>0.95</v>
      </c>
      <c r="Q486" s="5">
        <f>IF(AND(DiscreteStatsTable[[#This Row],[RepsWithStatObserved]]=1,Y486=0),200000000000000000000,IFERROR(_xlfn.T.INV.2T(1 -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486" s="5" cm="1">
        <f t="array" ref="R486">MIN(IF((DiscreteStatsTable[GroupByKey]=DiscreteStatsTable[[#This Row],[GroupByKey]]),(DiscreteStatsTable[GroupByKey]=DiscreteStatsTable[[#This Row],[GroupByKey]])*DiscreteStatsTable[Average]))</f>
        <v>0.19675348802568801</v>
      </c>
      <c r="S486" s="5" cm="1">
        <f t="array" ref="S486">MAX(IF((DiscreteStatsTable[GroupByKey]=DiscreteStatsTable[[#This Row],[GroupByKey]]),(DiscreteStatsTable[GroupByKey]=DiscreteStatsTable[[#This Row],[GroupByKey]])*DiscreteStatsTable[Average]))</f>
        <v>3.2614571838962898</v>
      </c>
      <c r="T486" s="5" cm="1">
        <f t="array" ref="T486">MIN(IF((DiscreteStatsTable[GroupByKey]=DiscreteStatsTable[[#This Row],[GroupByKey]]),(DiscreteStatsTable[GroupByKey]=DiscreteStatsTable[[#This Row],[GroupByKey]])*DiscreteStatsTable[Minimum]))</f>
        <v>0</v>
      </c>
      <c r="U486" s="5" cm="1">
        <f t="array" ref="U486">MAX(IF((DiscreteStatsTable[GroupByKey]=DiscreteStatsTable[[#This Row],[GroupByKey]]),(DiscreteStatsTable[GroupByKey]=DiscreteStatsTable[[#This Row],[GroupByKey]])*DiscreteStatsTable[Maximum]))</f>
        <v>15.231041134973101</v>
      </c>
      <c r="V486" s="5" cm="1">
        <f t="array" ref="V486">IFERROR(AVERAGE(IF((DiscreteStatsTable[GroupByKey]=DiscreteStatsTable[[#This Row],[GroupByKey]]),(DiscreteStatsTable[GroupByKey]=DiscreteStatsTable[[#This Row],[GroupByKey]])*DiscreteStatsTable[NumberObservations])),0)</f>
        <v>122.26315789473684</v>
      </c>
      <c r="W486" s="5">
        <f>IF((DiscreteStatsTable[[#This Row],[RepsRequested]]&gt;1),DiscreteStatsTable[[#This Row],[HalfWidth]],DiscreteStatsTable[[#This Row],[BatchMeansHalfWidth]])</f>
        <v>0.33401806893870795</v>
      </c>
      <c r="X486" s="5" cm="1">
        <f t="array" ref="X486">COUNT(IF((DiscreteStatsTable[GroupByKey]=DiscreteStatsTable[[#This Row],[GroupByKey]]),(DiscreteStatsTable[GroupByKey]=DiscreteStatsTable[[#This Row],[GroupByKey]])*DiscreteStatsTable[Replication]))</f>
        <v>19</v>
      </c>
      <c r="Y486" s="5">
        <f>IF(DiscreteStatsTable[[#This Row],[RepsRequested]]=DiscreteStatsTable[[#This Row],[RepsWithStatObserved]],1,0)</f>
        <v>1</v>
      </c>
    </row>
    <row r="487" spans="1:25" x14ac:dyDescent="0.25">
      <c r="A487" t="s">
        <v>67</v>
      </c>
      <c r="B487" t="s">
        <v>69</v>
      </c>
      <c r="C487">
        <v>11</v>
      </c>
      <c r="D487" t="s">
        <v>104</v>
      </c>
      <c r="E487" t="s">
        <v>90</v>
      </c>
      <c r="F487" t="s">
        <v>91</v>
      </c>
      <c r="G487">
        <v>0.61288890231357696</v>
      </c>
      <c r="H487">
        <v>2E+20</v>
      </c>
      <c r="I487">
        <v>0</v>
      </c>
      <c r="J487">
        <v>6.8137213811786799</v>
      </c>
      <c r="K487">
        <v>114</v>
      </c>
      <c r="L48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compartida)Preparacion.QueueWaiting TimeQueue</v>
      </c>
      <c r="M487" s="5" cm="1">
        <f t="array" ref="M487">MAX(IF((ProjectInfoTable[ProjectName]=DiscreteStatsTable[[#This Row],[ProjectName]]),(ProjectInfoTable[ProjectName]=DiscreteStatsTable[[#This Row],[ProjectName]])*ProjectInfoTable[NumberOfReplications]))</f>
        <v>19</v>
      </c>
      <c r="N487" s="5" cm="1">
        <f t="array" ref="N487">IFERROR(AVERAGE(IF((DiscreteStatsTable[GroupByKey]=DiscreteStatsTable[[#This Row],[GroupByKey]]),(DiscreteStatsTable[GroupByKey]=DiscreteStatsTable[[#This Row],[GroupByKey]])*DiscreteStatsTable[Average])),0)</f>
        <v>0.69352531674172502</v>
      </c>
      <c r="O487" s="5" cm="1">
        <f t="array" ref="O487">IFERROR(_xlfn.STDEV.S(IF((DiscreteStatsTable[GroupByKey]=DiscreteStatsTable[[#This Row],[GroupByKey]]),(DiscreteStatsTable[GroupByKey]=DiscreteStatsTable[[#This Row],[GroupByKey]])*DiscreteStatsTable[Average])),0)</f>
        <v>0.6930057279295283</v>
      </c>
      <c r="P487" s="5" cm="1">
        <f t="array" ref="P487">MAX(IF((ProjectInfoTable[ProjectName]=DiscreteStatsTable[[#This Row],[ProjectName]]),(ProjectInfoTable[ProjectName]=DiscreteStatsTable[[#This Row],[ProjectName]])*ProjectInfoTable[ConfidenceInterval]))</f>
        <v>0.95</v>
      </c>
      <c r="Q487" s="5">
        <f>IF(AND(DiscreteStatsTable[[#This Row],[RepsWithStatObserved]]=1,Y487=0),200000000000000000000,IFERROR(_xlfn.T.INV.2T(1 -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487" s="5" cm="1">
        <f t="array" ref="R487">MIN(IF((DiscreteStatsTable[GroupByKey]=DiscreteStatsTable[[#This Row],[GroupByKey]]),(DiscreteStatsTable[GroupByKey]=DiscreteStatsTable[[#This Row],[GroupByKey]])*DiscreteStatsTable[Average]))</f>
        <v>0.19675348802568801</v>
      </c>
      <c r="S487" s="5" cm="1">
        <f t="array" ref="S487">MAX(IF((DiscreteStatsTable[GroupByKey]=DiscreteStatsTable[[#This Row],[GroupByKey]]),(DiscreteStatsTable[GroupByKey]=DiscreteStatsTable[[#This Row],[GroupByKey]])*DiscreteStatsTable[Average]))</f>
        <v>3.2614571838962898</v>
      </c>
      <c r="T487" s="5" cm="1">
        <f t="array" ref="T487">MIN(IF((DiscreteStatsTable[GroupByKey]=DiscreteStatsTable[[#This Row],[GroupByKey]]),(DiscreteStatsTable[GroupByKey]=DiscreteStatsTable[[#This Row],[GroupByKey]])*DiscreteStatsTable[Minimum]))</f>
        <v>0</v>
      </c>
      <c r="U487" s="5" cm="1">
        <f t="array" ref="U487">MAX(IF((DiscreteStatsTable[GroupByKey]=DiscreteStatsTable[[#This Row],[GroupByKey]]),(DiscreteStatsTable[GroupByKey]=DiscreteStatsTable[[#This Row],[GroupByKey]])*DiscreteStatsTable[Maximum]))</f>
        <v>15.231041134973101</v>
      </c>
      <c r="V487" s="5" cm="1">
        <f t="array" ref="V487">IFERROR(AVERAGE(IF((DiscreteStatsTable[GroupByKey]=DiscreteStatsTable[[#This Row],[GroupByKey]]),(DiscreteStatsTable[GroupByKey]=DiscreteStatsTable[[#This Row],[GroupByKey]])*DiscreteStatsTable[NumberObservations])),0)</f>
        <v>122.26315789473684</v>
      </c>
      <c r="W487" s="5">
        <f>IF((DiscreteStatsTable[[#This Row],[RepsRequested]]&gt;1),DiscreteStatsTable[[#This Row],[HalfWidth]],DiscreteStatsTable[[#This Row],[BatchMeansHalfWidth]])</f>
        <v>0.33401806893870795</v>
      </c>
      <c r="X487" s="5" cm="1">
        <f t="array" ref="X487">COUNT(IF((DiscreteStatsTable[GroupByKey]=DiscreteStatsTable[[#This Row],[GroupByKey]]),(DiscreteStatsTable[GroupByKey]=DiscreteStatsTable[[#This Row],[GroupByKey]])*DiscreteStatsTable[Replication]))</f>
        <v>19</v>
      </c>
      <c r="Y487" s="5">
        <f>IF(DiscreteStatsTable[[#This Row],[RepsRequested]]=DiscreteStatsTable[[#This Row],[RepsWithStatObserved]],1,0)</f>
        <v>1</v>
      </c>
    </row>
    <row r="488" spans="1:25" x14ac:dyDescent="0.25">
      <c r="A488" t="s">
        <v>67</v>
      </c>
      <c r="B488" t="s">
        <v>69</v>
      </c>
      <c r="C488">
        <v>12</v>
      </c>
      <c r="D488" t="s">
        <v>104</v>
      </c>
      <c r="E488" t="s">
        <v>90</v>
      </c>
      <c r="F488" t="s">
        <v>91</v>
      </c>
      <c r="G488">
        <v>0.73450167633732599</v>
      </c>
      <c r="H488">
        <v>2E+20</v>
      </c>
      <c r="I488">
        <v>0</v>
      </c>
      <c r="J488">
        <v>9.1613483299710001</v>
      </c>
      <c r="K488">
        <v>118</v>
      </c>
      <c r="L48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compartida)Preparacion.QueueWaiting TimeQueue</v>
      </c>
      <c r="M488" s="5" cm="1">
        <f t="array" ref="M488">MAX(IF((ProjectInfoTable[ProjectName]=DiscreteStatsTable[[#This Row],[ProjectName]]),(ProjectInfoTable[ProjectName]=DiscreteStatsTable[[#This Row],[ProjectName]])*ProjectInfoTable[NumberOfReplications]))</f>
        <v>19</v>
      </c>
      <c r="N488" s="5" cm="1">
        <f t="array" ref="N488">IFERROR(AVERAGE(IF((DiscreteStatsTable[GroupByKey]=DiscreteStatsTable[[#This Row],[GroupByKey]]),(DiscreteStatsTable[GroupByKey]=DiscreteStatsTable[[#This Row],[GroupByKey]])*DiscreteStatsTable[Average])),0)</f>
        <v>0.69352531674172502</v>
      </c>
      <c r="O488" s="5" cm="1">
        <f t="array" ref="O488">IFERROR(_xlfn.STDEV.S(IF((DiscreteStatsTable[GroupByKey]=DiscreteStatsTable[[#This Row],[GroupByKey]]),(DiscreteStatsTable[GroupByKey]=DiscreteStatsTable[[#This Row],[GroupByKey]])*DiscreteStatsTable[Average])),0)</f>
        <v>0.6930057279295283</v>
      </c>
      <c r="P488" s="5" cm="1">
        <f t="array" ref="P488">MAX(IF((ProjectInfoTable[ProjectName]=DiscreteStatsTable[[#This Row],[ProjectName]]),(ProjectInfoTable[ProjectName]=DiscreteStatsTable[[#This Row],[ProjectName]])*ProjectInfoTable[ConfidenceInterval]))</f>
        <v>0.95</v>
      </c>
      <c r="Q488" s="5">
        <f>IF(AND(DiscreteStatsTable[[#This Row],[RepsWithStatObserved]]=1,Y488=0),200000000000000000000,IFERROR(_xlfn.T.INV.2T(1 -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488" s="5" cm="1">
        <f t="array" ref="R488">MIN(IF((DiscreteStatsTable[GroupByKey]=DiscreteStatsTable[[#This Row],[GroupByKey]]),(DiscreteStatsTable[GroupByKey]=DiscreteStatsTable[[#This Row],[GroupByKey]])*DiscreteStatsTable[Average]))</f>
        <v>0.19675348802568801</v>
      </c>
      <c r="S488" s="5" cm="1">
        <f t="array" ref="S488">MAX(IF((DiscreteStatsTable[GroupByKey]=DiscreteStatsTable[[#This Row],[GroupByKey]]),(DiscreteStatsTable[GroupByKey]=DiscreteStatsTable[[#This Row],[GroupByKey]])*DiscreteStatsTable[Average]))</f>
        <v>3.2614571838962898</v>
      </c>
      <c r="T488" s="5" cm="1">
        <f t="array" ref="T488">MIN(IF((DiscreteStatsTable[GroupByKey]=DiscreteStatsTable[[#This Row],[GroupByKey]]),(DiscreteStatsTable[GroupByKey]=DiscreteStatsTable[[#This Row],[GroupByKey]])*DiscreteStatsTable[Minimum]))</f>
        <v>0</v>
      </c>
      <c r="U488" s="5" cm="1">
        <f t="array" ref="U488">MAX(IF((DiscreteStatsTable[GroupByKey]=DiscreteStatsTable[[#This Row],[GroupByKey]]),(DiscreteStatsTable[GroupByKey]=DiscreteStatsTable[[#This Row],[GroupByKey]])*DiscreteStatsTable[Maximum]))</f>
        <v>15.231041134973101</v>
      </c>
      <c r="V488" s="5" cm="1">
        <f t="array" ref="V488">IFERROR(AVERAGE(IF((DiscreteStatsTable[GroupByKey]=DiscreteStatsTable[[#This Row],[GroupByKey]]),(DiscreteStatsTable[GroupByKey]=DiscreteStatsTable[[#This Row],[GroupByKey]])*DiscreteStatsTable[NumberObservations])),0)</f>
        <v>122.26315789473684</v>
      </c>
      <c r="W488" s="5">
        <f>IF((DiscreteStatsTable[[#This Row],[RepsRequested]]&gt;1),DiscreteStatsTable[[#This Row],[HalfWidth]],DiscreteStatsTable[[#This Row],[BatchMeansHalfWidth]])</f>
        <v>0.33401806893870795</v>
      </c>
      <c r="X488" s="5" cm="1">
        <f t="array" ref="X488">COUNT(IF((DiscreteStatsTable[GroupByKey]=DiscreteStatsTable[[#This Row],[GroupByKey]]),(DiscreteStatsTable[GroupByKey]=DiscreteStatsTable[[#This Row],[GroupByKey]])*DiscreteStatsTable[Replication]))</f>
        <v>19</v>
      </c>
      <c r="Y488" s="5">
        <f>IF(DiscreteStatsTable[[#This Row],[RepsRequested]]=DiscreteStatsTable[[#This Row],[RepsWithStatObserved]],1,0)</f>
        <v>1</v>
      </c>
    </row>
    <row r="489" spans="1:25" x14ac:dyDescent="0.25">
      <c r="A489" t="s">
        <v>67</v>
      </c>
      <c r="B489" t="s">
        <v>69</v>
      </c>
      <c r="C489">
        <v>13</v>
      </c>
      <c r="D489" t="s">
        <v>104</v>
      </c>
      <c r="E489" t="s">
        <v>90</v>
      </c>
      <c r="F489" t="s">
        <v>91</v>
      </c>
      <c r="G489">
        <v>0.45527789507148497</v>
      </c>
      <c r="H489">
        <v>2E+20</v>
      </c>
      <c r="I489">
        <v>0</v>
      </c>
      <c r="J489">
        <v>2.9647038153457301</v>
      </c>
      <c r="K489">
        <v>115</v>
      </c>
      <c r="L48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compartida)Preparacion.QueueWaiting TimeQueue</v>
      </c>
      <c r="M489" s="5" cm="1">
        <f t="array" ref="M489">MAX(IF((ProjectInfoTable[ProjectName]=DiscreteStatsTable[[#This Row],[ProjectName]]),(ProjectInfoTable[ProjectName]=DiscreteStatsTable[[#This Row],[ProjectName]])*ProjectInfoTable[NumberOfReplications]))</f>
        <v>19</v>
      </c>
      <c r="N489" s="5" cm="1">
        <f t="array" ref="N489">IFERROR(AVERAGE(IF((DiscreteStatsTable[GroupByKey]=DiscreteStatsTable[[#This Row],[GroupByKey]]),(DiscreteStatsTable[GroupByKey]=DiscreteStatsTable[[#This Row],[GroupByKey]])*DiscreteStatsTable[Average])),0)</f>
        <v>0.69352531674172502</v>
      </c>
      <c r="O489" s="5" cm="1">
        <f t="array" ref="O489">IFERROR(_xlfn.STDEV.S(IF((DiscreteStatsTable[GroupByKey]=DiscreteStatsTable[[#This Row],[GroupByKey]]),(DiscreteStatsTable[GroupByKey]=DiscreteStatsTable[[#This Row],[GroupByKey]])*DiscreteStatsTable[Average])),0)</f>
        <v>0.6930057279295283</v>
      </c>
      <c r="P489" s="5" cm="1">
        <f t="array" ref="P489">MAX(IF((ProjectInfoTable[ProjectName]=DiscreteStatsTable[[#This Row],[ProjectName]]),(ProjectInfoTable[ProjectName]=DiscreteStatsTable[[#This Row],[ProjectName]])*ProjectInfoTable[ConfidenceInterval]))</f>
        <v>0.95</v>
      </c>
      <c r="Q489" s="5">
        <f>IF(AND(DiscreteStatsTable[[#This Row],[RepsWithStatObserved]]=1,Y489=0),200000000000000000000,IFERROR(_xlfn.T.INV.2T(1 -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489" s="5" cm="1">
        <f t="array" ref="R489">MIN(IF((DiscreteStatsTable[GroupByKey]=DiscreteStatsTable[[#This Row],[GroupByKey]]),(DiscreteStatsTable[GroupByKey]=DiscreteStatsTable[[#This Row],[GroupByKey]])*DiscreteStatsTable[Average]))</f>
        <v>0.19675348802568801</v>
      </c>
      <c r="S489" s="5" cm="1">
        <f t="array" ref="S489">MAX(IF((DiscreteStatsTable[GroupByKey]=DiscreteStatsTable[[#This Row],[GroupByKey]]),(DiscreteStatsTable[GroupByKey]=DiscreteStatsTable[[#This Row],[GroupByKey]])*DiscreteStatsTable[Average]))</f>
        <v>3.2614571838962898</v>
      </c>
      <c r="T489" s="5" cm="1">
        <f t="array" ref="T489">MIN(IF((DiscreteStatsTable[GroupByKey]=DiscreteStatsTable[[#This Row],[GroupByKey]]),(DiscreteStatsTable[GroupByKey]=DiscreteStatsTable[[#This Row],[GroupByKey]])*DiscreteStatsTable[Minimum]))</f>
        <v>0</v>
      </c>
      <c r="U489" s="5" cm="1">
        <f t="array" ref="U489">MAX(IF((DiscreteStatsTable[GroupByKey]=DiscreteStatsTable[[#This Row],[GroupByKey]]),(DiscreteStatsTable[GroupByKey]=DiscreteStatsTable[[#This Row],[GroupByKey]])*DiscreteStatsTable[Maximum]))</f>
        <v>15.231041134973101</v>
      </c>
      <c r="V489" s="5" cm="1">
        <f t="array" ref="V489">IFERROR(AVERAGE(IF((DiscreteStatsTable[GroupByKey]=DiscreteStatsTable[[#This Row],[GroupByKey]]),(DiscreteStatsTable[GroupByKey]=DiscreteStatsTable[[#This Row],[GroupByKey]])*DiscreteStatsTable[NumberObservations])),0)</f>
        <v>122.26315789473684</v>
      </c>
      <c r="W489" s="5">
        <f>IF((DiscreteStatsTable[[#This Row],[RepsRequested]]&gt;1),DiscreteStatsTable[[#This Row],[HalfWidth]],DiscreteStatsTable[[#This Row],[BatchMeansHalfWidth]])</f>
        <v>0.33401806893870795</v>
      </c>
      <c r="X489" s="5" cm="1">
        <f t="array" ref="X489">COUNT(IF((DiscreteStatsTable[GroupByKey]=DiscreteStatsTable[[#This Row],[GroupByKey]]),(DiscreteStatsTable[GroupByKey]=DiscreteStatsTable[[#This Row],[GroupByKey]])*DiscreteStatsTable[Replication]))</f>
        <v>19</v>
      </c>
      <c r="Y489" s="5">
        <f>IF(DiscreteStatsTable[[#This Row],[RepsRequested]]=DiscreteStatsTable[[#This Row],[RepsWithStatObserved]],1,0)</f>
        <v>1</v>
      </c>
    </row>
    <row r="490" spans="1:25" x14ac:dyDescent="0.25">
      <c r="A490" t="s">
        <v>67</v>
      </c>
      <c r="B490" t="s">
        <v>69</v>
      </c>
      <c r="C490">
        <v>14</v>
      </c>
      <c r="D490" t="s">
        <v>104</v>
      </c>
      <c r="E490" t="s">
        <v>90</v>
      </c>
      <c r="F490" t="s">
        <v>91</v>
      </c>
      <c r="G490">
        <v>0.84077560664595896</v>
      </c>
      <c r="H490">
        <v>2E+20</v>
      </c>
      <c r="I490">
        <v>0</v>
      </c>
      <c r="J490">
        <v>4.7162811155878597</v>
      </c>
      <c r="K490">
        <v>135</v>
      </c>
      <c r="L49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compartida)Preparacion.QueueWaiting TimeQueue</v>
      </c>
      <c r="M490" s="5" cm="1">
        <f t="array" ref="M490">MAX(IF((ProjectInfoTable[ProjectName]=DiscreteStatsTable[[#This Row],[ProjectName]]),(ProjectInfoTable[ProjectName]=DiscreteStatsTable[[#This Row],[ProjectName]])*ProjectInfoTable[NumberOfReplications]))</f>
        <v>19</v>
      </c>
      <c r="N490" s="5" cm="1">
        <f t="array" ref="N490">IFERROR(AVERAGE(IF((DiscreteStatsTable[GroupByKey]=DiscreteStatsTable[[#This Row],[GroupByKey]]),(DiscreteStatsTable[GroupByKey]=DiscreteStatsTable[[#This Row],[GroupByKey]])*DiscreteStatsTable[Average])),0)</f>
        <v>0.69352531674172502</v>
      </c>
      <c r="O490" s="5" cm="1">
        <f t="array" ref="O490">IFERROR(_xlfn.STDEV.S(IF((DiscreteStatsTable[GroupByKey]=DiscreteStatsTable[[#This Row],[GroupByKey]]),(DiscreteStatsTable[GroupByKey]=DiscreteStatsTable[[#This Row],[GroupByKey]])*DiscreteStatsTable[Average])),0)</f>
        <v>0.6930057279295283</v>
      </c>
      <c r="P490" s="5" cm="1">
        <f t="array" ref="P490">MAX(IF((ProjectInfoTable[ProjectName]=DiscreteStatsTable[[#This Row],[ProjectName]]),(ProjectInfoTable[ProjectName]=DiscreteStatsTable[[#This Row],[ProjectName]])*ProjectInfoTable[ConfidenceInterval]))</f>
        <v>0.95</v>
      </c>
      <c r="Q490" s="5">
        <f>IF(AND(DiscreteStatsTable[[#This Row],[RepsWithStatObserved]]=1,Y490=0),200000000000000000000,IFERROR(_xlfn.T.INV.2T(1 -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490" s="5" cm="1">
        <f t="array" ref="R490">MIN(IF((DiscreteStatsTable[GroupByKey]=DiscreteStatsTable[[#This Row],[GroupByKey]]),(DiscreteStatsTable[GroupByKey]=DiscreteStatsTable[[#This Row],[GroupByKey]])*DiscreteStatsTable[Average]))</f>
        <v>0.19675348802568801</v>
      </c>
      <c r="S490" s="5" cm="1">
        <f t="array" ref="S490">MAX(IF((DiscreteStatsTable[GroupByKey]=DiscreteStatsTable[[#This Row],[GroupByKey]]),(DiscreteStatsTable[GroupByKey]=DiscreteStatsTable[[#This Row],[GroupByKey]])*DiscreteStatsTable[Average]))</f>
        <v>3.2614571838962898</v>
      </c>
      <c r="T490" s="5" cm="1">
        <f t="array" ref="T490">MIN(IF((DiscreteStatsTable[GroupByKey]=DiscreteStatsTable[[#This Row],[GroupByKey]]),(DiscreteStatsTable[GroupByKey]=DiscreteStatsTable[[#This Row],[GroupByKey]])*DiscreteStatsTable[Minimum]))</f>
        <v>0</v>
      </c>
      <c r="U490" s="5" cm="1">
        <f t="array" ref="U490">MAX(IF((DiscreteStatsTable[GroupByKey]=DiscreteStatsTable[[#This Row],[GroupByKey]]),(DiscreteStatsTable[GroupByKey]=DiscreteStatsTable[[#This Row],[GroupByKey]])*DiscreteStatsTable[Maximum]))</f>
        <v>15.231041134973101</v>
      </c>
      <c r="V490" s="5" cm="1">
        <f t="array" ref="V490">IFERROR(AVERAGE(IF((DiscreteStatsTable[GroupByKey]=DiscreteStatsTable[[#This Row],[GroupByKey]]),(DiscreteStatsTable[GroupByKey]=DiscreteStatsTable[[#This Row],[GroupByKey]])*DiscreteStatsTable[NumberObservations])),0)</f>
        <v>122.26315789473684</v>
      </c>
      <c r="W490" s="5">
        <f>IF((DiscreteStatsTable[[#This Row],[RepsRequested]]&gt;1),DiscreteStatsTable[[#This Row],[HalfWidth]],DiscreteStatsTable[[#This Row],[BatchMeansHalfWidth]])</f>
        <v>0.33401806893870795</v>
      </c>
      <c r="X490" s="5" cm="1">
        <f t="array" ref="X490">COUNT(IF((DiscreteStatsTable[GroupByKey]=DiscreteStatsTable[[#This Row],[GroupByKey]]),(DiscreteStatsTable[GroupByKey]=DiscreteStatsTable[[#This Row],[GroupByKey]])*DiscreteStatsTable[Replication]))</f>
        <v>19</v>
      </c>
      <c r="Y490" s="5">
        <f>IF(DiscreteStatsTable[[#This Row],[RepsRequested]]=DiscreteStatsTable[[#This Row],[RepsWithStatObserved]],1,0)</f>
        <v>1</v>
      </c>
    </row>
    <row r="491" spans="1:25" x14ac:dyDescent="0.25">
      <c r="A491" t="s">
        <v>67</v>
      </c>
      <c r="B491" t="s">
        <v>69</v>
      </c>
      <c r="C491">
        <v>15</v>
      </c>
      <c r="D491" t="s">
        <v>104</v>
      </c>
      <c r="E491" t="s">
        <v>90</v>
      </c>
      <c r="F491" t="s">
        <v>91</v>
      </c>
      <c r="G491">
        <v>0.491436011403796</v>
      </c>
      <c r="H491">
        <v>2E+20</v>
      </c>
      <c r="I491">
        <v>0</v>
      </c>
      <c r="J491">
        <v>4.5561174591506699</v>
      </c>
      <c r="K491">
        <v>125</v>
      </c>
      <c r="L49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compartida)Preparacion.QueueWaiting TimeQueue</v>
      </c>
      <c r="M491" s="5" cm="1">
        <f t="array" ref="M491">MAX(IF((ProjectInfoTable[ProjectName]=DiscreteStatsTable[[#This Row],[ProjectName]]),(ProjectInfoTable[ProjectName]=DiscreteStatsTable[[#This Row],[ProjectName]])*ProjectInfoTable[NumberOfReplications]))</f>
        <v>19</v>
      </c>
      <c r="N491" s="5" cm="1">
        <f t="array" ref="N491">IFERROR(AVERAGE(IF((DiscreteStatsTable[GroupByKey]=DiscreteStatsTable[[#This Row],[GroupByKey]]),(DiscreteStatsTable[GroupByKey]=DiscreteStatsTable[[#This Row],[GroupByKey]])*DiscreteStatsTable[Average])),0)</f>
        <v>0.69352531674172502</v>
      </c>
      <c r="O491" s="5" cm="1">
        <f t="array" ref="O491">IFERROR(_xlfn.STDEV.S(IF((DiscreteStatsTable[GroupByKey]=DiscreteStatsTable[[#This Row],[GroupByKey]]),(DiscreteStatsTable[GroupByKey]=DiscreteStatsTable[[#This Row],[GroupByKey]])*DiscreteStatsTable[Average])),0)</f>
        <v>0.6930057279295283</v>
      </c>
      <c r="P491" s="5" cm="1">
        <f t="array" ref="P491">MAX(IF((ProjectInfoTable[ProjectName]=DiscreteStatsTable[[#This Row],[ProjectName]]),(ProjectInfoTable[ProjectName]=DiscreteStatsTable[[#This Row],[ProjectName]])*ProjectInfoTable[ConfidenceInterval]))</f>
        <v>0.95</v>
      </c>
      <c r="Q491" s="5">
        <f>IF(AND(DiscreteStatsTable[[#This Row],[RepsWithStatObserved]]=1,Y491=0),200000000000000000000,IFERROR(_xlfn.T.INV.2T(1 -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491" s="5" cm="1">
        <f t="array" ref="R491">MIN(IF((DiscreteStatsTable[GroupByKey]=DiscreteStatsTable[[#This Row],[GroupByKey]]),(DiscreteStatsTable[GroupByKey]=DiscreteStatsTable[[#This Row],[GroupByKey]])*DiscreteStatsTable[Average]))</f>
        <v>0.19675348802568801</v>
      </c>
      <c r="S491" s="5" cm="1">
        <f t="array" ref="S491">MAX(IF((DiscreteStatsTable[GroupByKey]=DiscreteStatsTable[[#This Row],[GroupByKey]]),(DiscreteStatsTable[GroupByKey]=DiscreteStatsTable[[#This Row],[GroupByKey]])*DiscreteStatsTable[Average]))</f>
        <v>3.2614571838962898</v>
      </c>
      <c r="T491" s="5" cm="1">
        <f t="array" ref="T491">MIN(IF((DiscreteStatsTable[GroupByKey]=DiscreteStatsTable[[#This Row],[GroupByKey]]),(DiscreteStatsTable[GroupByKey]=DiscreteStatsTable[[#This Row],[GroupByKey]])*DiscreteStatsTable[Minimum]))</f>
        <v>0</v>
      </c>
      <c r="U491" s="5" cm="1">
        <f t="array" ref="U491">MAX(IF((DiscreteStatsTable[GroupByKey]=DiscreteStatsTable[[#This Row],[GroupByKey]]),(DiscreteStatsTable[GroupByKey]=DiscreteStatsTable[[#This Row],[GroupByKey]])*DiscreteStatsTable[Maximum]))</f>
        <v>15.231041134973101</v>
      </c>
      <c r="V491" s="5" cm="1">
        <f t="array" ref="V491">IFERROR(AVERAGE(IF((DiscreteStatsTable[GroupByKey]=DiscreteStatsTable[[#This Row],[GroupByKey]]),(DiscreteStatsTable[GroupByKey]=DiscreteStatsTable[[#This Row],[GroupByKey]])*DiscreteStatsTable[NumberObservations])),0)</f>
        <v>122.26315789473684</v>
      </c>
      <c r="W491" s="5">
        <f>IF((DiscreteStatsTable[[#This Row],[RepsRequested]]&gt;1),DiscreteStatsTable[[#This Row],[HalfWidth]],DiscreteStatsTable[[#This Row],[BatchMeansHalfWidth]])</f>
        <v>0.33401806893870795</v>
      </c>
      <c r="X491" s="5" cm="1">
        <f t="array" ref="X491">COUNT(IF((DiscreteStatsTable[GroupByKey]=DiscreteStatsTable[[#This Row],[GroupByKey]]),(DiscreteStatsTable[GroupByKey]=DiscreteStatsTable[[#This Row],[GroupByKey]])*DiscreteStatsTable[Replication]))</f>
        <v>19</v>
      </c>
      <c r="Y491" s="5">
        <f>IF(DiscreteStatsTable[[#This Row],[RepsRequested]]=DiscreteStatsTable[[#This Row],[RepsWithStatObserved]],1,0)</f>
        <v>1</v>
      </c>
    </row>
    <row r="492" spans="1:25" x14ac:dyDescent="0.25">
      <c r="A492" t="s">
        <v>67</v>
      </c>
      <c r="B492" t="s">
        <v>69</v>
      </c>
      <c r="C492">
        <v>16</v>
      </c>
      <c r="D492" t="s">
        <v>104</v>
      </c>
      <c r="E492" t="s">
        <v>90</v>
      </c>
      <c r="F492" t="s">
        <v>91</v>
      </c>
      <c r="G492">
        <v>0.19675348802568801</v>
      </c>
      <c r="H492">
        <v>2E+20</v>
      </c>
      <c r="I492">
        <v>0</v>
      </c>
      <c r="J492">
        <v>2.0095796098252499</v>
      </c>
      <c r="K492">
        <v>131</v>
      </c>
      <c r="L49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compartida)Preparacion.QueueWaiting TimeQueue</v>
      </c>
      <c r="M492" s="5" cm="1">
        <f t="array" ref="M492">MAX(IF((ProjectInfoTable[ProjectName]=DiscreteStatsTable[[#This Row],[ProjectName]]),(ProjectInfoTable[ProjectName]=DiscreteStatsTable[[#This Row],[ProjectName]])*ProjectInfoTable[NumberOfReplications]))</f>
        <v>19</v>
      </c>
      <c r="N492" s="5" cm="1">
        <f t="array" ref="N492">IFERROR(AVERAGE(IF((DiscreteStatsTable[GroupByKey]=DiscreteStatsTable[[#This Row],[GroupByKey]]),(DiscreteStatsTable[GroupByKey]=DiscreteStatsTable[[#This Row],[GroupByKey]])*DiscreteStatsTable[Average])),0)</f>
        <v>0.69352531674172502</v>
      </c>
      <c r="O492" s="5" cm="1">
        <f t="array" ref="O492">IFERROR(_xlfn.STDEV.S(IF((DiscreteStatsTable[GroupByKey]=DiscreteStatsTable[[#This Row],[GroupByKey]]),(DiscreteStatsTable[GroupByKey]=DiscreteStatsTable[[#This Row],[GroupByKey]])*DiscreteStatsTable[Average])),0)</f>
        <v>0.6930057279295283</v>
      </c>
      <c r="P492" s="5" cm="1">
        <f t="array" ref="P492">MAX(IF((ProjectInfoTable[ProjectName]=DiscreteStatsTable[[#This Row],[ProjectName]]),(ProjectInfoTable[ProjectName]=DiscreteStatsTable[[#This Row],[ProjectName]])*ProjectInfoTable[ConfidenceInterval]))</f>
        <v>0.95</v>
      </c>
      <c r="Q492" s="5">
        <f>IF(AND(DiscreteStatsTable[[#This Row],[RepsWithStatObserved]]=1,Y492=0),200000000000000000000,IFERROR(_xlfn.T.INV.2T(1 -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492" s="5" cm="1">
        <f t="array" ref="R492">MIN(IF((DiscreteStatsTable[GroupByKey]=DiscreteStatsTable[[#This Row],[GroupByKey]]),(DiscreteStatsTable[GroupByKey]=DiscreteStatsTable[[#This Row],[GroupByKey]])*DiscreteStatsTable[Average]))</f>
        <v>0.19675348802568801</v>
      </c>
      <c r="S492" s="5" cm="1">
        <f t="array" ref="S492">MAX(IF((DiscreteStatsTable[GroupByKey]=DiscreteStatsTable[[#This Row],[GroupByKey]]),(DiscreteStatsTable[GroupByKey]=DiscreteStatsTable[[#This Row],[GroupByKey]])*DiscreteStatsTable[Average]))</f>
        <v>3.2614571838962898</v>
      </c>
      <c r="T492" s="5" cm="1">
        <f t="array" ref="T492">MIN(IF((DiscreteStatsTable[GroupByKey]=DiscreteStatsTable[[#This Row],[GroupByKey]]),(DiscreteStatsTable[GroupByKey]=DiscreteStatsTable[[#This Row],[GroupByKey]])*DiscreteStatsTable[Minimum]))</f>
        <v>0</v>
      </c>
      <c r="U492" s="5" cm="1">
        <f t="array" ref="U492">MAX(IF((DiscreteStatsTable[GroupByKey]=DiscreteStatsTable[[#This Row],[GroupByKey]]),(DiscreteStatsTable[GroupByKey]=DiscreteStatsTable[[#This Row],[GroupByKey]])*DiscreteStatsTable[Maximum]))</f>
        <v>15.231041134973101</v>
      </c>
      <c r="V492" s="5" cm="1">
        <f t="array" ref="V492">IFERROR(AVERAGE(IF((DiscreteStatsTable[GroupByKey]=DiscreteStatsTable[[#This Row],[GroupByKey]]),(DiscreteStatsTable[GroupByKey]=DiscreteStatsTable[[#This Row],[GroupByKey]])*DiscreteStatsTable[NumberObservations])),0)</f>
        <v>122.26315789473684</v>
      </c>
      <c r="W492" s="5">
        <f>IF((DiscreteStatsTable[[#This Row],[RepsRequested]]&gt;1),DiscreteStatsTable[[#This Row],[HalfWidth]],DiscreteStatsTable[[#This Row],[BatchMeansHalfWidth]])</f>
        <v>0.33401806893870795</v>
      </c>
      <c r="X492" s="5" cm="1">
        <f t="array" ref="X492">COUNT(IF((DiscreteStatsTable[GroupByKey]=DiscreteStatsTable[[#This Row],[GroupByKey]]),(DiscreteStatsTable[GroupByKey]=DiscreteStatsTable[[#This Row],[GroupByKey]])*DiscreteStatsTable[Replication]))</f>
        <v>19</v>
      </c>
      <c r="Y492" s="5">
        <f>IF(DiscreteStatsTable[[#This Row],[RepsRequested]]=DiscreteStatsTable[[#This Row],[RepsWithStatObserved]],1,0)</f>
        <v>1</v>
      </c>
    </row>
    <row r="493" spans="1:25" x14ac:dyDescent="0.25">
      <c r="A493" t="s">
        <v>67</v>
      </c>
      <c r="B493" t="s">
        <v>69</v>
      </c>
      <c r="C493">
        <v>17</v>
      </c>
      <c r="D493" t="s">
        <v>104</v>
      </c>
      <c r="E493" t="s">
        <v>90</v>
      </c>
      <c r="F493" t="s">
        <v>91</v>
      </c>
      <c r="G493">
        <v>0.447366519954769</v>
      </c>
      <c r="H493">
        <v>2E+20</v>
      </c>
      <c r="I493">
        <v>0</v>
      </c>
      <c r="J493">
        <v>3.6859567937453002</v>
      </c>
      <c r="K493">
        <v>124</v>
      </c>
      <c r="L49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compartida)Preparacion.QueueWaiting TimeQueue</v>
      </c>
      <c r="M493" s="5" cm="1">
        <f t="array" ref="M493">MAX(IF((ProjectInfoTable[ProjectName]=DiscreteStatsTable[[#This Row],[ProjectName]]),(ProjectInfoTable[ProjectName]=DiscreteStatsTable[[#This Row],[ProjectName]])*ProjectInfoTable[NumberOfReplications]))</f>
        <v>19</v>
      </c>
      <c r="N493" s="5" cm="1">
        <f t="array" ref="N493">IFERROR(AVERAGE(IF((DiscreteStatsTable[GroupByKey]=DiscreteStatsTable[[#This Row],[GroupByKey]]),(DiscreteStatsTable[GroupByKey]=DiscreteStatsTable[[#This Row],[GroupByKey]])*DiscreteStatsTable[Average])),0)</f>
        <v>0.69352531674172502</v>
      </c>
      <c r="O493" s="5" cm="1">
        <f t="array" ref="O493">IFERROR(_xlfn.STDEV.S(IF((DiscreteStatsTable[GroupByKey]=DiscreteStatsTable[[#This Row],[GroupByKey]]),(DiscreteStatsTable[GroupByKey]=DiscreteStatsTable[[#This Row],[GroupByKey]])*DiscreteStatsTable[Average])),0)</f>
        <v>0.6930057279295283</v>
      </c>
      <c r="P493" s="5" cm="1">
        <f t="array" ref="P493">MAX(IF((ProjectInfoTable[ProjectName]=DiscreteStatsTable[[#This Row],[ProjectName]]),(ProjectInfoTable[ProjectName]=DiscreteStatsTable[[#This Row],[ProjectName]])*ProjectInfoTable[ConfidenceInterval]))</f>
        <v>0.95</v>
      </c>
      <c r="Q493" s="5">
        <f>IF(AND(DiscreteStatsTable[[#This Row],[RepsWithStatObserved]]=1,Y493=0),200000000000000000000,IFERROR(_xlfn.T.INV.2T(1 -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493" s="5" cm="1">
        <f t="array" ref="R493">MIN(IF((DiscreteStatsTable[GroupByKey]=DiscreteStatsTable[[#This Row],[GroupByKey]]),(DiscreteStatsTable[GroupByKey]=DiscreteStatsTable[[#This Row],[GroupByKey]])*DiscreteStatsTable[Average]))</f>
        <v>0.19675348802568801</v>
      </c>
      <c r="S493" s="5" cm="1">
        <f t="array" ref="S493">MAX(IF((DiscreteStatsTable[GroupByKey]=DiscreteStatsTable[[#This Row],[GroupByKey]]),(DiscreteStatsTable[GroupByKey]=DiscreteStatsTable[[#This Row],[GroupByKey]])*DiscreteStatsTable[Average]))</f>
        <v>3.2614571838962898</v>
      </c>
      <c r="T493" s="5" cm="1">
        <f t="array" ref="T493">MIN(IF((DiscreteStatsTable[GroupByKey]=DiscreteStatsTable[[#This Row],[GroupByKey]]),(DiscreteStatsTable[GroupByKey]=DiscreteStatsTable[[#This Row],[GroupByKey]])*DiscreteStatsTable[Minimum]))</f>
        <v>0</v>
      </c>
      <c r="U493" s="5" cm="1">
        <f t="array" ref="U493">MAX(IF((DiscreteStatsTable[GroupByKey]=DiscreteStatsTable[[#This Row],[GroupByKey]]),(DiscreteStatsTable[GroupByKey]=DiscreteStatsTable[[#This Row],[GroupByKey]])*DiscreteStatsTable[Maximum]))</f>
        <v>15.231041134973101</v>
      </c>
      <c r="V493" s="5" cm="1">
        <f t="array" ref="V493">IFERROR(AVERAGE(IF((DiscreteStatsTable[GroupByKey]=DiscreteStatsTable[[#This Row],[GroupByKey]]),(DiscreteStatsTable[GroupByKey]=DiscreteStatsTable[[#This Row],[GroupByKey]])*DiscreteStatsTable[NumberObservations])),0)</f>
        <v>122.26315789473684</v>
      </c>
      <c r="W493" s="5">
        <f>IF((DiscreteStatsTable[[#This Row],[RepsRequested]]&gt;1),DiscreteStatsTable[[#This Row],[HalfWidth]],DiscreteStatsTable[[#This Row],[BatchMeansHalfWidth]])</f>
        <v>0.33401806893870795</v>
      </c>
      <c r="X493" s="5" cm="1">
        <f t="array" ref="X493">COUNT(IF((DiscreteStatsTable[GroupByKey]=DiscreteStatsTable[[#This Row],[GroupByKey]]),(DiscreteStatsTable[GroupByKey]=DiscreteStatsTable[[#This Row],[GroupByKey]])*DiscreteStatsTable[Replication]))</f>
        <v>19</v>
      </c>
      <c r="Y493" s="5">
        <f>IF(DiscreteStatsTable[[#This Row],[RepsRequested]]=DiscreteStatsTable[[#This Row],[RepsWithStatObserved]],1,0)</f>
        <v>1</v>
      </c>
    </row>
    <row r="494" spans="1:25" x14ac:dyDescent="0.25">
      <c r="A494" t="s">
        <v>67</v>
      </c>
      <c r="B494" t="s">
        <v>69</v>
      </c>
      <c r="C494">
        <v>18</v>
      </c>
      <c r="D494" t="s">
        <v>104</v>
      </c>
      <c r="E494" t="s">
        <v>90</v>
      </c>
      <c r="F494" t="s">
        <v>91</v>
      </c>
      <c r="G494">
        <v>0.81139080607901903</v>
      </c>
      <c r="H494">
        <v>2E+20</v>
      </c>
      <c r="I494">
        <v>0</v>
      </c>
      <c r="J494">
        <v>9.6271429415646601</v>
      </c>
      <c r="K494">
        <v>122</v>
      </c>
      <c r="L49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compartida)Preparacion.QueueWaiting TimeQueue</v>
      </c>
      <c r="M494" s="5" cm="1">
        <f t="array" ref="M494">MAX(IF((ProjectInfoTable[ProjectName]=DiscreteStatsTable[[#This Row],[ProjectName]]),(ProjectInfoTable[ProjectName]=DiscreteStatsTable[[#This Row],[ProjectName]])*ProjectInfoTable[NumberOfReplications]))</f>
        <v>19</v>
      </c>
      <c r="N494" s="5" cm="1">
        <f t="array" ref="N494">IFERROR(AVERAGE(IF((DiscreteStatsTable[GroupByKey]=DiscreteStatsTable[[#This Row],[GroupByKey]]),(DiscreteStatsTable[GroupByKey]=DiscreteStatsTable[[#This Row],[GroupByKey]])*DiscreteStatsTable[Average])),0)</f>
        <v>0.69352531674172502</v>
      </c>
      <c r="O494" s="5" cm="1">
        <f t="array" ref="O494">IFERROR(_xlfn.STDEV.S(IF((DiscreteStatsTable[GroupByKey]=DiscreteStatsTable[[#This Row],[GroupByKey]]),(DiscreteStatsTable[GroupByKey]=DiscreteStatsTable[[#This Row],[GroupByKey]])*DiscreteStatsTable[Average])),0)</f>
        <v>0.6930057279295283</v>
      </c>
      <c r="P494" s="5" cm="1">
        <f t="array" ref="P494">MAX(IF((ProjectInfoTable[ProjectName]=DiscreteStatsTable[[#This Row],[ProjectName]]),(ProjectInfoTable[ProjectName]=DiscreteStatsTable[[#This Row],[ProjectName]])*ProjectInfoTable[ConfidenceInterval]))</f>
        <v>0.95</v>
      </c>
      <c r="Q494" s="5">
        <f>IF(AND(DiscreteStatsTable[[#This Row],[RepsWithStatObserved]]=1,Y494=0),200000000000000000000,IFERROR(_xlfn.T.INV.2T(1 -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494" s="5" cm="1">
        <f t="array" ref="R494">MIN(IF((DiscreteStatsTable[GroupByKey]=DiscreteStatsTable[[#This Row],[GroupByKey]]),(DiscreteStatsTable[GroupByKey]=DiscreteStatsTable[[#This Row],[GroupByKey]])*DiscreteStatsTable[Average]))</f>
        <v>0.19675348802568801</v>
      </c>
      <c r="S494" s="5" cm="1">
        <f t="array" ref="S494">MAX(IF((DiscreteStatsTable[GroupByKey]=DiscreteStatsTable[[#This Row],[GroupByKey]]),(DiscreteStatsTable[GroupByKey]=DiscreteStatsTable[[#This Row],[GroupByKey]])*DiscreteStatsTable[Average]))</f>
        <v>3.2614571838962898</v>
      </c>
      <c r="T494" s="5" cm="1">
        <f t="array" ref="T494">MIN(IF((DiscreteStatsTable[GroupByKey]=DiscreteStatsTable[[#This Row],[GroupByKey]]),(DiscreteStatsTable[GroupByKey]=DiscreteStatsTable[[#This Row],[GroupByKey]])*DiscreteStatsTable[Minimum]))</f>
        <v>0</v>
      </c>
      <c r="U494" s="5" cm="1">
        <f t="array" ref="U494">MAX(IF((DiscreteStatsTable[GroupByKey]=DiscreteStatsTable[[#This Row],[GroupByKey]]),(DiscreteStatsTable[GroupByKey]=DiscreteStatsTable[[#This Row],[GroupByKey]])*DiscreteStatsTable[Maximum]))</f>
        <v>15.231041134973101</v>
      </c>
      <c r="V494" s="5" cm="1">
        <f t="array" ref="V494">IFERROR(AVERAGE(IF((DiscreteStatsTable[GroupByKey]=DiscreteStatsTable[[#This Row],[GroupByKey]]),(DiscreteStatsTable[GroupByKey]=DiscreteStatsTable[[#This Row],[GroupByKey]])*DiscreteStatsTable[NumberObservations])),0)</f>
        <v>122.26315789473684</v>
      </c>
      <c r="W494" s="5">
        <f>IF((DiscreteStatsTable[[#This Row],[RepsRequested]]&gt;1),DiscreteStatsTable[[#This Row],[HalfWidth]],DiscreteStatsTable[[#This Row],[BatchMeansHalfWidth]])</f>
        <v>0.33401806893870795</v>
      </c>
      <c r="X494" s="5" cm="1">
        <f t="array" ref="X494">COUNT(IF((DiscreteStatsTable[GroupByKey]=DiscreteStatsTable[[#This Row],[GroupByKey]]),(DiscreteStatsTable[GroupByKey]=DiscreteStatsTable[[#This Row],[GroupByKey]])*DiscreteStatsTable[Replication]))</f>
        <v>19</v>
      </c>
      <c r="Y494" s="5">
        <f>IF(DiscreteStatsTable[[#This Row],[RepsRequested]]=DiscreteStatsTable[[#This Row],[RepsWithStatObserved]],1,0)</f>
        <v>1</v>
      </c>
    </row>
    <row r="495" spans="1:25" x14ac:dyDescent="0.25">
      <c r="A495" t="s">
        <v>67</v>
      </c>
      <c r="B495" t="s">
        <v>69</v>
      </c>
      <c r="C495">
        <v>19</v>
      </c>
      <c r="D495" t="s">
        <v>104</v>
      </c>
      <c r="E495" t="s">
        <v>90</v>
      </c>
      <c r="F495" t="s">
        <v>91</v>
      </c>
      <c r="G495">
        <v>0.30649530649256601</v>
      </c>
      <c r="H495">
        <v>2E+20</v>
      </c>
      <c r="I495">
        <v>0</v>
      </c>
      <c r="J495">
        <v>3.5961114330544</v>
      </c>
      <c r="K495">
        <v>123</v>
      </c>
      <c r="L49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compartida)Preparacion.QueueWaiting TimeQueue</v>
      </c>
      <c r="M495" s="5" cm="1">
        <f t="array" ref="M495">MAX(IF((ProjectInfoTable[ProjectName]=DiscreteStatsTable[[#This Row],[ProjectName]]),(ProjectInfoTable[ProjectName]=DiscreteStatsTable[[#This Row],[ProjectName]])*ProjectInfoTable[NumberOfReplications]))</f>
        <v>19</v>
      </c>
      <c r="N495" s="5" cm="1">
        <f t="array" ref="N495">IFERROR(AVERAGE(IF((DiscreteStatsTable[GroupByKey]=DiscreteStatsTable[[#This Row],[GroupByKey]]),(DiscreteStatsTable[GroupByKey]=DiscreteStatsTable[[#This Row],[GroupByKey]])*DiscreteStatsTable[Average])),0)</f>
        <v>0.69352531674172502</v>
      </c>
      <c r="O495" s="5" cm="1">
        <f t="array" ref="O495">IFERROR(_xlfn.STDEV.S(IF((DiscreteStatsTable[GroupByKey]=DiscreteStatsTable[[#This Row],[GroupByKey]]),(DiscreteStatsTable[GroupByKey]=DiscreteStatsTable[[#This Row],[GroupByKey]])*DiscreteStatsTable[Average])),0)</f>
        <v>0.6930057279295283</v>
      </c>
      <c r="P495" s="5" cm="1">
        <f t="array" ref="P495">MAX(IF((ProjectInfoTable[ProjectName]=DiscreteStatsTable[[#This Row],[ProjectName]]),(ProjectInfoTable[ProjectName]=DiscreteStatsTable[[#This Row],[ProjectName]])*ProjectInfoTable[ConfidenceInterval]))</f>
        <v>0.95</v>
      </c>
      <c r="Q495" s="5">
        <f>IF(AND(DiscreteStatsTable[[#This Row],[RepsWithStatObserved]]=1,Y495=0),200000000000000000000,IFERROR(_xlfn.T.INV.2T(1 -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495" s="5" cm="1">
        <f t="array" ref="R495">MIN(IF((DiscreteStatsTable[GroupByKey]=DiscreteStatsTable[[#This Row],[GroupByKey]]),(DiscreteStatsTable[GroupByKey]=DiscreteStatsTable[[#This Row],[GroupByKey]])*DiscreteStatsTable[Average]))</f>
        <v>0.19675348802568801</v>
      </c>
      <c r="S495" s="5" cm="1">
        <f t="array" ref="S495">MAX(IF((DiscreteStatsTable[GroupByKey]=DiscreteStatsTable[[#This Row],[GroupByKey]]),(DiscreteStatsTable[GroupByKey]=DiscreteStatsTable[[#This Row],[GroupByKey]])*DiscreteStatsTable[Average]))</f>
        <v>3.2614571838962898</v>
      </c>
      <c r="T495" s="5" cm="1">
        <f t="array" ref="T495">MIN(IF((DiscreteStatsTable[GroupByKey]=DiscreteStatsTable[[#This Row],[GroupByKey]]),(DiscreteStatsTable[GroupByKey]=DiscreteStatsTable[[#This Row],[GroupByKey]])*DiscreteStatsTable[Minimum]))</f>
        <v>0</v>
      </c>
      <c r="U495" s="5" cm="1">
        <f t="array" ref="U495">MAX(IF((DiscreteStatsTable[GroupByKey]=DiscreteStatsTable[[#This Row],[GroupByKey]]),(DiscreteStatsTable[GroupByKey]=DiscreteStatsTable[[#This Row],[GroupByKey]])*DiscreteStatsTable[Maximum]))</f>
        <v>15.231041134973101</v>
      </c>
      <c r="V495" s="5" cm="1">
        <f t="array" ref="V495">IFERROR(AVERAGE(IF((DiscreteStatsTable[GroupByKey]=DiscreteStatsTable[[#This Row],[GroupByKey]]),(DiscreteStatsTable[GroupByKey]=DiscreteStatsTable[[#This Row],[GroupByKey]])*DiscreteStatsTable[NumberObservations])),0)</f>
        <v>122.26315789473684</v>
      </c>
      <c r="W495" s="5">
        <f>IF((DiscreteStatsTable[[#This Row],[RepsRequested]]&gt;1),DiscreteStatsTable[[#This Row],[HalfWidth]],DiscreteStatsTable[[#This Row],[BatchMeansHalfWidth]])</f>
        <v>0.33401806893870795</v>
      </c>
      <c r="X495" s="5" cm="1">
        <f t="array" ref="X495">COUNT(IF((DiscreteStatsTable[GroupByKey]=DiscreteStatsTable[[#This Row],[GroupByKey]]),(DiscreteStatsTable[GroupByKey]=DiscreteStatsTable[[#This Row],[GroupByKey]])*DiscreteStatsTable[Replication]))</f>
        <v>19</v>
      </c>
      <c r="Y495" s="5">
        <f>IF(DiscreteStatsTable[[#This Row],[RepsRequested]]=DiscreteStatsTable[[#This Row],[RepsWithStatObserved]],1,0)</f>
        <v>1</v>
      </c>
    </row>
    <row r="496" spans="1:25" x14ac:dyDescent="0.25">
      <c r="A496" t="s">
        <v>67</v>
      </c>
      <c r="B496" t="s">
        <v>69</v>
      </c>
      <c r="C496">
        <v>1</v>
      </c>
      <c r="D496" t="s">
        <v>100</v>
      </c>
      <c r="E496" t="s">
        <v>79</v>
      </c>
      <c r="F496" t="s">
        <v>80</v>
      </c>
      <c r="G496">
        <v>7.4627874217685699</v>
      </c>
      <c r="H496">
        <v>2E+20</v>
      </c>
      <c r="I496">
        <v>7.4627874217685699</v>
      </c>
      <c r="J496">
        <v>7.4627874217685699</v>
      </c>
      <c r="K496">
        <v>1</v>
      </c>
      <c r="L49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compartida)PrepPedidoH1ExpressionUser Specified</v>
      </c>
      <c r="M496" s="5" cm="1">
        <f t="array" ref="M496">MAX(IF((ProjectInfoTable[ProjectName]=DiscreteStatsTable[[#This Row],[ProjectName]]),(ProjectInfoTable[ProjectName]=DiscreteStatsTable[[#This Row],[ProjectName]])*ProjectInfoTable[NumberOfReplications]))</f>
        <v>19</v>
      </c>
      <c r="N496" s="5" cm="1">
        <f t="array" ref="N496">IFERROR(AVERAGE(IF((DiscreteStatsTable[GroupByKey]=DiscreteStatsTable[[#This Row],[GroupByKey]]),(DiscreteStatsTable[GroupByKey]=DiscreteStatsTable[[#This Row],[GroupByKey]])*DiscreteStatsTable[Average])),0)</f>
        <v>1.0173477957593224</v>
      </c>
      <c r="O496" s="5" cm="1">
        <f t="array" ref="O496">IFERROR(_xlfn.STDEV.S(IF((DiscreteStatsTable[GroupByKey]=DiscreteStatsTable[[#This Row],[GroupByKey]]),(DiscreteStatsTable[GroupByKey]=DiscreteStatsTable[[#This Row],[GroupByKey]])*DiscreteStatsTable[Average])),0)</f>
        <v>1.7460194515021608</v>
      </c>
      <c r="P496" s="5" cm="1">
        <f t="array" ref="P496">MAX(IF((ProjectInfoTable[ProjectName]=DiscreteStatsTable[[#This Row],[ProjectName]]),(ProjectInfoTable[ProjectName]=DiscreteStatsTable[[#This Row],[ProjectName]])*ProjectInfoTable[ConfidenceInterval]))</f>
        <v>0.95</v>
      </c>
      <c r="Q496" s="5">
        <f>IF(AND(DiscreteStatsTable[[#This Row],[RepsWithStatObserved]]=1,Y496=0),200000000000000000000,IFERROR(_xlfn.T.INV.2T(1 -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0.84155443745405745</v>
      </c>
      <c r="R496" s="5" cm="1">
        <f t="array" ref="R496">MIN(IF((DiscreteStatsTable[GroupByKey]=DiscreteStatsTable[[#This Row],[GroupByKey]]),(DiscreteStatsTable[GroupByKey]=DiscreteStatsTable[[#This Row],[GroupByKey]])*DiscreteStatsTable[Average]))</f>
        <v>8.3023219101837395E-2</v>
      </c>
      <c r="S496" s="5" cm="1">
        <f t="array" ref="S496">MAX(IF((DiscreteStatsTable[GroupByKey]=DiscreteStatsTable[[#This Row],[GroupByKey]]),(DiscreteStatsTable[GroupByKey]=DiscreteStatsTable[[#This Row],[GroupByKey]])*DiscreteStatsTable[Average]))</f>
        <v>7.4627874217685699</v>
      </c>
      <c r="T496" s="5" cm="1">
        <f t="array" ref="T496">MIN(IF((DiscreteStatsTable[GroupByKey]=DiscreteStatsTable[[#This Row],[GroupByKey]]),(DiscreteStatsTable[GroupByKey]=DiscreteStatsTable[[#This Row],[GroupByKey]])*DiscreteStatsTable[Minimum]))</f>
        <v>8.3023219101837395E-2</v>
      </c>
      <c r="U496" s="5" cm="1">
        <f t="array" ref="U496">MAX(IF((DiscreteStatsTable[GroupByKey]=DiscreteStatsTable[[#This Row],[GroupByKey]]),(DiscreteStatsTable[GroupByKey]=DiscreteStatsTable[[#This Row],[GroupByKey]])*DiscreteStatsTable[Maximum]))</f>
        <v>7.4627874217685699</v>
      </c>
      <c r="V496" s="5" cm="1">
        <f t="array" ref="V496">IFERROR(AVERAGE(IF((DiscreteStatsTable[GroupByKey]=DiscreteStatsTable[[#This Row],[GroupByKey]]),(DiscreteStatsTable[GroupByKey]=DiscreteStatsTable[[#This Row],[GroupByKey]])*DiscreteStatsTable[NumberObservations])),0)</f>
        <v>1</v>
      </c>
      <c r="W496" s="5">
        <f>IF((DiscreteStatsTable[[#This Row],[RepsRequested]]&gt;1),DiscreteStatsTable[[#This Row],[HalfWidth]],DiscreteStatsTable[[#This Row],[BatchMeansHalfWidth]])</f>
        <v>0.84155443745405745</v>
      </c>
      <c r="X496" s="5" cm="1">
        <f t="array" ref="X496">COUNT(IF((DiscreteStatsTable[GroupByKey]=DiscreteStatsTable[[#This Row],[GroupByKey]]),(DiscreteStatsTable[GroupByKey]=DiscreteStatsTable[[#This Row],[GroupByKey]])*DiscreteStatsTable[Replication]))</f>
        <v>19</v>
      </c>
      <c r="Y496" s="5">
        <f>IF(DiscreteStatsTable[[#This Row],[RepsRequested]]=DiscreteStatsTable[[#This Row],[RepsWithStatObserved]],1,0)</f>
        <v>1</v>
      </c>
    </row>
    <row r="497" spans="1:25" x14ac:dyDescent="0.25">
      <c r="A497" t="s">
        <v>67</v>
      </c>
      <c r="B497" t="s">
        <v>69</v>
      </c>
      <c r="C497">
        <v>2</v>
      </c>
      <c r="D497" t="s">
        <v>100</v>
      </c>
      <c r="E497" t="s">
        <v>79</v>
      </c>
      <c r="F497" t="s">
        <v>80</v>
      </c>
      <c r="G497">
        <v>0.19186920014616701</v>
      </c>
      <c r="H497">
        <v>2E+20</v>
      </c>
      <c r="I497">
        <v>0.19186920014616701</v>
      </c>
      <c r="J497">
        <v>0.19186920014616701</v>
      </c>
      <c r="K497">
        <v>1</v>
      </c>
      <c r="L49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compartida)PrepPedidoH1ExpressionUser Specified</v>
      </c>
      <c r="M497" s="5" cm="1">
        <f t="array" ref="M497">MAX(IF((ProjectInfoTable[ProjectName]=DiscreteStatsTable[[#This Row],[ProjectName]]),(ProjectInfoTable[ProjectName]=DiscreteStatsTable[[#This Row],[ProjectName]])*ProjectInfoTable[NumberOfReplications]))</f>
        <v>19</v>
      </c>
      <c r="N497" s="5" cm="1">
        <f t="array" ref="N497">IFERROR(AVERAGE(IF((DiscreteStatsTable[GroupByKey]=DiscreteStatsTable[[#This Row],[GroupByKey]]),(DiscreteStatsTable[GroupByKey]=DiscreteStatsTable[[#This Row],[GroupByKey]])*DiscreteStatsTable[Average])),0)</f>
        <v>1.0173477957593224</v>
      </c>
      <c r="O497" s="5" cm="1">
        <f t="array" ref="O497">IFERROR(_xlfn.STDEV.S(IF((DiscreteStatsTable[GroupByKey]=DiscreteStatsTable[[#This Row],[GroupByKey]]),(DiscreteStatsTable[GroupByKey]=DiscreteStatsTable[[#This Row],[GroupByKey]])*DiscreteStatsTable[Average])),0)</f>
        <v>1.7460194515021608</v>
      </c>
      <c r="P497" s="5" cm="1">
        <f t="array" ref="P497">MAX(IF((ProjectInfoTable[ProjectName]=DiscreteStatsTable[[#This Row],[ProjectName]]),(ProjectInfoTable[ProjectName]=DiscreteStatsTable[[#This Row],[ProjectName]])*ProjectInfoTable[ConfidenceInterval]))</f>
        <v>0.95</v>
      </c>
      <c r="Q497" s="5">
        <f>IF(AND(DiscreteStatsTable[[#This Row],[RepsWithStatObserved]]=1,Y497=0),200000000000000000000,IFERROR(_xlfn.T.INV.2T(1 -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0.84155443745405745</v>
      </c>
      <c r="R497" s="5" cm="1">
        <f t="array" ref="R497">MIN(IF((DiscreteStatsTable[GroupByKey]=DiscreteStatsTable[[#This Row],[GroupByKey]]),(DiscreteStatsTable[GroupByKey]=DiscreteStatsTable[[#This Row],[GroupByKey]])*DiscreteStatsTable[Average]))</f>
        <v>8.3023219101837395E-2</v>
      </c>
      <c r="S497" s="5" cm="1">
        <f t="array" ref="S497">MAX(IF((DiscreteStatsTable[GroupByKey]=DiscreteStatsTable[[#This Row],[GroupByKey]]),(DiscreteStatsTable[GroupByKey]=DiscreteStatsTable[[#This Row],[GroupByKey]])*DiscreteStatsTable[Average]))</f>
        <v>7.4627874217685699</v>
      </c>
      <c r="T497" s="5" cm="1">
        <f t="array" ref="T497">MIN(IF((DiscreteStatsTable[GroupByKey]=DiscreteStatsTable[[#This Row],[GroupByKey]]),(DiscreteStatsTable[GroupByKey]=DiscreteStatsTable[[#This Row],[GroupByKey]])*DiscreteStatsTable[Minimum]))</f>
        <v>8.3023219101837395E-2</v>
      </c>
      <c r="U497" s="5" cm="1">
        <f t="array" ref="U497">MAX(IF((DiscreteStatsTable[GroupByKey]=DiscreteStatsTable[[#This Row],[GroupByKey]]),(DiscreteStatsTable[GroupByKey]=DiscreteStatsTable[[#This Row],[GroupByKey]])*DiscreteStatsTable[Maximum]))</f>
        <v>7.4627874217685699</v>
      </c>
      <c r="V497" s="5" cm="1">
        <f t="array" ref="V497">IFERROR(AVERAGE(IF((DiscreteStatsTable[GroupByKey]=DiscreteStatsTable[[#This Row],[GroupByKey]]),(DiscreteStatsTable[GroupByKey]=DiscreteStatsTable[[#This Row],[GroupByKey]])*DiscreteStatsTable[NumberObservations])),0)</f>
        <v>1</v>
      </c>
      <c r="W497" s="5">
        <f>IF((DiscreteStatsTable[[#This Row],[RepsRequested]]&gt;1),DiscreteStatsTable[[#This Row],[HalfWidth]],DiscreteStatsTable[[#This Row],[BatchMeansHalfWidth]])</f>
        <v>0.84155443745405745</v>
      </c>
      <c r="X497" s="5" cm="1">
        <f t="array" ref="X497">COUNT(IF((DiscreteStatsTable[GroupByKey]=DiscreteStatsTable[[#This Row],[GroupByKey]]),(DiscreteStatsTable[GroupByKey]=DiscreteStatsTable[[#This Row],[GroupByKey]])*DiscreteStatsTable[Replication]))</f>
        <v>19</v>
      </c>
      <c r="Y497" s="5">
        <f>IF(DiscreteStatsTable[[#This Row],[RepsRequested]]=DiscreteStatsTable[[#This Row],[RepsWithStatObserved]],1,0)</f>
        <v>1</v>
      </c>
    </row>
    <row r="498" spans="1:25" x14ac:dyDescent="0.25">
      <c r="A498" t="s">
        <v>67</v>
      </c>
      <c r="B498" t="s">
        <v>69</v>
      </c>
      <c r="C498">
        <v>3</v>
      </c>
      <c r="D498" t="s">
        <v>100</v>
      </c>
      <c r="E498" t="s">
        <v>79</v>
      </c>
      <c r="F498" t="s">
        <v>80</v>
      </c>
      <c r="G498">
        <v>3.4581341000230799</v>
      </c>
      <c r="H498">
        <v>2E+20</v>
      </c>
      <c r="I498">
        <v>3.4581341000230799</v>
      </c>
      <c r="J498">
        <v>3.4581341000230799</v>
      </c>
      <c r="K498">
        <v>1</v>
      </c>
      <c r="L49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compartida)PrepPedidoH1ExpressionUser Specified</v>
      </c>
      <c r="M498" s="5" cm="1">
        <f t="array" ref="M498">MAX(IF((ProjectInfoTable[ProjectName]=DiscreteStatsTable[[#This Row],[ProjectName]]),(ProjectInfoTable[ProjectName]=DiscreteStatsTable[[#This Row],[ProjectName]])*ProjectInfoTable[NumberOfReplications]))</f>
        <v>19</v>
      </c>
      <c r="N498" s="5" cm="1">
        <f t="array" ref="N498">IFERROR(AVERAGE(IF((DiscreteStatsTable[GroupByKey]=DiscreteStatsTable[[#This Row],[GroupByKey]]),(DiscreteStatsTable[GroupByKey]=DiscreteStatsTable[[#This Row],[GroupByKey]])*DiscreteStatsTable[Average])),0)</f>
        <v>1.0173477957593224</v>
      </c>
      <c r="O498" s="5" cm="1">
        <f t="array" ref="O498">IFERROR(_xlfn.STDEV.S(IF((DiscreteStatsTable[GroupByKey]=DiscreteStatsTable[[#This Row],[GroupByKey]]),(DiscreteStatsTable[GroupByKey]=DiscreteStatsTable[[#This Row],[GroupByKey]])*DiscreteStatsTable[Average])),0)</f>
        <v>1.7460194515021608</v>
      </c>
      <c r="P498" s="5" cm="1">
        <f t="array" ref="P498">MAX(IF((ProjectInfoTable[ProjectName]=DiscreteStatsTable[[#This Row],[ProjectName]]),(ProjectInfoTable[ProjectName]=DiscreteStatsTable[[#This Row],[ProjectName]])*ProjectInfoTable[ConfidenceInterval]))</f>
        <v>0.95</v>
      </c>
      <c r="Q498" s="5">
        <f>IF(AND(DiscreteStatsTable[[#This Row],[RepsWithStatObserved]]=1,Y498=0),200000000000000000000,IFERROR(_xlfn.T.INV.2T(1 -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0.84155443745405745</v>
      </c>
      <c r="R498" s="5" cm="1">
        <f t="array" ref="R498">MIN(IF((DiscreteStatsTable[GroupByKey]=DiscreteStatsTable[[#This Row],[GroupByKey]]),(DiscreteStatsTable[GroupByKey]=DiscreteStatsTable[[#This Row],[GroupByKey]])*DiscreteStatsTable[Average]))</f>
        <v>8.3023219101837395E-2</v>
      </c>
      <c r="S498" s="5" cm="1">
        <f t="array" ref="S498">MAX(IF((DiscreteStatsTable[GroupByKey]=DiscreteStatsTable[[#This Row],[GroupByKey]]),(DiscreteStatsTable[GroupByKey]=DiscreteStatsTable[[#This Row],[GroupByKey]])*DiscreteStatsTable[Average]))</f>
        <v>7.4627874217685699</v>
      </c>
      <c r="T498" s="5" cm="1">
        <f t="array" ref="T498">MIN(IF((DiscreteStatsTable[GroupByKey]=DiscreteStatsTable[[#This Row],[GroupByKey]]),(DiscreteStatsTable[GroupByKey]=DiscreteStatsTable[[#This Row],[GroupByKey]])*DiscreteStatsTable[Minimum]))</f>
        <v>8.3023219101837395E-2</v>
      </c>
      <c r="U498" s="5" cm="1">
        <f t="array" ref="U498">MAX(IF((DiscreteStatsTable[GroupByKey]=DiscreteStatsTable[[#This Row],[GroupByKey]]),(DiscreteStatsTable[GroupByKey]=DiscreteStatsTable[[#This Row],[GroupByKey]])*DiscreteStatsTable[Maximum]))</f>
        <v>7.4627874217685699</v>
      </c>
      <c r="V498" s="5" cm="1">
        <f t="array" ref="V498">IFERROR(AVERAGE(IF((DiscreteStatsTable[GroupByKey]=DiscreteStatsTable[[#This Row],[GroupByKey]]),(DiscreteStatsTable[GroupByKey]=DiscreteStatsTable[[#This Row],[GroupByKey]])*DiscreteStatsTable[NumberObservations])),0)</f>
        <v>1</v>
      </c>
      <c r="W498" s="5">
        <f>IF((DiscreteStatsTable[[#This Row],[RepsRequested]]&gt;1),DiscreteStatsTable[[#This Row],[HalfWidth]],DiscreteStatsTable[[#This Row],[BatchMeansHalfWidth]])</f>
        <v>0.84155443745405745</v>
      </c>
      <c r="X498" s="5" cm="1">
        <f t="array" ref="X498">COUNT(IF((DiscreteStatsTable[GroupByKey]=DiscreteStatsTable[[#This Row],[GroupByKey]]),(DiscreteStatsTable[GroupByKey]=DiscreteStatsTable[[#This Row],[GroupByKey]])*DiscreteStatsTable[Replication]))</f>
        <v>19</v>
      </c>
      <c r="Y498" s="5">
        <f>IF(DiscreteStatsTable[[#This Row],[RepsRequested]]=DiscreteStatsTable[[#This Row],[RepsWithStatObserved]],1,0)</f>
        <v>1</v>
      </c>
    </row>
    <row r="499" spans="1:25" x14ac:dyDescent="0.25">
      <c r="A499" t="s">
        <v>67</v>
      </c>
      <c r="B499" t="s">
        <v>69</v>
      </c>
      <c r="C499">
        <v>4</v>
      </c>
      <c r="D499" t="s">
        <v>100</v>
      </c>
      <c r="E499" t="s">
        <v>79</v>
      </c>
      <c r="F499" t="s">
        <v>80</v>
      </c>
      <c r="G499">
        <v>0.26337849433863603</v>
      </c>
      <c r="H499">
        <v>2E+20</v>
      </c>
      <c r="I499">
        <v>0.26337849433863603</v>
      </c>
      <c r="J499">
        <v>0.26337849433863603</v>
      </c>
      <c r="K499">
        <v>1</v>
      </c>
      <c r="L49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compartida)PrepPedidoH1ExpressionUser Specified</v>
      </c>
      <c r="M499" s="5" cm="1">
        <f t="array" ref="M499">MAX(IF((ProjectInfoTable[ProjectName]=DiscreteStatsTable[[#This Row],[ProjectName]]),(ProjectInfoTable[ProjectName]=DiscreteStatsTable[[#This Row],[ProjectName]])*ProjectInfoTable[NumberOfReplications]))</f>
        <v>19</v>
      </c>
      <c r="N499" s="5" cm="1">
        <f t="array" ref="N499">IFERROR(AVERAGE(IF((DiscreteStatsTable[GroupByKey]=DiscreteStatsTable[[#This Row],[GroupByKey]]),(DiscreteStatsTable[GroupByKey]=DiscreteStatsTable[[#This Row],[GroupByKey]])*DiscreteStatsTable[Average])),0)</f>
        <v>1.0173477957593224</v>
      </c>
      <c r="O499" s="5" cm="1">
        <f t="array" ref="O499">IFERROR(_xlfn.STDEV.S(IF((DiscreteStatsTable[GroupByKey]=DiscreteStatsTable[[#This Row],[GroupByKey]]),(DiscreteStatsTable[GroupByKey]=DiscreteStatsTable[[#This Row],[GroupByKey]])*DiscreteStatsTable[Average])),0)</f>
        <v>1.7460194515021608</v>
      </c>
      <c r="P499" s="5" cm="1">
        <f t="array" ref="P499">MAX(IF((ProjectInfoTable[ProjectName]=DiscreteStatsTable[[#This Row],[ProjectName]]),(ProjectInfoTable[ProjectName]=DiscreteStatsTable[[#This Row],[ProjectName]])*ProjectInfoTable[ConfidenceInterval]))</f>
        <v>0.95</v>
      </c>
      <c r="Q499" s="5">
        <f>IF(AND(DiscreteStatsTable[[#This Row],[RepsWithStatObserved]]=1,Y499=0),200000000000000000000,IFERROR(_xlfn.T.INV.2T(1 -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0.84155443745405745</v>
      </c>
      <c r="R499" s="5" cm="1">
        <f t="array" ref="R499">MIN(IF((DiscreteStatsTable[GroupByKey]=DiscreteStatsTable[[#This Row],[GroupByKey]]),(DiscreteStatsTable[GroupByKey]=DiscreteStatsTable[[#This Row],[GroupByKey]])*DiscreteStatsTable[Average]))</f>
        <v>8.3023219101837395E-2</v>
      </c>
      <c r="S499" s="5" cm="1">
        <f t="array" ref="S499">MAX(IF((DiscreteStatsTable[GroupByKey]=DiscreteStatsTable[[#This Row],[GroupByKey]]),(DiscreteStatsTable[GroupByKey]=DiscreteStatsTable[[#This Row],[GroupByKey]])*DiscreteStatsTable[Average]))</f>
        <v>7.4627874217685699</v>
      </c>
      <c r="T499" s="5" cm="1">
        <f t="array" ref="T499">MIN(IF((DiscreteStatsTable[GroupByKey]=DiscreteStatsTable[[#This Row],[GroupByKey]]),(DiscreteStatsTable[GroupByKey]=DiscreteStatsTable[[#This Row],[GroupByKey]])*DiscreteStatsTable[Minimum]))</f>
        <v>8.3023219101837395E-2</v>
      </c>
      <c r="U499" s="5" cm="1">
        <f t="array" ref="U499">MAX(IF((DiscreteStatsTable[GroupByKey]=DiscreteStatsTable[[#This Row],[GroupByKey]]),(DiscreteStatsTable[GroupByKey]=DiscreteStatsTable[[#This Row],[GroupByKey]])*DiscreteStatsTable[Maximum]))</f>
        <v>7.4627874217685699</v>
      </c>
      <c r="V499" s="5" cm="1">
        <f t="array" ref="V499">IFERROR(AVERAGE(IF((DiscreteStatsTable[GroupByKey]=DiscreteStatsTable[[#This Row],[GroupByKey]]),(DiscreteStatsTable[GroupByKey]=DiscreteStatsTable[[#This Row],[GroupByKey]])*DiscreteStatsTable[NumberObservations])),0)</f>
        <v>1</v>
      </c>
      <c r="W499" s="5">
        <f>IF((DiscreteStatsTable[[#This Row],[RepsRequested]]&gt;1),DiscreteStatsTable[[#This Row],[HalfWidth]],DiscreteStatsTable[[#This Row],[BatchMeansHalfWidth]])</f>
        <v>0.84155443745405745</v>
      </c>
      <c r="X499" s="5" cm="1">
        <f t="array" ref="X499">COUNT(IF((DiscreteStatsTable[GroupByKey]=DiscreteStatsTable[[#This Row],[GroupByKey]]),(DiscreteStatsTable[GroupByKey]=DiscreteStatsTable[[#This Row],[GroupByKey]])*DiscreteStatsTable[Replication]))</f>
        <v>19</v>
      </c>
      <c r="Y499" s="5">
        <f>IF(DiscreteStatsTable[[#This Row],[RepsRequested]]=DiscreteStatsTable[[#This Row],[RepsWithStatObserved]],1,0)</f>
        <v>1</v>
      </c>
    </row>
    <row r="500" spans="1:25" x14ac:dyDescent="0.25">
      <c r="A500" t="s">
        <v>67</v>
      </c>
      <c r="B500" t="s">
        <v>69</v>
      </c>
      <c r="C500">
        <v>5</v>
      </c>
      <c r="D500" t="s">
        <v>100</v>
      </c>
      <c r="E500" t="s">
        <v>79</v>
      </c>
      <c r="F500" t="s">
        <v>80</v>
      </c>
      <c r="G500">
        <v>0.348099332573652</v>
      </c>
      <c r="H500">
        <v>2E+20</v>
      </c>
      <c r="I500">
        <v>0.348099332573652</v>
      </c>
      <c r="J500">
        <v>0.348099332573652</v>
      </c>
      <c r="K500">
        <v>1</v>
      </c>
      <c r="L50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compartida)PrepPedidoH1ExpressionUser Specified</v>
      </c>
      <c r="M500" s="5" cm="1">
        <f t="array" ref="M500">MAX(IF((ProjectInfoTable[ProjectName]=DiscreteStatsTable[[#This Row],[ProjectName]]),(ProjectInfoTable[ProjectName]=DiscreteStatsTable[[#This Row],[ProjectName]])*ProjectInfoTable[NumberOfReplications]))</f>
        <v>19</v>
      </c>
      <c r="N500" s="5" cm="1">
        <f t="array" ref="N500">IFERROR(AVERAGE(IF((DiscreteStatsTable[GroupByKey]=DiscreteStatsTable[[#This Row],[GroupByKey]]),(DiscreteStatsTable[GroupByKey]=DiscreteStatsTable[[#This Row],[GroupByKey]])*DiscreteStatsTable[Average])),0)</f>
        <v>1.0173477957593224</v>
      </c>
      <c r="O500" s="5" cm="1">
        <f t="array" ref="O500">IFERROR(_xlfn.STDEV.S(IF((DiscreteStatsTable[GroupByKey]=DiscreteStatsTable[[#This Row],[GroupByKey]]),(DiscreteStatsTable[GroupByKey]=DiscreteStatsTable[[#This Row],[GroupByKey]])*DiscreteStatsTable[Average])),0)</f>
        <v>1.7460194515021608</v>
      </c>
      <c r="P500" s="5" cm="1">
        <f t="array" ref="P500">MAX(IF((ProjectInfoTable[ProjectName]=DiscreteStatsTable[[#This Row],[ProjectName]]),(ProjectInfoTable[ProjectName]=DiscreteStatsTable[[#This Row],[ProjectName]])*ProjectInfoTable[ConfidenceInterval]))</f>
        <v>0.95</v>
      </c>
      <c r="Q500" s="5">
        <f>IF(AND(DiscreteStatsTable[[#This Row],[RepsWithStatObserved]]=1,Y500=0),200000000000000000000,IFERROR(_xlfn.T.INV.2T(1 -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0.84155443745405745</v>
      </c>
      <c r="R500" s="5" cm="1">
        <f t="array" ref="R500">MIN(IF((DiscreteStatsTable[GroupByKey]=DiscreteStatsTable[[#This Row],[GroupByKey]]),(DiscreteStatsTable[GroupByKey]=DiscreteStatsTable[[#This Row],[GroupByKey]])*DiscreteStatsTable[Average]))</f>
        <v>8.3023219101837395E-2</v>
      </c>
      <c r="S500" s="5" cm="1">
        <f t="array" ref="S500">MAX(IF((DiscreteStatsTable[GroupByKey]=DiscreteStatsTable[[#This Row],[GroupByKey]]),(DiscreteStatsTable[GroupByKey]=DiscreteStatsTable[[#This Row],[GroupByKey]])*DiscreteStatsTable[Average]))</f>
        <v>7.4627874217685699</v>
      </c>
      <c r="T500" s="5" cm="1">
        <f t="array" ref="T500">MIN(IF((DiscreteStatsTable[GroupByKey]=DiscreteStatsTable[[#This Row],[GroupByKey]]),(DiscreteStatsTable[GroupByKey]=DiscreteStatsTable[[#This Row],[GroupByKey]])*DiscreteStatsTable[Minimum]))</f>
        <v>8.3023219101837395E-2</v>
      </c>
      <c r="U500" s="5" cm="1">
        <f t="array" ref="U500">MAX(IF((DiscreteStatsTable[GroupByKey]=DiscreteStatsTable[[#This Row],[GroupByKey]]),(DiscreteStatsTable[GroupByKey]=DiscreteStatsTable[[#This Row],[GroupByKey]])*DiscreteStatsTable[Maximum]))</f>
        <v>7.4627874217685699</v>
      </c>
      <c r="V500" s="5" cm="1">
        <f t="array" ref="V500">IFERROR(AVERAGE(IF((DiscreteStatsTable[GroupByKey]=DiscreteStatsTable[[#This Row],[GroupByKey]]),(DiscreteStatsTable[GroupByKey]=DiscreteStatsTable[[#This Row],[GroupByKey]])*DiscreteStatsTable[NumberObservations])),0)</f>
        <v>1</v>
      </c>
      <c r="W500" s="5">
        <f>IF((DiscreteStatsTable[[#This Row],[RepsRequested]]&gt;1),DiscreteStatsTable[[#This Row],[HalfWidth]],DiscreteStatsTable[[#This Row],[BatchMeansHalfWidth]])</f>
        <v>0.84155443745405745</v>
      </c>
      <c r="X500" s="5" cm="1">
        <f t="array" ref="X500">COUNT(IF((DiscreteStatsTable[GroupByKey]=DiscreteStatsTable[[#This Row],[GroupByKey]]),(DiscreteStatsTable[GroupByKey]=DiscreteStatsTable[[#This Row],[GroupByKey]])*DiscreteStatsTable[Replication]))</f>
        <v>19</v>
      </c>
      <c r="Y500" s="5">
        <f>IF(DiscreteStatsTable[[#This Row],[RepsRequested]]=DiscreteStatsTable[[#This Row],[RepsWithStatObserved]],1,0)</f>
        <v>1</v>
      </c>
    </row>
    <row r="501" spans="1:25" x14ac:dyDescent="0.25">
      <c r="A501" t="s">
        <v>67</v>
      </c>
      <c r="B501" t="s">
        <v>69</v>
      </c>
      <c r="C501">
        <v>6</v>
      </c>
      <c r="D501" t="s">
        <v>100</v>
      </c>
      <c r="E501" t="s">
        <v>79</v>
      </c>
      <c r="F501" t="s">
        <v>80</v>
      </c>
      <c r="G501">
        <v>0.32525424892717397</v>
      </c>
      <c r="H501">
        <v>2E+20</v>
      </c>
      <c r="I501">
        <v>0.32525424892717397</v>
      </c>
      <c r="J501">
        <v>0.32525424892717397</v>
      </c>
      <c r="K501">
        <v>1</v>
      </c>
      <c r="L50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compartida)PrepPedidoH1ExpressionUser Specified</v>
      </c>
      <c r="M501" s="5" cm="1">
        <f t="array" ref="M501">MAX(IF((ProjectInfoTable[ProjectName]=DiscreteStatsTable[[#This Row],[ProjectName]]),(ProjectInfoTable[ProjectName]=DiscreteStatsTable[[#This Row],[ProjectName]])*ProjectInfoTable[NumberOfReplications]))</f>
        <v>19</v>
      </c>
      <c r="N501" s="5" cm="1">
        <f t="array" ref="N501">IFERROR(AVERAGE(IF((DiscreteStatsTable[GroupByKey]=DiscreteStatsTable[[#This Row],[GroupByKey]]),(DiscreteStatsTable[GroupByKey]=DiscreteStatsTable[[#This Row],[GroupByKey]])*DiscreteStatsTable[Average])),0)</f>
        <v>1.0173477957593224</v>
      </c>
      <c r="O501" s="5" cm="1">
        <f t="array" ref="O501">IFERROR(_xlfn.STDEV.S(IF((DiscreteStatsTable[GroupByKey]=DiscreteStatsTable[[#This Row],[GroupByKey]]),(DiscreteStatsTable[GroupByKey]=DiscreteStatsTable[[#This Row],[GroupByKey]])*DiscreteStatsTable[Average])),0)</f>
        <v>1.7460194515021608</v>
      </c>
      <c r="P501" s="5" cm="1">
        <f t="array" ref="P501">MAX(IF((ProjectInfoTable[ProjectName]=DiscreteStatsTable[[#This Row],[ProjectName]]),(ProjectInfoTable[ProjectName]=DiscreteStatsTable[[#This Row],[ProjectName]])*ProjectInfoTable[ConfidenceInterval]))</f>
        <v>0.95</v>
      </c>
      <c r="Q501" s="5">
        <f>IF(AND(DiscreteStatsTable[[#This Row],[RepsWithStatObserved]]=1,Y501=0),200000000000000000000,IFERROR(_xlfn.T.INV.2T(1 -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0.84155443745405745</v>
      </c>
      <c r="R501" s="5" cm="1">
        <f t="array" ref="R501">MIN(IF((DiscreteStatsTable[GroupByKey]=DiscreteStatsTable[[#This Row],[GroupByKey]]),(DiscreteStatsTable[GroupByKey]=DiscreteStatsTable[[#This Row],[GroupByKey]])*DiscreteStatsTable[Average]))</f>
        <v>8.3023219101837395E-2</v>
      </c>
      <c r="S501" s="5" cm="1">
        <f t="array" ref="S501">MAX(IF((DiscreteStatsTable[GroupByKey]=DiscreteStatsTable[[#This Row],[GroupByKey]]),(DiscreteStatsTable[GroupByKey]=DiscreteStatsTable[[#This Row],[GroupByKey]])*DiscreteStatsTable[Average]))</f>
        <v>7.4627874217685699</v>
      </c>
      <c r="T501" s="5" cm="1">
        <f t="array" ref="T501">MIN(IF((DiscreteStatsTable[GroupByKey]=DiscreteStatsTable[[#This Row],[GroupByKey]]),(DiscreteStatsTable[GroupByKey]=DiscreteStatsTable[[#This Row],[GroupByKey]])*DiscreteStatsTable[Minimum]))</f>
        <v>8.3023219101837395E-2</v>
      </c>
      <c r="U501" s="5" cm="1">
        <f t="array" ref="U501">MAX(IF((DiscreteStatsTable[GroupByKey]=DiscreteStatsTable[[#This Row],[GroupByKey]]),(DiscreteStatsTable[GroupByKey]=DiscreteStatsTable[[#This Row],[GroupByKey]])*DiscreteStatsTable[Maximum]))</f>
        <v>7.4627874217685699</v>
      </c>
      <c r="V501" s="5" cm="1">
        <f t="array" ref="V501">IFERROR(AVERAGE(IF((DiscreteStatsTable[GroupByKey]=DiscreteStatsTable[[#This Row],[GroupByKey]]),(DiscreteStatsTable[GroupByKey]=DiscreteStatsTable[[#This Row],[GroupByKey]])*DiscreteStatsTable[NumberObservations])),0)</f>
        <v>1</v>
      </c>
      <c r="W501" s="5">
        <f>IF((DiscreteStatsTable[[#This Row],[RepsRequested]]&gt;1),DiscreteStatsTable[[#This Row],[HalfWidth]],DiscreteStatsTable[[#This Row],[BatchMeansHalfWidth]])</f>
        <v>0.84155443745405745</v>
      </c>
      <c r="X501" s="5" cm="1">
        <f t="array" ref="X501">COUNT(IF((DiscreteStatsTable[GroupByKey]=DiscreteStatsTable[[#This Row],[GroupByKey]]),(DiscreteStatsTable[GroupByKey]=DiscreteStatsTable[[#This Row],[GroupByKey]])*DiscreteStatsTable[Replication]))</f>
        <v>19</v>
      </c>
      <c r="Y501" s="5">
        <f>IF(DiscreteStatsTable[[#This Row],[RepsRequested]]=DiscreteStatsTable[[#This Row],[RepsWithStatObserved]],1,0)</f>
        <v>1</v>
      </c>
    </row>
    <row r="502" spans="1:25" x14ac:dyDescent="0.25">
      <c r="A502" t="s">
        <v>67</v>
      </c>
      <c r="B502" t="s">
        <v>69</v>
      </c>
      <c r="C502">
        <v>7</v>
      </c>
      <c r="D502" t="s">
        <v>100</v>
      </c>
      <c r="E502" t="s">
        <v>79</v>
      </c>
      <c r="F502" t="s">
        <v>80</v>
      </c>
      <c r="G502">
        <v>0.24032472202613001</v>
      </c>
      <c r="H502">
        <v>2E+20</v>
      </c>
      <c r="I502">
        <v>0.24032472202613001</v>
      </c>
      <c r="J502">
        <v>0.24032472202613001</v>
      </c>
      <c r="K502">
        <v>1</v>
      </c>
      <c r="L50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compartida)PrepPedidoH1ExpressionUser Specified</v>
      </c>
      <c r="M502" s="5" cm="1">
        <f t="array" ref="M502">MAX(IF((ProjectInfoTable[ProjectName]=DiscreteStatsTable[[#This Row],[ProjectName]]),(ProjectInfoTable[ProjectName]=DiscreteStatsTable[[#This Row],[ProjectName]])*ProjectInfoTable[NumberOfReplications]))</f>
        <v>19</v>
      </c>
      <c r="N502" s="5" cm="1">
        <f t="array" ref="N502">IFERROR(AVERAGE(IF((DiscreteStatsTable[GroupByKey]=DiscreteStatsTable[[#This Row],[GroupByKey]]),(DiscreteStatsTable[GroupByKey]=DiscreteStatsTable[[#This Row],[GroupByKey]])*DiscreteStatsTable[Average])),0)</f>
        <v>1.0173477957593224</v>
      </c>
      <c r="O502" s="5" cm="1">
        <f t="array" ref="O502">IFERROR(_xlfn.STDEV.S(IF((DiscreteStatsTable[GroupByKey]=DiscreteStatsTable[[#This Row],[GroupByKey]]),(DiscreteStatsTable[GroupByKey]=DiscreteStatsTable[[#This Row],[GroupByKey]])*DiscreteStatsTable[Average])),0)</f>
        <v>1.7460194515021608</v>
      </c>
      <c r="P502" s="5" cm="1">
        <f t="array" ref="P502">MAX(IF((ProjectInfoTable[ProjectName]=DiscreteStatsTable[[#This Row],[ProjectName]]),(ProjectInfoTable[ProjectName]=DiscreteStatsTable[[#This Row],[ProjectName]])*ProjectInfoTable[ConfidenceInterval]))</f>
        <v>0.95</v>
      </c>
      <c r="Q502" s="5">
        <f>IF(AND(DiscreteStatsTable[[#This Row],[RepsWithStatObserved]]=1,Y502=0),200000000000000000000,IFERROR(_xlfn.T.INV.2T(1 -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0.84155443745405745</v>
      </c>
      <c r="R502" s="5" cm="1">
        <f t="array" ref="R502">MIN(IF((DiscreteStatsTable[GroupByKey]=DiscreteStatsTable[[#This Row],[GroupByKey]]),(DiscreteStatsTable[GroupByKey]=DiscreteStatsTable[[#This Row],[GroupByKey]])*DiscreteStatsTable[Average]))</f>
        <v>8.3023219101837395E-2</v>
      </c>
      <c r="S502" s="5" cm="1">
        <f t="array" ref="S502">MAX(IF((DiscreteStatsTable[GroupByKey]=DiscreteStatsTable[[#This Row],[GroupByKey]]),(DiscreteStatsTable[GroupByKey]=DiscreteStatsTable[[#This Row],[GroupByKey]])*DiscreteStatsTable[Average]))</f>
        <v>7.4627874217685699</v>
      </c>
      <c r="T502" s="5" cm="1">
        <f t="array" ref="T502">MIN(IF((DiscreteStatsTable[GroupByKey]=DiscreteStatsTable[[#This Row],[GroupByKey]]),(DiscreteStatsTable[GroupByKey]=DiscreteStatsTable[[#This Row],[GroupByKey]])*DiscreteStatsTable[Minimum]))</f>
        <v>8.3023219101837395E-2</v>
      </c>
      <c r="U502" s="5" cm="1">
        <f t="array" ref="U502">MAX(IF((DiscreteStatsTable[GroupByKey]=DiscreteStatsTable[[#This Row],[GroupByKey]]),(DiscreteStatsTable[GroupByKey]=DiscreteStatsTable[[#This Row],[GroupByKey]])*DiscreteStatsTable[Maximum]))</f>
        <v>7.4627874217685699</v>
      </c>
      <c r="V502" s="5" cm="1">
        <f t="array" ref="V502">IFERROR(AVERAGE(IF((DiscreteStatsTable[GroupByKey]=DiscreteStatsTable[[#This Row],[GroupByKey]]),(DiscreteStatsTable[GroupByKey]=DiscreteStatsTable[[#This Row],[GroupByKey]])*DiscreteStatsTable[NumberObservations])),0)</f>
        <v>1</v>
      </c>
      <c r="W502" s="5">
        <f>IF((DiscreteStatsTable[[#This Row],[RepsRequested]]&gt;1),DiscreteStatsTable[[#This Row],[HalfWidth]],DiscreteStatsTable[[#This Row],[BatchMeansHalfWidth]])</f>
        <v>0.84155443745405745</v>
      </c>
      <c r="X502" s="5" cm="1">
        <f t="array" ref="X502">COUNT(IF((DiscreteStatsTable[GroupByKey]=DiscreteStatsTable[[#This Row],[GroupByKey]]),(DiscreteStatsTable[GroupByKey]=DiscreteStatsTable[[#This Row],[GroupByKey]])*DiscreteStatsTable[Replication]))</f>
        <v>19</v>
      </c>
      <c r="Y502" s="5">
        <f>IF(DiscreteStatsTable[[#This Row],[RepsRequested]]=DiscreteStatsTable[[#This Row],[RepsWithStatObserved]],1,0)</f>
        <v>1</v>
      </c>
    </row>
    <row r="503" spans="1:25" x14ac:dyDescent="0.25">
      <c r="A503" t="s">
        <v>67</v>
      </c>
      <c r="B503" t="s">
        <v>69</v>
      </c>
      <c r="C503">
        <v>8</v>
      </c>
      <c r="D503" t="s">
        <v>100</v>
      </c>
      <c r="E503" t="s">
        <v>79</v>
      </c>
      <c r="F503" t="s">
        <v>80</v>
      </c>
      <c r="G503">
        <v>0.84223477345631304</v>
      </c>
      <c r="H503">
        <v>2E+20</v>
      </c>
      <c r="I503">
        <v>0.84223477345631304</v>
      </c>
      <c r="J503">
        <v>0.84223477345631304</v>
      </c>
      <c r="K503">
        <v>1</v>
      </c>
      <c r="L50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compartida)PrepPedidoH1ExpressionUser Specified</v>
      </c>
      <c r="M503" s="5" cm="1">
        <f t="array" ref="M503">MAX(IF((ProjectInfoTable[ProjectName]=DiscreteStatsTable[[#This Row],[ProjectName]]),(ProjectInfoTable[ProjectName]=DiscreteStatsTable[[#This Row],[ProjectName]])*ProjectInfoTable[NumberOfReplications]))</f>
        <v>19</v>
      </c>
      <c r="N503" s="5" cm="1">
        <f t="array" ref="N503">IFERROR(AVERAGE(IF((DiscreteStatsTable[GroupByKey]=DiscreteStatsTable[[#This Row],[GroupByKey]]),(DiscreteStatsTable[GroupByKey]=DiscreteStatsTable[[#This Row],[GroupByKey]])*DiscreteStatsTable[Average])),0)</f>
        <v>1.0173477957593224</v>
      </c>
      <c r="O503" s="5" cm="1">
        <f t="array" ref="O503">IFERROR(_xlfn.STDEV.S(IF((DiscreteStatsTable[GroupByKey]=DiscreteStatsTable[[#This Row],[GroupByKey]]),(DiscreteStatsTable[GroupByKey]=DiscreteStatsTable[[#This Row],[GroupByKey]])*DiscreteStatsTable[Average])),0)</f>
        <v>1.7460194515021608</v>
      </c>
      <c r="P503" s="5" cm="1">
        <f t="array" ref="P503">MAX(IF((ProjectInfoTable[ProjectName]=DiscreteStatsTable[[#This Row],[ProjectName]]),(ProjectInfoTable[ProjectName]=DiscreteStatsTable[[#This Row],[ProjectName]])*ProjectInfoTable[ConfidenceInterval]))</f>
        <v>0.95</v>
      </c>
      <c r="Q503" s="5">
        <f>IF(AND(DiscreteStatsTable[[#This Row],[RepsWithStatObserved]]=1,Y503=0),200000000000000000000,IFERROR(_xlfn.T.INV.2T(1 -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0.84155443745405745</v>
      </c>
      <c r="R503" s="5" cm="1">
        <f t="array" ref="R503">MIN(IF((DiscreteStatsTable[GroupByKey]=DiscreteStatsTable[[#This Row],[GroupByKey]]),(DiscreteStatsTable[GroupByKey]=DiscreteStatsTable[[#This Row],[GroupByKey]])*DiscreteStatsTable[Average]))</f>
        <v>8.3023219101837395E-2</v>
      </c>
      <c r="S503" s="5" cm="1">
        <f t="array" ref="S503">MAX(IF((DiscreteStatsTable[GroupByKey]=DiscreteStatsTable[[#This Row],[GroupByKey]]),(DiscreteStatsTable[GroupByKey]=DiscreteStatsTable[[#This Row],[GroupByKey]])*DiscreteStatsTable[Average]))</f>
        <v>7.4627874217685699</v>
      </c>
      <c r="T503" s="5" cm="1">
        <f t="array" ref="T503">MIN(IF((DiscreteStatsTable[GroupByKey]=DiscreteStatsTable[[#This Row],[GroupByKey]]),(DiscreteStatsTable[GroupByKey]=DiscreteStatsTable[[#This Row],[GroupByKey]])*DiscreteStatsTable[Minimum]))</f>
        <v>8.3023219101837395E-2</v>
      </c>
      <c r="U503" s="5" cm="1">
        <f t="array" ref="U503">MAX(IF((DiscreteStatsTable[GroupByKey]=DiscreteStatsTable[[#This Row],[GroupByKey]]),(DiscreteStatsTable[GroupByKey]=DiscreteStatsTable[[#This Row],[GroupByKey]])*DiscreteStatsTable[Maximum]))</f>
        <v>7.4627874217685699</v>
      </c>
      <c r="V503" s="5" cm="1">
        <f t="array" ref="V503">IFERROR(AVERAGE(IF((DiscreteStatsTable[GroupByKey]=DiscreteStatsTable[[#This Row],[GroupByKey]]),(DiscreteStatsTable[GroupByKey]=DiscreteStatsTable[[#This Row],[GroupByKey]])*DiscreteStatsTable[NumberObservations])),0)</f>
        <v>1</v>
      </c>
      <c r="W503" s="5">
        <f>IF((DiscreteStatsTable[[#This Row],[RepsRequested]]&gt;1),DiscreteStatsTable[[#This Row],[HalfWidth]],DiscreteStatsTable[[#This Row],[BatchMeansHalfWidth]])</f>
        <v>0.84155443745405745</v>
      </c>
      <c r="X503" s="5" cm="1">
        <f t="array" ref="X503">COUNT(IF((DiscreteStatsTable[GroupByKey]=DiscreteStatsTable[[#This Row],[GroupByKey]]),(DiscreteStatsTable[GroupByKey]=DiscreteStatsTable[[#This Row],[GroupByKey]])*DiscreteStatsTable[Replication]))</f>
        <v>19</v>
      </c>
      <c r="Y503" s="5">
        <f>IF(DiscreteStatsTable[[#This Row],[RepsRequested]]=DiscreteStatsTable[[#This Row],[RepsWithStatObserved]],1,0)</f>
        <v>1</v>
      </c>
    </row>
    <row r="504" spans="1:25" x14ac:dyDescent="0.25">
      <c r="A504" t="s">
        <v>67</v>
      </c>
      <c r="B504" t="s">
        <v>69</v>
      </c>
      <c r="C504">
        <v>9</v>
      </c>
      <c r="D504" t="s">
        <v>100</v>
      </c>
      <c r="E504" t="s">
        <v>79</v>
      </c>
      <c r="F504" t="s">
        <v>80</v>
      </c>
      <c r="G504">
        <v>0.44391476180018302</v>
      </c>
      <c r="H504">
        <v>2E+20</v>
      </c>
      <c r="I504">
        <v>0.44391476180018302</v>
      </c>
      <c r="J504">
        <v>0.44391476180018302</v>
      </c>
      <c r="K504">
        <v>1</v>
      </c>
      <c r="L50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compartida)PrepPedidoH1ExpressionUser Specified</v>
      </c>
      <c r="M504" s="5" cm="1">
        <f t="array" ref="M504">MAX(IF((ProjectInfoTable[ProjectName]=DiscreteStatsTable[[#This Row],[ProjectName]]),(ProjectInfoTable[ProjectName]=DiscreteStatsTable[[#This Row],[ProjectName]])*ProjectInfoTable[NumberOfReplications]))</f>
        <v>19</v>
      </c>
      <c r="N504" s="5" cm="1">
        <f t="array" ref="N504">IFERROR(AVERAGE(IF((DiscreteStatsTable[GroupByKey]=DiscreteStatsTable[[#This Row],[GroupByKey]]),(DiscreteStatsTable[GroupByKey]=DiscreteStatsTable[[#This Row],[GroupByKey]])*DiscreteStatsTable[Average])),0)</f>
        <v>1.0173477957593224</v>
      </c>
      <c r="O504" s="5" cm="1">
        <f t="array" ref="O504">IFERROR(_xlfn.STDEV.S(IF((DiscreteStatsTable[GroupByKey]=DiscreteStatsTable[[#This Row],[GroupByKey]]),(DiscreteStatsTable[GroupByKey]=DiscreteStatsTable[[#This Row],[GroupByKey]])*DiscreteStatsTable[Average])),0)</f>
        <v>1.7460194515021608</v>
      </c>
      <c r="P504" s="5" cm="1">
        <f t="array" ref="P504">MAX(IF((ProjectInfoTable[ProjectName]=DiscreteStatsTable[[#This Row],[ProjectName]]),(ProjectInfoTable[ProjectName]=DiscreteStatsTable[[#This Row],[ProjectName]])*ProjectInfoTable[ConfidenceInterval]))</f>
        <v>0.95</v>
      </c>
      <c r="Q504" s="5">
        <f>IF(AND(DiscreteStatsTable[[#This Row],[RepsWithStatObserved]]=1,Y504=0),200000000000000000000,IFERROR(_xlfn.T.INV.2T(1 -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0.84155443745405745</v>
      </c>
      <c r="R504" s="5" cm="1">
        <f t="array" ref="R504">MIN(IF((DiscreteStatsTable[GroupByKey]=DiscreteStatsTable[[#This Row],[GroupByKey]]),(DiscreteStatsTable[GroupByKey]=DiscreteStatsTable[[#This Row],[GroupByKey]])*DiscreteStatsTable[Average]))</f>
        <v>8.3023219101837395E-2</v>
      </c>
      <c r="S504" s="5" cm="1">
        <f t="array" ref="S504">MAX(IF((DiscreteStatsTable[GroupByKey]=DiscreteStatsTable[[#This Row],[GroupByKey]]),(DiscreteStatsTable[GroupByKey]=DiscreteStatsTable[[#This Row],[GroupByKey]])*DiscreteStatsTable[Average]))</f>
        <v>7.4627874217685699</v>
      </c>
      <c r="T504" s="5" cm="1">
        <f t="array" ref="T504">MIN(IF((DiscreteStatsTable[GroupByKey]=DiscreteStatsTable[[#This Row],[GroupByKey]]),(DiscreteStatsTable[GroupByKey]=DiscreteStatsTable[[#This Row],[GroupByKey]])*DiscreteStatsTable[Minimum]))</f>
        <v>8.3023219101837395E-2</v>
      </c>
      <c r="U504" s="5" cm="1">
        <f t="array" ref="U504">MAX(IF((DiscreteStatsTable[GroupByKey]=DiscreteStatsTable[[#This Row],[GroupByKey]]),(DiscreteStatsTable[GroupByKey]=DiscreteStatsTable[[#This Row],[GroupByKey]])*DiscreteStatsTable[Maximum]))</f>
        <v>7.4627874217685699</v>
      </c>
      <c r="V504" s="5" cm="1">
        <f t="array" ref="V504">IFERROR(AVERAGE(IF((DiscreteStatsTable[GroupByKey]=DiscreteStatsTable[[#This Row],[GroupByKey]]),(DiscreteStatsTable[GroupByKey]=DiscreteStatsTable[[#This Row],[GroupByKey]])*DiscreteStatsTable[NumberObservations])),0)</f>
        <v>1</v>
      </c>
      <c r="W504" s="5">
        <f>IF((DiscreteStatsTable[[#This Row],[RepsRequested]]&gt;1),DiscreteStatsTable[[#This Row],[HalfWidth]],DiscreteStatsTable[[#This Row],[BatchMeansHalfWidth]])</f>
        <v>0.84155443745405745</v>
      </c>
      <c r="X504" s="5" cm="1">
        <f t="array" ref="X504">COUNT(IF((DiscreteStatsTable[GroupByKey]=DiscreteStatsTable[[#This Row],[GroupByKey]]),(DiscreteStatsTable[GroupByKey]=DiscreteStatsTable[[#This Row],[GroupByKey]])*DiscreteStatsTable[Replication]))</f>
        <v>19</v>
      </c>
      <c r="Y504" s="5">
        <f>IF(DiscreteStatsTable[[#This Row],[RepsRequested]]=DiscreteStatsTable[[#This Row],[RepsWithStatObserved]],1,0)</f>
        <v>1</v>
      </c>
    </row>
    <row r="505" spans="1:25" x14ac:dyDescent="0.25">
      <c r="A505" t="s">
        <v>67</v>
      </c>
      <c r="B505" t="s">
        <v>69</v>
      </c>
      <c r="C505">
        <v>10</v>
      </c>
      <c r="D505" t="s">
        <v>100</v>
      </c>
      <c r="E505" t="s">
        <v>79</v>
      </c>
      <c r="F505" t="s">
        <v>80</v>
      </c>
      <c r="G505">
        <v>0.55783265465563303</v>
      </c>
      <c r="H505">
        <v>2E+20</v>
      </c>
      <c r="I505">
        <v>0.55783265465563303</v>
      </c>
      <c r="J505">
        <v>0.55783265465563303</v>
      </c>
      <c r="K505">
        <v>1</v>
      </c>
      <c r="L50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compartida)PrepPedidoH1ExpressionUser Specified</v>
      </c>
      <c r="M505" s="5" cm="1">
        <f t="array" ref="M505">MAX(IF((ProjectInfoTable[ProjectName]=DiscreteStatsTable[[#This Row],[ProjectName]]),(ProjectInfoTable[ProjectName]=DiscreteStatsTable[[#This Row],[ProjectName]])*ProjectInfoTable[NumberOfReplications]))</f>
        <v>19</v>
      </c>
      <c r="N505" s="5" cm="1">
        <f t="array" ref="N505">IFERROR(AVERAGE(IF((DiscreteStatsTable[GroupByKey]=DiscreteStatsTable[[#This Row],[GroupByKey]]),(DiscreteStatsTable[GroupByKey]=DiscreteStatsTable[[#This Row],[GroupByKey]])*DiscreteStatsTable[Average])),0)</f>
        <v>1.0173477957593224</v>
      </c>
      <c r="O505" s="5" cm="1">
        <f t="array" ref="O505">IFERROR(_xlfn.STDEV.S(IF((DiscreteStatsTable[GroupByKey]=DiscreteStatsTable[[#This Row],[GroupByKey]]),(DiscreteStatsTable[GroupByKey]=DiscreteStatsTable[[#This Row],[GroupByKey]])*DiscreteStatsTable[Average])),0)</f>
        <v>1.7460194515021608</v>
      </c>
      <c r="P505" s="5" cm="1">
        <f t="array" ref="P505">MAX(IF((ProjectInfoTable[ProjectName]=DiscreteStatsTable[[#This Row],[ProjectName]]),(ProjectInfoTable[ProjectName]=DiscreteStatsTable[[#This Row],[ProjectName]])*ProjectInfoTable[ConfidenceInterval]))</f>
        <v>0.95</v>
      </c>
      <c r="Q505" s="5">
        <f>IF(AND(DiscreteStatsTable[[#This Row],[RepsWithStatObserved]]=1,Y505=0),200000000000000000000,IFERROR(_xlfn.T.INV.2T(1 -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0.84155443745405745</v>
      </c>
      <c r="R505" s="5" cm="1">
        <f t="array" ref="R505">MIN(IF((DiscreteStatsTable[GroupByKey]=DiscreteStatsTable[[#This Row],[GroupByKey]]),(DiscreteStatsTable[GroupByKey]=DiscreteStatsTable[[#This Row],[GroupByKey]])*DiscreteStatsTable[Average]))</f>
        <v>8.3023219101837395E-2</v>
      </c>
      <c r="S505" s="5" cm="1">
        <f t="array" ref="S505">MAX(IF((DiscreteStatsTable[GroupByKey]=DiscreteStatsTable[[#This Row],[GroupByKey]]),(DiscreteStatsTable[GroupByKey]=DiscreteStatsTable[[#This Row],[GroupByKey]])*DiscreteStatsTable[Average]))</f>
        <v>7.4627874217685699</v>
      </c>
      <c r="T505" s="5" cm="1">
        <f t="array" ref="T505">MIN(IF((DiscreteStatsTable[GroupByKey]=DiscreteStatsTable[[#This Row],[GroupByKey]]),(DiscreteStatsTable[GroupByKey]=DiscreteStatsTable[[#This Row],[GroupByKey]])*DiscreteStatsTable[Minimum]))</f>
        <v>8.3023219101837395E-2</v>
      </c>
      <c r="U505" s="5" cm="1">
        <f t="array" ref="U505">MAX(IF((DiscreteStatsTable[GroupByKey]=DiscreteStatsTable[[#This Row],[GroupByKey]]),(DiscreteStatsTable[GroupByKey]=DiscreteStatsTable[[#This Row],[GroupByKey]])*DiscreteStatsTable[Maximum]))</f>
        <v>7.4627874217685699</v>
      </c>
      <c r="V505" s="5" cm="1">
        <f t="array" ref="V505">IFERROR(AVERAGE(IF((DiscreteStatsTable[GroupByKey]=DiscreteStatsTable[[#This Row],[GroupByKey]]),(DiscreteStatsTable[GroupByKey]=DiscreteStatsTable[[#This Row],[GroupByKey]])*DiscreteStatsTable[NumberObservations])),0)</f>
        <v>1</v>
      </c>
      <c r="W505" s="5">
        <f>IF((DiscreteStatsTable[[#This Row],[RepsRequested]]&gt;1),DiscreteStatsTable[[#This Row],[HalfWidth]],DiscreteStatsTable[[#This Row],[BatchMeansHalfWidth]])</f>
        <v>0.84155443745405745</v>
      </c>
      <c r="X505" s="5" cm="1">
        <f t="array" ref="X505">COUNT(IF((DiscreteStatsTable[GroupByKey]=DiscreteStatsTable[[#This Row],[GroupByKey]]),(DiscreteStatsTable[GroupByKey]=DiscreteStatsTable[[#This Row],[GroupByKey]])*DiscreteStatsTable[Replication]))</f>
        <v>19</v>
      </c>
      <c r="Y505" s="5">
        <f>IF(DiscreteStatsTable[[#This Row],[RepsRequested]]=DiscreteStatsTable[[#This Row],[RepsWithStatObserved]],1,0)</f>
        <v>1</v>
      </c>
    </row>
    <row r="506" spans="1:25" x14ac:dyDescent="0.25">
      <c r="A506" t="s">
        <v>67</v>
      </c>
      <c r="B506" t="s">
        <v>69</v>
      </c>
      <c r="C506">
        <v>11</v>
      </c>
      <c r="D506" t="s">
        <v>100</v>
      </c>
      <c r="E506" t="s">
        <v>79</v>
      </c>
      <c r="F506" t="s">
        <v>80</v>
      </c>
      <c r="G506">
        <v>8.3023219101837395E-2</v>
      </c>
      <c r="H506">
        <v>2E+20</v>
      </c>
      <c r="I506">
        <v>8.3023219101837395E-2</v>
      </c>
      <c r="J506">
        <v>8.3023219101837395E-2</v>
      </c>
      <c r="K506">
        <v>1</v>
      </c>
      <c r="L50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compartida)PrepPedidoH1ExpressionUser Specified</v>
      </c>
      <c r="M506" s="5" cm="1">
        <f t="array" ref="M506">MAX(IF((ProjectInfoTable[ProjectName]=DiscreteStatsTable[[#This Row],[ProjectName]]),(ProjectInfoTable[ProjectName]=DiscreteStatsTable[[#This Row],[ProjectName]])*ProjectInfoTable[NumberOfReplications]))</f>
        <v>19</v>
      </c>
      <c r="N506" s="5" cm="1">
        <f t="array" ref="N506">IFERROR(AVERAGE(IF((DiscreteStatsTable[GroupByKey]=DiscreteStatsTable[[#This Row],[GroupByKey]]),(DiscreteStatsTable[GroupByKey]=DiscreteStatsTable[[#This Row],[GroupByKey]])*DiscreteStatsTable[Average])),0)</f>
        <v>1.0173477957593224</v>
      </c>
      <c r="O506" s="5" cm="1">
        <f t="array" ref="O506">IFERROR(_xlfn.STDEV.S(IF((DiscreteStatsTable[GroupByKey]=DiscreteStatsTable[[#This Row],[GroupByKey]]),(DiscreteStatsTable[GroupByKey]=DiscreteStatsTable[[#This Row],[GroupByKey]])*DiscreteStatsTable[Average])),0)</f>
        <v>1.7460194515021608</v>
      </c>
      <c r="P506" s="5" cm="1">
        <f t="array" ref="P506">MAX(IF((ProjectInfoTable[ProjectName]=DiscreteStatsTable[[#This Row],[ProjectName]]),(ProjectInfoTable[ProjectName]=DiscreteStatsTable[[#This Row],[ProjectName]])*ProjectInfoTable[ConfidenceInterval]))</f>
        <v>0.95</v>
      </c>
      <c r="Q506" s="5">
        <f>IF(AND(DiscreteStatsTable[[#This Row],[RepsWithStatObserved]]=1,Y506=0),200000000000000000000,IFERROR(_xlfn.T.INV.2T(1 -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0.84155443745405745</v>
      </c>
      <c r="R506" s="5" cm="1">
        <f t="array" ref="R506">MIN(IF((DiscreteStatsTable[GroupByKey]=DiscreteStatsTable[[#This Row],[GroupByKey]]),(DiscreteStatsTable[GroupByKey]=DiscreteStatsTable[[#This Row],[GroupByKey]])*DiscreteStatsTable[Average]))</f>
        <v>8.3023219101837395E-2</v>
      </c>
      <c r="S506" s="5" cm="1">
        <f t="array" ref="S506">MAX(IF((DiscreteStatsTable[GroupByKey]=DiscreteStatsTable[[#This Row],[GroupByKey]]),(DiscreteStatsTable[GroupByKey]=DiscreteStatsTable[[#This Row],[GroupByKey]])*DiscreteStatsTable[Average]))</f>
        <v>7.4627874217685699</v>
      </c>
      <c r="T506" s="5" cm="1">
        <f t="array" ref="T506">MIN(IF((DiscreteStatsTable[GroupByKey]=DiscreteStatsTable[[#This Row],[GroupByKey]]),(DiscreteStatsTable[GroupByKey]=DiscreteStatsTable[[#This Row],[GroupByKey]])*DiscreteStatsTable[Minimum]))</f>
        <v>8.3023219101837395E-2</v>
      </c>
      <c r="U506" s="5" cm="1">
        <f t="array" ref="U506">MAX(IF((DiscreteStatsTable[GroupByKey]=DiscreteStatsTable[[#This Row],[GroupByKey]]),(DiscreteStatsTable[GroupByKey]=DiscreteStatsTable[[#This Row],[GroupByKey]])*DiscreteStatsTable[Maximum]))</f>
        <v>7.4627874217685699</v>
      </c>
      <c r="V506" s="5" cm="1">
        <f t="array" ref="V506">IFERROR(AVERAGE(IF((DiscreteStatsTable[GroupByKey]=DiscreteStatsTable[[#This Row],[GroupByKey]]),(DiscreteStatsTable[GroupByKey]=DiscreteStatsTable[[#This Row],[GroupByKey]])*DiscreteStatsTable[NumberObservations])),0)</f>
        <v>1</v>
      </c>
      <c r="W506" s="5">
        <f>IF((DiscreteStatsTable[[#This Row],[RepsRequested]]&gt;1),DiscreteStatsTable[[#This Row],[HalfWidth]],DiscreteStatsTable[[#This Row],[BatchMeansHalfWidth]])</f>
        <v>0.84155443745405745</v>
      </c>
      <c r="X506" s="5" cm="1">
        <f t="array" ref="X506">COUNT(IF((DiscreteStatsTable[GroupByKey]=DiscreteStatsTable[[#This Row],[GroupByKey]]),(DiscreteStatsTable[GroupByKey]=DiscreteStatsTable[[#This Row],[GroupByKey]])*DiscreteStatsTable[Replication]))</f>
        <v>19</v>
      </c>
      <c r="Y506" s="5">
        <f>IF(DiscreteStatsTable[[#This Row],[RepsRequested]]=DiscreteStatsTable[[#This Row],[RepsWithStatObserved]],1,0)</f>
        <v>1</v>
      </c>
    </row>
    <row r="507" spans="1:25" x14ac:dyDescent="0.25">
      <c r="A507" t="s">
        <v>67</v>
      </c>
      <c r="B507" t="s">
        <v>69</v>
      </c>
      <c r="C507">
        <v>12</v>
      </c>
      <c r="D507" t="s">
        <v>100</v>
      </c>
      <c r="E507" t="s">
        <v>79</v>
      </c>
      <c r="F507" t="s">
        <v>80</v>
      </c>
      <c r="G507">
        <v>1.6967922562205699</v>
      </c>
      <c r="H507">
        <v>2E+20</v>
      </c>
      <c r="I507">
        <v>1.6967922562205699</v>
      </c>
      <c r="J507">
        <v>1.6967922562205699</v>
      </c>
      <c r="K507">
        <v>1</v>
      </c>
      <c r="L50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compartida)PrepPedidoH1ExpressionUser Specified</v>
      </c>
      <c r="M507" s="5" cm="1">
        <f t="array" ref="M507">MAX(IF((ProjectInfoTable[ProjectName]=DiscreteStatsTable[[#This Row],[ProjectName]]),(ProjectInfoTable[ProjectName]=DiscreteStatsTable[[#This Row],[ProjectName]])*ProjectInfoTable[NumberOfReplications]))</f>
        <v>19</v>
      </c>
      <c r="N507" s="5" cm="1">
        <f t="array" ref="N507">IFERROR(AVERAGE(IF((DiscreteStatsTable[GroupByKey]=DiscreteStatsTable[[#This Row],[GroupByKey]]),(DiscreteStatsTable[GroupByKey]=DiscreteStatsTable[[#This Row],[GroupByKey]])*DiscreteStatsTable[Average])),0)</f>
        <v>1.0173477957593224</v>
      </c>
      <c r="O507" s="5" cm="1">
        <f t="array" ref="O507">IFERROR(_xlfn.STDEV.S(IF((DiscreteStatsTable[GroupByKey]=DiscreteStatsTable[[#This Row],[GroupByKey]]),(DiscreteStatsTable[GroupByKey]=DiscreteStatsTable[[#This Row],[GroupByKey]])*DiscreteStatsTable[Average])),0)</f>
        <v>1.7460194515021608</v>
      </c>
      <c r="P507" s="5" cm="1">
        <f t="array" ref="P507">MAX(IF((ProjectInfoTable[ProjectName]=DiscreteStatsTable[[#This Row],[ProjectName]]),(ProjectInfoTable[ProjectName]=DiscreteStatsTable[[#This Row],[ProjectName]])*ProjectInfoTable[ConfidenceInterval]))</f>
        <v>0.95</v>
      </c>
      <c r="Q507" s="5">
        <f>IF(AND(DiscreteStatsTable[[#This Row],[RepsWithStatObserved]]=1,Y507=0),200000000000000000000,IFERROR(_xlfn.T.INV.2T(1 -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0.84155443745405745</v>
      </c>
      <c r="R507" s="5" cm="1">
        <f t="array" ref="R507">MIN(IF((DiscreteStatsTable[GroupByKey]=DiscreteStatsTable[[#This Row],[GroupByKey]]),(DiscreteStatsTable[GroupByKey]=DiscreteStatsTable[[#This Row],[GroupByKey]])*DiscreteStatsTable[Average]))</f>
        <v>8.3023219101837395E-2</v>
      </c>
      <c r="S507" s="5" cm="1">
        <f t="array" ref="S507">MAX(IF((DiscreteStatsTable[GroupByKey]=DiscreteStatsTable[[#This Row],[GroupByKey]]),(DiscreteStatsTable[GroupByKey]=DiscreteStatsTable[[#This Row],[GroupByKey]])*DiscreteStatsTable[Average]))</f>
        <v>7.4627874217685699</v>
      </c>
      <c r="T507" s="5" cm="1">
        <f t="array" ref="T507">MIN(IF((DiscreteStatsTable[GroupByKey]=DiscreteStatsTable[[#This Row],[GroupByKey]]),(DiscreteStatsTable[GroupByKey]=DiscreteStatsTable[[#This Row],[GroupByKey]])*DiscreteStatsTable[Minimum]))</f>
        <v>8.3023219101837395E-2</v>
      </c>
      <c r="U507" s="5" cm="1">
        <f t="array" ref="U507">MAX(IF((DiscreteStatsTable[GroupByKey]=DiscreteStatsTable[[#This Row],[GroupByKey]]),(DiscreteStatsTable[GroupByKey]=DiscreteStatsTable[[#This Row],[GroupByKey]])*DiscreteStatsTable[Maximum]))</f>
        <v>7.4627874217685699</v>
      </c>
      <c r="V507" s="5" cm="1">
        <f t="array" ref="V507">IFERROR(AVERAGE(IF((DiscreteStatsTable[GroupByKey]=DiscreteStatsTable[[#This Row],[GroupByKey]]),(DiscreteStatsTable[GroupByKey]=DiscreteStatsTable[[#This Row],[GroupByKey]])*DiscreteStatsTable[NumberObservations])),0)</f>
        <v>1</v>
      </c>
      <c r="W507" s="5">
        <f>IF((DiscreteStatsTable[[#This Row],[RepsRequested]]&gt;1),DiscreteStatsTable[[#This Row],[HalfWidth]],DiscreteStatsTable[[#This Row],[BatchMeansHalfWidth]])</f>
        <v>0.84155443745405745</v>
      </c>
      <c r="X507" s="5" cm="1">
        <f t="array" ref="X507">COUNT(IF((DiscreteStatsTable[GroupByKey]=DiscreteStatsTable[[#This Row],[GroupByKey]]),(DiscreteStatsTable[GroupByKey]=DiscreteStatsTable[[#This Row],[GroupByKey]])*DiscreteStatsTable[Replication]))</f>
        <v>19</v>
      </c>
      <c r="Y507" s="5">
        <f>IF(DiscreteStatsTable[[#This Row],[RepsRequested]]=DiscreteStatsTable[[#This Row],[RepsWithStatObserved]],1,0)</f>
        <v>1</v>
      </c>
    </row>
    <row r="508" spans="1:25" x14ac:dyDescent="0.25">
      <c r="A508" t="s">
        <v>67</v>
      </c>
      <c r="B508" t="s">
        <v>69</v>
      </c>
      <c r="C508">
        <v>13</v>
      </c>
      <c r="D508" t="s">
        <v>100</v>
      </c>
      <c r="E508" t="s">
        <v>79</v>
      </c>
      <c r="F508" t="s">
        <v>80</v>
      </c>
      <c r="G508">
        <v>0.19584024954170701</v>
      </c>
      <c r="H508">
        <v>2E+20</v>
      </c>
      <c r="I508">
        <v>0.19584024954170701</v>
      </c>
      <c r="J508">
        <v>0.19584024954170701</v>
      </c>
      <c r="K508">
        <v>1</v>
      </c>
      <c r="L50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compartida)PrepPedidoH1ExpressionUser Specified</v>
      </c>
      <c r="M508" s="5" cm="1">
        <f t="array" ref="M508">MAX(IF((ProjectInfoTable[ProjectName]=DiscreteStatsTable[[#This Row],[ProjectName]]),(ProjectInfoTable[ProjectName]=DiscreteStatsTable[[#This Row],[ProjectName]])*ProjectInfoTable[NumberOfReplications]))</f>
        <v>19</v>
      </c>
      <c r="N508" s="5" cm="1">
        <f t="array" ref="N508">IFERROR(AVERAGE(IF((DiscreteStatsTable[GroupByKey]=DiscreteStatsTable[[#This Row],[GroupByKey]]),(DiscreteStatsTable[GroupByKey]=DiscreteStatsTable[[#This Row],[GroupByKey]])*DiscreteStatsTable[Average])),0)</f>
        <v>1.0173477957593224</v>
      </c>
      <c r="O508" s="5" cm="1">
        <f t="array" ref="O508">IFERROR(_xlfn.STDEV.S(IF((DiscreteStatsTable[GroupByKey]=DiscreteStatsTable[[#This Row],[GroupByKey]]),(DiscreteStatsTable[GroupByKey]=DiscreteStatsTable[[#This Row],[GroupByKey]])*DiscreteStatsTable[Average])),0)</f>
        <v>1.7460194515021608</v>
      </c>
      <c r="P508" s="5" cm="1">
        <f t="array" ref="P508">MAX(IF((ProjectInfoTable[ProjectName]=DiscreteStatsTable[[#This Row],[ProjectName]]),(ProjectInfoTable[ProjectName]=DiscreteStatsTable[[#This Row],[ProjectName]])*ProjectInfoTable[ConfidenceInterval]))</f>
        <v>0.95</v>
      </c>
      <c r="Q508" s="5">
        <f>IF(AND(DiscreteStatsTable[[#This Row],[RepsWithStatObserved]]=1,Y508=0),200000000000000000000,IFERROR(_xlfn.T.INV.2T(1 -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0.84155443745405745</v>
      </c>
      <c r="R508" s="5" cm="1">
        <f t="array" ref="R508">MIN(IF((DiscreteStatsTable[GroupByKey]=DiscreteStatsTable[[#This Row],[GroupByKey]]),(DiscreteStatsTable[GroupByKey]=DiscreteStatsTable[[#This Row],[GroupByKey]])*DiscreteStatsTable[Average]))</f>
        <v>8.3023219101837395E-2</v>
      </c>
      <c r="S508" s="5" cm="1">
        <f t="array" ref="S508">MAX(IF((DiscreteStatsTable[GroupByKey]=DiscreteStatsTable[[#This Row],[GroupByKey]]),(DiscreteStatsTable[GroupByKey]=DiscreteStatsTable[[#This Row],[GroupByKey]])*DiscreteStatsTable[Average]))</f>
        <v>7.4627874217685699</v>
      </c>
      <c r="T508" s="5" cm="1">
        <f t="array" ref="T508">MIN(IF((DiscreteStatsTable[GroupByKey]=DiscreteStatsTable[[#This Row],[GroupByKey]]),(DiscreteStatsTable[GroupByKey]=DiscreteStatsTable[[#This Row],[GroupByKey]])*DiscreteStatsTable[Minimum]))</f>
        <v>8.3023219101837395E-2</v>
      </c>
      <c r="U508" s="5" cm="1">
        <f t="array" ref="U508">MAX(IF((DiscreteStatsTable[GroupByKey]=DiscreteStatsTable[[#This Row],[GroupByKey]]),(DiscreteStatsTable[GroupByKey]=DiscreteStatsTable[[#This Row],[GroupByKey]])*DiscreteStatsTable[Maximum]))</f>
        <v>7.4627874217685699</v>
      </c>
      <c r="V508" s="5" cm="1">
        <f t="array" ref="V508">IFERROR(AVERAGE(IF((DiscreteStatsTable[GroupByKey]=DiscreteStatsTable[[#This Row],[GroupByKey]]),(DiscreteStatsTable[GroupByKey]=DiscreteStatsTable[[#This Row],[GroupByKey]])*DiscreteStatsTable[NumberObservations])),0)</f>
        <v>1</v>
      </c>
      <c r="W508" s="5">
        <f>IF((DiscreteStatsTable[[#This Row],[RepsRequested]]&gt;1),DiscreteStatsTable[[#This Row],[HalfWidth]],DiscreteStatsTable[[#This Row],[BatchMeansHalfWidth]])</f>
        <v>0.84155443745405745</v>
      </c>
      <c r="X508" s="5" cm="1">
        <f t="array" ref="X508">COUNT(IF((DiscreteStatsTable[GroupByKey]=DiscreteStatsTable[[#This Row],[GroupByKey]]),(DiscreteStatsTable[GroupByKey]=DiscreteStatsTable[[#This Row],[GroupByKey]])*DiscreteStatsTable[Replication]))</f>
        <v>19</v>
      </c>
      <c r="Y508" s="5">
        <f>IF(DiscreteStatsTable[[#This Row],[RepsRequested]]=DiscreteStatsTable[[#This Row],[RepsWithStatObserved]],1,0)</f>
        <v>1</v>
      </c>
    </row>
    <row r="509" spans="1:25" x14ac:dyDescent="0.25">
      <c r="A509" t="s">
        <v>67</v>
      </c>
      <c r="B509" t="s">
        <v>69</v>
      </c>
      <c r="C509">
        <v>14</v>
      </c>
      <c r="D509" t="s">
        <v>100</v>
      </c>
      <c r="E509" t="s">
        <v>79</v>
      </c>
      <c r="F509" t="s">
        <v>80</v>
      </c>
      <c r="G509">
        <v>0.41526594817569801</v>
      </c>
      <c r="H509">
        <v>2E+20</v>
      </c>
      <c r="I509">
        <v>0.41526594817569801</v>
      </c>
      <c r="J509">
        <v>0.41526594817569801</v>
      </c>
      <c r="K509">
        <v>1</v>
      </c>
      <c r="L50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compartida)PrepPedidoH1ExpressionUser Specified</v>
      </c>
      <c r="M509" s="5" cm="1">
        <f t="array" ref="M509">MAX(IF((ProjectInfoTable[ProjectName]=DiscreteStatsTable[[#This Row],[ProjectName]]),(ProjectInfoTable[ProjectName]=DiscreteStatsTable[[#This Row],[ProjectName]])*ProjectInfoTable[NumberOfReplications]))</f>
        <v>19</v>
      </c>
      <c r="N509" s="5" cm="1">
        <f t="array" ref="N509">IFERROR(AVERAGE(IF((DiscreteStatsTable[GroupByKey]=DiscreteStatsTable[[#This Row],[GroupByKey]]),(DiscreteStatsTable[GroupByKey]=DiscreteStatsTable[[#This Row],[GroupByKey]])*DiscreteStatsTable[Average])),0)</f>
        <v>1.0173477957593224</v>
      </c>
      <c r="O509" s="5" cm="1">
        <f t="array" ref="O509">IFERROR(_xlfn.STDEV.S(IF((DiscreteStatsTable[GroupByKey]=DiscreteStatsTable[[#This Row],[GroupByKey]]),(DiscreteStatsTable[GroupByKey]=DiscreteStatsTable[[#This Row],[GroupByKey]])*DiscreteStatsTable[Average])),0)</f>
        <v>1.7460194515021608</v>
      </c>
      <c r="P509" s="5" cm="1">
        <f t="array" ref="P509">MAX(IF((ProjectInfoTable[ProjectName]=DiscreteStatsTable[[#This Row],[ProjectName]]),(ProjectInfoTable[ProjectName]=DiscreteStatsTable[[#This Row],[ProjectName]])*ProjectInfoTable[ConfidenceInterval]))</f>
        <v>0.95</v>
      </c>
      <c r="Q509" s="5">
        <f>IF(AND(DiscreteStatsTable[[#This Row],[RepsWithStatObserved]]=1,Y509=0),200000000000000000000,IFERROR(_xlfn.T.INV.2T(1 -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0.84155443745405745</v>
      </c>
      <c r="R509" s="5" cm="1">
        <f t="array" ref="R509">MIN(IF((DiscreteStatsTable[GroupByKey]=DiscreteStatsTable[[#This Row],[GroupByKey]]),(DiscreteStatsTable[GroupByKey]=DiscreteStatsTable[[#This Row],[GroupByKey]])*DiscreteStatsTable[Average]))</f>
        <v>8.3023219101837395E-2</v>
      </c>
      <c r="S509" s="5" cm="1">
        <f t="array" ref="S509">MAX(IF((DiscreteStatsTable[GroupByKey]=DiscreteStatsTable[[#This Row],[GroupByKey]]),(DiscreteStatsTable[GroupByKey]=DiscreteStatsTable[[#This Row],[GroupByKey]])*DiscreteStatsTable[Average]))</f>
        <v>7.4627874217685699</v>
      </c>
      <c r="T509" s="5" cm="1">
        <f t="array" ref="T509">MIN(IF((DiscreteStatsTable[GroupByKey]=DiscreteStatsTable[[#This Row],[GroupByKey]]),(DiscreteStatsTable[GroupByKey]=DiscreteStatsTable[[#This Row],[GroupByKey]])*DiscreteStatsTable[Minimum]))</f>
        <v>8.3023219101837395E-2</v>
      </c>
      <c r="U509" s="5" cm="1">
        <f t="array" ref="U509">MAX(IF((DiscreteStatsTable[GroupByKey]=DiscreteStatsTable[[#This Row],[GroupByKey]]),(DiscreteStatsTable[GroupByKey]=DiscreteStatsTable[[#This Row],[GroupByKey]])*DiscreteStatsTable[Maximum]))</f>
        <v>7.4627874217685699</v>
      </c>
      <c r="V509" s="5" cm="1">
        <f t="array" ref="V509">IFERROR(AVERAGE(IF((DiscreteStatsTable[GroupByKey]=DiscreteStatsTable[[#This Row],[GroupByKey]]),(DiscreteStatsTable[GroupByKey]=DiscreteStatsTable[[#This Row],[GroupByKey]])*DiscreteStatsTable[NumberObservations])),0)</f>
        <v>1</v>
      </c>
      <c r="W509" s="5">
        <f>IF((DiscreteStatsTable[[#This Row],[RepsRequested]]&gt;1),DiscreteStatsTable[[#This Row],[HalfWidth]],DiscreteStatsTable[[#This Row],[BatchMeansHalfWidth]])</f>
        <v>0.84155443745405745</v>
      </c>
      <c r="X509" s="5" cm="1">
        <f t="array" ref="X509">COUNT(IF((DiscreteStatsTable[GroupByKey]=DiscreteStatsTable[[#This Row],[GroupByKey]]),(DiscreteStatsTable[GroupByKey]=DiscreteStatsTable[[#This Row],[GroupByKey]])*DiscreteStatsTable[Replication]))</f>
        <v>19</v>
      </c>
      <c r="Y509" s="5">
        <f>IF(DiscreteStatsTable[[#This Row],[RepsRequested]]=DiscreteStatsTable[[#This Row],[RepsWithStatObserved]],1,0)</f>
        <v>1</v>
      </c>
    </row>
    <row r="510" spans="1:25" x14ac:dyDescent="0.25">
      <c r="A510" t="s">
        <v>67</v>
      </c>
      <c r="B510" t="s">
        <v>69</v>
      </c>
      <c r="C510">
        <v>15</v>
      </c>
      <c r="D510" t="s">
        <v>100</v>
      </c>
      <c r="E510" t="s">
        <v>79</v>
      </c>
      <c r="F510" t="s">
        <v>80</v>
      </c>
      <c r="G510">
        <v>0.562320558940405</v>
      </c>
      <c r="H510">
        <v>2E+20</v>
      </c>
      <c r="I510">
        <v>0.562320558940405</v>
      </c>
      <c r="J510">
        <v>0.562320558940405</v>
      </c>
      <c r="K510">
        <v>1</v>
      </c>
      <c r="L51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compartida)PrepPedidoH1ExpressionUser Specified</v>
      </c>
      <c r="M510" s="5" cm="1">
        <f t="array" ref="M510">MAX(IF((ProjectInfoTable[ProjectName]=DiscreteStatsTable[[#This Row],[ProjectName]]),(ProjectInfoTable[ProjectName]=DiscreteStatsTable[[#This Row],[ProjectName]])*ProjectInfoTable[NumberOfReplications]))</f>
        <v>19</v>
      </c>
      <c r="N510" s="5" cm="1">
        <f t="array" ref="N510">IFERROR(AVERAGE(IF((DiscreteStatsTable[GroupByKey]=DiscreteStatsTable[[#This Row],[GroupByKey]]),(DiscreteStatsTable[GroupByKey]=DiscreteStatsTable[[#This Row],[GroupByKey]])*DiscreteStatsTable[Average])),0)</f>
        <v>1.0173477957593224</v>
      </c>
      <c r="O510" s="5" cm="1">
        <f t="array" ref="O510">IFERROR(_xlfn.STDEV.S(IF((DiscreteStatsTable[GroupByKey]=DiscreteStatsTable[[#This Row],[GroupByKey]]),(DiscreteStatsTable[GroupByKey]=DiscreteStatsTable[[#This Row],[GroupByKey]])*DiscreteStatsTable[Average])),0)</f>
        <v>1.7460194515021608</v>
      </c>
      <c r="P510" s="5" cm="1">
        <f t="array" ref="P510">MAX(IF((ProjectInfoTable[ProjectName]=DiscreteStatsTable[[#This Row],[ProjectName]]),(ProjectInfoTable[ProjectName]=DiscreteStatsTable[[#This Row],[ProjectName]])*ProjectInfoTable[ConfidenceInterval]))</f>
        <v>0.95</v>
      </c>
      <c r="Q510" s="5">
        <f>IF(AND(DiscreteStatsTable[[#This Row],[RepsWithStatObserved]]=1,Y510=0),200000000000000000000,IFERROR(_xlfn.T.INV.2T(1 -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0.84155443745405745</v>
      </c>
      <c r="R510" s="5" cm="1">
        <f t="array" ref="R510">MIN(IF((DiscreteStatsTable[GroupByKey]=DiscreteStatsTable[[#This Row],[GroupByKey]]),(DiscreteStatsTable[GroupByKey]=DiscreteStatsTable[[#This Row],[GroupByKey]])*DiscreteStatsTable[Average]))</f>
        <v>8.3023219101837395E-2</v>
      </c>
      <c r="S510" s="5" cm="1">
        <f t="array" ref="S510">MAX(IF((DiscreteStatsTable[GroupByKey]=DiscreteStatsTable[[#This Row],[GroupByKey]]),(DiscreteStatsTable[GroupByKey]=DiscreteStatsTable[[#This Row],[GroupByKey]])*DiscreteStatsTable[Average]))</f>
        <v>7.4627874217685699</v>
      </c>
      <c r="T510" s="5" cm="1">
        <f t="array" ref="T510">MIN(IF((DiscreteStatsTable[GroupByKey]=DiscreteStatsTable[[#This Row],[GroupByKey]]),(DiscreteStatsTable[GroupByKey]=DiscreteStatsTable[[#This Row],[GroupByKey]])*DiscreteStatsTable[Minimum]))</f>
        <v>8.3023219101837395E-2</v>
      </c>
      <c r="U510" s="5" cm="1">
        <f t="array" ref="U510">MAX(IF((DiscreteStatsTable[GroupByKey]=DiscreteStatsTable[[#This Row],[GroupByKey]]),(DiscreteStatsTable[GroupByKey]=DiscreteStatsTable[[#This Row],[GroupByKey]])*DiscreteStatsTable[Maximum]))</f>
        <v>7.4627874217685699</v>
      </c>
      <c r="V510" s="5" cm="1">
        <f t="array" ref="V510">IFERROR(AVERAGE(IF((DiscreteStatsTable[GroupByKey]=DiscreteStatsTable[[#This Row],[GroupByKey]]),(DiscreteStatsTable[GroupByKey]=DiscreteStatsTable[[#This Row],[GroupByKey]])*DiscreteStatsTable[NumberObservations])),0)</f>
        <v>1</v>
      </c>
      <c r="W510" s="5">
        <f>IF((DiscreteStatsTable[[#This Row],[RepsRequested]]&gt;1),DiscreteStatsTable[[#This Row],[HalfWidth]],DiscreteStatsTable[[#This Row],[BatchMeansHalfWidth]])</f>
        <v>0.84155443745405745</v>
      </c>
      <c r="X510" s="5" cm="1">
        <f t="array" ref="X510">COUNT(IF((DiscreteStatsTable[GroupByKey]=DiscreteStatsTable[[#This Row],[GroupByKey]]),(DiscreteStatsTable[GroupByKey]=DiscreteStatsTable[[#This Row],[GroupByKey]])*DiscreteStatsTable[Replication]))</f>
        <v>19</v>
      </c>
      <c r="Y510" s="5">
        <f>IF(DiscreteStatsTable[[#This Row],[RepsRequested]]=DiscreteStatsTable[[#This Row],[RepsWithStatObserved]],1,0)</f>
        <v>1</v>
      </c>
    </row>
    <row r="511" spans="1:25" x14ac:dyDescent="0.25">
      <c r="A511" t="s">
        <v>67</v>
      </c>
      <c r="B511" t="s">
        <v>69</v>
      </c>
      <c r="C511">
        <v>16</v>
      </c>
      <c r="D511" t="s">
        <v>100</v>
      </c>
      <c r="E511" t="s">
        <v>79</v>
      </c>
      <c r="F511" t="s">
        <v>80</v>
      </c>
      <c r="G511">
        <v>0.39198083966032898</v>
      </c>
      <c r="H511">
        <v>2E+20</v>
      </c>
      <c r="I511">
        <v>0.39198083966032898</v>
      </c>
      <c r="J511">
        <v>0.39198083966032898</v>
      </c>
      <c r="K511">
        <v>1</v>
      </c>
      <c r="L51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compartida)PrepPedidoH1ExpressionUser Specified</v>
      </c>
      <c r="M511" s="5" cm="1">
        <f t="array" ref="M511">MAX(IF((ProjectInfoTable[ProjectName]=DiscreteStatsTable[[#This Row],[ProjectName]]),(ProjectInfoTable[ProjectName]=DiscreteStatsTable[[#This Row],[ProjectName]])*ProjectInfoTable[NumberOfReplications]))</f>
        <v>19</v>
      </c>
      <c r="N511" s="5" cm="1">
        <f t="array" ref="N511">IFERROR(AVERAGE(IF((DiscreteStatsTable[GroupByKey]=DiscreteStatsTable[[#This Row],[GroupByKey]]),(DiscreteStatsTable[GroupByKey]=DiscreteStatsTable[[#This Row],[GroupByKey]])*DiscreteStatsTable[Average])),0)</f>
        <v>1.0173477957593224</v>
      </c>
      <c r="O511" s="5" cm="1">
        <f t="array" ref="O511">IFERROR(_xlfn.STDEV.S(IF((DiscreteStatsTable[GroupByKey]=DiscreteStatsTable[[#This Row],[GroupByKey]]),(DiscreteStatsTable[GroupByKey]=DiscreteStatsTable[[#This Row],[GroupByKey]])*DiscreteStatsTable[Average])),0)</f>
        <v>1.7460194515021608</v>
      </c>
      <c r="P511" s="5" cm="1">
        <f t="array" ref="P511">MAX(IF((ProjectInfoTable[ProjectName]=DiscreteStatsTable[[#This Row],[ProjectName]]),(ProjectInfoTable[ProjectName]=DiscreteStatsTable[[#This Row],[ProjectName]])*ProjectInfoTable[ConfidenceInterval]))</f>
        <v>0.95</v>
      </c>
      <c r="Q511" s="5">
        <f>IF(AND(DiscreteStatsTable[[#This Row],[RepsWithStatObserved]]=1,Y511=0),200000000000000000000,IFERROR(_xlfn.T.INV.2T(1 -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0.84155443745405745</v>
      </c>
      <c r="R511" s="5" cm="1">
        <f t="array" ref="R511">MIN(IF((DiscreteStatsTable[GroupByKey]=DiscreteStatsTable[[#This Row],[GroupByKey]]),(DiscreteStatsTable[GroupByKey]=DiscreteStatsTable[[#This Row],[GroupByKey]])*DiscreteStatsTable[Average]))</f>
        <v>8.3023219101837395E-2</v>
      </c>
      <c r="S511" s="5" cm="1">
        <f t="array" ref="S511">MAX(IF((DiscreteStatsTable[GroupByKey]=DiscreteStatsTable[[#This Row],[GroupByKey]]),(DiscreteStatsTable[GroupByKey]=DiscreteStatsTable[[#This Row],[GroupByKey]])*DiscreteStatsTable[Average]))</f>
        <v>7.4627874217685699</v>
      </c>
      <c r="T511" s="5" cm="1">
        <f t="array" ref="T511">MIN(IF((DiscreteStatsTable[GroupByKey]=DiscreteStatsTable[[#This Row],[GroupByKey]]),(DiscreteStatsTable[GroupByKey]=DiscreteStatsTable[[#This Row],[GroupByKey]])*DiscreteStatsTable[Minimum]))</f>
        <v>8.3023219101837395E-2</v>
      </c>
      <c r="U511" s="5" cm="1">
        <f t="array" ref="U511">MAX(IF((DiscreteStatsTable[GroupByKey]=DiscreteStatsTable[[#This Row],[GroupByKey]]),(DiscreteStatsTable[GroupByKey]=DiscreteStatsTable[[#This Row],[GroupByKey]])*DiscreteStatsTable[Maximum]))</f>
        <v>7.4627874217685699</v>
      </c>
      <c r="V511" s="5" cm="1">
        <f t="array" ref="V511">IFERROR(AVERAGE(IF((DiscreteStatsTable[GroupByKey]=DiscreteStatsTable[[#This Row],[GroupByKey]]),(DiscreteStatsTable[GroupByKey]=DiscreteStatsTable[[#This Row],[GroupByKey]])*DiscreteStatsTable[NumberObservations])),0)</f>
        <v>1</v>
      </c>
      <c r="W511" s="5">
        <f>IF((DiscreteStatsTable[[#This Row],[RepsRequested]]&gt;1),DiscreteStatsTable[[#This Row],[HalfWidth]],DiscreteStatsTable[[#This Row],[BatchMeansHalfWidth]])</f>
        <v>0.84155443745405745</v>
      </c>
      <c r="X511" s="5" cm="1">
        <f t="array" ref="X511">COUNT(IF((DiscreteStatsTable[GroupByKey]=DiscreteStatsTable[[#This Row],[GroupByKey]]),(DiscreteStatsTable[GroupByKey]=DiscreteStatsTable[[#This Row],[GroupByKey]])*DiscreteStatsTable[Replication]))</f>
        <v>19</v>
      </c>
      <c r="Y511" s="5">
        <f>IF(DiscreteStatsTable[[#This Row],[RepsRequested]]=DiscreteStatsTable[[#This Row],[RepsWithStatObserved]],1,0)</f>
        <v>1</v>
      </c>
    </row>
    <row r="512" spans="1:25" x14ac:dyDescent="0.25">
      <c r="A512" t="s">
        <v>67</v>
      </c>
      <c r="B512" t="s">
        <v>69</v>
      </c>
      <c r="C512">
        <v>17</v>
      </c>
      <c r="D512" t="s">
        <v>100</v>
      </c>
      <c r="E512" t="s">
        <v>79</v>
      </c>
      <c r="F512" t="s">
        <v>80</v>
      </c>
      <c r="G512">
        <v>0.43156924336546698</v>
      </c>
      <c r="H512">
        <v>2E+20</v>
      </c>
      <c r="I512">
        <v>0.43156924336546698</v>
      </c>
      <c r="J512">
        <v>0.43156924336546698</v>
      </c>
      <c r="K512">
        <v>1</v>
      </c>
      <c r="L51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compartida)PrepPedidoH1ExpressionUser Specified</v>
      </c>
      <c r="M512" s="5" cm="1">
        <f t="array" ref="M512">MAX(IF((ProjectInfoTable[ProjectName]=DiscreteStatsTable[[#This Row],[ProjectName]]),(ProjectInfoTable[ProjectName]=DiscreteStatsTable[[#This Row],[ProjectName]])*ProjectInfoTable[NumberOfReplications]))</f>
        <v>19</v>
      </c>
      <c r="N512" s="5" cm="1">
        <f t="array" ref="N512">IFERROR(AVERAGE(IF((DiscreteStatsTable[GroupByKey]=DiscreteStatsTable[[#This Row],[GroupByKey]]),(DiscreteStatsTable[GroupByKey]=DiscreteStatsTable[[#This Row],[GroupByKey]])*DiscreteStatsTable[Average])),0)</f>
        <v>1.0173477957593224</v>
      </c>
      <c r="O512" s="5" cm="1">
        <f t="array" ref="O512">IFERROR(_xlfn.STDEV.S(IF((DiscreteStatsTable[GroupByKey]=DiscreteStatsTable[[#This Row],[GroupByKey]]),(DiscreteStatsTable[GroupByKey]=DiscreteStatsTable[[#This Row],[GroupByKey]])*DiscreteStatsTable[Average])),0)</f>
        <v>1.7460194515021608</v>
      </c>
      <c r="P512" s="5" cm="1">
        <f t="array" ref="P512">MAX(IF((ProjectInfoTable[ProjectName]=DiscreteStatsTable[[#This Row],[ProjectName]]),(ProjectInfoTable[ProjectName]=DiscreteStatsTable[[#This Row],[ProjectName]])*ProjectInfoTable[ConfidenceInterval]))</f>
        <v>0.95</v>
      </c>
      <c r="Q512" s="5">
        <f>IF(AND(DiscreteStatsTable[[#This Row],[RepsWithStatObserved]]=1,Y512=0),200000000000000000000,IFERROR(_xlfn.T.INV.2T(1 -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0.84155443745405745</v>
      </c>
      <c r="R512" s="5" cm="1">
        <f t="array" ref="R512">MIN(IF((DiscreteStatsTable[GroupByKey]=DiscreteStatsTable[[#This Row],[GroupByKey]]),(DiscreteStatsTable[GroupByKey]=DiscreteStatsTable[[#This Row],[GroupByKey]])*DiscreteStatsTable[Average]))</f>
        <v>8.3023219101837395E-2</v>
      </c>
      <c r="S512" s="5" cm="1">
        <f t="array" ref="S512">MAX(IF((DiscreteStatsTable[GroupByKey]=DiscreteStatsTable[[#This Row],[GroupByKey]]),(DiscreteStatsTable[GroupByKey]=DiscreteStatsTable[[#This Row],[GroupByKey]])*DiscreteStatsTable[Average]))</f>
        <v>7.4627874217685699</v>
      </c>
      <c r="T512" s="5" cm="1">
        <f t="array" ref="T512">MIN(IF((DiscreteStatsTable[GroupByKey]=DiscreteStatsTable[[#This Row],[GroupByKey]]),(DiscreteStatsTable[GroupByKey]=DiscreteStatsTable[[#This Row],[GroupByKey]])*DiscreteStatsTable[Minimum]))</f>
        <v>8.3023219101837395E-2</v>
      </c>
      <c r="U512" s="5" cm="1">
        <f t="array" ref="U512">MAX(IF((DiscreteStatsTable[GroupByKey]=DiscreteStatsTable[[#This Row],[GroupByKey]]),(DiscreteStatsTable[GroupByKey]=DiscreteStatsTable[[#This Row],[GroupByKey]])*DiscreteStatsTable[Maximum]))</f>
        <v>7.4627874217685699</v>
      </c>
      <c r="V512" s="5" cm="1">
        <f t="array" ref="V512">IFERROR(AVERAGE(IF((DiscreteStatsTable[GroupByKey]=DiscreteStatsTable[[#This Row],[GroupByKey]]),(DiscreteStatsTable[GroupByKey]=DiscreteStatsTable[[#This Row],[GroupByKey]])*DiscreteStatsTable[NumberObservations])),0)</f>
        <v>1</v>
      </c>
      <c r="W512" s="5">
        <f>IF((DiscreteStatsTable[[#This Row],[RepsRequested]]&gt;1),DiscreteStatsTable[[#This Row],[HalfWidth]],DiscreteStatsTable[[#This Row],[BatchMeansHalfWidth]])</f>
        <v>0.84155443745405745</v>
      </c>
      <c r="X512" s="5" cm="1">
        <f t="array" ref="X512">COUNT(IF((DiscreteStatsTable[GroupByKey]=DiscreteStatsTable[[#This Row],[GroupByKey]]),(DiscreteStatsTable[GroupByKey]=DiscreteStatsTable[[#This Row],[GroupByKey]])*DiscreteStatsTable[Replication]))</f>
        <v>19</v>
      </c>
      <c r="Y512" s="5">
        <f>IF(DiscreteStatsTable[[#This Row],[RepsRequested]]=DiscreteStatsTable[[#This Row],[RepsWithStatObserved]],1,0)</f>
        <v>1</v>
      </c>
    </row>
    <row r="513" spans="1:25" x14ac:dyDescent="0.25">
      <c r="A513" t="s">
        <v>67</v>
      </c>
      <c r="B513" t="s">
        <v>69</v>
      </c>
      <c r="C513">
        <v>18</v>
      </c>
      <c r="D513" t="s">
        <v>100</v>
      </c>
      <c r="E513" t="s">
        <v>79</v>
      </c>
      <c r="F513" t="s">
        <v>80</v>
      </c>
      <c r="G513">
        <v>1.21909909404829</v>
      </c>
      <c r="H513">
        <v>2E+20</v>
      </c>
      <c r="I513">
        <v>1.21909909404829</v>
      </c>
      <c r="J513">
        <v>1.21909909404829</v>
      </c>
      <c r="K513">
        <v>1</v>
      </c>
      <c r="L51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compartida)PrepPedidoH1ExpressionUser Specified</v>
      </c>
      <c r="M513" s="5" cm="1">
        <f t="array" ref="M513">MAX(IF((ProjectInfoTable[ProjectName]=DiscreteStatsTable[[#This Row],[ProjectName]]),(ProjectInfoTable[ProjectName]=DiscreteStatsTable[[#This Row],[ProjectName]])*ProjectInfoTable[NumberOfReplications]))</f>
        <v>19</v>
      </c>
      <c r="N513" s="5" cm="1">
        <f t="array" ref="N513">IFERROR(AVERAGE(IF((DiscreteStatsTable[GroupByKey]=DiscreteStatsTable[[#This Row],[GroupByKey]]),(DiscreteStatsTable[GroupByKey]=DiscreteStatsTable[[#This Row],[GroupByKey]])*DiscreteStatsTable[Average])),0)</f>
        <v>1.0173477957593224</v>
      </c>
      <c r="O513" s="5" cm="1">
        <f t="array" ref="O513">IFERROR(_xlfn.STDEV.S(IF((DiscreteStatsTable[GroupByKey]=DiscreteStatsTable[[#This Row],[GroupByKey]]),(DiscreteStatsTable[GroupByKey]=DiscreteStatsTable[[#This Row],[GroupByKey]])*DiscreteStatsTable[Average])),0)</f>
        <v>1.7460194515021608</v>
      </c>
      <c r="P513" s="5" cm="1">
        <f t="array" ref="P513">MAX(IF((ProjectInfoTable[ProjectName]=DiscreteStatsTable[[#This Row],[ProjectName]]),(ProjectInfoTable[ProjectName]=DiscreteStatsTable[[#This Row],[ProjectName]])*ProjectInfoTable[ConfidenceInterval]))</f>
        <v>0.95</v>
      </c>
      <c r="Q513" s="5">
        <f>IF(AND(DiscreteStatsTable[[#This Row],[RepsWithStatObserved]]=1,Y513=0),200000000000000000000,IFERROR(_xlfn.T.INV.2T(1 -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0.84155443745405745</v>
      </c>
      <c r="R513" s="5" cm="1">
        <f t="array" ref="R513">MIN(IF((DiscreteStatsTable[GroupByKey]=DiscreteStatsTable[[#This Row],[GroupByKey]]),(DiscreteStatsTable[GroupByKey]=DiscreteStatsTable[[#This Row],[GroupByKey]])*DiscreteStatsTable[Average]))</f>
        <v>8.3023219101837395E-2</v>
      </c>
      <c r="S513" s="5" cm="1">
        <f t="array" ref="S513">MAX(IF((DiscreteStatsTable[GroupByKey]=DiscreteStatsTable[[#This Row],[GroupByKey]]),(DiscreteStatsTable[GroupByKey]=DiscreteStatsTable[[#This Row],[GroupByKey]])*DiscreteStatsTable[Average]))</f>
        <v>7.4627874217685699</v>
      </c>
      <c r="T513" s="5" cm="1">
        <f t="array" ref="T513">MIN(IF((DiscreteStatsTable[GroupByKey]=DiscreteStatsTable[[#This Row],[GroupByKey]]),(DiscreteStatsTable[GroupByKey]=DiscreteStatsTable[[#This Row],[GroupByKey]])*DiscreteStatsTable[Minimum]))</f>
        <v>8.3023219101837395E-2</v>
      </c>
      <c r="U513" s="5" cm="1">
        <f t="array" ref="U513">MAX(IF((DiscreteStatsTable[GroupByKey]=DiscreteStatsTable[[#This Row],[GroupByKey]]),(DiscreteStatsTable[GroupByKey]=DiscreteStatsTable[[#This Row],[GroupByKey]])*DiscreteStatsTable[Maximum]))</f>
        <v>7.4627874217685699</v>
      </c>
      <c r="V513" s="5" cm="1">
        <f t="array" ref="V513">IFERROR(AVERAGE(IF((DiscreteStatsTable[GroupByKey]=DiscreteStatsTable[[#This Row],[GroupByKey]]),(DiscreteStatsTable[GroupByKey]=DiscreteStatsTable[[#This Row],[GroupByKey]])*DiscreteStatsTable[NumberObservations])),0)</f>
        <v>1</v>
      </c>
      <c r="W513" s="5">
        <f>IF((DiscreteStatsTable[[#This Row],[RepsRequested]]&gt;1),DiscreteStatsTable[[#This Row],[HalfWidth]],DiscreteStatsTable[[#This Row],[BatchMeansHalfWidth]])</f>
        <v>0.84155443745405745</v>
      </c>
      <c r="X513" s="5" cm="1">
        <f t="array" ref="X513">COUNT(IF((DiscreteStatsTable[GroupByKey]=DiscreteStatsTable[[#This Row],[GroupByKey]]),(DiscreteStatsTable[GroupByKey]=DiscreteStatsTable[[#This Row],[GroupByKey]])*DiscreteStatsTable[Replication]))</f>
        <v>19</v>
      </c>
      <c r="Y513" s="5">
        <f>IF(DiscreteStatsTable[[#This Row],[RepsRequested]]=DiscreteStatsTable[[#This Row],[RepsWithStatObserved]],1,0)</f>
        <v>1</v>
      </c>
    </row>
    <row r="514" spans="1:25" x14ac:dyDescent="0.25">
      <c r="A514" t="s">
        <v>67</v>
      </c>
      <c r="B514" t="s">
        <v>69</v>
      </c>
      <c r="C514">
        <v>19</v>
      </c>
      <c r="D514" t="s">
        <v>100</v>
      </c>
      <c r="E514" t="s">
        <v>79</v>
      </c>
      <c r="F514" t="s">
        <v>80</v>
      </c>
      <c r="G514">
        <v>0.19988700065728299</v>
      </c>
      <c r="H514">
        <v>2E+20</v>
      </c>
      <c r="I514">
        <v>0.19988700065728299</v>
      </c>
      <c r="J514">
        <v>0.19988700065728299</v>
      </c>
      <c r="K514">
        <v>1</v>
      </c>
      <c r="L51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compartida)PrepPedidoH1ExpressionUser Specified</v>
      </c>
      <c r="M514" s="5" cm="1">
        <f t="array" ref="M514">MAX(IF((ProjectInfoTable[ProjectName]=DiscreteStatsTable[[#This Row],[ProjectName]]),(ProjectInfoTable[ProjectName]=DiscreteStatsTable[[#This Row],[ProjectName]])*ProjectInfoTable[NumberOfReplications]))</f>
        <v>19</v>
      </c>
      <c r="N514" s="5" cm="1">
        <f t="array" ref="N514">IFERROR(AVERAGE(IF((DiscreteStatsTable[GroupByKey]=DiscreteStatsTable[[#This Row],[GroupByKey]]),(DiscreteStatsTable[GroupByKey]=DiscreteStatsTable[[#This Row],[GroupByKey]])*DiscreteStatsTable[Average])),0)</f>
        <v>1.0173477957593224</v>
      </c>
      <c r="O514" s="5" cm="1">
        <f t="array" ref="O514">IFERROR(_xlfn.STDEV.S(IF((DiscreteStatsTable[GroupByKey]=DiscreteStatsTable[[#This Row],[GroupByKey]]),(DiscreteStatsTable[GroupByKey]=DiscreteStatsTable[[#This Row],[GroupByKey]])*DiscreteStatsTable[Average])),0)</f>
        <v>1.7460194515021608</v>
      </c>
      <c r="P514" s="5" cm="1">
        <f t="array" ref="P514">MAX(IF((ProjectInfoTable[ProjectName]=DiscreteStatsTable[[#This Row],[ProjectName]]),(ProjectInfoTable[ProjectName]=DiscreteStatsTable[[#This Row],[ProjectName]])*ProjectInfoTable[ConfidenceInterval]))</f>
        <v>0.95</v>
      </c>
      <c r="Q514" s="5">
        <f>IF(AND(DiscreteStatsTable[[#This Row],[RepsWithStatObserved]]=1,Y514=0),200000000000000000000,IFERROR(_xlfn.T.INV.2T(1 -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0.84155443745405745</v>
      </c>
      <c r="R514" s="5" cm="1">
        <f t="array" ref="R514">MIN(IF((DiscreteStatsTable[GroupByKey]=DiscreteStatsTable[[#This Row],[GroupByKey]]),(DiscreteStatsTable[GroupByKey]=DiscreteStatsTable[[#This Row],[GroupByKey]])*DiscreteStatsTable[Average]))</f>
        <v>8.3023219101837395E-2</v>
      </c>
      <c r="S514" s="5" cm="1">
        <f t="array" ref="S514">MAX(IF((DiscreteStatsTable[GroupByKey]=DiscreteStatsTable[[#This Row],[GroupByKey]]),(DiscreteStatsTable[GroupByKey]=DiscreteStatsTable[[#This Row],[GroupByKey]])*DiscreteStatsTable[Average]))</f>
        <v>7.4627874217685699</v>
      </c>
      <c r="T514" s="5" cm="1">
        <f t="array" ref="T514">MIN(IF((DiscreteStatsTable[GroupByKey]=DiscreteStatsTable[[#This Row],[GroupByKey]]),(DiscreteStatsTable[GroupByKey]=DiscreteStatsTable[[#This Row],[GroupByKey]])*DiscreteStatsTable[Minimum]))</f>
        <v>8.3023219101837395E-2</v>
      </c>
      <c r="U514" s="5" cm="1">
        <f t="array" ref="U514">MAX(IF((DiscreteStatsTable[GroupByKey]=DiscreteStatsTable[[#This Row],[GroupByKey]]),(DiscreteStatsTable[GroupByKey]=DiscreteStatsTable[[#This Row],[GroupByKey]])*DiscreteStatsTable[Maximum]))</f>
        <v>7.4627874217685699</v>
      </c>
      <c r="V514" s="5" cm="1">
        <f t="array" ref="V514">IFERROR(AVERAGE(IF((DiscreteStatsTable[GroupByKey]=DiscreteStatsTable[[#This Row],[GroupByKey]]),(DiscreteStatsTable[GroupByKey]=DiscreteStatsTable[[#This Row],[GroupByKey]])*DiscreteStatsTable[NumberObservations])),0)</f>
        <v>1</v>
      </c>
      <c r="W514" s="5">
        <f>IF((DiscreteStatsTable[[#This Row],[RepsRequested]]&gt;1),DiscreteStatsTable[[#This Row],[HalfWidth]],DiscreteStatsTable[[#This Row],[BatchMeansHalfWidth]])</f>
        <v>0.84155443745405745</v>
      </c>
      <c r="X514" s="5" cm="1">
        <f t="array" ref="X514">COUNT(IF((DiscreteStatsTable[GroupByKey]=DiscreteStatsTable[[#This Row],[GroupByKey]]),(DiscreteStatsTable[GroupByKey]=DiscreteStatsTable[[#This Row],[GroupByKey]])*DiscreteStatsTable[Replication]))</f>
        <v>19</v>
      </c>
      <c r="Y514" s="5">
        <f>IF(DiscreteStatsTable[[#This Row],[RepsRequested]]=DiscreteStatsTable[[#This Row],[RepsWithStatObserved]],1,0)</f>
        <v>1</v>
      </c>
    </row>
    <row r="515" spans="1:25" x14ac:dyDescent="0.25">
      <c r="A515" t="s">
        <v>67</v>
      </c>
      <c r="B515" t="s">
        <v>69</v>
      </c>
      <c r="C515">
        <v>1</v>
      </c>
      <c r="D515" t="s">
        <v>101</v>
      </c>
      <c r="E515" t="s">
        <v>79</v>
      </c>
      <c r="F515" t="s">
        <v>80</v>
      </c>
      <c r="G515">
        <v>4.3693363262549898</v>
      </c>
      <c r="H515">
        <v>2E+20</v>
      </c>
      <c r="I515">
        <v>4.3693363262549898</v>
      </c>
      <c r="J515">
        <v>4.3693363262549898</v>
      </c>
      <c r="K515">
        <v>1</v>
      </c>
      <c r="L51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compartida)PrepPedidoH2ExpressionUser Specified</v>
      </c>
      <c r="M515" s="5" cm="1">
        <f t="array" ref="M515">MAX(IF((ProjectInfoTable[ProjectName]=DiscreteStatsTable[[#This Row],[ProjectName]]),(ProjectInfoTable[ProjectName]=DiscreteStatsTable[[#This Row],[ProjectName]])*ProjectInfoTable[NumberOfReplications]))</f>
        <v>19</v>
      </c>
      <c r="N515" s="5" cm="1">
        <f t="array" ref="N515">IFERROR(AVERAGE(IF((DiscreteStatsTable[GroupByKey]=DiscreteStatsTable[[#This Row],[GroupByKey]]),(DiscreteStatsTable[GroupByKey]=DiscreteStatsTable[[#This Row],[GroupByKey]])*DiscreteStatsTable[Average])),0)</f>
        <v>0.73378328081682775</v>
      </c>
      <c r="O515" s="5" cm="1">
        <f t="array" ref="O515">IFERROR(_xlfn.STDEV.S(IF((DiscreteStatsTable[GroupByKey]=DiscreteStatsTable[[#This Row],[GroupByKey]]),(DiscreteStatsTable[GroupByKey]=DiscreteStatsTable[[#This Row],[GroupByKey]])*DiscreteStatsTable[Average])),0)</f>
        <v>0.97952613845285885</v>
      </c>
      <c r="P515" s="5" cm="1">
        <f t="array" ref="P515">MAX(IF((ProjectInfoTable[ProjectName]=DiscreteStatsTable[[#This Row],[ProjectName]]),(ProjectInfoTable[ProjectName]=DiscreteStatsTable[[#This Row],[ProjectName]])*ProjectInfoTable[ConfidenceInterval]))</f>
        <v>0.95</v>
      </c>
      <c r="Q515" s="5">
        <f>IF(AND(DiscreteStatsTable[[#This Row],[RepsWithStatObserved]]=1,Y515=0),200000000000000000000,IFERROR(_xlfn.T.INV.2T(1 -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0.47211648627857267</v>
      </c>
      <c r="R515" s="5" cm="1">
        <f t="array" ref="R515">MIN(IF((DiscreteStatsTable[GroupByKey]=DiscreteStatsTable[[#This Row],[GroupByKey]]),(DiscreteStatsTable[GroupByKey]=DiscreteStatsTable[[#This Row],[GroupByKey]])*DiscreteStatsTable[Average]))</f>
        <v>0.13640938023180099</v>
      </c>
      <c r="S515" s="5" cm="1">
        <f t="array" ref="S515">MAX(IF((DiscreteStatsTable[GroupByKey]=DiscreteStatsTable[[#This Row],[GroupByKey]]),(DiscreteStatsTable[GroupByKey]=DiscreteStatsTable[[#This Row],[GroupByKey]])*DiscreteStatsTable[Average]))</f>
        <v>4.3693363262549898</v>
      </c>
      <c r="T515" s="5" cm="1">
        <f t="array" ref="T515">MIN(IF((DiscreteStatsTable[GroupByKey]=DiscreteStatsTable[[#This Row],[GroupByKey]]),(DiscreteStatsTable[GroupByKey]=DiscreteStatsTable[[#This Row],[GroupByKey]])*DiscreteStatsTable[Minimum]))</f>
        <v>0.13640938023180099</v>
      </c>
      <c r="U515" s="5" cm="1">
        <f t="array" ref="U515">MAX(IF((DiscreteStatsTable[GroupByKey]=DiscreteStatsTable[[#This Row],[GroupByKey]]),(DiscreteStatsTable[GroupByKey]=DiscreteStatsTable[[#This Row],[GroupByKey]])*DiscreteStatsTable[Maximum]))</f>
        <v>4.3693363262549898</v>
      </c>
      <c r="V515" s="5" cm="1">
        <f t="array" ref="V515">IFERROR(AVERAGE(IF((DiscreteStatsTable[GroupByKey]=DiscreteStatsTable[[#This Row],[GroupByKey]]),(DiscreteStatsTable[GroupByKey]=DiscreteStatsTable[[#This Row],[GroupByKey]])*DiscreteStatsTable[NumberObservations])),0)</f>
        <v>1</v>
      </c>
      <c r="W515" s="5">
        <f>IF((DiscreteStatsTable[[#This Row],[RepsRequested]]&gt;1),DiscreteStatsTable[[#This Row],[HalfWidth]],DiscreteStatsTable[[#This Row],[BatchMeansHalfWidth]])</f>
        <v>0.47211648627857267</v>
      </c>
      <c r="X515" s="5" cm="1">
        <f t="array" ref="X515">COUNT(IF((DiscreteStatsTable[GroupByKey]=DiscreteStatsTable[[#This Row],[GroupByKey]]),(DiscreteStatsTable[GroupByKey]=DiscreteStatsTable[[#This Row],[GroupByKey]])*DiscreteStatsTable[Replication]))</f>
        <v>19</v>
      </c>
      <c r="Y515" s="5">
        <f>IF(DiscreteStatsTable[[#This Row],[RepsRequested]]=DiscreteStatsTable[[#This Row],[RepsWithStatObserved]],1,0)</f>
        <v>1</v>
      </c>
    </row>
    <row r="516" spans="1:25" x14ac:dyDescent="0.25">
      <c r="A516" t="s">
        <v>67</v>
      </c>
      <c r="B516" t="s">
        <v>69</v>
      </c>
      <c r="C516">
        <v>2</v>
      </c>
      <c r="D516" t="s">
        <v>101</v>
      </c>
      <c r="E516" t="s">
        <v>79</v>
      </c>
      <c r="F516" t="s">
        <v>80</v>
      </c>
      <c r="G516">
        <v>0.25583459009436299</v>
      </c>
      <c r="H516">
        <v>2E+20</v>
      </c>
      <c r="I516">
        <v>0.25583459009436299</v>
      </c>
      <c r="J516">
        <v>0.25583459009436299</v>
      </c>
      <c r="K516">
        <v>1</v>
      </c>
      <c r="L51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compartida)PrepPedidoH2ExpressionUser Specified</v>
      </c>
      <c r="M516" s="5" cm="1">
        <f t="array" ref="M516">MAX(IF((ProjectInfoTable[ProjectName]=DiscreteStatsTable[[#This Row],[ProjectName]]),(ProjectInfoTable[ProjectName]=DiscreteStatsTable[[#This Row],[ProjectName]])*ProjectInfoTable[NumberOfReplications]))</f>
        <v>19</v>
      </c>
      <c r="N516" s="5" cm="1">
        <f t="array" ref="N516">IFERROR(AVERAGE(IF((DiscreteStatsTable[GroupByKey]=DiscreteStatsTable[[#This Row],[GroupByKey]]),(DiscreteStatsTable[GroupByKey]=DiscreteStatsTable[[#This Row],[GroupByKey]])*DiscreteStatsTable[Average])),0)</f>
        <v>0.73378328081682775</v>
      </c>
      <c r="O516" s="5" cm="1">
        <f t="array" ref="O516">IFERROR(_xlfn.STDEV.S(IF((DiscreteStatsTable[GroupByKey]=DiscreteStatsTable[[#This Row],[GroupByKey]]),(DiscreteStatsTable[GroupByKey]=DiscreteStatsTable[[#This Row],[GroupByKey]])*DiscreteStatsTable[Average])),0)</f>
        <v>0.97952613845285885</v>
      </c>
      <c r="P516" s="5" cm="1">
        <f t="array" ref="P516">MAX(IF((ProjectInfoTable[ProjectName]=DiscreteStatsTable[[#This Row],[ProjectName]]),(ProjectInfoTable[ProjectName]=DiscreteStatsTable[[#This Row],[ProjectName]])*ProjectInfoTable[ConfidenceInterval]))</f>
        <v>0.95</v>
      </c>
      <c r="Q516" s="5">
        <f>IF(AND(DiscreteStatsTable[[#This Row],[RepsWithStatObserved]]=1,Y516=0),200000000000000000000,IFERROR(_xlfn.T.INV.2T(1 -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0.47211648627857267</v>
      </c>
      <c r="R516" s="5" cm="1">
        <f t="array" ref="R516">MIN(IF((DiscreteStatsTable[GroupByKey]=DiscreteStatsTable[[#This Row],[GroupByKey]]),(DiscreteStatsTable[GroupByKey]=DiscreteStatsTable[[#This Row],[GroupByKey]])*DiscreteStatsTable[Average]))</f>
        <v>0.13640938023180099</v>
      </c>
      <c r="S516" s="5" cm="1">
        <f t="array" ref="S516">MAX(IF((DiscreteStatsTable[GroupByKey]=DiscreteStatsTable[[#This Row],[GroupByKey]]),(DiscreteStatsTable[GroupByKey]=DiscreteStatsTable[[#This Row],[GroupByKey]])*DiscreteStatsTable[Average]))</f>
        <v>4.3693363262549898</v>
      </c>
      <c r="T516" s="5" cm="1">
        <f t="array" ref="T516">MIN(IF((DiscreteStatsTable[GroupByKey]=DiscreteStatsTable[[#This Row],[GroupByKey]]),(DiscreteStatsTable[GroupByKey]=DiscreteStatsTable[[#This Row],[GroupByKey]])*DiscreteStatsTable[Minimum]))</f>
        <v>0.13640938023180099</v>
      </c>
      <c r="U516" s="5" cm="1">
        <f t="array" ref="U516">MAX(IF((DiscreteStatsTable[GroupByKey]=DiscreteStatsTable[[#This Row],[GroupByKey]]),(DiscreteStatsTable[GroupByKey]=DiscreteStatsTable[[#This Row],[GroupByKey]])*DiscreteStatsTable[Maximum]))</f>
        <v>4.3693363262549898</v>
      </c>
      <c r="V516" s="5" cm="1">
        <f t="array" ref="V516">IFERROR(AVERAGE(IF((DiscreteStatsTable[GroupByKey]=DiscreteStatsTable[[#This Row],[GroupByKey]]),(DiscreteStatsTable[GroupByKey]=DiscreteStatsTable[[#This Row],[GroupByKey]])*DiscreteStatsTable[NumberObservations])),0)</f>
        <v>1</v>
      </c>
      <c r="W516" s="5">
        <f>IF((DiscreteStatsTable[[#This Row],[RepsRequested]]&gt;1),DiscreteStatsTable[[#This Row],[HalfWidth]],DiscreteStatsTable[[#This Row],[BatchMeansHalfWidth]])</f>
        <v>0.47211648627857267</v>
      </c>
      <c r="X516" s="5" cm="1">
        <f t="array" ref="X516">COUNT(IF((DiscreteStatsTable[GroupByKey]=DiscreteStatsTable[[#This Row],[GroupByKey]]),(DiscreteStatsTable[GroupByKey]=DiscreteStatsTable[[#This Row],[GroupByKey]])*DiscreteStatsTable[Replication]))</f>
        <v>19</v>
      </c>
      <c r="Y516" s="5">
        <f>IF(DiscreteStatsTable[[#This Row],[RepsRequested]]=DiscreteStatsTable[[#This Row],[RepsWithStatObserved]],1,0)</f>
        <v>1</v>
      </c>
    </row>
    <row r="517" spans="1:25" x14ac:dyDescent="0.25">
      <c r="A517" t="s">
        <v>67</v>
      </c>
      <c r="B517" t="s">
        <v>69</v>
      </c>
      <c r="C517">
        <v>3</v>
      </c>
      <c r="D517" t="s">
        <v>101</v>
      </c>
      <c r="E517" t="s">
        <v>79</v>
      </c>
      <c r="F517" t="s">
        <v>80</v>
      </c>
      <c r="G517">
        <v>1.9518670654121899</v>
      </c>
      <c r="H517">
        <v>2E+20</v>
      </c>
      <c r="I517">
        <v>1.9518670654121899</v>
      </c>
      <c r="J517">
        <v>1.9518670654121899</v>
      </c>
      <c r="K517">
        <v>1</v>
      </c>
      <c r="L51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compartida)PrepPedidoH2ExpressionUser Specified</v>
      </c>
      <c r="M517" s="5" cm="1">
        <f t="array" ref="M517">MAX(IF((ProjectInfoTable[ProjectName]=DiscreteStatsTable[[#This Row],[ProjectName]]),(ProjectInfoTable[ProjectName]=DiscreteStatsTable[[#This Row],[ProjectName]])*ProjectInfoTable[NumberOfReplications]))</f>
        <v>19</v>
      </c>
      <c r="N517" s="5" cm="1">
        <f t="array" ref="N517">IFERROR(AVERAGE(IF((DiscreteStatsTable[GroupByKey]=DiscreteStatsTable[[#This Row],[GroupByKey]]),(DiscreteStatsTable[GroupByKey]=DiscreteStatsTable[[#This Row],[GroupByKey]])*DiscreteStatsTable[Average])),0)</f>
        <v>0.73378328081682775</v>
      </c>
      <c r="O517" s="5" cm="1">
        <f t="array" ref="O517">IFERROR(_xlfn.STDEV.S(IF((DiscreteStatsTable[GroupByKey]=DiscreteStatsTable[[#This Row],[GroupByKey]]),(DiscreteStatsTable[GroupByKey]=DiscreteStatsTable[[#This Row],[GroupByKey]])*DiscreteStatsTable[Average])),0)</f>
        <v>0.97952613845285885</v>
      </c>
      <c r="P517" s="5" cm="1">
        <f t="array" ref="P517">MAX(IF((ProjectInfoTable[ProjectName]=DiscreteStatsTable[[#This Row],[ProjectName]]),(ProjectInfoTable[ProjectName]=DiscreteStatsTable[[#This Row],[ProjectName]])*ProjectInfoTable[ConfidenceInterval]))</f>
        <v>0.95</v>
      </c>
      <c r="Q517" s="5">
        <f>IF(AND(DiscreteStatsTable[[#This Row],[RepsWithStatObserved]]=1,Y517=0),200000000000000000000,IFERROR(_xlfn.T.INV.2T(1 -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0.47211648627857267</v>
      </c>
      <c r="R517" s="5" cm="1">
        <f t="array" ref="R517">MIN(IF((DiscreteStatsTable[GroupByKey]=DiscreteStatsTable[[#This Row],[GroupByKey]]),(DiscreteStatsTable[GroupByKey]=DiscreteStatsTable[[#This Row],[GroupByKey]])*DiscreteStatsTable[Average]))</f>
        <v>0.13640938023180099</v>
      </c>
      <c r="S517" s="5" cm="1">
        <f t="array" ref="S517">MAX(IF((DiscreteStatsTable[GroupByKey]=DiscreteStatsTable[[#This Row],[GroupByKey]]),(DiscreteStatsTable[GroupByKey]=DiscreteStatsTable[[#This Row],[GroupByKey]])*DiscreteStatsTable[Average]))</f>
        <v>4.3693363262549898</v>
      </c>
      <c r="T517" s="5" cm="1">
        <f t="array" ref="T517">MIN(IF((DiscreteStatsTable[GroupByKey]=DiscreteStatsTable[[#This Row],[GroupByKey]]),(DiscreteStatsTable[GroupByKey]=DiscreteStatsTable[[#This Row],[GroupByKey]])*DiscreteStatsTable[Minimum]))</f>
        <v>0.13640938023180099</v>
      </c>
      <c r="U517" s="5" cm="1">
        <f t="array" ref="U517">MAX(IF((DiscreteStatsTable[GroupByKey]=DiscreteStatsTable[[#This Row],[GroupByKey]]),(DiscreteStatsTable[GroupByKey]=DiscreteStatsTable[[#This Row],[GroupByKey]])*DiscreteStatsTable[Maximum]))</f>
        <v>4.3693363262549898</v>
      </c>
      <c r="V517" s="5" cm="1">
        <f t="array" ref="V517">IFERROR(AVERAGE(IF((DiscreteStatsTable[GroupByKey]=DiscreteStatsTable[[#This Row],[GroupByKey]]),(DiscreteStatsTable[GroupByKey]=DiscreteStatsTable[[#This Row],[GroupByKey]])*DiscreteStatsTable[NumberObservations])),0)</f>
        <v>1</v>
      </c>
      <c r="W517" s="5">
        <f>IF((DiscreteStatsTable[[#This Row],[RepsRequested]]&gt;1),DiscreteStatsTable[[#This Row],[HalfWidth]],DiscreteStatsTable[[#This Row],[BatchMeansHalfWidth]])</f>
        <v>0.47211648627857267</v>
      </c>
      <c r="X517" s="5" cm="1">
        <f t="array" ref="X517">COUNT(IF((DiscreteStatsTable[GroupByKey]=DiscreteStatsTable[[#This Row],[GroupByKey]]),(DiscreteStatsTable[GroupByKey]=DiscreteStatsTable[[#This Row],[GroupByKey]])*DiscreteStatsTable[Replication]))</f>
        <v>19</v>
      </c>
      <c r="Y517" s="5">
        <f>IF(DiscreteStatsTable[[#This Row],[RepsRequested]]=DiscreteStatsTable[[#This Row],[RepsWithStatObserved]],1,0)</f>
        <v>1</v>
      </c>
    </row>
    <row r="518" spans="1:25" x14ac:dyDescent="0.25">
      <c r="A518" t="s">
        <v>67</v>
      </c>
      <c r="B518" t="s">
        <v>69</v>
      </c>
      <c r="C518">
        <v>4</v>
      </c>
      <c r="D518" t="s">
        <v>101</v>
      </c>
      <c r="E518" t="s">
        <v>79</v>
      </c>
      <c r="F518" t="s">
        <v>80</v>
      </c>
      <c r="G518">
        <v>0.217502129149024</v>
      </c>
      <c r="H518">
        <v>2E+20</v>
      </c>
      <c r="I518">
        <v>0.217502129149024</v>
      </c>
      <c r="J518">
        <v>0.217502129149024</v>
      </c>
      <c r="K518">
        <v>1</v>
      </c>
      <c r="L51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compartida)PrepPedidoH2ExpressionUser Specified</v>
      </c>
      <c r="M518" s="5" cm="1">
        <f t="array" ref="M518">MAX(IF((ProjectInfoTable[ProjectName]=DiscreteStatsTable[[#This Row],[ProjectName]]),(ProjectInfoTable[ProjectName]=DiscreteStatsTable[[#This Row],[ProjectName]])*ProjectInfoTable[NumberOfReplications]))</f>
        <v>19</v>
      </c>
      <c r="N518" s="5" cm="1">
        <f t="array" ref="N518">IFERROR(AVERAGE(IF((DiscreteStatsTable[GroupByKey]=DiscreteStatsTable[[#This Row],[GroupByKey]]),(DiscreteStatsTable[GroupByKey]=DiscreteStatsTable[[#This Row],[GroupByKey]])*DiscreteStatsTable[Average])),0)</f>
        <v>0.73378328081682775</v>
      </c>
      <c r="O518" s="5" cm="1">
        <f t="array" ref="O518">IFERROR(_xlfn.STDEV.S(IF((DiscreteStatsTable[GroupByKey]=DiscreteStatsTable[[#This Row],[GroupByKey]]),(DiscreteStatsTable[GroupByKey]=DiscreteStatsTable[[#This Row],[GroupByKey]])*DiscreteStatsTable[Average])),0)</f>
        <v>0.97952613845285885</v>
      </c>
      <c r="P518" s="5" cm="1">
        <f t="array" ref="P518">MAX(IF((ProjectInfoTable[ProjectName]=DiscreteStatsTable[[#This Row],[ProjectName]]),(ProjectInfoTable[ProjectName]=DiscreteStatsTable[[#This Row],[ProjectName]])*ProjectInfoTable[ConfidenceInterval]))</f>
        <v>0.95</v>
      </c>
      <c r="Q518" s="5">
        <f>IF(AND(DiscreteStatsTable[[#This Row],[RepsWithStatObserved]]=1,Y518=0),200000000000000000000,IFERROR(_xlfn.T.INV.2T(1 -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0.47211648627857267</v>
      </c>
      <c r="R518" s="5" cm="1">
        <f t="array" ref="R518">MIN(IF((DiscreteStatsTable[GroupByKey]=DiscreteStatsTable[[#This Row],[GroupByKey]]),(DiscreteStatsTable[GroupByKey]=DiscreteStatsTable[[#This Row],[GroupByKey]])*DiscreteStatsTable[Average]))</f>
        <v>0.13640938023180099</v>
      </c>
      <c r="S518" s="5" cm="1">
        <f t="array" ref="S518">MAX(IF((DiscreteStatsTable[GroupByKey]=DiscreteStatsTable[[#This Row],[GroupByKey]]),(DiscreteStatsTable[GroupByKey]=DiscreteStatsTable[[#This Row],[GroupByKey]])*DiscreteStatsTable[Average]))</f>
        <v>4.3693363262549898</v>
      </c>
      <c r="T518" s="5" cm="1">
        <f t="array" ref="T518">MIN(IF((DiscreteStatsTable[GroupByKey]=DiscreteStatsTable[[#This Row],[GroupByKey]]),(DiscreteStatsTable[GroupByKey]=DiscreteStatsTable[[#This Row],[GroupByKey]])*DiscreteStatsTable[Minimum]))</f>
        <v>0.13640938023180099</v>
      </c>
      <c r="U518" s="5" cm="1">
        <f t="array" ref="U518">MAX(IF((DiscreteStatsTable[GroupByKey]=DiscreteStatsTable[[#This Row],[GroupByKey]]),(DiscreteStatsTable[GroupByKey]=DiscreteStatsTable[[#This Row],[GroupByKey]])*DiscreteStatsTable[Maximum]))</f>
        <v>4.3693363262549898</v>
      </c>
      <c r="V518" s="5" cm="1">
        <f t="array" ref="V518">IFERROR(AVERAGE(IF((DiscreteStatsTable[GroupByKey]=DiscreteStatsTable[[#This Row],[GroupByKey]]),(DiscreteStatsTable[GroupByKey]=DiscreteStatsTable[[#This Row],[GroupByKey]])*DiscreteStatsTable[NumberObservations])),0)</f>
        <v>1</v>
      </c>
      <c r="W518" s="5">
        <f>IF((DiscreteStatsTable[[#This Row],[RepsRequested]]&gt;1),DiscreteStatsTable[[#This Row],[HalfWidth]],DiscreteStatsTable[[#This Row],[BatchMeansHalfWidth]])</f>
        <v>0.47211648627857267</v>
      </c>
      <c r="X518" s="5" cm="1">
        <f t="array" ref="X518">COUNT(IF((DiscreteStatsTable[GroupByKey]=DiscreteStatsTable[[#This Row],[GroupByKey]]),(DiscreteStatsTable[GroupByKey]=DiscreteStatsTable[[#This Row],[GroupByKey]])*DiscreteStatsTable[Replication]))</f>
        <v>19</v>
      </c>
      <c r="Y518" s="5">
        <f>IF(DiscreteStatsTable[[#This Row],[RepsRequested]]=DiscreteStatsTable[[#This Row],[RepsWithStatObserved]],1,0)</f>
        <v>1</v>
      </c>
    </row>
    <row r="519" spans="1:25" x14ac:dyDescent="0.25">
      <c r="A519" t="s">
        <v>67</v>
      </c>
      <c r="B519" t="s">
        <v>69</v>
      </c>
      <c r="C519">
        <v>5</v>
      </c>
      <c r="D519" t="s">
        <v>101</v>
      </c>
      <c r="E519" t="s">
        <v>79</v>
      </c>
      <c r="F519" t="s">
        <v>80</v>
      </c>
      <c r="G519">
        <v>0.23546869980106599</v>
      </c>
      <c r="H519">
        <v>2E+20</v>
      </c>
      <c r="I519">
        <v>0.23546869980106599</v>
      </c>
      <c r="J519">
        <v>0.23546869980106599</v>
      </c>
      <c r="K519">
        <v>1</v>
      </c>
      <c r="L51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compartida)PrepPedidoH2ExpressionUser Specified</v>
      </c>
      <c r="M519" s="5" cm="1">
        <f t="array" ref="M519">MAX(IF((ProjectInfoTable[ProjectName]=DiscreteStatsTable[[#This Row],[ProjectName]]),(ProjectInfoTable[ProjectName]=DiscreteStatsTable[[#This Row],[ProjectName]])*ProjectInfoTable[NumberOfReplications]))</f>
        <v>19</v>
      </c>
      <c r="N519" s="5" cm="1">
        <f t="array" ref="N519">IFERROR(AVERAGE(IF((DiscreteStatsTable[GroupByKey]=DiscreteStatsTable[[#This Row],[GroupByKey]]),(DiscreteStatsTable[GroupByKey]=DiscreteStatsTable[[#This Row],[GroupByKey]])*DiscreteStatsTable[Average])),0)</f>
        <v>0.73378328081682775</v>
      </c>
      <c r="O519" s="5" cm="1">
        <f t="array" ref="O519">IFERROR(_xlfn.STDEV.S(IF((DiscreteStatsTable[GroupByKey]=DiscreteStatsTable[[#This Row],[GroupByKey]]),(DiscreteStatsTable[GroupByKey]=DiscreteStatsTable[[#This Row],[GroupByKey]])*DiscreteStatsTable[Average])),0)</f>
        <v>0.97952613845285885</v>
      </c>
      <c r="P519" s="5" cm="1">
        <f t="array" ref="P519">MAX(IF((ProjectInfoTable[ProjectName]=DiscreteStatsTable[[#This Row],[ProjectName]]),(ProjectInfoTable[ProjectName]=DiscreteStatsTable[[#This Row],[ProjectName]])*ProjectInfoTable[ConfidenceInterval]))</f>
        <v>0.95</v>
      </c>
      <c r="Q519" s="5">
        <f>IF(AND(DiscreteStatsTable[[#This Row],[RepsWithStatObserved]]=1,Y519=0),200000000000000000000,IFERROR(_xlfn.T.INV.2T(1 -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0.47211648627857267</v>
      </c>
      <c r="R519" s="5" cm="1">
        <f t="array" ref="R519">MIN(IF((DiscreteStatsTable[GroupByKey]=DiscreteStatsTable[[#This Row],[GroupByKey]]),(DiscreteStatsTable[GroupByKey]=DiscreteStatsTable[[#This Row],[GroupByKey]])*DiscreteStatsTable[Average]))</f>
        <v>0.13640938023180099</v>
      </c>
      <c r="S519" s="5" cm="1">
        <f t="array" ref="S519">MAX(IF((DiscreteStatsTable[GroupByKey]=DiscreteStatsTable[[#This Row],[GroupByKey]]),(DiscreteStatsTable[GroupByKey]=DiscreteStatsTable[[#This Row],[GroupByKey]])*DiscreteStatsTable[Average]))</f>
        <v>4.3693363262549898</v>
      </c>
      <c r="T519" s="5" cm="1">
        <f t="array" ref="T519">MIN(IF((DiscreteStatsTable[GroupByKey]=DiscreteStatsTable[[#This Row],[GroupByKey]]),(DiscreteStatsTable[GroupByKey]=DiscreteStatsTable[[#This Row],[GroupByKey]])*DiscreteStatsTable[Minimum]))</f>
        <v>0.13640938023180099</v>
      </c>
      <c r="U519" s="5" cm="1">
        <f t="array" ref="U519">MAX(IF((DiscreteStatsTable[GroupByKey]=DiscreteStatsTable[[#This Row],[GroupByKey]]),(DiscreteStatsTable[GroupByKey]=DiscreteStatsTable[[#This Row],[GroupByKey]])*DiscreteStatsTable[Maximum]))</f>
        <v>4.3693363262549898</v>
      </c>
      <c r="V519" s="5" cm="1">
        <f t="array" ref="V519">IFERROR(AVERAGE(IF((DiscreteStatsTable[GroupByKey]=DiscreteStatsTable[[#This Row],[GroupByKey]]),(DiscreteStatsTable[GroupByKey]=DiscreteStatsTable[[#This Row],[GroupByKey]])*DiscreteStatsTable[NumberObservations])),0)</f>
        <v>1</v>
      </c>
      <c r="W519" s="5">
        <f>IF((DiscreteStatsTable[[#This Row],[RepsRequested]]&gt;1),DiscreteStatsTable[[#This Row],[HalfWidth]],DiscreteStatsTable[[#This Row],[BatchMeansHalfWidth]])</f>
        <v>0.47211648627857267</v>
      </c>
      <c r="X519" s="5" cm="1">
        <f t="array" ref="X519">COUNT(IF((DiscreteStatsTable[GroupByKey]=DiscreteStatsTable[[#This Row],[GroupByKey]]),(DiscreteStatsTable[GroupByKey]=DiscreteStatsTable[[#This Row],[GroupByKey]])*DiscreteStatsTable[Replication]))</f>
        <v>19</v>
      </c>
      <c r="Y519" s="5">
        <f>IF(DiscreteStatsTable[[#This Row],[RepsRequested]]=DiscreteStatsTable[[#This Row],[RepsWithStatObserved]],1,0)</f>
        <v>1</v>
      </c>
    </row>
    <row r="520" spans="1:25" x14ac:dyDescent="0.25">
      <c r="A520" t="s">
        <v>67</v>
      </c>
      <c r="B520" t="s">
        <v>69</v>
      </c>
      <c r="C520">
        <v>6</v>
      </c>
      <c r="D520" t="s">
        <v>101</v>
      </c>
      <c r="E520" t="s">
        <v>79</v>
      </c>
      <c r="F520" t="s">
        <v>80</v>
      </c>
      <c r="G520">
        <v>0.210706700556029</v>
      </c>
      <c r="H520">
        <v>2E+20</v>
      </c>
      <c r="I520">
        <v>0.210706700556029</v>
      </c>
      <c r="J520">
        <v>0.210706700556029</v>
      </c>
      <c r="K520">
        <v>1</v>
      </c>
      <c r="L52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compartida)PrepPedidoH2ExpressionUser Specified</v>
      </c>
      <c r="M520" s="5" cm="1">
        <f t="array" ref="M520">MAX(IF((ProjectInfoTable[ProjectName]=DiscreteStatsTable[[#This Row],[ProjectName]]),(ProjectInfoTable[ProjectName]=DiscreteStatsTable[[#This Row],[ProjectName]])*ProjectInfoTable[NumberOfReplications]))</f>
        <v>19</v>
      </c>
      <c r="N520" s="5" cm="1">
        <f t="array" ref="N520">IFERROR(AVERAGE(IF((DiscreteStatsTable[GroupByKey]=DiscreteStatsTable[[#This Row],[GroupByKey]]),(DiscreteStatsTable[GroupByKey]=DiscreteStatsTable[[#This Row],[GroupByKey]])*DiscreteStatsTable[Average])),0)</f>
        <v>0.73378328081682775</v>
      </c>
      <c r="O520" s="5" cm="1">
        <f t="array" ref="O520">IFERROR(_xlfn.STDEV.S(IF((DiscreteStatsTable[GroupByKey]=DiscreteStatsTable[[#This Row],[GroupByKey]]),(DiscreteStatsTable[GroupByKey]=DiscreteStatsTable[[#This Row],[GroupByKey]])*DiscreteStatsTable[Average])),0)</f>
        <v>0.97952613845285885</v>
      </c>
      <c r="P520" s="5" cm="1">
        <f t="array" ref="P520">MAX(IF((ProjectInfoTable[ProjectName]=DiscreteStatsTable[[#This Row],[ProjectName]]),(ProjectInfoTable[ProjectName]=DiscreteStatsTable[[#This Row],[ProjectName]])*ProjectInfoTable[ConfidenceInterval]))</f>
        <v>0.95</v>
      </c>
      <c r="Q520" s="5">
        <f>IF(AND(DiscreteStatsTable[[#This Row],[RepsWithStatObserved]]=1,Y520=0),200000000000000000000,IFERROR(_xlfn.T.INV.2T(1 -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0.47211648627857267</v>
      </c>
      <c r="R520" s="5" cm="1">
        <f t="array" ref="R520">MIN(IF((DiscreteStatsTable[GroupByKey]=DiscreteStatsTable[[#This Row],[GroupByKey]]),(DiscreteStatsTable[GroupByKey]=DiscreteStatsTable[[#This Row],[GroupByKey]])*DiscreteStatsTable[Average]))</f>
        <v>0.13640938023180099</v>
      </c>
      <c r="S520" s="5" cm="1">
        <f t="array" ref="S520">MAX(IF((DiscreteStatsTable[GroupByKey]=DiscreteStatsTable[[#This Row],[GroupByKey]]),(DiscreteStatsTable[GroupByKey]=DiscreteStatsTable[[#This Row],[GroupByKey]])*DiscreteStatsTable[Average]))</f>
        <v>4.3693363262549898</v>
      </c>
      <c r="T520" s="5" cm="1">
        <f t="array" ref="T520">MIN(IF((DiscreteStatsTable[GroupByKey]=DiscreteStatsTable[[#This Row],[GroupByKey]]),(DiscreteStatsTable[GroupByKey]=DiscreteStatsTable[[#This Row],[GroupByKey]])*DiscreteStatsTable[Minimum]))</f>
        <v>0.13640938023180099</v>
      </c>
      <c r="U520" s="5" cm="1">
        <f t="array" ref="U520">MAX(IF((DiscreteStatsTable[GroupByKey]=DiscreteStatsTable[[#This Row],[GroupByKey]]),(DiscreteStatsTable[GroupByKey]=DiscreteStatsTable[[#This Row],[GroupByKey]])*DiscreteStatsTable[Maximum]))</f>
        <v>4.3693363262549898</v>
      </c>
      <c r="V520" s="5" cm="1">
        <f t="array" ref="V520">IFERROR(AVERAGE(IF((DiscreteStatsTable[GroupByKey]=DiscreteStatsTable[[#This Row],[GroupByKey]]),(DiscreteStatsTable[GroupByKey]=DiscreteStatsTable[[#This Row],[GroupByKey]])*DiscreteStatsTable[NumberObservations])),0)</f>
        <v>1</v>
      </c>
      <c r="W520" s="5">
        <f>IF((DiscreteStatsTable[[#This Row],[RepsRequested]]&gt;1),DiscreteStatsTable[[#This Row],[HalfWidth]],DiscreteStatsTable[[#This Row],[BatchMeansHalfWidth]])</f>
        <v>0.47211648627857267</v>
      </c>
      <c r="X520" s="5" cm="1">
        <f t="array" ref="X520">COUNT(IF((DiscreteStatsTable[GroupByKey]=DiscreteStatsTable[[#This Row],[GroupByKey]]),(DiscreteStatsTable[GroupByKey]=DiscreteStatsTable[[#This Row],[GroupByKey]])*DiscreteStatsTable[Replication]))</f>
        <v>19</v>
      </c>
      <c r="Y520" s="5">
        <f>IF(DiscreteStatsTable[[#This Row],[RepsRequested]]=DiscreteStatsTable[[#This Row],[RepsWithStatObserved]],1,0)</f>
        <v>1</v>
      </c>
    </row>
    <row r="521" spans="1:25" x14ac:dyDescent="0.25">
      <c r="A521" t="s">
        <v>67</v>
      </c>
      <c r="B521" t="s">
        <v>69</v>
      </c>
      <c r="C521">
        <v>7</v>
      </c>
      <c r="D521" t="s">
        <v>101</v>
      </c>
      <c r="E521" t="s">
        <v>79</v>
      </c>
      <c r="F521" t="s">
        <v>80</v>
      </c>
      <c r="G521">
        <v>0.41515595674053002</v>
      </c>
      <c r="H521">
        <v>2E+20</v>
      </c>
      <c r="I521">
        <v>0.41515595674053002</v>
      </c>
      <c r="J521">
        <v>0.41515595674053002</v>
      </c>
      <c r="K521">
        <v>1</v>
      </c>
      <c r="L52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compartida)PrepPedidoH2ExpressionUser Specified</v>
      </c>
      <c r="M521" s="5" cm="1">
        <f t="array" ref="M521">MAX(IF((ProjectInfoTable[ProjectName]=DiscreteStatsTable[[#This Row],[ProjectName]]),(ProjectInfoTable[ProjectName]=DiscreteStatsTable[[#This Row],[ProjectName]])*ProjectInfoTable[NumberOfReplications]))</f>
        <v>19</v>
      </c>
      <c r="N521" s="5" cm="1">
        <f t="array" ref="N521">IFERROR(AVERAGE(IF((DiscreteStatsTable[GroupByKey]=DiscreteStatsTable[[#This Row],[GroupByKey]]),(DiscreteStatsTable[GroupByKey]=DiscreteStatsTable[[#This Row],[GroupByKey]])*DiscreteStatsTable[Average])),0)</f>
        <v>0.73378328081682775</v>
      </c>
      <c r="O521" s="5" cm="1">
        <f t="array" ref="O521">IFERROR(_xlfn.STDEV.S(IF((DiscreteStatsTable[GroupByKey]=DiscreteStatsTable[[#This Row],[GroupByKey]]),(DiscreteStatsTable[GroupByKey]=DiscreteStatsTable[[#This Row],[GroupByKey]])*DiscreteStatsTable[Average])),0)</f>
        <v>0.97952613845285885</v>
      </c>
      <c r="P521" s="5" cm="1">
        <f t="array" ref="P521">MAX(IF((ProjectInfoTable[ProjectName]=DiscreteStatsTable[[#This Row],[ProjectName]]),(ProjectInfoTable[ProjectName]=DiscreteStatsTable[[#This Row],[ProjectName]])*ProjectInfoTable[ConfidenceInterval]))</f>
        <v>0.95</v>
      </c>
      <c r="Q521" s="5">
        <f>IF(AND(DiscreteStatsTable[[#This Row],[RepsWithStatObserved]]=1,Y521=0),200000000000000000000,IFERROR(_xlfn.T.INV.2T(1 -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0.47211648627857267</v>
      </c>
      <c r="R521" s="5" cm="1">
        <f t="array" ref="R521">MIN(IF((DiscreteStatsTable[GroupByKey]=DiscreteStatsTable[[#This Row],[GroupByKey]]),(DiscreteStatsTable[GroupByKey]=DiscreteStatsTable[[#This Row],[GroupByKey]])*DiscreteStatsTable[Average]))</f>
        <v>0.13640938023180099</v>
      </c>
      <c r="S521" s="5" cm="1">
        <f t="array" ref="S521">MAX(IF((DiscreteStatsTable[GroupByKey]=DiscreteStatsTable[[#This Row],[GroupByKey]]),(DiscreteStatsTable[GroupByKey]=DiscreteStatsTable[[#This Row],[GroupByKey]])*DiscreteStatsTable[Average]))</f>
        <v>4.3693363262549898</v>
      </c>
      <c r="T521" s="5" cm="1">
        <f t="array" ref="T521">MIN(IF((DiscreteStatsTable[GroupByKey]=DiscreteStatsTable[[#This Row],[GroupByKey]]),(DiscreteStatsTable[GroupByKey]=DiscreteStatsTable[[#This Row],[GroupByKey]])*DiscreteStatsTable[Minimum]))</f>
        <v>0.13640938023180099</v>
      </c>
      <c r="U521" s="5" cm="1">
        <f t="array" ref="U521">MAX(IF((DiscreteStatsTable[GroupByKey]=DiscreteStatsTable[[#This Row],[GroupByKey]]),(DiscreteStatsTable[GroupByKey]=DiscreteStatsTable[[#This Row],[GroupByKey]])*DiscreteStatsTable[Maximum]))</f>
        <v>4.3693363262549898</v>
      </c>
      <c r="V521" s="5" cm="1">
        <f t="array" ref="V521">IFERROR(AVERAGE(IF((DiscreteStatsTable[GroupByKey]=DiscreteStatsTable[[#This Row],[GroupByKey]]),(DiscreteStatsTable[GroupByKey]=DiscreteStatsTable[[#This Row],[GroupByKey]])*DiscreteStatsTable[NumberObservations])),0)</f>
        <v>1</v>
      </c>
      <c r="W521" s="5">
        <f>IF((DiscreteStatsTable[[#This Row],[RepsRequested]]&gt;1),DiscreteStatsTable[[#This Row],[HalfWidth]],DiscreteStatsTable[[#This Row],[BatchMeansHalfWidth]])</f>
        <v>0.47211648627857267</v>
      </c>
      <c r="X521" s="5" cm="1">
        <f t="array" ref="X521">COUNT(IF((DiscreteStatsTable[GroupByKey]=DiscreteStatsTable[[#This Row],[GroupByKey]]),(DiscreteStatsTable[GroupByKey]=DiscreteStatsTable[[#This Row],[GroupByKey]])*DiscreteStatsTable[Replication]))</f>
        <v>19</v>
      </c>
      <c r="Y521" s="5">
        <f>IF(DiscreteStatsTable[[#This Row],[RepsRequested]]=DiscreteStatsTable[[#This Row],[RepsWithStatObserved]],1,0)</f>
        <v>1</v>
      </c>
    </row>
    <row r="522" spans="1:25" x14ac:dyDescent="0.25">
      <c r="A522" t="s">
        <v>67</v>
      </c>
      <c r="B522" t="s">
        <v>69</v>
      </c>
      <c r="C522">
        <v>8</v>
      </c>
      <c r="D522" t="s">
        <v>101</v>
      </c>
      <c r="E522" t="s">
        <v>79</v>
      </c>
      <c r="F522" t="s">
        <v>80</v>
      </c>
      <c r="G522">
        <v>0.77775429728434997</v>
      </c>
      <c r="H522">
        <v>2E+20</v>
      </c>
      <c r="I522">
        <v>0.77775429728434997</v>
      </c>
      <c r="J522">
        <v>0.77775429728434997</v>
      </c>
      <c r="K522">
        <v>1</v>
      </c>
      <c r="L52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compartida)PrepPedidoH2ExpressionUser Specified</v>
      </c>
      <c r="M522" s="5" cm="1">
        <f t="array" ref="M522">MAX(IF((ProjectInfoTable[ProjectName]=DiscreteStatsTable[[#This Row],[ProjectName]]),(ProjectInfoTable[ProjectName]=DiscreteStatsTable[[#This Row],[ProjectName]])*ProjectInfoTable[NumberOfReplications]))</f>
        <v>19</v>
      </c>
      <c r="N522" s="5" cm="1">
        <f t="array" ref="N522">IFERROR(AVERAGE(IF((DiscreteStatsTable[GroupByKey]=DiscreteStatsTable[[#This Row],[GroupByKey]]),(DiscreteStatsTable[GroupByKey]=DiscreteStatsTable[[#This Row],[GroupByKey]])*DiscreteStatsTable[Average])),0)</f>
        <v>0.73378328081682775</v>
      </c>
      <c r="O522" s="5" cm="1">
        <f t="array" ref="O522">IFERROR(_xlfn.STDEV.S(IF((DiscreteStatsTable[GroupByKey]=DiscreteStatsTable[[#This Row],[GroupByKey]]),(DiscreteStatsTable[GroupByKey]=DiscreteStatsTable[[#This Row],[GroupByKey]])*DiscreteStatsTable[Average])),0)</f>
        <v>0.97952613845285885</v>
      </c>
      <c r="P522" s="5" cm="1">
        <f t="array" ref="P522">MAX(IF((ProjectInfoTable[ProjectName]=DiscreteStatsTable[[#This Row],[ProjectName]]),(ProjectInfoTable[ProjectName]=DiscreteStatsTable[[#This Row],[ProjectName]])*ProjectInfoTable[ConfidenceInterval]))</f>
        <v>0.95</v>
      </c>
      <c r="Q522" s="5">
        <f>IF(AND(DiscreteStatsTable[[#This Row],[RepsWithStatObserved]]=1,Y522=0),200000000000000000000,IFERROR(_xlfn.T.INV.2T(1 -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0.47211648627857267</v>
      </c>
      <c r="R522" s="5" cm="1">
        <f t="array" ref="R522">MIN(IF((DiscreteStatsTable[GroupByKey]=DiscreteStatsTable[[#This Row],[GroupByKey]]),(DiscreteStatsTable[GroupByKey]=DiscreteStatsTable[[#This Row],[GroupByKey]])*DiscreteStatsTable[Average]))</f>
        <v>0.13640938023180099</v>
      </c>
      <c r="S522" s="5" cm="1">
        <f t="array" ref="S522">MAX(IF((DiscreteStatsTable[GroupByKey]=DiscreteStatsTable[[#This Row],[GroupByKey]]),(DiscreteStatsTable[GroupByKey]=DiscreteStatsTable[[#This Row],[GroupByKey]])*DiscreteStatsTable[Average]))</f>
        <v>4.3693363262549898</v>
      </c>
      <c r="T522" s="5" cm="1">
        <f t="array" ref="T522">MIN(IF((DiscreteStatsTable[GroupByKey]=DiscreteStatsTable[[#This Row],[GroupByKey]]),(DiscreteStatsTable[GroupByKey]=DiscreteStatsTable[[#This Row],[GroupByKey]])*DiscreteStatsTable[Minimum]))</f>
        <v>0.13640938023180099</v>
      </c>
      <c r="U522" s="5" cm="1">
        <f t="array" ref="U522">MAX(IF((DiscreteStatsTable[GroupByKey]=DiscreteStatsTable[[#This Row],[GroupByKey]]),(DiscreteStatsTable[GroupByKey]=DiscreteStatsTable[[#This Row],[GroupByKey]])*DiscreteStatsTable[Maximum]))</f>
        <v>4.3693363262549898</v>
      </c>
      <c r="V522" s="5" cm="1">
        <f t="array" ref="V522">IFERROR(AVERAGE(IF((DiscreteStatsTable[GroupByKey]=DiscreteStatsTable[[#This Row],[GroupByKey]]),(DiscreteStatsTable[GroupByKey]=DiscreteStatsTable[[#This Row],[GroupByKey]])*DiscreteStatsTable[NumberObservations])),0)</f>
        <v>1</v>
      </c>
      <c r="W522" s="5">
        <f>IF((DiscreteStatsTable[[#This Row],[RepsRequested]]&gt;1),DiscreteStatsTable[[#This Row],[HalfWidth]],DiscreteStatsTable[[#This Row],[BatchMeansHalfWidth]])</f>
        <v>0.47211648627857267</v>
      </c>
      <c r="X522" s="5" cm="1">
        <f t="array" ref="X522">COUNT(IF((DiscreteStatsTable[GroupByKey]=DiscreteStatsTable[[#This Row],[GroupByKey]]),(DiscreteStatsTable[GroupByKey]=DiscreteStatsTable[[#This Row],[GroupByKey]])*DiscreteStatsTable[Replication]))</f>
        <v>19</v>
      </c>
      <c r="Y522" s="5">
        <f>IF(DiscreteStatsTable[[#This Row],[RepsRequested]]=DiscreteStatsTable[[#This Row],[RepsWithStatObserved]],1,0)</f>
        <v>1</v>
      </c>
    </row>
    <row r="523" spans="1:25" x14ac:dyDescent="0.25">
      <c r="A523" t="s">
        <v>67</v>
      </c>
      <c r="B523" t="s">
        <v>69</v>
      </c>
      <c r="C523">
        <v>9</v>
      </c>
      <c r="D523" t="s">
        <v>101</v>
      </c>
      <c r="E523" t="s">
        <v>79</v>
      </c>
      <c r="F523" t="s">
        <v>80</v>
      </c>
      <c r="G523">
        <v>0.43782929315001401</v>
      </c>
      <c r="H523">
        <v>2E+20</v>
      </c>
      <c r="I523">
        <v>0.43782929315001401</v>
      </c>
      <c r="J523">
        <v>0.43782929315001401</v>
      </c>
      <c r="K523">
        <v>1</v>
      </c>
      <c r="L52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compartida)PrepPedidoH2ExpressionUser Specified</v>
      </c>
      <c r="M523" s="5" cm="1">
        <f t="array" ref="M523">MAX(IF((ProjectInfoTable[ProjectName]=DiscreteStatsTable[[#This Row],[ProjectName]]),(ProjectInfoTable[ProjectName]=DiscreteStatsTable[[#This Row],[ProjectName]])*ProjectInfoTable[NumberOfReplications]))</f>
        <v>19</v>
      </c>
      <c r="N523" s="5" cm="1">
        <f t="array" ref="N523">IFERROR(AVERAGE(IF((DiscreteStatsTable[GroupByKey]=DiscreteStatsTable[[#This Row],[GroupByKey]]),(DiscreteStatsTable[GroupByKey]=DiscreteStatsTable[[#This Row],[GroupByKey]])*DiscreteStatsTable[Average])),0)</f>
        <v>0.73378328081682775</v>
      </c>
      <c r="O523" s="5" cm="1">
        <f t="array" ref="O523">IFERROR(_xlfn.STDEV.S(IF((DiscreteStatsTable[GroupByKey]=DiscreteStatsTable[[#This Row],[GroupByKey]]),(DiscreteStatsTable[GroupByKey]=DiscreteStatsTable[[#This Row],[GroupByKey]])*DiscreteStatsTable[Average])),0)</f>
        <v>0.97952613845285885</v>
      </c>
      <c r="P523" s="5" cm="1">
        <f t="array" ref="P523">MAX(IF((ProjectInfoTable[ProjectName]=DiscreteStatsTable[[#This Row],[ProjectName]]),(ProjectInfoTable[ProjectName]=DiscreteStatsTable[[#This Row],[ProjectName]])*ProjectInfoTable[ConfidenceInterval]))</f>
        <v>0.95</v>
      </c>
      <c r="Q523" s="5">
        <f>IF(AND(DiscreteStatsTable[[#This Row],[RepsWithStatObserved]]=1,Y523=0),200000000000000000000,IFERROR(_xlfn.T.INV.2T(1 -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0.47211648627857267</v>
      </c>
      <c r="R523" s="5" cm="1">
        <f t="array" ref="R523">MIN(IF((DiscreteStatsTable[GroupByKey]=DiscreteStatsTable[[#This Row],[GroupByKey]]),(DiscreteStatsTable[GroupByKey]=DiscreteStatsTable[[#This Row],[GroupByKey]])*DiscreteStatsTable[Average]))</f>
        <v>0.13640938023180099</v>
      </c>
      <c r="S523" s="5" cm="1">
        <f t="array" ref="S523">MAX(IF((DiscreteStatsTable[GroupByKey]=DiscreteStatsTable[[#This Row],[GroupByKey]]),(DiscreteStatsTable[GroupByKey]=DiscreteStatsTable[[#This Row],[GroupByKey]])*DiscreteStatsTable[Average]))</f>
        <v>4.3693363262549898</v>
      </c>
      <c r="T523" s="5" cm="1">
        <f t="array" ref="T523">MIN(IF((DiscreteStatsTable[GroupByKey]=DiscreteStatsTable[[#This Row],[GroupByKey]]),(DiscreteStatsTable[GroupByKey]=DiscreteStatsTable[[#This Row],[GroupByKey]])*DiscreteStatsTable[Minimum]))</f>
        <v>0.13640938023180099</v>
      </c>
      <c r="U523" s="5" cm="1">
        <f t="array" ref="U523">MAX(IF((DiscreteStatsTable[GroupByKey]=DiscreteStatsTable[[#This Row],[GroupByKey]]),(DiscreteStatsTable[GroupByKey]=DiscreteStatsTable[[#This Row],[GroupByKey]])*DiscreteStatsTable[Maximum]))</f>
        <v>4.3693363262549898</v>
      </c>
      <c r="V523" s="5" cm="1">
        <f t="array" ref="V523">IFERROR(AVERAGE(IF((DiscreteStatsTable[GroupByKey]=DiscreteStatsTable[[#This Row],[GroupByKey]]),(DiscreteStatsTable[GroupByKey]=DiscreteStatsTable[[#This Row],[GroupByKey]])*DiscreteStatsTable[NumberObservations])),0)</f>
        <v>1</v>
      </c>
      <c r="W523" s="5">
        <f>IF((DiscreteStatsTable[[#This Row],[RepsRequested]]&gt;1),DiscreteStatsTable[[#This Row],[HalfWidth]],DiscreteStatsTable[[#This Row],[BatchMeansHalfWidth]])</f>
        <v>0.47211648627857267</v>
      </c>
      <c r="X523" s="5" cm="1">
        <f t="array" ref="X523">COUNT(IF((DiscreteStatsTable[GroupByKey]=DiscreteStatsTable[[#This Row],[GroupByKey]]),(DiscreteStatsTable[GroupByKey]=DiscreteStatsTable[[#This Row],[GroupByKey]])*DiscreteStatsTable[Replication]))</f>
        <v>19</v>
      </c>
      <c r="Y523" s="5">
        <f>IF(DiscreteStatsTable[[#This Row],[RepsRequested]]=DiscreteStatsTable[[#This Row],[RepsWithStatObserved]],1,0)</f>
        <v>1</v>
      </c>
    </row>
    <row r="524" spans="1:25" x14ac:dyDescent="0.25">
      <c r="A524" t="s">
        <v>67</v>
      </c>
      <c r="B524" t="s">
        <v>69</v>
      </c>
      <c r="C524">
        <v>10</v>
      </c>
      <c r="D524" t="s">
        <v>101</v>
      </c>
      <c r="E524" t="s">
        <v>79</v>
      </c>
      <c r="F524" t="s">
        <v>80</v>
      </c>
      <c r="G524">
        <v>0.81510507103848295</v>
      </c>
      <c r="H524">
        <v>2E+20</v>
      </c>
      <c r="I524">
        <v>0.81510507103848295</v>
      </c>
      <c r="J524">
        <v>0.81510507103848295</v>
      </c>
      <c r="K524">
        <v>1</v>
      </c>
      <c r="L52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compartida)PrepPedidoH2ExpressionUser Specified</v>
      </c>
      <c r="M524" s="5" cm="1">
        <f t="array" ref="M524">MAX(IF((ProjectInfoTable[ProjectName]=DiscreteStatsTable[[#This Row],[ProjectName]]),(ProjectInfoTable[ProjectName]=DiscreteStatsTable[[#This Row],[ProjectName]])*ProjectInfoTable[NumberOfReplications]))</f>
        <v>19</v>
      </c>
      <c r="N524" s="5" cm="1">
        <f t="array" ref="N524">IFERROR(AVERAGE(IF((DiscreteStatsTable[GroupByKey]=DiscreteStatsTable[[#This Row],[GroupByKey]]),(DiscreteStatsTable[GroupByKey]=DiscreteStatsTable[[#This Row],[GroupByKey]])*DiscreteStatsTable[Average])),0)</f>
        <v>0.73378328081682775</v>
      </c>
      <c r="O524" s="5" cm="1">
        <f t="array" ref="O524">IFERROR(_xlfn.STDEV.S(IF((DiscreteStatsTable[GroupByKey]=DiscreteStatsTable[[#This Row],[GroupByKey]]),(DiscreteStatsTable[GroupByKey]=DiscreteStatsTable[[#This Row],[GroupByKey]])*DiscreteStatsTable[Average])),0)</f>
        <v>0.97952613845285885</v>
      </c>
      <c r="P524" s="5" cm="1">
        <f t="array" ref="P524">MAX(IF((ProjectInfoTable[ProjectName]=DiscreteStatsTable[[#This Row],[ProjectName]]),(ProjectInfoTable[ProjectName]=DiscreteStatsTable[[#This Row],[ProjectName]])*ProjectInfoTable[ConfidenceInterval]))</f>
        <v>0.95</v>
      </c>
      <c r="Q524" s="5">
        <f>IF(AND(DiscreteStatsTable[[#This Row],[RepsWithStatObserved]]=1,Y524=0),200000000000000000000,IFERROR(_xlfn.T.INV.2T(1 -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0.47211648627857267</v>
      </c>
      <c r="R524" s="5" cm="1">
        <f t="array" ref="R524">MIN(IF((DiscreteStatsTable[GroupByKey]=DiscreteStatsTable[[#This Row],[GroupByKey]]),(DiscreteStatsTable[GroupByKey]=DiscreteStatsTable[[#This Row],[GroupByKey]])*DiscreteStatsTable[Average]))</f>
        <v>0.13640938023180099</v>
      </c>
      <c r="S524" s="5" cm="1">
        <f t="array" ref="S524">MAX(IF((DiscreteStatsTable[GroupByKey]=DiscreteStatsTable[[#This Row],[GroupByKey]]),(DiscreteStatsTable[GroupByKey]=DiscreteStatsTable[[#This Row],[GroupByKey]])*DiscreteStatsTable[Average]))</f>
        <v>4.3693363262549898</v>
      </c>
      <c r="T524" s="5" cm="1">
        <f t="array" ref="T524">MIN(IF((DiscreteStatsTable[GroupByKey]=DiscreteStatsTable[[#This Row],[GroupByKey]]),(DiscreteStatsTable[GroupByKey]=DiscreteStatsTable[[#This Row],[GroupByKey]])*DiscreteStatsTable[Minimum]))</f>
        <v>0.13640938023180099</v>
      </c>
      <c r="U524" s="5" cm="1">
        <f t="array" ref="U524">MAX(IF((DiscreteStatsTable[GroupByKey]=DiscreteStatsTable[[#This Row],[GroupByKey]]),(DiscreteStatsTable[GroupByKey]=DiscreteStatsTable[[#This Row],[GroupByKey]])*DiscreteStatsTable[Maximum]))</f>
        <v>4.3693363262549898</v>
      </c>
      <c r="V524" s="5" cm="1">
        <f t="array" ref="V524">IFERROR(AVERAGE(IF((DiscreteStatsTable[GroupByKey]=DiscreteStatsTable[[#This Row],[GroupByKey]]),(DiscreteStatsTable[GroupByKey]=DiscreteStatsTable[[#This Row],[GroupByKey]])*DiscreteStatsTable[NumberObservations])),0)</f>
        <v>1</v>
      </c>
      <c r="W524" s="5">
        <f>IF((DiscreteStatsTable[[#This Row],[RepsRequested]]&gt;1),DiscreteStatsTable[[#This Row],[HalfWidth]],DiscreteStatsTable[[#This Row],[BatchMeansHalfWidth]])</f>
        <v>0.47211648627857267</v>
      </c>
      <c r="X524" s="5" cm="1">
        <f t="array" ref="X524">COUNT(IF((DiscreteStatsTable[GroupByKey]=DiscreteStatsTable[[#This Row],[GroupByKey]]),(DiscreteStatsTable[GroupByKey]=DiscreteStatsTable[[#This Row],[GroupByKey]])*DiscreteStatsTable[Replication]))</f>
        <v>19</v>
      </c>
      <c r="Y524" s="5">
        <f>IF(DiscreteStatsTable[[#This Row],[RepsRequested]]=DiscreteStatsTable[[#This Row],[RepsWithStatObserved]],1,0)</f>
        <v>1</v>
      </c>
    </row>
    <row r="525" spans="1:25" x14ac:dyDescent="0.25">
      <c r="A525" t="s">
        <v>67</v>
      </c>
      <c r="B525" t="s">
        <v>69</v>
      </c>
      <c r="C525">
        <v>11</v>
      </c>
      <c r="D525" t="s">
        <v>101</v>
      </c>
      <c r="E525" t="s">
        <v>79</v>
      </c>
      <c r="F525" t="s">
        <v>80</v>
      </c>
      <c r="G525">
        <v>0.13640938023180099</v>
      </c>
      <c r="H525">
        <v>2E+20</v>
      </c>
      <c r="I525">
        <v>0.13640938023180099</v>
      </c>
      <c r="J525">
        <v>0.13640938023180099</v>
      </c>
      <c r="K525">
        <v>1</v>
      </c>
      <c r="L52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compartida)PrepPedidoH2ExpressionUser Specified</v>
      </c>
      <c r="M525" s="5" cm="1">
        <f t="array" ref="M525">MAX(IF((ProjectInfoTable[ProjectName]=DiscreteStatsTable[[#This Row],[ProjectName]]),(ProjectInfoTable[ProjectName]=DiscreteStatsTable[[#This Row],[ProjectName]])*ProjectInfoTable[NumberOfReplications]))</f>
        <v>19</v>
      </c>
      <c r="N525" s="5" cm="1">
        <f t="array" ref="N525">IFERROR(AVERAGE(IF((DiscreteStatsTable[GroupByKey]=DiscreteStatsTable[[#This Row],[GroupByKey]]),(DiscreteStatsTable[GroupByKey]=DiscreteStatsTable[[#This Row],[GroupByKey]])*DiscreteStatsTable[Average])),0)</f>
        <v>0.73378328081682775</v>
      </c>
      <c r="O525" s="5" cm="1">
        <f t="array" ref="O525">IFERROR(_xlfn.STDEV.S(IF((DiscreteStatsTable[GroupByKey]=DiscreteStatsTable[[#This Row],[GroupByKey]]),(DiscreteStatsTable[GroupByKey]=DiscreteStatsTable[[#This Row],[GroupByKey]])*DiscreteStatsTable[Average])),0)</f>
        <v>0.97952613845285885</v>
      </c>
      <c r="P525" s="5" cm="1">
        <f t="array" ref="P525">MAX(IF((ProjectInfoTable[ProjectName]=DiscreteStatsTable[[#This Row],[ProjectName]]),(ProjectInfoTable[ProjectName]=DiscreteStatsTable[[#This Row],[ProjectName]])*ProjectInfoTable[ConfidenceInterval]))</f>
        <v>0.95</v>
      </c>
      <c r="Q525" s="5">
        <f>IF(AND(DiscreteStatsTable[[#This Row],[RepsWithStatObserved]]=1,Y525=0),200000000000000000000,IFERROR(_xlfn.T.INV.2T(1 -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0.47211648627857267</v>
      </c>
      <c r="R525" s="5" cm="1">
        <f t="array" ref="R525">MIN(IF((DiscreteStatsTable[GroupByKey]=DiscreteStatsTable[[#This Row],[GroupByKey]]),(DiscreteStatsTable[GroupByKey]=DiscreteStatsTable[[#This Row],[GroupByKey]])*DiscreteStatsTable[Average]))</f>
        <v>0.13640938023180099</v>
      </c>
      <c r="S525" s="5" cm="1">
        <f t="array" ref="S525">MAX(IF((DiscreteStatsTable[GroupByKey]=DiscreteStatsTable[[#This Row],[GroupByKey]]),(DiscreteStatsTable[GroupByKey]=DiscreteStatsTable[[#This Row],[GroupByKey]])*DiscreteStatsTable[Average]))</f>
        <v>4.3693363262549898</v>
      </c>
      <c r="T525" s="5" cm="1">
        <f t="array" ref="T525">MIN(IF((DiscreteStatsTable[GroupByKey]=DiscreteStatsTable[[#This Row],[GroupByKey]]),(DiscreteStatsTable[GroupByKey]=DiscreteStatsTable[[#This Row],[GroupByKey]])*DiscreteStatsTable[Minimum]))</f>
        <v>0.13640938023180099</v>
      </c>
      <c r="U525" s="5" cm="1">
        <f t="array" ref="U525">MAX(IF((DiscreteStatsTable[GroupByKey]=DiscreteStatsTable[[#This Row],[GroupByKey]]),(DiscreteStatsTable[GroupByKey]=DiscreteStatsTable[[#This Row],[GroupByKey]])*DiscreteStatsTable[Maximum]))</f>
        <v>4.3693363262549898</v>
      </c>
      <c r="V525" s="5" cm="1">
        <f t="array" ref="V525">IFERROR(AVERAGE(IF((DiscreteStatsTable[GroupByKey]=DiscreteStatsTable[[#This Row],[GroupByKey]]),(DiscreteStatsTable[GroupByKey]=DiscreteStatsTable[[#This Row],[GroupByKey]])*DiscreteStatsTable[NumberObservations])),0)</f>
        <v>1</v>
      </c>
      <c r="W525" s="5">
        <f>IF((DiscreteStatsTable[[#This Row],[RepsRequested]]&gt;1),DiscreteStatsTable[[#This Row],[HalfWidth]],DiscreteStatsTable[[#This Row],[BatchMeansHalfWidth]])</f>
        <v>0.47211648627857267</v>
      </c>
      <c r="X525" s="5" cm="1">
        <f t="array" ref="X525">COUNT(IF((DiscreteStatsTable[GroupByKey]=DiscreteStatsTable[[#This Row],[GroupByKey]]),(DiscreteStatsTable[GroupByKey]=DiscreteStatsTable[[#This Row],[GroupByKey]])*DiscreteStatsTable[Replication]))</f>
        <v>19</v>
      </c>
      <c r="Y525" s="5">
        <f>IF(DiscreteStatsTable[[#This Row],[RepsRequested]]=DiscreteStatsTable[[#This Row],[RepsWithStatObserved]],1,0)</f>
        <v>1</v>
      </c>
    </row>
    <row r="526" spans="1:25" x14ac:dyDescent="0.25">
      <c r="A526" t="s">
        <v>67</v>
      </c>
      <c r="B526" t="s">
        <v>69</v>
      </c>
      <c r="C526">
        <v>12</v>
      </c>
      <c r="D526" t="s">
        <v>101</v>
      </c>
      <c r="E526" t="s">
        <v>79</v>
      </c>
      <c r="F526" t="s">
        <v>80</v>
      </c>
      <c r="G526">
        <v>1.02101471245303</v>
      </c>
      <c r="H526">
        <v>2E+20</v>
      </c>
      <c r="I526">
        <v>1.02101471245303</v>
      </c>
      <c r="J526">
        <v>1.02101471245303</v>
      </c>
      <c r="K526">
        <v>1</v>
      </c>
      <c r="L52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compartida)PrepPedidoH2ExpressionUser Specified</v>
      </c>
      <c r="M526" s="5" cm="1">
        <f t="array" ref="M526">MAX(IF((ProjectInfoTable[ProjectName]=DiscreteStatsTable[[#This Row],[ProjectName]]),(ProjectInfoTable[ProjectName]=DiscreteStatsTable[[#This Row],[ProjectName]])*ProjectInfoTable[NumberOfReplications]))</f>
        <v>19</v>
      </c>
      <c r="N526" s="5" cm="1">
        <f t="array" ref="N526">IFERROR(AVERAGE(IF((DiscreteStatsTable[GroupByKey]=DiscreteStatsTable[[#This Row],[GroupByKey]]),(DiscreteStatsTable[GroupByKey]=DiscreteStatsTable[[#This Row],[GroupByKey]])*DiscreteStatsTable[Average])),0)</f>
        <v>0.73378328081682775</v>
      </c>
      <c r="O526" s="5" cm="1">
        <f t="array" ref="O526">IFERROR(_xlfn.STDEV.S(IF((DiscreteStatsTable[GroupByKey]=DiscreteStatsTable[[#This Row],[GroupByKey]]),(DiscreteStatsTable[GroupByKey]=DiscreteStatsTable[[#This Row],[GroupByKey]])*DiscreteStatsTable[Average])),0)</f>
        <v>0.97952613845285885</v>
      </c>
      <c r="P526" s="5" cm="1">
        <f t="array" ref="P526">MAX(IF((ProjectInfoTable[ProjectName]=DiscreteStatsTable[[#This Row],[ProjectName]]),(ProjectInfoTable[ProjectName]=DiscreteStatsTable[[#This Row],[ProjectName]])*ProjectInfoTable[ConfidenceInterval]))</f>
        <v>0.95</v>
      </c>
      <c r="Q526" s="5">
        <f>IF(AND(DiscreteStatsTable[[#This Row],[RepsWithStatObserved]]=1,Y526=0),200000000000000000000,IFERROR(_xlfn.T.INV.2T(1 -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0.47211648627857267</v>
      </c>
      <c r="R526" s="5" cm="1">
        <f t="array" ref="R526">MIN(IF((DiscreteStatsTable[GroupByKey]=DiscreteStatsTable[[#This Row],[GroupByKey]]),(DiscreteStatsTable[GroupByKey]=DiscreteStatsTable[[#This Row],[GroupByKey]])*DiscreteStatsTable[Average]))</f>
        <v>0.13640938023180099</v>
      </c>
      <c r="S526" s="5" cm="1">
        <f t="array" ref="S526">MAX(IF((DiscreteStatsTable[GroupByKey]=DiscreteStatsTable[[#This Row],[GroupByKey]]),(DiscreteStatsTable[GroupByKey]=DiscreteStatsTable[[#This Row],[GroupByKey]])*DiscreteStatsTable[Average]))</f>
        <v>4.3693363262549898</v>
      </c>
      <c r="T526" s="5" cm="1">
        <f t="array" ref="T526">MIN(IF((DiscreteStatsTable[GroupByKey]=DiscreteStatsTable[[#This Row],[GroupByKey]]),(DiscreteStatsTable[GroupByKey]=DiscreteStatsTable[[#This Row],[GroupByKey]])*DiscreteStatsTable[Minimum]))</f>
        <v>0.13640938023180099</v>
      </c>
      <c r="U526" s="5" cm="1">
        <f t="array" ref="U526">MAX(IF((DiscreteStatsTable[GroupByKey]=DiscreteStatsTable[[#This Row],[GroupByKey]]),(DiscreteStatsTable[GroupByKey]=DiscreteStatsTable[[#This Row],[GroupByKey]])*DiscreteStatsTable[Maximum]))</f>
        <v>4.3693363262549898</v>
      </c>
      <c r="V526" s="5" cm="1">
        <f t="array" ref="V526">IFERROR(AVERAGE(IF((DiscreteStatsTable[GroupByKey]=DiscreteStatsTable[[#This Row],[GroupByKey]]),(DiscreteStatsTable[GroupByKey]=DiscreteStatsTable[[#This Row],[GroupByKey]])*DiscreteStatsTable[NumberObservations])),0)</f>
        <v>1</v>
      </c>
      <c r="W526" s="5">
        <f>IF((DiscreteStatsTable[[#This Row],[RepsRequested]]&gt;1),DiscreteStatsTable[[#This Row],[HalfWidth]],DiscreteStatsTable[[#This Row],[BatchMeansHalfWidth]])</f>
        <v>0.47211648627857267</v>
      </c>
      <c r="X526" s="5" cm="1">
        <f t="array" ref="X526">COUNT(IF((DiscreteStatsTable[GroupByKey]=DiscreteStatsTable[[#This Row],[GroupByKey]]),(DiscreteStatsTable[GroupByKey]=DiscreteStatsTable[[#This Row],[GroupByKey]])*DiscreteStatsTable[Replication]))</f>
        <v>19</v>
      </c>
      <c r="Y526" s="5">
        <f>IF(DiscreteStatsTable[[#This Row],[RepsRequested]]=DiscreteStatsTable[[#This Row],[RepsWithStatObserved]],1,0)</f>
        <v>1</v>
      </c>
    </row>
    <row r="527" spans="1:25" x14ac:dyDescent="0.25">
      <c r="A527" t="s">
        <v>67</v>
      </c>
      <c r="B527" t="s">
        <v>69</v>
      </c>
      <c r="C527">
        <v>13</v>
      </c>
      <c r="D527" t="s">
        <v>101</v>
      </c>
      <c r="E527" t="s">
        <v>79</v>
      </c>
      <c r="F527" t="s">
        <v>80</v>
      </c>
      <c r="G527">
        <v>0.29949687252485502</v>
      </c>
      <c r="H527">
        <v>2E+20</v>
      </c>
      <c r="I527">
        <v>0.29949687252485502</v>
      </c>
      <c r="J527">
        <v>0.29949687252485502</v>
      </c>
      <c r="K527">
        <v>1</v>
      </c>
      <c r="L52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compartida)PrepPedidoH2ExpressionUser Specified</v>
      </c>
      <c r="M527" s="5" cm="1">
        <f t="array" ref="M527">MAX(IF((ProjectInfoTable[ProjectName]=DiscreteStatsTable[[#This Row],[ProjectName]]),(ProjectInfoTable[ProjectName]=DiscreteStatsTable[[#This Row],[ProjectName]])*ProjectInfoTable[NumberOfReplications]))</f>
        <v>19</v>
      </c>
      <c r="N527" s="5" cm="1">
        <f t="array" ref="N527">IFERROR(AVERAGE(IF((DiscreteStatsTable[GroupByKey]=DiscreteStatsTable[[#This Row],[GroupByKey]]),(DiscreteStatsTable[GroupByKey]=DiscreteStatsTable[[#This Row],[GroupByKey]])*DiscreteStatsTable[Average])),0)</f>
        <v>0.73378328081682775</v>
      </c>
      <c r="O527" s="5" cm="1">
        <f t="array" ref="O527">IFERROR(_xlfn.STDEV.S(IF((DiscreteStatsTable[GroupByKey]=DiscreteStatsTable[[#This Row],[GroupByKey]]),(DiscreteStatsTable[GroupByKey]=DiscreteStatsTable[[#This Row],[GroupByKey]])*DiscreteStatsTable[Average])),0)</f>
        <v>0.97952613845285885</v>
      </c>
      <c r="P527" s="5" cm="1">
        <f t="array" ref="P527">MAX(IF((ProjectInfoTable[ProjectName]=DiscreteStatsTable[[#This Row],[ProjectName]]),(ProjectInfoTable[ProjectName]=DiscreteStatsTable[[#This Row],[ProjectName]])*ProjectInfoTable[ConfidenceInterval]))</f>
        <v>0.95</v>
      </c>
      <c r="Q527" s="5">
        <f>IF(AND(DiscreteStatsTable[[#This Row],[RepsWithStatObserved]]=1,Y527=0),200000000000000000000,IFERROR(_xlfn.T.INV.2T(1 -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0.47211648627857267</v>
      </c>
      <c r="R527" s="5" cm="1">
        <f t="array" ref="R527">MIN(IF((DiscreteStatsTable[GroupByKey]=DiscreteStatsTable[[#This Row],[GroupByKey]]),(DiscreteStatsTable[GroupByKey]=DiscreteStatsTable[[#This Row],[GroupByKey]])*DiscreteStatsTable[Average]))</f>
        <v>0.13640938023180099</v>
      </c>
      <c r="S527" s="5" cm="1">
        <f t="array" ref="S527">MAX(IF((DiscreteStatsTable[GroupByKey]=DiscreteStatsTable[[#This Row],[GroupByKey]]),(DiscreteStatsTable[GroupByKey]=DiscreteStatsTable[[#This Row],[GroupByKey]])*DiscreteStatsTable[Average]))</f>
        <v>4.3693363262549898</v>
      </c>
      <c r="T527" s="5" cm="1">
        <f t="array" ref="T527">MIN(IF((DiscreteStatsTable[GroupByKey]=DiscreteStatsTable[[#This Row],[GroupByKey]]),(DiscreteStatsTable[GroupByKey]=DiscreteStatsTable[[#This Row],[GroupByKey]])*DiscreteStatsTable[Minimum]))</f>
        <v>0.13640938023180099</v>
      </c>
      <c r="U527" s="5" cm="1">
        <f t="array" ref="U527">MAX(IF((DiscreteStatsTable[GroupByKey]=DiscreteStatsTable[[#This Row],[GroupByKey]]),(DiscreteStatsTable[GroupByKey]=DiscreteStatsTable[[#This Row],[GroupByKey]])*DiscreteStatsTable[Maximum]))</f>
        <v>4.3693363262549898</v>
      </c>
      <c r="V527" s="5" cm="1">
        <f t="array" ref="V527">IFERROR(AVERAGE(IF((DiscreteStatsTable[GroupByKey]=DiscreteStatsTable[[#This Row],[GroupByKey]]),(DiscreteStatsTable[GroupByKey]=DiscreteStatsTable[[#This Row],[GroupByKey]])*DiscreteStatsTable[NumberObservations])),0)</f>
        <v>1</v>
      </c>
      <c r="W527" s="5">
        <f>IF((DiscreteStatsTable[[#This Row],[RepsRequested]]&gt;1),DiscreteStatsTable[[#This Row],[HalfWidth]],DiscreteStatsTable[[#This Row],[BatchMeansHalfWidth]])</f>
        <v>0.47211648627857267</v>
      </c>
      <c r="X527" s="5" cm="1">
        <f t="array" ref="X527">COUNT(IF((DiscreteStatsTable[GroupByKey]=DiscreteStatsTable[[#This Row],[GroupByKey]]),(DiscreteStatsTable[GroupByKey]=DiscreteStatsTable[[#This Row],[GroupByKey]])*DiscreteStatsTable[Replication]))</f>
        <v>19</v>
      </c>
      <c r="Y527" s="5">
        <f>IF(DiscreteStatsTable[[#This Row],[RepsRequested]]=DiscreteStatsTable[[#This Row],[RepsWithStatObserved]],1,0)</f>
        <v>1</v>
      </c>
    </row>
    <row r="528" spans="1:25" x14ac:dyDescent="0.25">
      <c r="A528" t="s">
        <v>67</v>
      </c>
      <c r="B528" t="s">
        <v>69</v>
      </c>
      <c r="C528">
        <v>14</v>
      </c>
      <c r="D528" t="s">
        <v>101</v>
      </c>
      <c r="E528" t="s">
        <v>79</v>
      </c>
      <c r="F528" t="s">
        <v>80</v>
      </c>
      <c r="G528">
        <v>0.34534654331679698</v>
      </c>
      <c r="H528">
        <v>2E+20</v>
      </c>
      <c r="I528">
        <v>0.34534654331679698</v>
      </c>
      <c r="J528">
        <v>0.34534654331679698</v>
      </c>
      <c r="K528">
        <v>1</v>
      </c>
      <c r="L52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compartida)PrepPedidoH2ExpressionUser Specified</v>
      </c>
      <c r="M528" s="5" cm="1">
        <f t="array" ref="M528">MAX(IF((ProjectInfoTable[ProjectName]=DiscreteStatsTable[[#This Row],[ProjectName]]),(ProjectInfoTable[ProjectName]=DiscreteStatsTable[[#This Row],[ProjectName]])*ProjectInfoTable[NumberOfReplications]))</f>
        <v>19</v>
      </c>
      <c r="N528" s="5" cm="1">
        <f t="array" ref="N528">IFERROR(AVERAGE(IF((DiscreteStatsTable[GroupByKey]=DiscreteStatsTable[[#This Row],[GroupByKey]]),(DiscreteStatsTable[GroupByKey]=DiscreteStatsTable[[#This Row],[GroupByKey]])*DiscreteStatsTable[Average])),0)</f>
        <v>0.73378328081682775</v>
      </c>
      <c r="O528" s="5" cm="1">
        <f t="array" ref="O528">IFERROR(_xlfn.STDEV.S(IF((DiscreteStatsTable[GroupByKey]=DiscreteStatsTable[[#This Row],[GroupByKey]]),(DiscreteStatsTable[GroupByKey]=DiscreteStatsTable[[#This Row],[GroupByKey]])*DiscreteStatsTable[Average])),0)</f>
        <v>0.97952613845285885</v>
      </c>
      <c r="P528" s="5" cm="1">
        <f t="array" ref="P528">MAX(IF((ProjectInfoTable[ProjectName]=DiscreteStatsTable[[#This Row],[ProjectName]]),(ProjectInfoTable[ProjectName]=DiscreteStatsTable[[#This Row],[ProjectName]])*ProjectInfoTable[ConfidenceInterval]))</f>
        <v>0.95</v>
      </c>
      <c r="Q528" s="5">
        <f>IF(AND(DiscreteStatsTable[[#This Row],[RepsWithStatObserved]]=1,Y528=0),200000000000000000000,IFERROR(_xlfn.T.INV.2T(1 -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0.47211648627857267</v>
      </c>
      <c r="R528" s="5" cm="1">
        <f t="array" ref="R528">MIN(IF((DiscreteStatsTable[GroupByKey]=DiscreteStatsTable[[#This Row],[GroupByKey]]),(DiscreteStatsTable[GroupByKey]=DiscreteStatsTable[[#This Row],[GroupByKey]])*DiscreteStatsTable[Average]))</f>
        <v>0.13640938023180099</v>
      </c>
      <c r="S528" s="5" cm="1">
        <f t="array" ref="S528">MAX(IF((DiscreteStatsTable[GroupByKey]=DiscreteStatsTable[[#This Row],[GroupByKey]]),(DiscreteStatsTable[GroupByKey]=DiscreteStatsTable[[#This Row],[GroupByKey]])*DiscreteStatsTable[Average]))</f>
        <v>4.3693363262549898</v>
      </c>
      <c r="T528" s="5" cm="1">
        <f t="array" ref="T528">MIN(IF((DiscreteStatsTable[GroupByKey]=DiscreteStatsTable[[#This Row],[GroupByKey]]),(DiscreteStatsTable[GroupByKey]=DiscreteStatsTable[[#This Row],[GroupByKey]])*DiscreteStatsTable[Minimum]))</f>
        <v>0.13640938023180099</v>
      </c>
      <c r="U528" s="5" cm="1">
        <f t="array" ref="U528">MAX(IF((DiscreteStatsTable[GroupByKey]=DiscreteStatsTable[[#This Row],[GroupByKey]]),(DiscreteStatsTable[GroupByKey]=DiscreteStatsTable[[#This Row],[GroupByKey]])*DiscreteStatsTable[Maximum]))</f>
        <v>4.3693363262549898</v>
      </c>
      <c r="V528" s="5" cm="1">
        <f t="array" ref="V528">IFERROR(AVERAGE(IF((DiscreteStatsTable[GroupByKey]=DiscreteStatsTable[[#This Row],[GroupByKey]]),(DiscreteStatsTable[GroupByKey]=DiscreteStatsTable[[#This Row],[GroupByKey]])*DiscreteStatsTable[NumberObservations])),0)</f>
        <v>1</v>
      </c>
      <c r="W528" s="5">
        <f>IF((DiscreteStatsTable[[#This Row],[RepsRequested]]&gt;1),DiscreteStatsTable[[#This Row],[HalfWidth]],DiscreteStatsTable[[#This Row],[BatchMeansHalfWidth]])</f>
        <v>0.47211648627857267</v>
      </c>
      <c r="X528" s="5" cm="1">
        <f t="array" ref="X528">COUNT(IF((DiscreteStatsTable[GroupByKey]=DiscreteStatsTable[[#This Row],[GroupByKey]]),(DiscreteStatsTable[GroupByKey]=DiscreteStatsTable[[#This Row],[GroupByKey]])*DiscreteStatsTable[Replication]))</f>
        <v>19</v>
      </c>
      <c r="Y528" s="5">
        <f>IF(DiscreteStatsTable[[#This Row],[RepsRequested]]=DiscreteStatsTable[[#This Row],[RepsWithStatObserved]],1,0)</f>
        <v>1</v>
      </c>
    </row>
    <row r="529" spans="1:25" x14ac:dyDescent="0.25">
      <c r="A529" t="s">
        <v>67</v>
      </c>
      <c r="B529" t="s">
        <v>69</v>
      </c>
      <c r="C529">
        <v>15</v>
      </c>
      <c r="D529" t="s">
        <v>101</v>
      </c>
      <c r="E529" t="s">
        <v>79</v>
      </c>
      <c r="F529" t="s">
        <v>80</v>
      </c>
      <c r="G529">
        <v>0.39177047063370202</v>
      </c>
      <c r="H529">
        <v>2E+20</v>
      </c>
      <c r="I529">
        <v>0.39177047063370202</v>
      </c>
      <c r="J529">
        <v>0.39177047063370202</v>
      </c>
      <c r="K529">
        <v>1</v>
      </c>
      <c r="L52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compartida)PrepPedidoH2ExpressionUser Specified</v>
      </c>
      <c r="M529" s="5" cm="1">
        <f t="array" ref="M529">MAX(IF((ProjectInfoTable[ProjectName]=DiscreteStatsTable[[#This Row],[ProjectName]]),(ProjectInfoTable[ProjectName]=DiscreteStatsTable[[#This Row],[ProjectName]])*ProjectInfoTable[NumberOfReplications]))</f>
        <v>19</v>
      </c>
      <c r="N529" s="5" cm="1">
        <f t="array" ref="N529">IFERROR(AVERAGE(IF((DiscreteStatsTable[GroupByKey]=DiscreteStatsTable[[#This Row],[GroupByKey]]),(DiscreteStatsTable[GroupByKey]=DiscreteStatsTable[[#This Row],[GroupByKey]])*DiscreteStatsTable[Average])),0)</f>
        <v>0.73378328081682775</v>
      </c>
      <c r="O529" s="5" cm="1">
        <f t="array" ref="O529">IFERROR(_xlfn.STDEV.S(IF((DiscreteStatsTable[GroupByKey]=DiscreteStatsTable[[#This Row],[GroupByKey]]),(DiscreteStatsTable[GroupByKey]=DiscreteStatsTable[[#This Row],[GroupByKey]])*DiscreteStatsTable[Average])),0)</f>
        <v>0.97952613845285885</v>
      </c>
      <c r="P529" s="5" cm="1">
        <f t="array" ref="P529">MAX(IF((ProjectInfoTable[ProjectName]=DiscreteStatsTable[[#This Row],[ProjectName]]),(ProjectInfoTable[ProjectName]=DiscreteStatsTable[[#This Row],[ProjectName]])*ProjectInfoTable[ConfidenceInterval]))</f>
        <v>0.95</v>
      </c>
      <c r="Q529" s="5">
        <f>IF(AND(DiscreteStatsTable[[#This Row],[RepsWithStatObserved]]=1,Y529=0),200000000000000000000,IFERROR(_xlfn.T.INV.2T(1 -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0.47211648627857267</v>
      </c>
      <c r="R529" s="5" cm="1">
        <f t="array" ref="R529">MIN(IF((DiscreteStatsTable[GroupByKey]=DiscreteStatsTable[[#This Row],[GroupByKey]]),(DiscreteStatsTable[GroupByKey]=DiscreteStatsTable[[#This Row],[GroupByKey]])*DiscreteStatsTable[Average]))</f>
        <v>0.13640938023180099</v>
      </c>
      <c r="S529" s="5" cm="1">
        <f t="array" ref="S529">MAX(IF((DiscreteStatsTable[GroupByKey]=DiscreteStatsTable[[#This Row],[GroupByKey]]),(DiscreteStatsTable[GroupByKey]=DiscreteStatsTable[[#This Row],[GroupByKey]])*DiscreteStatsTable[Average]))</f>
        <v>4.3693363262549898</v>
      </c>
      <c r="T529" s="5" cm="1">
        <f t="array" ref="T529">MIN(IF((DiscreteStatsTable[GroupByKey]=DiscreteStatsTable[[#This Row],[GroupByKey]]),(DiscreteStatsTable[GroupByKey]=DiscreteStatsTable[[#This Row],[GroupByKey]])*DiscreteStatsTable[Minimum]))</f>
        <v>0.13640938023180099</v>
      </c>
      <c r="U529" s="5" cm="1">
        <f t="array" ref="U529">MAX(IF((DiscreteStatsTable[GroupByKey]=DiscreteStatsTable[[#This Row],[GroupByKey]]),(DiscreteStatsTable[GroupByKey]=DiscreteStatsTable[[#This Row],[GroupByKey]])*DiscreteStatsTable[Maximum]))</f>
        <v>4.3693363262549898</v>
      </c>
      <c r="V529" s="5" cm="1">
        <f t="array" ref="V529">IFERROR(AVERAGE(IF((DiscreteStatsTable[GroupByKey]=DiscreteStatsTable[[#This Row],[GroupByKey]]),(DiscreteStatsTable[GroupByKey]=DiscreteStatsTable[[#This Row],[GroupByKey]])*DiscreteStatsTable[NumberObservations])),0)</f>
        <v>1</v>
      </c>
      <c r="W529" s="5">
        <f>IF((DiscreteStatsTable[[#This Row],[RepsRequested]]&gt;1),DiscreteStatsTable[[#This Row],[HalfWidth]],DiscreteStatsTable[[#This Row],[BatchMeansHalfWidth]])</f>
        <v>0.47211648627857267</v>
      </c>
      <c r="X529" s="5" cm="1">
        <f t="array" ref="X529">COUNT(IF((DiscreteStatsTable[GroupByKey]=DiscreteStatsTable[[#This Row],[GroupByKey]]),(DiscreteStatsTable[GroupByKey]=DiscreteStatsTable[[#This Row],[GroupByKey]])*DiscreteStatsTable[Replication]))</f>
        <v>19</v>
      </c>
      <c r="Y529" s="5">
        <f>IF(DiscreteStatsTable[[#This Row],[RepsRequested]]=DiscreteStatsTable[[#This Row],[RepsWithStatObserved]],1,0)</f>
        <v>1</v>
      </c>
    </row>
    <row r="530" spans="1:25" x14ac:dyDescent="0.25">
      <c r="A530" t="s">
        <v>67</v>
      </c>
      <c r="B530" t="s">
        <v>69</v>
      </c>
      <c r="C530">
        <v>16</v>
      </c>
      <c r="D530" t="s">
        <v>101</v>
      </c>
      <c r="E530" t="s">
        <v>79</v>
      </c>
      <c r="F530" t="s">
        <v>80</v>
      </c>
      <c r="G530">
        <v>0.236877733815685</v>
      </c>
      <c r="H530">
        <v>2E+20</v>
      </c>
      <c r="I530">
        <v>0.236877733815685</v>
      </c>
      <c r="J530">
        <v>0.236877733815685</v>
      </c>
      <c r="K530">
        <v>1</v>
      </c>
      <c r="L53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compartida)PrepPedidoH2ExpressionUser Specified</v>
      </c>
      <c r="M530" s="5" cm="1">
        <f t="array" ref="M530">MAX(IF((ProjectInfoTable[ProjectName]=DiscreteStatsTable[[#This Row],[ProjectName]]),(ProjectInfoTable[ProjectName]=DiscreteStatsTable[[#This Row],[ProjectName]])*ProjectInfoTable[NumberOfReplications]))</f>
        <v>19</v>
      </c>
      <c r="N530" s="5" cm="1">
        <f t="array" ref="N530">IFERROR(AVERAGE(IF((DiscreteStatsTable[GroupByKey]=DiscreteStatsTable[[#This Row],[GroupByKey]]),(DiscreteStatsTable[GroupByKey]=DiscreteStatsTable[[#This Row],[GroupByKey]])*DiscreteStatsTable[Average])),0)</f>
        <v>0.73378328081682775</v>
      </c>
      <c r="O530" s="5" cm="1">
        <f t="array" ref="O530">IFERROR(_xlfn.STDEV.S(IF((DiscreteStatsTable[GroupByKey]=DiscreteStatsTable[[#This Row],[GroupByKey]]),(DiscreteStatsTable[GroupByKey]=DiscreteStatsTable[[#This Row],[GroupByKey]])*DiscreteStatsTable[Average])),0)</f>
        <v>0.97952613845285885</v>
      </c>
      <c r="P530" s="5" cm="1">
        <f t="array" ref="P530">MAX(IF((ProjectInfoTable[ProjectName]=DiscreteStatsTable[[#This Row],[ProjectName]]),(ProjectInfoTable[ProjectName]=DiscreteStatsTable[[#This Row],[ProjectName]])*ProjectInfoTable[ConfidenceInterval]))</f>
        <v>0.95</v>
      </c>
      <c r="Q530" s="5">
        <f>IF(AND(DiscreteStatsTable[[#This Row],[RepsWithStatObserved]]=1,Y530=0),200000000000000000000,IFERROR(_xlfn.T.INV.2T(1 -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0.47211648627857267</v>
      </c>
      <c r="R530" s="5" cm="1">
        <f t="array" ref="R530">MIN(IF((DiscreteStatsTable[GroupByKey]=DiscreteStatsTable[[#This Row],[GroupByKey]]),(DiscreteStatsTable[GroupByKey]=DiscreteStatsTable[[#This Row],[GroupByKey]])*DiscreteStatsTable[Average]))</f>
        <v>0.13640938023180099</v>
      </c>
      <c r="S530" s="5" cm="1">
        <f t="array" ref="S530">MAX(IF((DiscreteStatsTable[GroupByKey]=DiscreteStatsTable[[#This Row],[GroupByKey]]),(DiscreteStatsTable[GroupByKey]=DiscreteStatsTable[[#This Row],[GroupByKey]])*DiscreteStatsTable[Average]))</f>
        <v>4.3693363262549898</v>
      </c>
      <c r="T530" s="5" cm="1">
        <f t="array" ref="T530">MIN(IF((DiscreteStatsTable[GroupByKey]=DiscreteStatsTable[[#This Row],[GroupByKey]]),(DiscreteStatsTable[GroupByKey]=DiscreteStatsTable[[#This Row],[GroupByKey]])*DiscreteStatsTable[Minimum]))</f>
        <v>0.13640938023180099</v>
      </c>
      <c r="U530" s="5" cm="1">
        <f t="array" ref="U530">MAX(IF((DiscreteStatsTable[GroupByKey]=DiscreteStatsTable[[#This Row],[GroupByKey]]),(DiscreteStatsTable[GroupByKey]=DiscreteStatsTable[[#This Row],[GroupByKey]])*DiscreteStatsTable[Maximum]))</f>
        <v>4.3693363262549898</v>
      </c>
      <c r="V530" s="5" cm="1">
        <f t="array" ref="V530">IFERROR(AVERAGE(IF((DiscreteStatsTable[GroupByKey]=DiscreteStatsTable[[#This Row],[GroupByKey]]),(DiscreteStatsTable[GroupByKey]=DiscreteStatsTable[[#This Row],[GroupByKey]])*DiscreteStatsTable[NumberObservations])),0)</f>
        <v>1</v>
      </c>
      <c r="W530" s="5">
        <f>IF((DiscreteStatsTable[[#This Row],[RepsRequested]]&gt;1),DiscreteStatsTable[[#This Row],[HalfWidth]],DiscreteStatsTable[[#This Row],[BatchMeansHalfWidth]])</f>
        <v>0.47211648627857267</v>
      </c>
      <c r="X530" s="5" cm="1">
        <f t="array" ref="X530">COUNT(IF((DiscreteStatsTable[GroupByKey]=DiscreteStatsTable[[#This Row],[GroupByKey]]),(DiscreteStatsTable[GroupByKey]=DiscreteStatsTable[[#This Row],[GroupByKey]])*DiscreteStatsTable[Replication]))</f>
        <v>19</v>
      </c>
      <c r="Y530" s="5">
        <f>IF(DiscreteStatsTable[[#This Row],[RepsRequested]]=DiscreteStatsTable[[#This Row],[RepsWithStatObserved]],1,0)</f>
        <v>1</v>
      </c>
    </row>
    <row r="531" spans="1:25" x14ac:dyDescent="0.25">
      <c r="A531" t="s">
        <v>67</v>
      </c>
      <c r="B531" t="s">
        <v>69</v>
      </c>
      <c r="C531">
        <v>17</v>
      </c>
      <c r="D531" t="s">
        <v>101</v>
      </c>
      <c r="E531" t="s">
        <v>79</v>
      </c>
      <c r="F531" t="s">
        <v>80</v>
      </c>
      <c r="G531">
        <v>0.56844748326809802</v>
      </c>
      <c r="H531">
        <v>2E+20</v>
      </c>
      <c r="I531">
        <v>0.56844748326809802</v>
      </c>
      <c r="J531">
        <v>0.56844748326809802</v>
      </c>
      <c r="K531">
        <v>1</v>
      </c>
      <c r="L53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compartida)PrepPedidoH2ExpressionUser Specified</v>
      </c>
      <c r="M531" s="5" cm="1">
        <f t="array" ref="M531">MAX(IF((ProjectInfoTable[ProjectName]=DiscreteStatsTable[[#This Row],[ProjectName]]),(ProjectInfoTable[ProjectName]=DiscreteStatsTable[[#This Row],[ProjectName]])*ProjectInfoTable[NumberOfReplications]))</f>
        <v>19</v>
      </c>
      <c r="N531" s="5" cm="1">
        <f t="array" ref="N531">IFERROR(AVERAGE(IF((DiscreteStatsTable[GroupByKey]=DiscreteStatsTable[[#This Row],[GroupByKey]]),(DiscreteStatsTable[GroupByKey]=DiscreteStatsTable[[#This Row],[GroupByKey]])*DiscreteStatsTable[Average])),0)</f>
        <v>0.73378328081682775</v>
      </c>
      <c r="O531" s="5" cm="1">
        <f t="array" ref="O531">IFERROR(_xlfn.STDEV.S(IF((DiscreteStatsTable[GroupByKey]=DiscreteStatsTable[[#This Row],[GroupByKey]]),(DiscreteStatsTable[GroupByKey]=DiscreteStatsTable[[#This Row],[GroupByKey]])*DiscreteStatsTable[Average])),0)</f>
        <v>0.97952613845285885</v>
      </c>
      <c r="P531" s="5" cm="1">
        <f t="array" ref="P531">MAX(IF((ProjectInfoTable[ProjectName]=DiscreteStatsTable[[#This Row],[ProjectName]]),(ProjectInfoTable[ProjectName]=DiscreteStatsTable[[#This Row],[ProjectName]])*ProjectInfoTable[ConfidenceInterval]))</f>
        <v>0.95</v>
      </c>
      <c r="Q531" s="5">
        <f>IF(AND(DiscreteStatsTable[[#This Row],[RepsWithStatObserved]]=1,Y531=0),200000000000000000000,IFERROR(_xlfn.T.INV.2T(1 -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0.47211648627857267</v>
      </c>
      <c r="R531" s="5" cm="1">
        <f t="array" ref="R531">MIN(IF((DiscreteStatsTable[GroupByKey]=DiscreteStatsTable[[#This Row],[GroupByKey]]),(DiscreteStatsTable[GroupByKey]=DiscreteStatsTable[[#This Row],[GroupByKey]])*DiscreteStatsTable[Average]))</f>
        <v>0.13640938023180099</v>
      </c>
      <c r="S531" s="5" cm="1">
        <f t="array" ref="S531">MAX(IF((DiscreteStatsTable[GroupByKey]=DiscreteStatsTable[[#This Row],[GroupByKey]]),(DiscreteStatsTable[GroupByKey]=DiscreteStatsTable[[#This Row],[GroupByKey]])*DiscreteStatsTable[Average]))</f>
        <v>4.3693363262549898</v>
      </c>
      <c r="T531" s="5" cm="1">
        <f t="array" ref="T531">MIN(IF((DiscreteStatsTable[GroupByKey]=DiscreteStatsTable[[#This Row],[GroupByKey]]),(DiscreteStatsTable[GroupByKey]=DiscreteStatsTable[[#This Row],[GroupByKey]])*DiscreteStatsTable[Minimum]))</f>
        <v>0.13640938023180099</v>
      </c>
      <c r="U531" s="5" cm="1">
        <f t="array" ref="U531">MAX(IF((DiscreteStatsTable[GroupByKey]=DiscreteStatsTable[[#This Row],[GroupByKey]]),(DiscreteStatsTable[GroupByKey]=DiscreteStatsTable[[#This Row],[GroupByKey]])*DiscreteStatsTable[Maximum]))</f>
        <v>4.3693363262549898</v>
      </c>
      <c r="V531" s="5" cm="1">
        <f t="array" ref="V531">IFERROR(AVERAGE(IF((DiscreteStatsTable[GroupByKey]=DiscreteStatsTable[[#This Row],[GroupByKey]]),(DiscreteStatsTable[GroupByKey]=DiscreteStatsTable[[#This Row],[GroupByKey]])*DiscreteStatsTable[NumberObservations])),0)</f>
        <v>1</v>
      </c>
      <c r="W531" s="5">
        <f>IF((DiscreteStatsTable[[#This Row],[RepsRequested]]&gt;1),DiscreteStatsTable[[#This Row],[HalfWidth]],DiscreteStatsTable[[#This Row],[BatchMeansHalfWidth]])</f>
        <v>0.47211648627857267</v>
      </c>
      <c r="X531" s="5" cm="1">
        <f t="array" ref="X531">COUNT(IF((DiscreteStatsTable[GroupByKey]=DiscreteStatsTable[[#This Row],[GroupByKey]]),(DiscreteStatsTable[GroupByKey]=DiscreteStatsTable[[#This Row],[GroupByKey]])*DiscreteStatsTable[Replication]))</f>
        <v>19</v>
      </c>
      <c r="Y531" s="5">
        <f>IF(DiscreteStatsTable[[#This Row],[RepsRequested]]=DiscreteStatsTable[[#This Row],[RepsWithStatObserved]],1,0)</f>
        <v>1</v>
      </c>
    </row>
    <row r="532" spans="1:25" x14ac:dyDescent="0.25">
      <c r="A532" t="s">
        <v>67</v>
      </c>
      <c r="B532" t="s">
        <v>69</v>
      </c>
      <c r="C532">
        <v>18</v>
      </c>
      <c r="D532" t="s">
        <v>101</v>
      </c>
      <c r="E532" t="s">
        <v>79</v>
      </c>
      <c r="F532" t="s">
        <v>80</v>
      </c>
      <c r="G532">
        <v>0.91301255719964203</v>
      </c>
      <c r="H532">
        <v>2E+20</v>
      </c>
      <c r="I532">
        <v>0.91301255719964203</v>
      </c>
      <c r="J532">
        <v>0.91301255719964203</v>
      </c>
      <c r="K532">
        <v>1</v>
      </c>
      <c r="L53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compartida)PrepPedidoH2ExpressionUser Specified</v>
      </c>
      <c r="M532" s="5" cm="1">
        <f t="array" ref="M532">MAX(IF((ProjectInfoTable[ProjectName]=DiscreteStatsTable[[#This Row],[ProjectName]]),(ProjectInfoTable[ProjectName]=DiscreteStatsTable[[#This Row],[ProjectName]])*ProjectInfoTable[NumberOfReplications]))</f>
        <v>19</v>
      </c>
      <c r="N532" s="5" cm="1">
        <f t="array" ref="N532">IFERROR(AVERAGE(IF((DiscreteStatsTable[GroupByKey]=DiscreteStatsTable[[#This Row],[GroupByKey]]),(DiscreteStatsTable[GroupByKey]=DiscreteStatsTable[[#This Row],[GroupByKey]])*DiscreteStatsTable[Average])),0)</f>
        <v>0.73378328081682775</v>
      </c>
      <c r="O532" s="5" cm="1">
        <f t="array" ref="O532">IFERROR(_xlfn.STDEV.S(IF((DiscreteStatsTable[GroupByKey]=DiscreteStatsTable[[#This Row],[GroupByKey]]),(DiscreteStatsTable[GroupByKey]=DiscreteStatsTable[[#This Row],[GroupByKey]])*DiscreteStatsTable[Average])),0)</f>
        <v>0.97952613845285885</v>
      </c>
      <c r="P532" s="5" cm="1">
        <f t="array" ref="P532">MAX(IF((ProjectInfoTable[ProjectName]=DiscreteStatsTable[[#This Row],[ProjectName]]),(ProjectInfoTable[ProjectName]=DiscreteStatsTable[[#This Row],[ProjectName]])*ProjectInfoTable[ConfidenceInterval]))</f>
        <v>0.95</v>
      </c>
      <c r="Q532" s="5">
        <f>IF(AND(DiscreteStatsTable[[#This Row],[RepsWithStatObserved]]=1,Y532=0),200000000000000000000,IFERROR(_xlfn.T.INV.2T(1 -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0.47211648627857267</v>
      </c>
      <c r="R532" s="5" cm="1">
        <f t="array" ref="R532">MIN(IF((DiscreteStatsTable[GroupByKey]=DiscreteStatsTable[[#This Row],[GroupByKey]]),(DiscreteStatsTable[GroupByKey]=DiscreteStatsTable[[#This Row],[GroupByKey]])*DiscreteStatsTable[Average]))</f>
        <v>0.13640938023180099</v>
      </c>
      <c r="S532" s="5" cm="1">
        <f t="array" ref="S532">MAX(IF((DiscreteStatsTable[GroupByKey]=DiscreteStatsTable[[#This Row],[GroupByKey]]),(DiscreteStatsTable[GroupByKey]=DiscreteStatsTable[[#This Row],[GroupByKey]])*DiscreteStatsTable[Average]))</f>
        <v>4.3693363262549898</v>
      </c>
      <c r="T532" s="5" cm="1">
        <f t="array" ref="T532">MIN(IF((DiscreteStatsTable[GroupByKey]=DiscreteStatsTable[[#This Row],[GroupByKey]]),(DiscreteStatsTable[GroupByKey]=DiscreteStatsTable[[#This Row],[GroupByKey]])*DiscreteStatsTable[Minimum]))</f>
        <v>0.13640938023180099</v>
      </c>
      <c r="U532" s="5" cm="1">
        <f t="array" ref="U532">MAX(IF((DiscreteStatsTable[GroupByKey]=DiscreteStatsTable[[#This Row],[GroupByKey]]),(DiscreteStatsTable[GroupByKey]=DiscreteStatsTable[[#This Row],[GroupByKey]])*DiscreteStatsTable[Maximum]))</f>
        <v>4.3693363262549898</v>
      </c>
      <c r="V532" s="5" cm="1">
        <f t="array" ref="V532">IFERROR(AVERAGE(IF((DiscreteStatsTable[GroupByKey]=DiscreteStatsTable[[#This Row],[GroupByKey]]),(DiscreteStatsTable[GroupByKey]=DiscreteStatsTable[[#This Row],[GroupByKey]])*DiscreteStatsTable[NumberObservations])),0)</f>
        <v>1</v>
      </c>
      <c r="W532" s="5">
        <f>IF((DiscreteStatsTable[[#This Row],[RepsRequested]]&gt;1),DiscreteStatsTable[[#This Row],[HalfWidth]],DiscreteStatsTable[[#This Row],[BatchMeansHalfWidth]])</f>
        <v>0.47211648627857267</v>
      </c>
      <c r="X532" s="5" cm="1">
        <f t="array" ref="X532">COUNT(IF((DiscreteStatsTable[GroupByKey]=DiscreteStatsTable[[#This Row],[GroupByKey]]),(DiscreteStatsTable[GroupByKey]=DiscreteStatsTable[[#This Row],[GroupByKey]])*DiscreteStatsTable[Replication]))</f>
        <v>19</v>
      </c>
      <c r="Y532" s="5">
        <f>IF(DiscreteStatsTable[[#This Row],[RepsRequested]]=DiscreteStatsTable[[#This Row],[RepsWithStatObserved]],1,0)</f>
        <v>1</v>
      </c>
    </row>
    <row r="533" spans="1:25" x14ac:dyDescent="0.25">
      <c r="A533" t="s">
        <v>67</v>
      </c>
      <c r="B533" t="s">
        <v>69</v>
      </c>
      <c r="C533">
        <v>19</v>
      </c>
      <c r="D533" t="s">
        <v>101</v>
      </c>
      <c r="E533" t="s">
        <v>79</v>
      </c>
      <c r="F533" t="s">
        <v>80</v>
      </c>
      <c r="G533">
        <v>0.34294645259508</v>
      </c>
      <c r="H533">
        <v>2E+20</v>
      </c>
      <c r="I533">
        <v>0.34294645259508</v>
      </c>
      <c r="J533">
        <v>0.34294645259508</v>
      </c>
      <c r="K533">
        <v>1</v>
      </c>
      <c r="L53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compartida)PrepPedidoH2ExpressionUser Specified</v>
      </c>
      <c r="M533" s="5" cm="1">
        <f t="array" ref="M533">MAX(IF((ProjectInfoTable[ProjectName]=DiscreteStatsTable[[#This Row],[ProjectName]]),(ProjectInfoTable[ProjectName]=DiscreteStatsTable[[#This Row],[ProjectName]])*ProjectInfoTable[NumberOfReplications]))</f>
        <v>19</v>
      </c>
      <c r="N533" s="5" cm="1">
        <f t="array" ref="N533">IFERROR(AVERAGE(IF((DiscreteStatsTable[GroupByKey]=DiscreteStatsTable[[#This Row],[GroupByKey]]),(DiscreteStatsTable[GroupByKey]=DiscreteStatsTable[[#This Row],[GroupByKey]])*DiscreteStatsTable[Average])),0)</f>
        <v>0.73378328081682775</v>
      </c>
      <c r="O533" s="5" cm="1">
        <f t="array" ref="O533">IFERROR(_xlfn.STDEV.S(IF((DiscreteStatsTable[GroupByKey]=DiscreteStatsTable[[#This Row],[GroupByKey]]),(DiscreteStatsTable[GroupByKey]=DiscreteStatsTable[[#This Row],[GroupByKey]])*DiscreteStatsTable[Average])),0)</f>
        <v>0.97952613845285885</v>
      </c>
      <c r="P533" s="5" cm="1">
        <f t="array" ref="P533">MAX(IF((ProjectInfoTable[ProjectName]=DiscreteStatsTable[[#This Row],[ProjectName]]),(ProjectInfoTable[ProjectName]=DiscreteStatsTable[[#This Row],[ProjectName]])*ProjectInfoTable[ConfidenceInterval]))</f>
        <v>0.95</v>
      </c>
      <c r="Q533" s="5">
        <f>IF(AND(DiscreteStatsTable[[#This Row],[RepsWithStatObserved]]=1,Y533=0),200000000000000000000,IFERROR(_xlfn.T.INV.2T(1 -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0.47211648627857267</v>
      </c>
      <c r="R533" s="5" cm="1">
        <f t="array" ref="R533">MIN(IF((DiscreteStatsTable[GroupByKey]=DiscreteStatsTable[[#This Row],[GroupByKey]]),(DiscreteStatsTable[GroupByKey]=DiscreteStatsTable[[#This Row],[GroupByKey]])*DiscreteStatsTable[Average]))</f>
        <v>0.13640938023180099</v>
      </c>
      <c r="S533" s="5" cm="1">
        <f t="array" ref="S533">MAX(IF((DiscreteStatsTable[GroupByKey]=DiscreteStatsTable[[#This Row],[GroupByKey]]),(DiscreteStatsTable[GroupByKey]=DiscreteStatsTable[[#This Row],[GroupByKey]])*DiscreteStatsTable[Average]))</f>
        <v>4.3693363262549898</v>
      </c>
      <c r="T533" s="5" cm="1">
        <f t="array" ref="T533">MIN(IF((DiscreteStatsTable[GroupByKey]=DiscreteStatsTable[[#This Row],[GroupByKey]]),(DiscreteStatsTable[GroupByKey]=DiscreteStatsTable[[#This Row],[GroupByKey]])*DiscreteStatsTable[Minimum]))</f>
        <v>0.13640938023180099</v>
      </c>
      <c r="U533" s="5" cm="1">
        <f t="array" ref="U533">MAX(IF((DiscreteStatsTable[GroupByKey]=DiscreteStatsTable[[#This Row],[GroupByKey]]),(DiscreteStatsTable[GroupByKey]=DiscreteStatsTable[[#This Row],[GroupByKey]])*DiscreteStatsTable[Maximum]))</f>
        <v>4.3693363262549898</v>
      </c>
      <c r="V533" s="5" cm="1">
        <f t="array" ref="V533">IFERROR(AVERAGE(IF((DiscreteStatsTable[GroupByKey]=DiscreteStatsTable[[#This Row],[GroupByKey]]),(DiscreteStatsTable[GroupByKey]=DiscreteStatsTable[[#This Row],[GroupByKey]])*DiscreteStatsTable[NumberObservations])),0)</f>
        <v>1</v>
      </c>
      <c r="W533" s="5">
        <f>IF((DiscreteStatsTable[[#This Row],[RepsRequested]]&gt;1),DiscreteStatsTable[[#This Row],[HalfWidth]],DiscreteStatsTable[[#This Row],[BatchMeansHalfWidth]])</f>
        <v>0.47211648627857267</v>
      </c>
      <c r="X533" s="5" cm="1">
        <f t="array" ref="X533">COUNT(IF((DiscreteStatsTable[GroupByKey]=DiscreteStatsTable[[#This Row],[GroupByKey]]),(DiscreteStatsTable[GroupByKey]=DiscreteStatsTable[[#This Row],[GroupByKey]])*DiscreteStatsTable[Replication]))</f>
        <v>19</v>
      </c>
      <c r="Y533" s="5">
        <f>IF(DiscreteStatsTable[[#This Row],[RepsRequested]]=DiscreteStatsTable[[#This Row],[RepsWithStatObserved]],1,0)</f>
        <v>1</v>
      </c>
    </row>
    <row r="534" spans="1:25" x14ac:dyDescent="0.25">
      <c r="A534" t="s">
        <v>67</v>
      </c>
      <c r="B534" t="s">
        <v>69</v>
      </c>
      <c r="C534">
        <v>1</v>
      </c>
      <c r="D534" t="s">
        <v>102</v>
      </c>
      <c r="E534" t="s">
        <v>79</v>
      </c>
      <c r="F534" t="s">
        <v>80</v>
      </c>
      <c r="G534">
        <v>3.2614571838962898</v>
      </c>
      <c r="H534">
        <v>2E+20</v>
      </c>
      <c r="I534">
        <v>3.2614571838962898</v>
      </c>
      <c r="J534">
        <v>3.2614571838962898</v>
      </c>
      <c r="K534">
        <v>1</v>
      </c>
      <c r="L53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compartida)PrepPedidoH3ExpressionUser Specified</v>
      </c>
      <c r="M534" s="5" cm="1">
        <f t="array" ref="M534">MAX(IF((ProjectInfoTable[ProjectName]=DiscreteStatsTable[[#This Row],[ProjectName]]),(ProjectInfoTable[ProjectName]=DiscreteStatsTable[[#This Row],[ProjectName]])*ProjectInfoTable[NumberOfReplications]))</f>
        <v>19</v>
      </c>
      <c r="N534" s="5" cm="1">
        <f t="array" ref="N534">IFERROR(AVERAGE(IF((DiscreteStatsTable[GroupByKey]=DiscreteStatsTable[[#This Row],[GroupByKey]]),(DiscreteStatsTable[GroupByKey]=DiscreteStatsTable[[#This Row],[GroupByKey]])*DiscreteStatsTable[Average])),0)</f>
        <v>0.69352531674172502</v>
      </c>
      <c r="O534" s="5" cm="1">
        <f t="array" ref="O534">IFERROR(_xlfn.STDEV.S(IF((DiscreteStatsTable[GroupByKey]=DiscreteStatsTable[[#This Row],[GroupByKey]]),(DiscreteStatsTable[GroupByKey]=DiscreteStatsTable[[#This Row],[GroupByKey]])*DiscreteStatsTable[Average])),0)</f>
        <v>0.6930057279295283</v>
      </c>
      <c r="P534" s="5" cm="1">
        <f t="array" ref="P534">MAX(IF((ProjectInfoTable[ProjectName]=DiscreteStatsTable[[#This Row],[ProjectName]]),(ProjectInfoTable[ProjectName]=DiscreteStatsTable[[#This Row],[ProjectName]])*ProjectInfoTable[ConfidenceInterval]))</f>
        <v>0.95</v>
      </c>
      <c r="Q534" s="5">
        <f>IF(AND(DiscreteStatsTable[[#This Row],[RepsWithStatObserved]]=1,Y534=0),200000000000000000000,IFERROR(_xlfn.T.INV.2T(1 -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534" s="5" cm="1">
        <f t="array" ref="R534">MIN(IF((DiscreteStatsTable[GroupByKey]=DiscreteStatsTable[[#This Row],[GroupByKey]]),(DiscreteStatsTable[GroupByKey]=DiscreteStatsTable[[#This Row],[GroupByKey]])*DiscreteStatsTable[Average]))</f>
        <v>0.19675348802568801</v>
      </c>
      <c r="S534" s="5" cm="1">
        <f t="array" ref="S534">MAX(IF((DiscreteStatsTable[GroupByKey]=DiscreteStatsTable[[#This Row],[GroupByKey]]),(DiscreteStatsTable[GroupByKey]=DiscreteStatsTable[[#This Row],[GroupByKey]])*DiscreteStatsTable[Average]))</f>
        <v>3.2614571838962898</v>
      </c>
      <c r="T534" s="5" cm="1">
        <f t="array" ref="T534">MIN(IF((DiscreteStatsTable[GroupByKey]=DiscreteStatsTable[[#This Row],[GroupByKey]]),(DiscreteStatsTable[GroupByKey]=DiscreteStatsTable[[#This Row],[GroupByKey]])*DiscreteStatsTable[Minimum]))</f>
        <v>0.19675348802568801</v>
      </c>
      <c r="U534" s="5" cm="1">
        <f t="array" ref="U534">MAX(IF((DiscreteStatsTable[GroupByKey]=DiscreteStatsTable[[#This Row],[GroupByKey]]),(DiscreteStatsTable[GroupByKey]=DiscreteStatsTable[[#This Row],[GroupByKey]])*DiscreteStatsTable[Maximum]))</f>
        <v>3.2614571838962898</v>
      </c>
      <c r="V534" s="5" cm="1">
        <f t="array" ref="V534">IFERROR(AVERAGE(IF((DiscreteStatsTable[GroupByKey]=DiscreteStatsTable[[#This Row],[GroupByKey]]),(DiscreteStatsTable[GroupByKey]=DiscreteStatsTable[[#This Row],[GroupByKey]])*DiscreteStatsTable[NumberObservations])),0)</f>
        <v>1</v>
      </c>
      <c r="W534" s="5">
        <f>IF((DiscreteStatsTable[[#This Row],[RepsRequested]]&gt;1),DiscreteStatsTable[[#This Row],[HalfWidth]],DiscreteStatsTable[[#This Row],[BatchMeansHalfWidth]])</f>
        <v>0.33401806893870795</v>
      </c>
      <c r="X534" s="5" cm="1">
        <f t="array" ref="X534">COUNT(IF((DiscreteStatsTable[GroupByKey]=DiscreteStatsTable[[#This Row],[GroupByKey]]),(DiscreteStatsTable[GroupByKey]=DiscreteStatsTable[[#This Row],[GroupByKey]])*DiscreteStatsTable[Replication]))</f>
        <v>19</v>
      </c>
      <c r="Y534" s="5">
        <f>IF(DiscreteStatsTable[[#This Row],[RepsRequested]]=DiscreteStatsTable[[#This Row],[RepsWithStatObserved]],1,0)</f>
        <v>1</v>
      </c>
    </row>
    <row r="535" spans="1:25" x14ac:dyDescent="0.25">
      <c r="A535" t="s">
        <v>67</v>
      </c>
      <c r="B535" t="s">
        <v>69</v>
      </c>
      <c r="C535">
        <v>2</v>
      </c>
      <c r="D535" t="s">
        <v>102</v>
      </c>
      <c r="E535" t="s">
        <v>79</v>
      </c>
      <c r="F535" t="s">
        <v>80</v>
      </c>
      <c r="G535">
        <v>0.52201282707834895</v>
      </c>
      <c r="H535">
        <v>2E+20</v>
      </c>
      <c r="I535">
        <v>0.52201282707834895</v>
      </c>
      <c r="J535">
        <v>0.52201282707834895</v>
      </c>
      <c r="K535">
        <v>1</v>
      </c>
      <c r="L53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compartida)PrepPedidoH3ExpressionUser Specified</v>
      </c>
      <c r="M535" s="5" cm="1">
        <f t="array" ref="M535">MAX(IF((ProjectInfoTable[ProjectName]=DiscreteStatsTable[[#This Row],[ProjectName]]),(ProjectInfoTable[ProjectName]=DiscreteStatsTable[[#This Row],[ProjectName]])*ProjectInfoTable[NumberOfReplications]))</f>
        <v>19</v>
      </c>
      <c r="N535" s="5" cm="1">
        <f t="array" ref="N535">IFERROR(AVERAGE(IF((DiscreteStatsTable[GroupByKey]=DiscreteStatsTable[[#This Row],[GroupByKey]]),(DiscreteStatsTable[GroupByKey]=DiscreteStatsTable[[#This Row],[GroupByKey]])*DiscreteStatsTable[Average])),0)</f>
        <v>0.69352531674172502</v>
      </c>
      <c r="O535" s="5" cm="1">
        <f t="array" ref="O535">IFERROR(_xlfn.STDEV.S(IF((DiscreteStatsTable[GroupByKey]=DiscreteStatsTable[[#This Row],[GroupByKey]]),(DiscreteStatsTable[GroupByKey]=DiscreteStatsTable[[#This Row],[GroupByKey]])*DiscreteStatsTable[Average])),0)</f>
        <v>0.6930057279295283</v>
      </c>
      <c r="P535" s="5" cm="1">
        <f t="array" ref="P535">MAX(IF((ProjectInfoTable[ProjectName]=DiscreteStatsTable[[#This Row],[ProjectName]]),(ProjectInfoTable[ProjectName]=DiscreteStatsTable[[#This Row],[ProjectName]])*ProjectInfoTable[ConfidenceInterval]))</f>
        <v>0.95</v>
      </c>
      <c r="Q535" s="5">
        <f>IF(AND(DiscreteStatsTable[[#This Row],[RepsWithStatObserved]]=1,Y535=0),200000000000000000000,IFERROR(_xlfn.T.INV.2T(1 -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535" s="5" cm="1">
        <f t="array" ref="R535">MIN(IF((DiscreteStatsTable[GroupByKey]=DiscreteStatsTable[[#This Row],[GroupByKey]]),(DiscreteStatsTable[GroupByKey]=DiscreteStatsTable[[#This Row],[GroupByKey]])*DiscreteStatsTable[Average]))</f>
        <v>0.19675348802568801</v>
      </c>
      <c r="S535" s="5" cm="1">
        <f t="array" ref="S535">MAX(IF((DiscreteStatsTable[GroupByKey]=DiscreteStatsTable[[#This Row],[GroupByKey]]),(DiscreteStatsTable[GroupByKey]=DiscreteStatsTable[[#This Row],[GroupByKey]])*DiscreteStatsTable[Average]))</f>
        <v>3.2614571838962898</v>
      </c>
      <c r="T535" s="5" cm="1">
        <f t="array" ref="T535">MIN(IF((DiscreteStatsTable[GroupByKey]=DiscreteStatsTable[[#This Row],[GroupByKey]]),(DiscreteStatsTable[GroupByKey]=DiscreteStatsTable[[#This Row],[GroupByKey]])*DiscreteStatsTable[Minimum]))</f>
        <v>0.19675348802568801</v>
      </c>
      <c r="U535" s="5" cm="1">
        <f t="array" ref="U535">MAX(IF((DiscreteStatsTable[GroupByKey]=DiscreteStatsTable[[#This Row],[GroupByKey]]),(DiscreteStatsTable[GroupByKey]=DiscreteStatsTable[[#This Row],[GroupByKey]])*DiscreteStatsTable[Maximum]))</f>
        <v>3.2614571838962898</v>
      </c>
      <c r="V535" s="5" cm="1">
        <f t="array" ref="V535">IFERROR(AVERAGE(IF((DiscreteStatsTable[GroupByKey]=DiscreteStatsTable[[#This Row],[GroupByKey]]),(DiscreteStatsTable[GroupByKey]=DiscreteStatsTable[[#This Row],[GroupByKey]])*DiscreteStatsTable[NumberObservations])),0)</f>
        <v>1</v>
      </c>
      <c r="W535" s="5">
        <f>IF((DiscreteStatsTable[[#This Row],[RepsRequested]]&gt;1),DiscreteStatsTable[[#This Row],[HalfWidth]],DiscreteStatsTable[[#This Row],[BatchMeansHalfWidth]])</f>
        <v>0.33401806893870795</v>
      </c>
      <c r="X535" s="5" cm="1">
        <f t="array" ref="X535">COUNT(IF((DiscreteStatsTable[GroupByKey]=DiscreteStatsTable[[#This Row],[GroupByKey]]),(DiscreteStatsTable[GroupByKey]=DiscreteStatsTable[[#This Row],[GroupByKey]])*DiscreteStatsTable[Replication]))</f>
        <v>19</v>
      </c>
      <c r="Y535" s="5">
        <f>IF(DiscreteStatsTable[[#This Row],[RepsRequested]]=DiscreteStatsTable[[#This Row],[RepsWithStatObserved]],1,0)</f>
        <v>1</v>
      </c>
    </row>
    <row r="536" spans="1:25" x14ac:dyDescent="0.25">
      <c r="A536" t="s">
        <v>67</v>
      </c>
      <c r="B536" t="s">
        <v>69</v>
      </c>
      <c r="C536">
        <v>3</v>
      </c>
      <c r="D536" t="s">
        <v>102</v>
      </c>
      <c r="E536" t="s">
        <v>79</v>
      </c>
      <c r="F536" t="s">
        <v>80</v>
      </c>
      <c r="G536">
        <v>1.4305181876598601</v>
      </c>
      <c r="H536">
        <v>2E+20</v>
      </c>
      <c r="I536">
        <v>1.4305181876598601</v>
      </c>
      <c r="J536">
        <v>1.4305181876598601</v>
      </c>
      <c r="K536">
        <v>1</v>
      </c>
      <c r="L53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compartida)PrepPedidoH3ExpressionUser Specified</v>
      </c>
      <c r="M536" s="5" cm="1">
        <f t="array" ref="M536">MAX(IF((ProjectInfoTable[ProjectName]=DiscreteStatsTable[[#This Row],[ProjectName]]),(ProjectInfoTable[ProjectName]=DiscreteStatsTable[[#This Row],[ProjectName]])*ProjectInfoTable[NumberOfReplications]))</f>
        <v>19</v>
      </c>
      <c r="N536" s="5" cm="1">
        <f t="array" ref="N536">IFERROR(AVERAGE(IF((DiscreteStatsTable[GroupByKey]=DiscreteStatsTable[[#This Row],[GroupByKey]]),(DiscreteStatsTable[GroupByKey]=DiscreteStatsTable[[#This Row],[GroupByKey]])*DiscreteStatsTable[Average])),0)</f>
        <v>0.69352531674172502</v>
      </c>
      <c r="O536" s="5" cm="1">
        <f t="array" ref="O536">IFERROR(_xlfn.STDEV.S(IF((DiscreteStatsTable[GroupByKey]=DiscreteStatsTable[[#This Row],[GroupByKey]]),(DiscreteStatsTable[GroupByKey]=DiscreteStatsTable[[#This Row],[GroupByKey]])*DiscreteStatsTable[Average])),0)</f>
        <v>0.6930057279295283</v>
      </c>
      <c r="P536" s="5" cm="1">
        <f t="array" ref="P536">MAX(IF((ProjectInfoTable[ProjectName]=DiscreteStatsTable[[#This Row],[ProjectName]]),(ProjectInfoTable[ProjectName]=DiscreteStatsTable[[#This Row],[ProjectName]])*ProjectInfoTable[ConfidenceInterval]))</f>
        <v>0.95</v>
      </c>
      <c r="Q536" s="5">
        <f>IF(AND(DiscreteStatsTable[[#This Row],[RepsWithStatObserved]]=1,Y536=0),200000000000000000000,IFERROR(_xlfn.T.INV.2T(1 -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536" s="5" cm="1">
        <f t="array" ref="R536">MIN(IF((DiscreteStatsTable[GroupByKey]=DiscreteStatsTable[[#This Row],[GroupByKey]]),(DiscreteStatsTable[GroupByKey]=DiscreteStatsTable[[#This Row],[GroupByKey]])*DiscreteStatsTable[Average]))</f>
        <v>0.19675348802568801</v>
      </c>
      <c r="S536" s="5" cm="1">
        <f t="array" ref="S536">MAX(IF((DiscreteStatsTable[GroupByKey]=DiscreteStatsTable[[#This Row],[GroupByKey]]),(DiscreteStatsTable[GroupByKey]=DiscreteStatsTable[[#This Row],[GroupByKey]])*DiscreteStatsTable[Average]))</f>
        <v>3.2614571838962898</v>
      </c>
      <c r="T536" s="5" cm="1">
        <f t="array" ref="T536">MIN(IF((DiscreteStatsTable[GroupByKey]=DiscreteStatsTable[[#This Row],[GroupByKey]]),(DiscreteStatsTable[GroupByKey]=DiscreteStatsTable[[#This Row],[GroupByKey]])*DiscreteStatsTable[Minimum]))</f>
        <v>0.19675348802568801</v>
      </c>
      <c r="U536" s="5" cm="1">
        <f t="array" ref="U536">MAX(IF((DiscreteStatsTable[GroupByKey]=DiscreteStatsTable[[#This Row],[GroupByKey]]),(DiscreteStatsTable[GroupByKey]=DiscreteStatsTable[[#This Row],[GroupByKey]])*DiscreteStatsTable[Maximum]))</f>
        <v>3.2614571838962898</v>
      </c>
      <c r="V536" s="5" cm="1">
        <f t="array" ref="V536">IFERROR(AVERAGE(IF((DiscreteStatsTable[GroupByKey]=DiscreteStatsTable[[#This Row],[GroupByKey]]),(DiscreteStatsTable[GroupByKey]=DiscreteStatsTable[[#This Row],[GroupByKey]])*DiscreteStatsTable[NumberObservations])),0)</f>
        <v>1</v>
      </c>
      <c r="W536" s="5">
        <f>IF((DiscreteStatsTable[[#This Row],[RepsRequested]]&gt;1),DiscreteStatsTable[[#This Row],[HalfWidth]],DiscreteStatsTable[[#This Row],[BatchMeansHalfWidth]])</f>
        <v>0.33401806893870795</v>
      </c>
      <c r="X536" s="5" cm="1">
        <f t="array" ref="X536">COUNT(IF((DiscreteStatsTable[GroupByKey]=DiscreteStatsTable[[#This Row],[GroupByKey]]),(DiscreteStatsTable[GroupByKey]=DiscreteStatsTable[[#This Row],[GroupByKey]])*DiscreteStatsTable[Replication]))</f>
        <v>19</v>
      </c>
      <c r="Y536" s="5">
        <f>IF(DiscreteStatsTable[[#This Row],[RepsRequested]]=DiscreteStatsTable[[#This Row],[RepsWithStatObserved]],1,0)</f>
        <v>1</v>
      </c>
    </row>
    <row r="537" spans="1:25" x14ac:dyDescent="0.25">
      <c r="A537" t="s">
        <v>67</v>
      </c>
      <c r="B537" t="s">
        <v>69</v>
      </c>
      <c r="C537">
        <v>4</v>
      </c>
      <c r="D537" t="s">
        <v>102</v>
      </c>
      <c r="E537" t="s">
        <v>79</v>
      </c>
      <c r="F537" t="s">
        <v>80</v>
      </c>
      <c r="G537">
        <v>0.20590631106687199</v>
      </c>
      <c r="H537">
        <v>2E+20</v>
      </c>
      <c r="I537">
        <v>0.20590631106687199</v>
      </c>
      <c r="J537">
        <v>0.20590631106687199</v>
      </c>
      <c r="K537">
        <v>1</v>
      </c>
      <c r="L53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compartida)PrepPedidoH3ExpressionUser Specified</v>
      </c>
      <c r="M537" s="5" cm="1">
        <f t="array" ref="M537">MAX(IF((ProjectInfoTable[ProjectName]=DiscreteStatsTable[[#This Row],[ProjectName]]),(ProjectInfoTable[ProjectName]=DiscreteStatsTable[[#This Row],[ProjectName]])*ProjectInfoTable[NumberOfReplications]))</f>
        <v>19</v>
      </c>
      <c r="N537" s="5" cm="1">
        <f t="array" ref="N537">IFERROR(AVERAGE(IF((DiscreteStatsTable[GroupByKey]=DiscreteStatsTable[[#This Row],[GroupByKey]]),(DiscreteStatsTable[GroupByKey]=DiscreteStatsTable[[#This Row],[GroupByKey]])*DiscreteStatsTable[Average])),0)</f>
        <v>0.69352531674172502</v>
      </c>
      <c r="O537" s="5" cm="1">
        <f t="array" ref="O537">IFERROR(_xlfn.STDEV.S(IF((DiscreteStatsTable[GroupByKey]=DiscreteStatsTable[[#This Row],[GroupByKey]]),(DiscreteStatsTable[GroupByKey]=DiscreteStatsTable[[#This Row],[GroupByKey]])*DiscreteStatsTable[Average])),0)</f>
        <v>0.6930057279295283</v>
      </c>
      <c r="P537" s="5" cm="1">
        <f t="array" ref="P537">MAX(IF((ProjectInfoTable[ProjectName]=DiscreteStatsTable[[#This Row],[ProjectName]]),(ProjectInfoTable[ProjectName]=DiscreteStatsTable[[#This Row],[ProjectName]])*ProjectInfoTable[ConfidenceInterval]))</f>
        <v>0.95</v>
      </c>
      <c r="Q537" s="5">
        <f>IF(AND(DiscreteStatsTable[[#This Row],[RepsWithStatObserved]]=1,Y537=0),200000000000000000000,IFERROR(_xlfn.T.INV.2T(1 -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537" s="5" cm="1">
        <f t="array" ref="R537">MIN(IF((DiscreteStatsTable[GroupByKey]=DiscreteStatsTable[[#This Row],[GroupByKey]]),(DiscreteStatsTable[GroupByKey]=DiscreteStatsTable[[#This Row],[GroupByKey]])*DiscreteStatsTable[Average]))</f>
        <v>0.19675348802568801</v>
      </c>
      <c r="S537" s="5" cm="1">
        <f t="array" ref="S537">MAX(IF((DiscreteStatsTable[GroupByKey]=DiscreteStatsTable[[#This Row],[GroupByKey]]),(DiscreteStatsTable[GroupByKey]=DiscreteStatsTable[[#This Row],[GroupByKey]])*DiscreteStatsTable[Average]))</f>
        <v>3.2614571838962898</v>
      </c>
      <c r="T537" s="5" cm="1">
        <f t="array" ref="T537">MIN(IF((DiscreteStatsTable[GroupByKey]=DiscreteStatsTable[[#This Row],[GroupByKey]]),(DiscreteStatsTable[GroupByKey]=DiscreteStatsTable[[#This Row],[GroupByKey]])*DiscreteStatsTable[Minimum]))</f>
        <v>0.19675348802568801</v>
      </c>
      <c r="U537" s="5" cm="1">
        <f t="array" ref="U537">MAX(IF((DiscreteStatsTable[GroupByKey]=DiscreteStatsTable[[#This Row],[GroupByKey]]),(DiscreteStatsTable[GroupByKey]=DiscreteStatsTable[[#This Row],[GroupByKey]])*DiscreteStatsTable[Maximum]))</f>
        <v>3.2614571838962898</v>
      </c>
      <c r="V537" s="5" cm="1">
        <f t="array" ref="V537">IFERROR(AVERAGE(IF((DiscreteStatsTable[GroupByKey]=DiscreteStatsTable[[#This Row],[GroupByKey]]),(DiscreteStatsTable[GroupByKey]=DiscreteStatsTable[[#This Row],[GroupByKey]])*DiscreteStatsTable[NumberObservations])),0)</f>
        <v>1</v>
      </c>
      <c r="W537" s="5">
        <f>IF((DiscreteStatsTable[[#This Row],[RepsRequested]]&gt;1),DiscreteStatsTable[[#This Row],[HalfWidth]],DiscreteStatsTable[[#This Row],[BatchMeansHalfWidth]])</f>
        <v>0.33401806893870795</v>
      </c>
      <c r="X537" s="5" cm="1">
        <f t="array" ref="X537">COUNT(IF((DiscreteStatsTable[GroupByKey]=DiscreteStatsTable[[#This Row],[GroupByKey]]),(DiscreteStatsTable[GroupByKey]=DiscreteStatsTable[[#This Row],[GroupByKey]])*DiscreteStatsTable[Replication]))</f>
        <v>19</v>
      </c>
      <c r="Y537" s="5">
        <f>IF(DiscreteStatsTable[[#This Row],[RepsRequested]]=DiscreteStatsTable[[#This Row],[RepsWithStatObserved]],1,0)</f>
        <v>1</v>
      </c>
    </row>
    <row r="538" spans="1:25" x14ac:dyDescent="0.25">
      <c r="A538" t="s">
        <v>67</v>
      </c>
      <c r="B538" t="s">
        <v>69</v>
      </c>
      <c r="C538">
        <v>5</v>
      </c>
      <c r="D538" t="s">
        <v>102</v>
      </c>
      <c r="E538" t="s">
        <v>79</v>
      </c>
      <c r="F538" t="s">
        <v>80</v>
      </c>
      <c r="G538">
        <v>0.29464649062675102</v>
      </c>
      <c r="H538">
        <v>2E+20</v>
      </c>
      <c r="I538">
        <v>0.29464649062675102</v>
      </c>
      <c r="J538">
        <v>0.29464649062675102</v>
      </c>
      <c r="K538">
        <v>1</v>
      </c>
      <c r="L53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compartida)PrepPedidoH3ExpressionUser Specified</v>
      </c>
      <c r="M538" s="5" cm="1">
        <f t="array" ref="M538">MAX(IF((ProjectInfoTable[ProjectName]=DiscreteStatsTable[[#This Row],[ProjectName]]),(ProjectInfoTable[ProjectName]=DiscreteStatsTable[[#This Row],[ProjectName]])*ProjectInfoTable[NumberOfReplications]))</f>
        <v>19</v>
      </c>
      <c r="N538" s="5" cm="1">
        <f t="array" ref="N538">IFERROR(AVERAGE(IF((DiscreteStatsTable[GroupByKey]=DiscreteStatsTable[[#This Row],[GroupByKey]]),(DiscreteStatsTable[GroupByKey]=DiscreteStatsTable[[#This Row],[GroupByKey]])*DiscreteStatsTable[Average])),0)</f>
        <v>0.69352531674172502</v>
      </c>
      <c r="O538" s="5" cm="1">
        <f t="array" ref="O538">IFERROR(_xlfn.STDEV.S(IF((DiscreteStatsTable[GroupByKey]=DiscreteStatsTable[[#This Row],[GroupByKey]]),(DiscreteStatsTable[GroupByKey]=DiscreteStatsTable[[#This Row],[GroupByKey]])*DiscreteStatsTable[Average])),0)</f>
        <v>0.6930057279295283</v>
      </c>
      <c r="P538" s="5" cm="1">
        <f t="array" ref="P538">MAX(IF((ProjectInfoTable[ProjectName]=DiscreteStatsTable[[#This Row],[ProjectName]]),(ProjectInfoTable[ProjectName]=DiscreteStatsTable[[#This Row],[ProjectName]])*ProjectInfoTable[ConfidenceInterval]))</f>
        <v>0.95</v>
      </c>
      <c r="Q538" s="5">
        <f>IF(AND(DiscreteStatsTable[[#This Row],[RepsWithStatObserved]]=1,Y538=0),200000000000000000000,IFERROR(_xlfn.T.INV.2T(1 -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538" s="5" cm="1">
        <f t="array" ref="R538">MIN(IF((DiscreteStatsTable[GroupByKey]=DiscreteStatsTable[[#This Row],[GroupByKey]]),(DiscreteStatsTable[GroupByKey]=DiscreteStatsTable[[#This Row],[GroupByKey]])*DiscreteStatsTable[Average]))</f>
        <v>0.19675348802568801</v>
      </c>
      <c r="S538" s="5" cm="1">
        <f t="array" ref="S538">MAX(IF((DiscreteStatsTable[GroupByKey]=DiscreteStatsTable[[#This Row],[GroupByKey]]),(DiscreteStatsTable[GroupByKey]=DiscreteStatsTable[[#This Row],[GroupByKey]])*DiscreteStatsTable[Average]))</f>
        <v>3.2614571838962898</v>
      </c>
      <c r="T538" s="5" cm="1">
        <f t="array" ref="T538">MIN(IF((DiscreteStatsTable[GroupByKey]=DiscreteStatsTable[[#This Row],[GroupByKey]]),(DiscreteStatsTable[GroupByKey]=DiscreteStatsTable[[#This Row],[GroupByKey]])*DiscreteStatsTable[Minimum]))</f>
        <v>0.19675348802568801</v>
      </c>
      <c r="U538" s="5" cm="1">
        <f t="array" ref="U538">MAX(IF((DiscreteStatsTable[GroupByKey]=DiscreteStatsTable[[#This Row],[GroupByKey]]),(DiscreteStatsTable[GroupByKey]=DiscreteStatsTable[[#This Row],[GroupByKey]])*DiscreteStatsTable[Maximum]))</f>
        <v>3.2614571838962898</v>
      </c>
      <c r="V538" s="5" cm="1">
        <f t="array" ref="V538">IFERROR(AVERAGE(IF((DiscreteStatsTable[GroupByKey]=DiscreteStatsTable[[#This Row],[GroupByKey]]),(DiscreteStatsTable[GroupByKey]=DiscreteStatsTable[[#This Row],[GroupByKey]])*DiscreteStatsTable[NumberObservations])),0)</f>
        <v>1</v>
      </c>
      <c r="W538" s="5">
        <f>IF((DiscreteStatsTable[[#This Row],[RepsRequested]]&gt;1),DiscreteStatsTable[[#This Row],[HalfWidth]],DiscreteStatsTable[[#This Row],[BatchMeansHalfWidth]])</f>
        <v>0.33401806893870795</v>
      </c>
      <c r="X538" s="5" cm="1">
        <f t="array" ref="X538">COUNT(IF((DiscreteStatsTable[GroupByKey]=DiscreteStatsTable[[#This Row],[GroupByKey]]),(DiscreteStatsTable[GroupByKey]=DiscreteStatsTable[[#This Row],[GroupByKey]])*DiscreteStatsTable[Replication]))</f>
        <v>19</v>
      </c>
      <c r="Y538" s="5">
        <f>IF(DiscreteStatsTable[[#This Row],[RepsRequested]]=DiscreteStatsTable[[#This Row],[RepsWithStatObserved]],1,0)</f>
        <v>1</v>
      </c>
    </row>
    <row r="539" spans="1:25" x14ac:dyDescent="0.25">
      <c r="A539" t="s">
        <v>67</v>
      </c>
      <c r="B539" t="s">
        <v>69</v>
      </c>
      <c r="C539">
        <v>6</v>
      </c>
      <c r="D539" t="s">
        <v>102</v>
      </c>
      <c r="E539" t="s">
        <v>79</v>
      </c>
      <c r="F539" t="s">
        <v>80</v>
      </c>
      <c r="G539">
        <v>0.202792560515587</v>
      </c>
      <c r="H539">
        <v>2E+20</v>
      </c>
      <c r="I539">
        <v>0.202792560515587</v>
      </c>
      <c r="J539">
        <v>0.202792560515587</v>
      </c>
      <c r="K539">
        <v>1</v>
      </c>
      <c r="L53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compartida)PrepPedidoH3ExpressionUser Specified</v>
      </c>
      <c r="M539" s="5" cm="1">
        <f t="array" ref="M539">MAX(IF((ProjectInfoTable[ProjectName]=DiscreteStatsTable[[#This Row],[ProjectName]]),(ProjectInfoTable[ProjectName]=DiscreteStatsTable[[#This Row],[ProjectName]])*ProjectInfoTable[NumberOfReplications]))</f>
        <v>19</v>
      </c>
      <c r="N539" s="5" cm="1">
        <f t="array" ref="N539">IFERROR(AVERAGE(IF((DiscreteStatsTable[GroupByKey]=DiscreteStatsTable[[#This Row],[GroupByKey]]),(DiscreteStatsTable[GroupByKey]=DiscreteStatsTable[[#This Row],[GroupByKey]])*DiscreteStatsTable[Average])),0)</f>
        <v>0.69352531674172502</v>
      </c>
      <c r="O539" s="5" cm="1">
        <f t="array" ref="O539">IFERROR(_xlfn.STDEV.S(IF((DiscreteStatsTable[GroupByKey]=DiscreteStatsTable[[#This Row],[GroupByKey]]),(DiscreteStatsTable[GroupByKey]=DiscreteStatsTable[[#This Row],[GroupByKey]])*DiscreteStatsTable[Average])),0)</f>
        <v>0.6930057279295283</v>
      </c>
      <c r="P539" s="5" cm="1">
        <f t="array" ref="P539">MAX(IF((ProjectInfoTable[ProjectName]=DiscreteStatsTable[[#This Row],[ProjectName]]),(ProjectInfoTable[ProjectName]=DiscreteStatsTable[[#This Row],[ProjectName]])*ProjectInfoTable[ConfidenceInterval]))</f>
        <v>0.95</v>
      </c>
      <c r="Q539" s="5">
        <f>IF(AND(DiscreteStatsTable[[#This Row],[RepsWithStatObserved]]=1,Y539=0),200000000000000000000,IFERROR(_xlfn.T.INV.2T(1 -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539" s="5" cm="1">
        <f t="array" ref="R539">MIN(IF((DiscreteStatsTable[GroupByKey]=DiscreteStatsTable[[#This Row],[GroupByKey]]),(DiscreteStatsTable[GroupByKey]=DiscreteStatsTable[[#This Row],[GroupByKey]])*DiscreteStatsTable[Average]))</f>
        <v>0.19675348802568801</v>
      </c>
      <c r="S539" s="5" cm="1">
        <f t="array" ref="S539">MAX(IF((DiscreteStatsTable[GroupByKey]=DiscreteStatsTable[[#This Row],[GroupByKey]]),(DiscreteStatsTable[GroupByKey]=DiscreteStatsTable[[#This Row],[GroupByKey]])*DiscreteStatsTable[Average]))</f>
        <v>3.2614571838962898</v>
      </c>
      <c r="T539" s="5" cm="1">
        <f t="array" ref="T539">MIN(IF((DiscreteStatsTable[GroupByKey]=DiscreteStatsTable[[#This Row],[GroupByKey]]),(DiscreteStatsTable[GroupByKey]=DiscreteStatsTable[[#This Row],[GroupByKey]])*DiscreteStatsTable[Minimum]))</f>
        <v>0.19675348802568801</v>
      </c>
      <c r="U539" s="5" cm="1">
        <f t="array" ref="U539">MAX(IF((DiscreteStatsTable[GroupByKey]=DiscreteStatsTable[[#This Row],[GroupByKey]]),(DiscreteStatsTable[GroupByKey]=DiscreteStatsTable[[#This Row],[GroupByKey]])*DiscreteStatsTable[Maximum]))</f>
        <v>3.2614571838962898</v>
      </c>
      <c r="V539" s="5" cm="1">
        <f t="array" ref="V539">IFERROR(AVERAGE(IF((DiscreteStatsTable[GroupByKey]=DiscreteStatsTable[[#This Row],[GroupByKey]]),(DiscreteStatsTable[GroupByKey]=DiscreteStatsTable[[#This Row],[GroupByKey]])*DiscreteStatsTable[NumberObservations])),0)</f>
        <v>1</v>
      </c>
      <c r="W539" s="5">
        <f>IF((DiscreteStatsTable[[#This Row],[RepsRequested]]&gt;1),DiscreteStatsTable[[#This Row],[HalfWidth]],DiscreteStatsTable[[#This Row],[BatchMeansHalfWidth]])</f>
        <v>0.33401806893870795</v>
      </c>
      <c r="X539" s="5" cm="1">
        <f t="array" ref="X539">COUNT(IF((DiscreteStatsTable[GroupByKey]=DiscreteStatsTable[[#This Row],[GroupByKey]]),(DiscreteStatsTable[GroupByKey]=DiscreteStatsTable[[#This Row],[GroupByKey]])*DiscreteStatsTable[Replication]))</f>
        <v>19</v>
      </c>
      <c r="Y539" s="5">
        <f>IF(DiscreteStatsTable[[#This Row],[RepsRequested]]=DiscreteStatsTable[[#This Row],[RepsWithStatObserved]],1,0)</f>
        <v>1</v>
      </c>
    </row>
    <row r="540" spans="1:25" x14ac:dyDescent="0.25">
      <c r="A540" t="s">
        <v>67</v>
      </c>
      <c r="B540" t="s">
        <v>69</v>
      </c>
      <c r="C540">
        <v>7</v>
      </c>
      <c r="D540" t="s">
        <v>102</v>
      </c>
      <c r="E540" t="s">
        <v>79</v>
      </c>
      <c r="F540" t="s">
        <v>80</v>
      </c>
      <c r="G540">
        <v>0.38897841412815898</v>
      </c>
      <c r="H540">
        <v>2E+20</v>
      </c>
      <c r="I540">
        <v>0.38897841412815898</v>
      </c>
      <c r="J540">
        <v>0.38897841412815898</v>
      </c>
      <c r="K540">
        <v>1</v>
      </c>
      <c r="L54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compartida)PrepPedidoH3ExpressionUser Specified</v>
      </c>
      <c r="M540" s="5" cm="1">
        <f t="array" ref="M540">MAX(IF((ProjectInfoTable[ProjectName]=DiscreteStatsTable[[#This Row],[ProjectName]]),(ProjectInfoTable[ProjectName]=DiscreteStatsTable[[#This Row],[ProjectName]])*ProjectInfoTable[NumberOfReplications]))</f>
        <v>19</v>
      </c>
      <c r="N540" s="5" cm="1">
        <f t="array" ref="N540">IFERROR(AVERAGE(IF((DiscreteStatsTable[GroupByKey]=DiscreteStatsTable[[#This Row],[GroupByKey]]),(DiscreteStatsTable[GroupByKey]=DiscreteStatsTable[[#This Row],[GroupByKey]])*DiscreteStatsTable[Average])),0)</f>
        <v>0.69352531674172502</v>
      </c>
      <c r="O540" s="5" cm="1">
        <f t="array" ref="O540">IFERROR(_xlfn.STDEV.S(IF((DiscreteStatsTable[GroupByKey]=DiscreteStatsTable[[#This Row],[GroupByKey]]),(DiscreteStatsTable[GroupByKey]=DiscreteStatsTable[[#This Row],[GroupByKey]])*DiscreteStatsTable[Average])),0)</f>
        <v>0.6930057279295283</v>
      </c>
      <c r="P540" s="5" cm="1">
        <f t="array" ref="P540">MAX(IF((ProjectInfoTable[ProjectName]=DiscreteStatsTable[[#This Row],[ProjectName]]),(ProjectInfoTable[ProjectName]=DiscreteStatsTable[[#This Row],[ProjectName]])*ProjectInfoTable[ConfidenceInterval]))</f>
        <v>0.95</v>
      </c>
      <c r="Q540" s="5">
        <f>IF(AND(DiscreteStatsTable[[#This Row],[RepsWithStatObserved]]=1,Y540=0),200000000000000000000,IFERROR(_xlfn.T.INV.2T(1 -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540" s="5" cm="1">
        <f t="array" ref="R540">MIN(IF((DiscreteStatsTable[GroupByKey]=DiscreteStatsTable[[#This Row],[GroupByKey]]),(DiscreteStatsTable[GroupByKey]=DiscreteStatsTable[[#This Row],[GroupByKey]])*DiscreteStatsTable[Average]))</f>
        <v>0.19675348802568801</v>
      </c>
      <c r="S540" s="5" cm="1">
        <f t="array" ref="S540">MAX(IF((DiscreteStatsTable[GroupByKey]=DiscreteStatsTable[[#This Row],[GroupByKey]]),(DiscreteStatsTable[GroupByKey]=DiscreteStatsTable[[#This Row],[GroupByKey]])*DiscreteStatsTable[Average]))</f>
        <v>3.2614571838962898</v>
      </c>
      <c r="T540" s="5" cm="1">
        <f t="array" ref="T540">MIN(IF((DiscreteStatsTable[GroupByKey]=DiscreteStatsTable[[#This Row],[GroupByKey]]),(DiscreteStatsTable[GroupByKey]=DiscreteStatsTable[[#This Row],[GroupByKey]])*DiscreteStatsTable[Minimum]))</f>
        <v>0.19675348802568801</v>
      </c>
      <c r="U540" s="5" cm="1">
        <f t="array" ref="U540">MAX(IF((DiscreteStatsTable[GroupByKey]=DiscreteStatsTable[[#This Row],[GroupByKey]]),(DiscreteStatsTable[GroupByKey]=DiscreteStatsTable[[#This Row],[GroupByKey]])*DiscreteStatsTable[Maximum]))</f>
        <v>3.2614571838962898</v>
      </c>
      <c r="V540" s="5" cm="1">
        <f t="array" ref="V540">IFERROR(AVERAGE(IF((DiscreteStatsTable[GroupByKey]=DiscreteStatsTable[[#This Row],[GroupByKey]]),(DiscreteStatsTable[GroupByKey]=DiscreteStatsTable[[#This Row],[GroupByKey]])*DiscreteStatsTable[NumberObservations])),0)</f>
        <v>1</v>
      </c>
      <c r="W540" s="5">
        <f>IF((DiscreteStatsTable[[#This Row],[RepsRequested]]&gt;1),DiscreteStatsTable[[#This Row],[HalfWidth]],DiscreteStatsTable[[#This Row],[BatchMeansHalfWidth]])</f>
        <v>0.33401806893870795</v>
      </c>
      <c r="X540" s="5" cm="1">
        <f t="array" ref="X540">COUNT(IF((DiscreteStatsTable[GroupByKey]=DiscreteStatsTable[[#This Row],[GroupByKey]]),(DiscreteStatsTable[GroupByKey]=DiscreteStatsTable[[#This Row],[GroupByKey]])*DiscreteStatsTable[Replication]))</f>
        <v>19</v>
      </c>
      <c r="Y540" s="5">
        <f>IF(DiscreteStatsTable[[#This Row],[RepsRequested]]=DiscreteStatsTable[[#This Row],[RepsWithStatObserved]],1,0)</f>
        <v>1</v>
      </c>
    </row>
    <row r="541" spans="1:25" x14ac:dyDescent="0.25">
      <c r="A541" t="s">
        <v>67</v>
      </c>
      <c r="B541" t="s">
        <v>69</v>
      </c>
      <c r="C541">
        <v>8</v>
      </c>
      <c r="D541" t="s">
        <v>102</v>
      </c>
      <c r="E541" t="s">
        <v>79</v>
      </c>
      <c r="F541" t="s">
        <v>80</v>
      </c>
      <c r="G541">
        <v>0.67710120720200795</v>
      </c>
      <c r="H541">
        <v>2E+20</v>
      </c>
      <c r="I541">
        <v>0.67710120720200795</v>
      </c>
      <c r="J541">
        <v>0.67710120720200795</v>
      </c>
      <c r="K541">
        <v>1</v>
      </c>
      <c r="L54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compartida)PrepPedidoH3ExpressionUser Specified</v>
      </c>
      <c r="M541" s="5" cm="1">
        <f t="array" ref="M541">MAX(IF((ProjectInfoTable[ProjectName]=DiscreteStatsTable[[#This Row],[ProjectName]]),(ProjectInfoTable[ProjectName]=DiscreteStatsTable[[#This Row],[ProjectName]])*ProjectInfoTable[NumberOfReplications]))</f>
        <v>19</v>
      </c>
      <c r="N541" s="5" cm="1">
        <f t="array" ref="N541">IFERROR(AVERAGE(IF((DiscreteStatsTable[GroupByKey]=DiscreteStatsTable[[#This Row],[GroupByKey]]),(DiscreteStatsTable[GroupByKey]=DiscreteStatsTable[[#This Row],[GroupByKey]])*DiscreteStatsTable[Average])),0)</f>
        <v>0.69352531674172502</v>
      </c>
      <c r="O541" s="5" cm="1">
        <f t="array" ref="O541">IFERROR(_xlfn.STDEV.S(IF((DiscreteStatsTable[GroupByKey]=DiscreteStatsTable[[#This Row],[GroupByKey]]),(DiscreteStatsTable[GroupByKey]=DiscreteStatsTable[[#This Row],[GroupByKey]])*DiscreteStatsTable[Average])),0)</f>
        <v>0.6930057279295283</v>
      </c>
      <c r="P541" s="5" cm="1">
        <f t="array" ref="P541">MAX(IF((ProjectInfoTable[ProjectName]=DiscreteStatsTable[[#This Row],[ProjectName]]),(ProjectInfoTable[ProjectName]=DiscreteStatsTable[[#This Row],[ProjectName]])*ProjectInfoTable[ConfidenceInterval]))</f>
        <v>0.95</v>
      </c>
      <c r="Q541" s="5">
        <f>IF(AND(DiscreteStatsTable[[#This Row],[RepsWithStatObserved]]=1,Y541=0),200000000000000000000,IFERROR(_xlfn.T.INV.2T(1 -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541" s="5" cm="1">
        <f t="array" ref="R541">MIN(IF((DiscreteStatsTable[GroupByKey]=DiscreteStatsTable[[#This Row],[GroupByKey]]),(DiscreteStatsTable[GroupByKey]=DiscreteStatsTable[[#This Row],[GroupByKey]])*DiscreteStatsTable[Average]))</f>
        <v>0.19675348802568801</v>
      </c>
      <c r="S541" s="5" cm="1">
        <f t="array" ref="S541">MAX(IF((DiscreteStatsTable[GroupByKey]=DiscreteStatsTable[[#This Row],[GroupByKey]]),(DiscreteStatsTable[GroupByKey]=DiscreteStatsTable[[#This Row],[GroupByKey]])*DiscreteStatsTable[Average]))</f>
        <v>3.2614571838962898</v>
      </c>
      <c r="T541" s="5" cm="1">
        <f t="array" ref="T541">MIN(IF((DiscreteStatsTable[GroupByKey]=DiscreteStatsTable[[#This Row],[GroupByKey]]),(DiscreteStatsTable[GroupByKey]=DiscreteStatsTable[[#This Row],[GroupByKey]])*DiscreteStatsTable[Minimum]))</f>
        <v>0.19675348802568801</v>
      </c>
      <c r="U541" s="5" cm="1">
        <f t="array" ref="U541">MAX(IF((DiscreteStatsTable[GroupByKey]=DiscreteStatsTable[[#This Row],[GroupByKey]]),(DiscreteStatsTable[GroupByKey]=DiscreteStatsTable[[#This Row],[GroupByKey]])*DiscreteStatsTable[Maximum]))</f>
        <v>3.2614571838962898</v>
      </c>
      <c r="V541" s="5" cm="1">
        <f t="array" ref="V541">IFERROR(AVERAGE(IF((DiscreteStatsTable[GroupByKey]=DiscreteStatsTable[[#This Row],[GroupByKey]]),(DiscreteStatsTable[GroupByKey]=DiscreteStatsTable[[#This Row],[GroupByKey]])*DiscreteStatsTable[NumberObservations])),0)</f>
        <v>1</v>
      </c>
      <c r="W541" s="5">
        <f>IF((DiscreteStatsTable[[#This Row],[RepsRequested]]&gt;1),DiscreteStatsTable[[#This Row],[HalfWidth]],DiscreteStatsTable[[#This Row],[BatchMeansHalfWidth]])</f>
        <v>0.33401806893870795</v>
      </c>
      <c r="X541" s="5" cm="1">
        <f t="array" ref="X541">COUNT(IF((DiscreteStatsTable[GroupByKey]=DiscreteStatsTable[[#This Row],[GroupByKey]]),(DiscreteStatsTable[GroupByKey]=DiscreteStatsTable[[#This Row],[GroupByKey]])*DiscreteStatsTable[Replication]))</f>
        <v>19</v>
      </c>
      <c r="Y541" s="5">
        <f>IF(DiscreteStatsTable[[#This Row],[RepsRequested]]=DiscreteStatsTable[[#This Row],[RepsWithStatObserved]],1,0)</f>
        <v>1</v>
      </c>
    </row>
    <row r="542" spans="1:25" x14ac:dyDescent="0.25">
      <c r="A542" t="s">
        <v>67</v>
      </c>
      <c r="B542" t="s">
        <v>69</v>
      </c>
      <c r="C542">
        <v>9</v>
      </c>
      <c r="D542" t="s">
        <v>102</v>
      </c>
      <c r="E542" t="s">
        <v>79</v>
      </c>
      <c r="F542" t="s">
        <v>80</v>
      </c>
      <c r="G542">
        <v>0.37959191796525998</v>
      </c>
      <c r="H542">
        <v>2E+20</v>
      </c>
      <c r="I542">
        <v>0.37959191796525998</v>
      </c>
      <c r="J542">
        <v>0.37959191796525998</v>
      </c>
      <c r="K542">
        <v>1</v>
      </c>
      <c r="L54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compartida)PrepPedidoH3ExpressionUser Specified</v>
      </c>
      <c r="M542" s="5" cm="1">
        <f t="array" ref="M542">MAX(IF((ProjectInfoTable[ProjectName]=DiscreteStatsTable[[#This Row],[ProjectName]]),(ProjectInfoTable[ProjectName]=DiscreteStatsTable[[#This Row],[ProjectName]])*ProjectInfoTable[NumberOfReplications]))</f>
        <v>19</v>
      </c>
      <c r="N542" s="5" cm="1">
        <f t="array" ref="N542">IFERROR(AVERAGE(IF((DiscreteStatsTable[GroupByKey]=DiscreteStatsTable[[#This Row],[GroupByKey]]),(DiscreteStatsTable[GroupByKey]=DiscreteStatsTable[[#This Row],[GroupByKey]])*DiscreteStatsTable[Average])),0)</f>
        <v>0.69352531674172502</v>
      </c>
      <c r="O542" s="5" cm="1">
        <f t="array" ref="O542">IFERROR(_xlfn.STDEV.S(IF((DiscreteStatsTable[GroupByKey]=DiscreteStatsTable[[#This Row],[GroupByKey]]),(DiscreteStatsTable[GroupByKey]=DiscreteStatsTable[[#This Row],[GroupByKey]])*DiscreteStatsTable[Average])),0)</f>
        <v>0.6930057279295283</v>
      </c>
      <c r="P542" s="5" cm="1">
        <f t="array" ref="P542">MAX(IF((ProjectInfoTable[ProjectName]=DiscreteStatsTable[[#This Row],[ProjectName]]),(ProjectInfoTable[ProjectName]=DiscreteStatsTable[[#This Row],[ProjectName]])*ProjectInfoTable[ConfidenceInterval]))</f>
        <v>0.95</v>
      </c>
      <c r="Q542" s="5">
        <f>IF(AND(DiscreteStatsTable[[#This Row],[RepsWithStatObserved]]=1,Y542=0),200000000000000000000,IFERROR(_xlfn.T.INV.2T(1 -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542" s="5" cm="1">
        <f t="array" ref="R542">MIN(IF((DiscreteStatsTable[GroupByKey]=DiscreteStatsTable[[#This Row],[GroupByKey]]),(DiscreteStatsTable[GroupByKey]=DiscreteStatsTable[[#This Row],[GroupByKey]])*DiscreteStatsTable[Average]))</f>
        <v>0.19675348802568801</v>
      </c>
      <c r="S542" s="5" cm="1">
        <f t="array" ref="S542">MAX(IF((DiscreteStatsTable[GroupByKey]=DiscreteStatsTable[[#This Row],[GroupByKey]]),(DiscreteStatsTable[GroupByKey]=DiscreteStatsTable[[#This Row],[GroupByKey]])*DiscreteStatsTable[Average]))</f>
        <v>3.2614571838962898</v>
      </c>
      <c r="T542" s="5" cm="1">
        <f t="array" ref="T542">MIN(IF((DiscreteStatsTable[GroupByKey]=DiscreteStatsTable[[#This Row],[GroupByKey]]),(DiscreteStatsTable[GroupByKey]=DiscreteStatsTable[[#This Row],[GroupByKey]])*DiscreteStatsTable[Minimum]))</f>
        <v>0.19675348802568801</v>
      </c>
      <c r="U542" s="5" cm="1">
        <f t="array" ref="U542">MAX(IF((DiscreteStatsTable[GroupByKey]=DiscreteStatsTable[[#This Row],[GroupByKey]]),(DiscreteStatsTable[GroupByKey]=DiscreteStatsTable[[#This Row],[GroupByKey]])*DiscreteStatsTable[Maximum]))</f>
        <v>3.2614571838962898</v>
      </c>
      <c r="V542" s="5" cm="1">
        <f t="array" ref="V542">IFERROR(AVERAGE(IF((DiscreteStatsTable[GroupByKey]=DiscreteStatsTable[[#This Row],[GroupByKey]]),(DiscreteStatsTable[GroupByKey]=DiscreteStatsTable[[#This Row],[GroupByKey]])*DiscreteStatsTable[NumberObservations])),0)</f>
        <v>1</v>
      </c>
      <c r="W542" s="5">
        <f>IF((DiscreteStatsTable[[#This Row],[RepsRequested]]&gt;1),DiscreteStatsTable[[#This Row],[HalfWidth]],DiscreteStatsTable[[#This Row],[BatchMeansHalfWidth]])</f>
        <v>0.33401806893870795</v>
      </c>
      <c r="X542" s="5" cm="1">
        <f t="array" ref="X542">COUNT(IF((DiscreteStatsTable[GroupByKey]=DiscreteStatsTable[[#This Row],[GroupByKey]]),(DiscreteStatsTable[GroupByKey]=DiscreteStatsTable[[#This Row],[GroupByKey]])*DiscreteStatsTable[Replication]))</f>
        <v>19</v>
      </c>
      <c r="Y542" s="5">
        <f>IF(DiscreteStatsTable[[#This Row],[RepsRequested]]=DiscreteStatsTable[[#This Row],[RepsWithStatObserved]],1,0)</f>
        <v>1</v>
      </c>
    </row>
    <row r="543" spans="1:25" x14ac:dyDescent="0.25">
      <c r="A543" t="s">
        <v>67</v>
      </c>
      <c r="B543" t="s">
        <v>69</v>
      </c>
      <c r="C543">
        <v>10</v>
      </c>
      <c r="D543" t="s">
        <v>102</v>
      </c>
      <c r="E543" t="s">
        <v>79</v>
      </c>
      <c r="F543" t="s">
        <v>80</v>
      </c>
      <c r="G543">
        <v>0.91708970562945302</v>
      </c>
      <c r="H543">
        <v>2E+20</v>
      </c>
      <c r="I543">
        <v>0.91708970562945302</v>
      </c>
      <c r="J543">
        <v>0.91708970562945302</v>
      </c>
      <c r="K543">
        <v>1</v>
      </c>
      <c r="L54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compartida)PrepPedidoH3ExpressionUser Specified</v>
      </c>
      <c r="M543" s="5" cm="1">
        <f t="array" ref="M543">MAX(IF((ProjectInfoTable[ProjectName]=DiscreteStatsTable[[#This Row],[ProjectName]]),(ProjectInfoTable[ProjectName]=DiscreteStatsTable[[#This Row],[ProjectName]])*ProjectInfoTable[NumberOfReplications]))</f>
        <v>19</v>
      </c>
      <c r="N543" s="5" cm="1">
        <f t="array" ref="N543">IFERROR(AVERAGE(IF((DiscreteStatsTable[GroupByKey]=DiscreteStatsTable[[#This Row],[GroupByKey]]),(DiscreteStatsTable[GroupByKey]=DiscreteStatsTable[[#This Row],[GroupByKey]])*DiscreteStatsTable[Average])),0)</f>
        <v>0.69352531674172502</v>
      </c>
      <c r="O543" s="5" cm="1">
        <f t="array" ref="O543">IFERROR(_xlfn.STDEV.S(IF((DiscreteStatsTable[GroupByKey]=DiscreteStatsTable[[#This Row],[GroupByKey]]),(DiscreteStatsTable[GroupByKey]=DiscreteStatsTable[[#This Row],[GroupByKey]])*DiscreteStatsTable[Average])),0)</f>
        <v>0.6930057279295283</v>
      </c>
      <c r="P543" s="5" cm="1">
        <f t="array" ref="P543">MAX(IF((ProjectInfoTable[ProjectName]=DiscreteStatsTable[[#This Row],[ProjectName]]),(ProjectInfoTable[ProjectName]=DiscreteStatsTable[[#This Row],[ProjectName]])*ProjectInfoTable[ConfidenceInterval]))</f>
        <v>0.95</v>
      </c>
      <c r="Q543" s="5">
        <f>IF(AND(DiscreteStatsTable[[#This Row],[RepsWithStatObserved]]=1,Y543=0),200000000000000000000,IFERROR(_xlfn.T.INV.2T(1 -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543" s="5" cm="1">
        <f t="array" ref="R543">MIN(IF((DiscreteStatsTable[GroupByKey]=DiscreteStatsTable[[#This Row],[GroupByKey]]),(DiscreteStatsTable[GroupByKey]=DiscreteStatsTable[[#This Row],[GroupByKey]])*DiscreteStatsTable[Average]))</f>
        <v>0.19675348802568801</v>
      </c>
      <c r="S543" s="5" cm="1">
        <f t="array" ref="S543">MAX(IF((DiscreteStatsTable[GroupByKey]=DiscreteStatsTable[[#This Row],[GroupByKey]]),(DiscreteStatsTable[GroupByKey]=DiscreteStatsTable[[#This Row],[GroupByKey]])*DiscreteStatsTable[Average]))</f>
        <v>3.2614571838962898</v>
      </c>
      <c r="T543" s="5" cm="1">
        <f t="array" ref="T543">MIN(IF((DiscreteStatsTable[GroupByKey]=DiscreteStatsTable[[#This Row],[GroupByKey]]),(DiscreteStatsTable[GroupByKey]=DiscreteStatsTable[[#This Row],[GroupByKey]])*DiscreteStatsTable[Minimum]))</f>
        <v>0.19675348802568801</v>
      </c>
      <c r="U543" s="5" cm="1">
        <f t="array" ref="U543">MAX(IF((DiscreteStatsTable[GroupByKey]=DiscreteStatsTable[[#This Row],[GroupByKey]]),(DiscreteStatsTable[GroupByKey]=DiscreteStatsTable[[#This Row],[GroupByKey]])*DiscreteStatsTable[Maximum]))</f>
        <v>3.2614571838962898</v>
      </c>
      <c r="V543" s="5" cm="1">
        <f t="array" ref="V543">IFERROR(AVERAGE(IF((DiscreteStatsTable[GroupByKey]=DiscreteStatsTable[[#This Row],[GroupByKey]]),(DiscreteStatsTable[GroupByKey]=DiscreteStatsTable[[#This Row],[GroupByKey]])*DiscreteStatsTable[NumberObservations])),0)</f>
        <v>1</v>
      </c>
      <c r="W543" s="5">
        <f>IF((DiscreteStatsTable[[#This Row],[RepsRequested]]&gt;1),DiscreteStatsTable[[#This Row],[HalfWidth]],DiscreteStatsTable[[#This Row],[BatchMeansHalfWidth]])</f>
        <v>0.33401806893870795</v>
      </c>
      <c r="X543" s="5" cm="1">
        <f t="array" ref="X543">COUNT(IF((DiscreteStatsTable[GroupByKey]=DiscreteStatsTable[[#This Row],[GroupByKey]]),(DiscreteStatsTable[GroupByKey]=DiscreteStatsTable[[#This Row],[GroupByKey]])*DiscreteStatsTable[Replication]))</f>
        <v>19</v>
      </c>
      <c r="Y543" s="5">
        <f>IF(DiscreteStatsTable[[#This Row],[RepsRequested]]=DiscreteStatsTable[[#This Row],[RepsWithStatObserved]],1,0)</f>
        <v>1</v>
      </c>
    </row>
    <row r="544" spans="1:25" x14ac:dyDescent="0.25">
      <c r="A544" t="s">
        <v>67</v>
      </c>
      <c r="B544" t="s">
        <v>69</v>
      </c>
      <c r="C544">
        <v>11</v>
      </c>
      <c r="D544" t="s">
        <v>102</v>
      </c>
      <c r="E544" t="s">
        <v>79</v>
      </c>
      <c r="F544" t="s">
        <v>80</v>
      </c>
      <c r="G544">
        <v>0.61288890231357696</v>
      </c>
      <c r="H544">
        <v>2E+20</v>
      </c>
      <c r="I544">
        <v>0.61288890231357696</v>
      </c>
      <c r="J544">
        <v>0.61288890231357696</v>
      </c>
      <c r="K544">
        <v>1</v>
      </c>
      <c r="L54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compartida)PrepPedidoH3ExpressionUser Specified</v>
      </c>
      <c r="M544" s="5" cm="1">
        <f t="array" ref="M544">MAX(IF((ProjectInfoTable[ProjectName]=DiscreteStatsTable[[#This Row],[ProjectName]]),(ProjectInfoTable[ProjectName]=DiscreteStatsTable[[#This Row],[ProjectName]])*ProjectInfoTable[NumberOfReplications]))</f>
        <v>19</v>
      </c>
      <c r="N544" s="5" cm="1">
        <f t="array" ref="N544">IFERROR(AVERAGE(IF((DiscreteStatsTable[GroupByKey]=DiscreteStatsTable[[#This Row],[GroupByKey]]),(DiscreteStatsTable[GroupByKey]=DiscreteStatsTable[[#This Row],[GroupByKey]])*DiscreteStatsTable[Average])),0)</f>
        <v>0.69352531674172502</v>
      </c>
      <c r="O544" s="5" cm="1">
        <f t="array" ref="O544">IFERROR(_xlfn.STDEV.S(IF((DiscreteStatsTable[GroupByKey]=DiscreteStatsTable[[#This Row],[GroupByKey]]),(DiscreteStatsTable[GroupByKey]=DiscreteStatsTable[[#This Row],[GroupByKey]])*DiscreteStatsTable[Average])),0)</f>
        <v>0.6930057279295283</v>
      </c>
      <c r="P544" s="5" cm="1">
        <f t="array" ref="P544">MAX(IF((ProjectInfoTable[ProjectName]=DiscreteStatsTable[[#This Row],[ProjectName]]),(ProjectInfoTable[ProjectName]=DiscreteStatsTable[[#This Row],[ProjectName]])*ProjectInfoTable[ConfidenceInterval]))</f>
        <v>0.95</v>
      </c>
      <c r="Q544" s="5">
        <f>IF(AND(DiscreteStatsTable[[#This Row],[RepsWithStatObserved]]=1,Y544=0),200000000000000000000,IFERROR(_xlfn.T.INV.2T(1 -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544" s="5" cm="1">
        <f t="array" ref="R544">MIN(IF((DiscreteStatsTable[GroupByKey]=DiscreteStatsTable[[#This Row],[GroupByKey]]),(DiscreteStatsTable[GroupByKey]=DiscreteStatsTable[[#This Row],[GroupByKey]])*DiscreteStatsTable[Average]))</f>
        <v>0.19675348802568801</v>
      </c>
      <c r="S544" s="5" cm="1">
        <f t="array" ref="S544">MAX(IF((DiscreteStatsTable[GroupByKey]=DiscreteStatsTable[[#This Row],[GroupByKey]]),(DiscreteStatsTable[GroupByKey]=DiscreteStatsTable[[#This Row],[GroupByKey]])*DiscreteStatsTable[Average]))</f>
        <v>3.2614571838962898</v>
      </c>
      <c r="T544" s="5" cm="1">
        <f t="array" ref="T544">MIN(IF((DiscreteStatsTable[GroupByKey]=DiscreteStatsTable[[#This Row],[GroupByKey]]),(DiscreteStatsTable[GroupByKey]=DiscreteStatsTable[[#This Row],[GroupByKey]])*DiscreteStatsTable[Minimum]))</f>
        <v>0.19675348802568801</v>
      </c>
      <c r="U544" s="5" cm="1">
        <f t="array" ref="U544">MAX(IF((DiscreteStatsTable[GroupByKey]=DiscreteStatsTable[[#This Row],[GroupByKey]]),(DiscreteStatsTable[GroupByKey]=DiscreteStatsTable[[#This Row],[GroupByKey]])*DiscreteStatsTable[Maximum]))</f>
        <v>3.2614571838962898</v>
      </c>
      <c r="V544" s="5" cm="1">
        <f t="array" ref="V544">IFERROR(AVERAGE(IF((DiscreteStatsTable[GroupByKey]=DiscreteStatsTable[[#This Row],[GroupByKey]]),(DiscreteStatsTable[GroupByKey]=DiscreteStatsTable[[#This Row],[GroupByKey]])*DiscreteStatsTable[NumberObservations])),0)</f>
        <v>1</v>
      </c>
      <c r="W544" s="5">
        <f>IF((DiscreteStatsTable[[#This Row],[RepsRequested]]&gt;1),DiscreteStatsTable[[#This Row],[HalfWidth]],DiscreteStatsTable[[#This Row],[BatchMeansHalfWidth]])</f>
        <v>0.33401806893870795</v>
      </c>
      <c r="X544" s="5" cm="1">
        <f t="array" ref="X544">COUNT(IF((DiscreteStatsTable[GroupByKey]=DiscreteStatsTable[[#This Row],[GroupByKey]]),(DiscreteStatsTable[GroupByKey]=DiscreteStatsTable[[#This Row],[GroupByKey]])*DiscreteStatsTable[Replication]))</f>
        <v>19</v>
      </c>
      <c r="Y544" s="5">
        <f>IF(DiscreteStatsTable[[#This Row],[RepsRequested]]=DiscreteStatsTable[[#This Row],[RepsWithStatObserved]],1,0)</f>
        <v>1</v>
      </c>
    </row>
    <row r="545" spans="1:25" x14ac:dyDescent="0.25">
      <c r="A545" t="s">
        <v>67</v>
      </c>
      <c r="B545" t="s">
        <v>69</v>
      </c>
      <c r="C545">
        <v>12</v>
      </c>
      <c r="D545" t="s">
        <v>102</v>
      </c>
      <c r="E545" t="s">
        <v>79</v>
      </c>
      <c r="F545" t="s">
        <v>80</v>
      </c>
      <c r="G545">
        <v>0.73450167633732599</v>
      </c>
      <c r="H545">
        <v>2E+20</v>
      </c>
      <c r="I545">
        <v>0.73450167633732599</v>
      </c>
      <c r="J545">
        <v>0.73450167633732599</v>
      </c>
      <c r="K545">
        <v>1</v>
      </c>
      <c r="L54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compartida)PrepPedidoH3ExpressionUser Specified</v>
      </c>
      <c r="M545" s="5" cm="1">
        <f t="array" ref="M545">MAX(IF((ProjectInfoTable[ProjectName]=DiscreteStatsTable[[#This Row],[ProjectName]]),(ProjectInfoTable[ProjectName]=DiscreteStatsTable[[#This Row],[ProjectName]])*ProjectInfoTable[NumberOfReplications]))</f>
        <v>19</v>
      </c>
      <c r="N545" s="5" cm="1">
        <f t="array" ref="N545">IFERROR(AVERAGE(IF((DiscreteStatsTable[GroupByKey]=DiscreteStatsTable[[#This Row],[GroupByKey]]),(DiscreteStatsTable[GroupByKey]=DiscreteStatsTable[[#This Row],[GroupByKey]])*DiscreteStatsTable[Average])),0)</f>
        <v>0.69352531674172502</v>
      </c>
      <c r="O545" s="5" cm="1">
        <f t="array" ref="O545">IFERROR(_xlfn.STDEV.S(IF((DiscreteStatsTable[GroupByKey]=DiscreteStatsTable[[#This Row],[GroupByKey]]),(DiscreteStatsTable[GroupByKey]=DiscreteStatsTable[[#This Row],[GroupByKey]])*DiscreteStatsTable[Average])),0)</f>
        <v>0.6930057279295283</v>
      </c>
      <c r="P545" s="5" cm="1">
        <f t="array" ref="P545">MAX(IF((ProjectInfoTable[ProjectName]=DiscreteStatsTable[[#This Row],[ProjectName]]),(ProjectInfoTable[ProjectName]=DiscreteStatsTable[[#This Row],[ProjectName]])*ProjectInfoTable[ConfidenceInterval]))</f>
        <v>0.95</v>
      </c>
      <c r="Q545" s="5">
        <f>IF(AND(DiscreteStatsTable[[#This Row],[RepsWithStatObserved]]=1,Y545=0),200000000000000000000,IFERROR(_xlfn.T.INV.2T(1 -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545" s="5" cm="1">
        <f t="array" ref="R545">MIN(IF((DiscreteStatsTable[GroupByKey]=DiscreteStatsTable[[#This Row],[GroupByKey]]),(DiscreteStatsTable[GroupByKey]=DiscreteStatsTable[[#This Row],[GroupByKey]])*DiscreteStatsTable[Average]))</f>
        <v>0.19675348802568801</v>
      </c>
      <c r="S545" s="5" cm="1">
        <f t="array" ref="S545">MAX(IF((DiscreteStatsTable[GroupByKey]=DiscreteStatsTable[[#This Row],[GroupByKey]]),(DiscreteStatsTable[GroupByKey]=DiscreteStatsTable[[#This Row],[GroupByKey]])*DiscreteStatsTable[Average]))</f>
        <v>3.2614571838962898</v>
      </c>
      <c r="T545" s="5" cm="1">
        <f t="array" ref="T545">MIN(IF((DiscreteStatsTable[GroupByKey]=DiscreteStatsTable[[#This Row],[GroupByKey]]),(DiscreteStatsTable[GroupByKey]=DiscreteStatsTable[[#This Row],[GroupByKey]])*DiscreteStatsTable[Minimum]))</f>
        <v>0.19675348802568801</v>
      </c>
      <c r="U545" s="5" cm="1">
        <f t="array" ref="U545">MAX(IF((DiscreteStatsTable[GroupByKey]=DiscreteStatsTable[[#This Row],[GroupByKey]]),(DiscreteStatsTable[GroupByKey]=DiscreteStatsTable[[#This Row],[GroupByKey]])*DiscreteStatsTable[Maximum]))</f>
        <v>3.2614571838962898</v>
      </c>
      <c r="V545" s="5" cm="1">
        <f t="array" ref="V545">IFERROR(AVERAGE(IF((DiscreteStatsTable[GroupByKey]=DiscreteStatsTable[[#This Row],[GroupByKey]]),(DiscreteStatsTable[GroupByKey]=DiscreteStatsTable[[#This Row],[GroupByKey]])*DiscreteStatsTable[NumberObservations])),0)</f>
        <v>1</v>
      </c>
      <c r="W545" s="5">
        <f>IF((DiscreteStatsTable[[#This Row],[RepsRequested]]&gt;1),DiscreteStatsTable[[#This Row],[HalfWidth]],DiscreteStatsTable[[#This Row],[BatchMeansHalfWidth]])</f>
        <v>0.33401806893870795</v>
      </c>
      <c r="X545" s="5" cm="1">
        <f t="array" ref="X545">COUNT(IF((DiscreteStatsTable[GroupByKey]=DiscreteStatsTable[[#This Row],[GroupByKey]]),(DiscreteStatsTable[GroupByKey]=DiscreteStatsTable[[#This Row],[GroupByKey]])*DiscreteStatsTable[Replication]))</f>
        <v>19</v>
      </c>
      <c r="Y545" s="5">
        <f>IF(DiscreteStatsTable[[#This Row],[RepsRequested]]=DiscreteStatsTable[[#This Row],[RepsWithStatObserved]],1,0)</f>
        <v>1</v>
      </c>
    </row>
    <row r="546" spans="1:25" x14ac:dyDescent="0.25">
      <c r="A546" t="s">
        <v>67</v>
      </c>
      <c r="B546" t="s">
        <v>69</v>
      </c>
      <c r="C546">
        <v>13</v>
      </c>
      <c r="D546" t="s">
        <v>102</v>
      </c>
      <c r="E546" t="s">
        <v>79</v>
      </c>
      <c r="F546" t="s">
        <v>80</v>
      </c>
      <c r="G546">
        <v>0.45527789507148497</v>
      </c>
      <c r="H546">
        <v>2E+20</v>
      </c>
      <c r="I546">
        <v>0.45527789507148497</v>
      </c>
      <c r="J546">
        <v>0.45527789507148497</v>
      </c>
      <c r="K546">
        <v>1</v>
      </c>
      <c r="L54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compartida)PrepPedidoH3ExpressionUser Specified</v>
      </c>
      <c r="M546" s="5" cm="1">
        <f t="array" ref="M546">MAX(IF((ProjectInfoTable[ProjectName]=DiscreteStatsTable[[#This Row],[ProjectName]]),(ProjectInfoTable[ProjectName]=DiscreteStatsTable[[#This Row],[ProjectName]])*ProjectInfoTable[NumberOfReplications]))</f>
        <v>19</v>
      </c>
      <c r="N546" s="5" cm="1">
        <f t="array" ref="N546">IFERROR(AVERAGE(IF((DiscreteStatsTable[GroupByKey]=DiscreteStatsTable[[#This Row],[GroupByKey]]),(DiscreteStatsTable[GroupByKey]=DiscreteStatsTable[[#This Row],[GroupByKey]])*DiscreteStatsTable[Average])),0)</f>
        <v>0.69352531674172502</v>
      </c>
      <c r="O546" s="5" cm="1">
        <f t="array" ref="O546">IFERROR(_xlfn.STDEV.S(IF((DiscreteStatsTable[GroupByKey]=DiscreteStatsTable[[#This Row],[GroupByKey]]),(DiscreteStatsTable[GroupByKey]=DiscreteStatsTable[[#This Row],[GroupByKey]])*DiscreteStatsTable[Average])),0)</f>
        <v>0.6930057279295283</v>
      </c>
      <c r="P546" s="5" cm="1">
        <f t="array" ref="P546">MAX(IF((ProjectInfoTable[ProjectName]=DiscreteStatsTable[[#This Row],[ProjectName]]),(ProjectInfoTable[ProjectName]=DiscreteStatsTable[[#This Row],[ProjectName]])*ProjectInfoTable[ConfidenceInterval]))</f>
        <v>0.95</v>
      </c>
      <c r="Q546" s="5">
        <f>IF(AND(DiscreteStatsTable[[#This Row],[RepsWithStatObserved]]=1,Y546=0),200000000000000000000,IFERROR(_xlfn.T.INV.2T(1 -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546" s="5" cm="1">
        <f t="array" ref="R546">MIN(IF((DiscreteStatsTable[GroupByKey]=DiscreteStatsTable[[#This Row],[GroupByKey]]),(DiscreteStatsTable[GroupByKey]=DiscreteStatsTable[[#This Row],[GroupByKey]])*DiscreteStatsTable[Average]))</f>
        <v>0.19675348802568801</v>
      </c>
      <c r="S546" s="5" cm="1">
        <f t="array" ref="S546">MAX(IF((DiscreteStatsTable[GroupByKey]=DiscreteStatsTable[[#This Row],[GroupByKey]]),(DiscreteStatsTable[GroupByKey]=DiscreteStatsTable[[#This Row],[GroupByKey]])*DiscreteStatsTable[Average]))</f>
        <v>3.2614571838962898</v>
      </c>
      <c r="T546" s="5" cm="1">
        <f t="array" ref="T546">MIN(IF((DiscreteStatsTable[GroupByKey]=DiscreteStatsTable[[#This Row],[GroupByKey]]),(DiscreteStatsTable[GroupByKey]=DiscreteStatsTable[[#This Row],[GroupByKey]])*DiscreteStatsTable[Minimum]))</f>
        <v>0.19675348802568801</v>
      </c>
      <c r="U546" s="5" cm="1">
        <f t="array" ref="U546">MAX(IF((DiscreteStatsTable[GroupByKey]=DiscreteStatsTable[[#This Row],[GroupByKey]]),(DiscreteStatsTable[GroupByKey]=DiscreteStatsTable[[#This Row],[GroupByKey]])*DiscreteStatsTable[Maximum]))</f>
        <v>3.2614571838962898</v>
      </c>
      <c r="V546" s="5" cm="1">
        <f t="array" ref="V546">IFERROR(AVERAGE(IF((DiscreteStatsTable[GroupByKey]=DiscreteStatsTable[[#This Row],[GroupByKey]]),(DiscreteStatsTable[GroupByKey]=DiscreteStatsTable[[#This Row],[GroupByKey]])*DiscreteStatsTable[NumberObservations])),0)</f>
        <v>1</v>
      </c>
      <c r="W546" s="5">
        <f>IF((DiscreteStatsTable[[#This Row],[RepsRequested]]&gt;1),DiscreteStatsTable[[#This Row],[HalfWidth]],DiscreteStatsTable[[#This Row],[BatchMeansHalfWidth]])</f>
        <v>0.33401806893870795</v>
      </c>
      <c r="X546" s="5" cm="1">
        <f t="array" ref="X546">COUNT(IF((DiscreteStatsTable[GroupByKey]=DiscreteStatsTable[[#This Row],[GroupByKey]]),(DiscreteStatsTable[GroupByKey]=DiscreteStatsTable[[#This Row],[GroupByKey]])*DiscreteStatsTable[Replication]))</f>
        <v>19</v>
      </c>
      <c r="Y546" s="5">
        <f>IF(DiscreteStatsTable[[#This Row],[RepsRequested]]=DiscreteStatsTable[[#This Row],[RepsWithStatObserved]],1,0)</f>
        <v>1</v>
      </c>
    </row>
    <row r="547" spans="1:25" x14ac:dyDescent="0.25">
      <c r="A547" t="s">
        <v>67</v>
      </c>
      <c r="B547" t="s">
        <v>69</v>
      </c>
      <c r="C547">
        <v>14</v>
      </c>
      <c r="D547" t="s">
        <v>102</v>
      </c>
      <c r="E547" t="s">
        <v>79</v>
      </c>
      <c r="F547" t="s">
        <v>80</v>
      </c>
      <c r="G547">
        <v>0.84077560664595896</v>
      </c>
      <c r="H547">
        <v>2E+20</v>
      </c>
      <c r="I547">
        <v>0.84077560664595896</v>
      </c>
      <c r="J547">
        <v>0.84077560664595896</v>
      </c>
      <c r="K547">
        <v>1</v>
      </c>
      <c r="L54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compartida)PrepPedidoH3ExpressionUser Specified</v>
      </c>
      <c r="M547" s="5" cm="1">
        <f t="array" ref="M547">MAX(IF((ProjectInfoTable[ProjectName]=DiscreteStatsTable[[#This Row],[ProjectName]]),(ProjectInfoTable[ProjectName]=DiscreteStatsTable[[#This Row],[ProjectName]])*ProjectInfoTable[NumberOfReplications]))</f>
        <v>19</v>
      </c>
      <c r="N547" s="5" cm="1">
        <f t="array" ref="N547">IFERROR(AVERAGE(IF((DiscreteStatsTable[GroupByKey]=DiscreteStatsTable[[#This Row],[GroupByKey]]),(DiscreteStatsTable[GroupByKey]=DiscreteStatsTable[[#This Row],[GroupByKey]])*DiscreteStatsTable[Average])),0)</f>
        <v>0.69352531674172502</v>
      </c>
      <c r="O547" s="5" cm="1">
        <f t="array" ref="O547">IFERROR(_xlfn.STDEV.S(IF((DiscreteStatsTable[GroupByKey]=DiscreteStatsTable[[#This Row],[GroupByKey]]),(DiscreteStatsTable[GroupByKey]=DiscreteStatsTable[[#This Row],[GroupByKey]])*DiscreteStatsTable[Average])),0)</f>
        <v>0.6930057279295283</v>
      </c>
      <c r="P547" s="5" cm="1">
        <f t="array" ref="P547">MAX(IF((ProjectInfoTable[ProjectName]=DiscreteStatsTable[[#This Row],[ProjectName]]),(ProjectInfoTable[ProjectName]=DiscreteStatsTable[[#This Row],[ProjectName]])*ProjectInfoTable[ConfidenceInterval]))</f>
        <v>0.95</v>
      </c>
      <c r="Q547" s="5">
        <f>IF(AND(DiscreteStatsTable[[#This Row],[RepsWithStatObserved]]=1,Y547=0),200000000000000000000,IFERROR(_xlfn.T.INV.2T(1 -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547" s="5" cm="1">
        <f t="array" ref="R547">MIN(IF((DiscreteStatsTable[GroupByKey]=DiscreteStatsTable[[#This Row],[GroupByKey]]),(DiscreteStatsTable[GroupByKey]=DiscreteStatsTable[[#This Row],[GroupByKey]])*DiscreteStatsTable[Average]))</f>
        <v>0.19675348802568801</v>
      </c>
      <c r="S547" s="5" cm="1">
        <f t="array" ref="S547">MAX(IF((DiscreteStatsTable[GroupByKey]=DiscreteStatsTable[[#This Row],[GroupByKey]]),(DiscreteStatsTable[GroupByKey]=DiscreteStatsTable[[#This Row],[GroupByKey]])*DiscreteStatsTable[Average]))</f>
        <v>3.2614571838962898</v>
      </c>
      <c r="T547" s="5" cm="1">
        <f t="array" ref="T547">MIN(IF((DiscreteStatsTable[GroupByKey]=DiscreteStatsTable[[#This Row],[GroupByKey]]),(DiscreteStatsTable[GroupByKey]=DiscreteStatsTable[[#This Row],[GroupByKey]])*DiscreteStatsTable[Minimum]))</f>
        <v>0.19675348802568801</v>
      </c>
      <c r="U547" s="5" cm="1">
        <f t="array" ref="U547">MAX(IF((DiscreteStatsTable[GroupByKey]=DiscreteStatsTable[[#This Row],[GroupByKey]]),(DiscreteStatsTable[GroupByKey]=DiscreteStatsTable[[#This Row],[GroupByKey]])*DiscreteStatsTable[Maximum]))</f>
        <v>3.2614571838962898</v>
      </c>
      <c r="V547" s="5" cm="1">
        <f t="array" ref="V547">IFERROR(AVERAGE(IF((DiscreteStatsTable[GroupByKey]=DiscreteStatsTable[[#This Row],[GroupByKey]]),(DiscreteStatsTable[GroupByKey]=DiscreteStatsTable[[#This Row],[GroupByKey]])*DiscreteStatsTable[NumberObservations])),0)</f>
        <v>1</v>
      </c>
      <c r="W547" s="5">
        <f>IF((DiscreteStatsTable[[#This Row],[RepsRequested]]&gt;1),DiscreteStatsTable[[#This Row],[HalfWidth]],DiscreteStatsTable[[#This Row],[BatchMeansHalfWidth]])</f>
        <v>0.33401806893870795</v>
      </c>
      <c r="X547" s="5" cm="1">
        <f t="array" ref="X547">COUNT(IF((DiscreteStatsTable[GroupByKey]=DiscreteStatsTable[[#This Row],[GroupByKey]]),(DiscreteStatsTable[GroupByKey]=DiscreteStatsTable[[#This Row],[GroupByKey]])*DiscreteStatsTable[Replication]))</f>
        <v>19</v>
      </c>
      <c r="Y547" s="5">
        <f>IF(DiscreteStatsTable[[#This Row],[RepsRequested]]=DiscreteStatsTable[[#This Row],[RepsWithStatObserved]],1,0)</f>
        <v>1</v>
      </c>
    </row>
    <row r="548" spans="1:25" x14ac:dyDescent="0.25">
      <c r="A548" t="s">
        <v>67</v>
      </c>
      <c r="B548" t="s">
        <v>69</v>
      </c>
      <c r="C548">
        <v>15</v>
      </c>
      <c r="D548" t="s">
        <v>102</v>
      </c>
      <c r="E548" t="s">
        <v>79</v>
      </c>
      <c r="F548" t="s">
        <v>80</v>
      </c>
      <c r="G548">
        <v>0.491436011403796</v>
      </c>
      <c r="H548">
        <v>2E+20</v>
      </c>
      <c r="I548">
        <v>0.491436011403796</v>
      </c>
      <c r="J548">
        <v>0.491436011403796</v>
      </c>
      <c r="K548">
        <v>1</v>
      </c>
      <c r="L54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compartida)PrepPedidoH3ExpressionUser Specified</v>
      </c>
      <c r="M548" s="5" cm="1">
        <f t="array" ref="M548">MAX(IF((ProjectInfoTable[ProjectName]=DiscreteStatsTable[[#This Row],[ProjectName]]),(ProjectInfoTable[ProjectName]=DiscreteStatsTable[[#This Row],[ProjectName]])*ProjectInfoTable[NumberOfReplications]))</f>
        <v>19</v>
      </c>
      <c r="N548" s="5" cm="1">
        <f t="array" ref="N548">IFERROR(AVERAGE(IF((DiscreteStatsTable[GroupByKey]=DiscreteStatsTable[[#This Row],[GroupByKey]]),(DiscreteStatsTable[GroupByKey]=DiscreteStatsTable[[#This Row],[GroupByKey]])*DiscreteStatsTable[Average])),0)</f>
        <v>0.69352531674172502</v>
      </c>
      <c r="O548" s="5" cm="1">
        <f t="array" ref="O548">IFERROR(_xlfn.STDEV.S(IF((DiscreteStatsTable[GroupByKey]=DiscreteStatsTable[[#This Row],[GroupByKey]]),(DiscreteStatsTable[GroupByKey]=DiscreteStatsTable[[#This Row],[GroupByKey]])*DiscreteStatsTable[Average])),0)</f>
        <v>0.6930057279295283</v>
      </c>
      <c r="P548" s="5" cm="1">
        <f t="array" ref="P548">MAX(IF((ProjectInfoTable[ProjectName]=DiscreteStatsTable[[#This Row],[ProjectName]]),(ProjectInfoTable[ProjectName]=DiscreteStatsTable[[#This Row],[ProjectName]])*ProjectInfoTable[ConfidenceInterval]))</f>
        <v>0.95</v>
      </c>
      <c r="Q548" s="5">
        <f>IF(AND(DiscreteStatsTable[[#This Row],[RepsWithStatObserved]]=1,Y548=0),200000000000000000000,IFERROR(_xlfn.T.INV.2T(1 -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548" s="5" cm="1">
        <f t="array" ref="R548">MIN(IF((DiscreteStatsTable[GroupByKey]=DiscreteStatsTable[[#This Row],[GroupByKey]]),(DiscreteStatsTable[GroupByKey]=DiscreteStatsTable[[#This Row],[GroupByKey]])*DiscreteStatsTable[Average]))</f>
        <v>0.19675348802568801</v>
      </c>
      <c r="S548" s="5" cm="1">
        <f t="array" ref="S548">MAX(IF((DiscreteStatsTable[GroupByKey]=DiscreteStatsTable[[#This Row],[GroupByKey]]),(DiscreteStatsTable[GroupByKey]=DiscreteStatsTable[[#This Row],[GroupByKey]])*DiscreteStatsTable[Average]))</f>
        <v>3.2614571838962898</v>
      </c>
      <c r="T548" s="5" cm="1">
        <f t="array" ref="T548">MIN(IF((DiscreteStatsTable[GroupByKey]=DiscreteStatsTable[[#This Row],[GroupByKey]]),(DiscreteStatsTable[GroupByKey]=DiscreteStatsTable[[#This Row],[GroupByKey]])*DiscreteStatsTable[Minimum]))</f>
        <v>0.19675348802568801</v>
      </c>
      <c r="U548" s="5" cm="1">
        <f t="array" ref="U548">MAX(IF((DiscreteStatsTable[GroupByKey]=DiscreteStatsTable[[#This Row],[GroupByKey]]),(DiscreteStatsTable[GroupByKey]=DiscreteStatsTable[[#This Row],[GroupByKey]])*DiscreteStatsTable[Maximum]))</f>
        <v>3.2614571838962898</v>
      </c>
      <c r="V548" s="5" cm="1">
        <f t="array" ref="V548">IFERROR(AVERAGE(IF((DiscreteStatsTable[GroupByKey]=DiscreteStatsTable[[#This Row],[GroupByKey]]),(DiscreteStatsTable[GroupByKey]=DiscreteStatsTable[[#This Row],[GroupByKey]])*DiscreteStatsTable[NumberObservations])),0)</f>
        <v>1</v>
      </c>
      <c r="W548" s="5">
        <f>IF((DiscreteStatsTable[[#This Row],[RepsRequested]]&gt;1),DiscreteStatsTable[[#This Row],[HalfWidth]],DiscreteStatsTable[[#This Row],[BatchMeansHalfWidth]])</f>
        <v>0.33401806893870795</v>
      </c>
      <c r="X548" s="5" cm="1">
        <f t="array" ref="X548">COUNT(IF((DiscreteStatsTable[GroupByKey]=DiscreteStatsTable[[#This Row],[GroupByKey]]),(DiscreteStatsTable[GroupByKey]=DiscreteStatsTable[[#This Row],[GroupByKey]])*DiscreteStatsTable[Replication]))</f>
        <v>19</v>
      </c>
      <c r="Y548" s="5">
        <f>IF(DiscreteStatsTable[[#This Row],[RepsRequested]]=DiscreteStatsTable[[#This Row],[RepsWithStatObserved]],1,0)</f>
        <v>1</v>
      </c>
    </row>
    <row r="549" spans="1:25" x14ac:dyDescent="0.25">
      <c r="A549" t="s">
        <v>67</v>
      </c>
      <c r="B549" t="s">
        <v>69</v>
      </c>
      <c r="C549">
        <v>16</v>
      </c>
      <c r="D549" t="s">
        <v>102</v>
      </c>
      <c r="E549" t="s">
        <v>79</v>
      </c>
      <c r="F549" t="s">
        <v>80</v>
      </c>
      <c r="G549">
        <v>0.19675348802568801</v>
      </c>
      <c r="H549">
        <v>2E+20</v>
      </c>
      <c r="I549">
        <v>0.19675348802568801</v>
      </c>
      <c r="J549">
        <v>0.19675348802568801</v>
      </c>
      <c r="K549">
        <v>1</v>
      </c>
      <c r="L54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compartida)PrepPedidoH3ExpressionUser Specified</v>
      </c>
      <c r="M549" s="5" cm="1">
        <f t="array" ref="M549">MAX(IF((ProjectInfoTable[ProjectName]=DiscreteStatsTable[[#This Row],[ProjectName]]),(ProjectInfoTable[ProjectName]=DiscreteStatsTable[[#This Row],[ProjectName]])*ProjectInfoTable[NumberOfReplications]))</f>
        <v>19</v>
      </c>
      <c r="N549" s="5" cm="1">
        <f t="array" ref="N549">IFERROR(AVERAGE(IF((DiscreteStatsTable[GroupByKey]=DiscreteStatsTable[[#This Row],[GroupByKey]]),(DiscreteStatsTable[GroupByKey]=DiscreteStatsTable[[#This Row],[GroupByKey]])*DiscreteStatsTable[Average])),0)</f>
        <v>0.69352531674172502</v>
      </c>
      <c r="O549" s="5" cm="1">
        <f t="array" ref="O549">IFERROR(_xlfn.STDEV.S(IF((DiscreteStatsTable[GroupByKey]=DiscreteStatsTable[[#This Row],[GroupByKey]]),(DiscreteStatsTable[GroupByKey]=DiscreteStatsTable[[#This Row],[GroupByKey]])*DiscreteStatsTable[Average])),0)</f>
        <v>0.6930057279295283</v>
      </c>
      <c r="P549" s="5" cm="1">
        <f t="array" ref="P549">MAX(IF((ProjectInfoTable[ProjectName]=DiscreteStatsTable[[#This Row],[ProjectName]]),(ProjectInfoTable[ProjectName]=DiscreteStatsTable[[#This Row],[ProjectName]])*ProjectInfoTable[ConfidenceInterval]))</f>
        <v>0.95</v>
      </c>
      <c r="Q549" s="5">
        <f>IF(AND(DiscreteStatsTable[[#This Row],[RepsWithStatObserved]]=1,Y549=0),200000000000000000000,IFERROR(_xlfn.T.INV.2T(1 -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549" s="5" cm="1">
        <f t="array" ref="R549">MIN(IF((DiscreteStatsTable[GroupByKey]=DiscreteStatsTable[[#This Row],[GroupByKey]]),(DiscreteStatsTable[GroupByKey]=DiscreteStatsTable[[#This Row],[GroupByKey]])*DiscreteStatsTable[Average]))</f>
        <v>0.19675348802568801</v>
      </c>
      <c r="S549" s="5" cm="1">
        <f t="array" ref="S549">MAX(IF((DiscreteStatsTable[GroupByKey]=DiscreteStatsTable[[#This Row],[GroupByKey]]),(DiscreteStatsTable[GroupByKey]=DiscreteStatsTable[[#This Row],[GroupByKey]])*DiscreteStatsTable[Average]))</f>
        <v>3.2614571838962898</v>
      </c>
      <c r="T549" s="5" cm="1">
        <f t="array" ref="T549">MIN(IF((DiscreteStatsTable[GroupByKey]=DiscreteStatsTable[[#This Row],[GroupByKey]]),(DiscreteStatsTable[GroupByKey]=DiscreteStatsTable[[#This Row],[GroupByKey]])*DiscreteStatsTable[Minimum]))</f>
        <v>0.19675348802568801</v>
      </c>
      <c r="U549" s="5" cm="1">
        <f t="array" ref="U549">MAX(IF((DiscreteStatsTable[GroupByKey]=DiscreteStatsTable[[#This Row],[GroupByKey]]),(DiscreteStatsTable[GroupByKey]=DiscreteStatsTable[[#This Row],[GroupByKey]])*DiscreteStatsTable[Maximum]))</f>
        <v>3.2614571838962898</v>
      </c>
      <c r="V549" s="5" cm="1">
        <f t="array" ref="V549">IFERROR(AVERAGE(IF((DiscreteStatsTable[GroupByKey]=DiscreteStatsTable[[#This Row],[GroupByKey]]),(DiscreteStatsTable[GroupByKey]=DiscreteStatsTable[[#This Row],[GroupByKey]])*DiscreteStatsTable[NumberObservations])),0)</f>
        <v>1</v>
      </c>
      <c r="W549" s="5">
        <f>IF((DiscreteStatsTable[[#This Row],[RepsRequested]]&gt;1),DiscreteStatsTable[[#This Row],[HalfWidth]],DiscreteStatsTable[[#This Row],[BatchMeansHalfWidth]])</f>
        <v>0.33401806893870795</v>
      </c>
      <c r="X549" s="5" cm="1">
        <f t="array" ref="X549">COUNT(IF((DiscreteStatsTable[GroupByKey]=DiscreteStatsTable[[#This Row],[GroupByKey]]),(DiscreteStatsTable[GroupByKey]=DiscreteStatsTable[[#This Row],[GroupByKey]])*DiscreteStatsTable[Replication]))</f>
        <v>19</v>
      </c>
      <c r="Y549" s="5">
        <f>IF(DiscreteStatsTable[[#This Row],[RepsRequested]]=DiscreteStatsTable[[#This Row],[RepsWithStatObserved]],1,0)</f>
        <v>1</v>
      </c>
    </row>
    <row r="550" spans="1:25" x14ac:dyDescent="0.25">
      <c r="A550" t="s">
        <v>67</v>
      </c>
      <c r="B550" t="s">
        <v>69</v>
      </c>
      <c r="C550">
        <v>17</v>
      </c>
      <c r="D550" t="s">
        <v>102</v>
      </c>
      <c r="E550" t="s">
        <v>79</v>
      </c>
      <c r="F550" t="s">
        <v>80</v>
      </c>
      <c r="G550">
        <v>0.447366519954769</v>
      </c>
      <c r="H550">
        <v>2E+20</v>
      </c>
      <c r="I550">
        <v>0.447366519954769</v>
      </c>
      <c r="J550">
        <v>0.447366519954769</v>
      </c>
      <c r="K550">
        <v>1</v>
      </c>
      <c r="L55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compartida)PrepPedidoH3ExpressionUser Specified</v>
      </c>
      <c r="M550" s="5" cm="1">
        <f t="array" ref="M550">MAX(IF((ProjectInfoTable[ProjectName]=DiscreteStatsTable[[#This Row],[ProjectName]]),(ProjectInfoTable[ProjectName]=DiscreteStatsTable[[#This Row],[ProjectName]])*ProjectInfoTable[NumberOfReplications]))</f>
        <v>19</v>
      </c>
      <c r="N550" s="5" cm="1">
        <f t="array" ref="N550">IFERROR(AVERAGE(IF((DiscreteStatsTable[GroupByKey]=DiscreteStatsTable[[#This Row],[GroupByKey]]),(DiscreteStatsTable[GroupByKey]=DiscreteStatsTable[[#This Row],[GroupByKey]])*DiscreteStatsTable[Average])),0)</f>
        <v>0.69352531674172502</v>
      </c>
      <c r="O550" s="5" cm="1">
        <f t="array" ref="O550">IFERROR(_xlfn.STDEV.S(IF((DiscreteStatsTable[GroupByKey]=DiscreteStatsTable[[#This Row],[GroupByKey]]),(DiscreteStatsTable[GroupByKey]=DiscreteStatsTable[[#This Row],[GroupByKey]])*DiscreteStatsTable[Average])),0)</f>
        <v>0.6930057279295283</v>
      </c>
      <c r="P550" s="5" cm="1">
        <f t="array" ref="P550">MAX(IF((ProjectInfoTable[ProjectName]=DiscreteStatsTable[[#This Row],[ProjectName]]),(ProjectInfoTable[ProjectName]=DiscreteStatsTable[[#This Row],[ProjectName]])*ProjectInfoTable[ConfidenceInterval]))</f>
        <v>0.95</v>
      </c>
      <c r="Q550" s="5">
        <f>IF(AND(DiscreteStatsTable[[#This Row],[RepsWithStatObserved]]=1,Y550=0),200000000000000000000,IFERROR(_xlfn.T.INV.2T(1 -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550" s="5" cm="1">
        <f t="array" ref="R550">MIN(IF((DiscreteStatsTable[GroupByKey]=DiscreteStatsTable[[#This Row],[GroupByKey]]),(DiscreteStatsTable[GroupByKey]=DiscreteStatsTable[[#This Row],[GroupByKey]])*DiscreteStatsTable[Average]))</f>
        <v>0.19675348802568801</v>
      </c>
      <c r="S550" s="5" cm="1">
        <f t="array" ref="S550">MAX(IF((DiscreteStatsTable[GroupByKey]=DiscreteStatsTable[[#This Row],[GroupByKey]]),(DiscreteStatsTable[GroupByKey]=DiscreteStatsTable[[#This Row],[GroupByKey]])*DiscreteStatsTable[Average]))</f>
        <v>3.2614571838962898</v>
      </c>
      <c r="T550" s="5" cm="1">
        <f t="array" ref="T550">MIN(IF((DiscreteStatsTable[GroupByKey]=DiscreteStatsTable[[#This Row],[GroupByKey]]),(DiscreteStatsTable[GroupByKey]=DiscreteStatsTable[[#This Row],[GroupByKey]])*DiscreteStatsTable[Minimum]))</f>
        <v>0.19675348802568801</v>
      </c>
      <c r="U550" s="5" cm="1">
        <f t="array" ref="U550">MAX(IF((DiscreteStatsTable[GroupByKey]=DiscreteStatsTable[[#This Row],[GroupByKey]]),(DiscreteStatsTable[GroupByKey]=DiscreteStatsTable[[#This Row],[GroupByKey]])*DiscreteStatsTable[Maximum]))</f>
        <v>3.2614571838962898</v>
      </c>
      <c r="V550" s="5" cm="1">
        <f t="array" ref="V550">IFERROR(AVERAGE(IF((DiscreteStatsTable[GroupByKey]=DiscreteStatsTable[[#This Row],[GroupByKey]]),(DiscreteStatsTable[GroupByKey]=DiscreteStatsTable[[#This Row],[GroupByKey]])*DiscreteStatsTable[NumberObservations])),0)</f>
        <v>1</v>
      </c>
      <c r="W550" s="5">
        <f>IF((DiscreteStatsTable[[#This Row],[RepsRequested]]&gt;1),DiscreteStatsTable[[#This Row],[HalfWidth]],DiscreteStatsTable[[#This Row],[BatchMeansHalfWidth]])</f>
        <v>0.33401806893870795</v>
      </c>
      <c r="X550" s="5" cm="1">
        <f t="array" ref="X550">COUNT(IF((DiscreteStatsTable[GroupByKey]=DiscreteStatsTable[[#This Row],[GroupByKey]]),(DiscreteStatsTable[GroupByKey]=DiscreteStatsTable[[#This Row],[GroupByKey]])*DiscreteStatsTable[Replication]))</f>
        <v>19</v>
      </c>
      <c r="Y550" s="5">
        <f>IF(DiscreteStatsTable[[#This Row],[RepsRequested]]=DiscreteStatsTable[[#This Row],[RepsWithStatObserved]],1,0)</f>
        <v>1</v>
      </c>
    </row>
    <row r="551" spans="1:25" x14ac:dyDescent="0.25">
      <c r="A551" t="s">
        <v>67</v>
      </c>
      <c r="B551" t="s">
        <v>69</v>
      </c>
      <c r="C551">
        <v>18</v>
      </c>
      <c r="D551" t="s">
        <v>102</v>
      </c>
      <c r="E551" t="s">
        <v>79</v>
      </c>
      <c r="F551" t="s">
        <v>80</v>
      </c>
      <c r="G551">
        <v>0.81139080607901903</v>
      </c>
      <c r="H551">
        <v>2E+20</v>
      </c>
      <c r="I551">
        <v>0.81139080607901903</v>
      </c>
      <c r="J551">
        <v>0.81139080607901903</v>
      </c>
      <c r="K551">
        <v>1</v>
      </c>
      <c r="L55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compartida)PrepPedidoH3ExpressionUser Specified</v>
      </c>
      <c r="M551" s="5" cm="1">
        <f t="array" ref="M551">MAX(IF((ProjectInfoTable[ProjectName]=DiscreteStatsTable[[#This Row],[ProjectName]]),(ProjectInfoTable[ProjectName]=DiscreteStatsTable[[#This Row],[ProjectName]])*ProjectInfoTable[NumberOfReplications]))</f>
        <v>19</v>
      </c>
      <c r="N551" s="5" cm="1">
        <f t="array" ref="N551">IFERROR(AVERAGE(IF((DiscreteStatsTable[GroupByKey]=DiscreteStatsTable[[#This Row],[GroupByKey]]),(DiscreteStatsTable[GroupByKey]=DiscreteStatsTable[[#This Row],[GroupByKey]])*DiscreteStatsTable[Average])),0)</f>
        <v>0.69352531674172502</v>
      </c>
      <c r="O551" s="5" cm="1">
        <f t="array" ref="O551">IFERROR(_xlfn.STDEV.S(IF((DiscreteStatsTable[GroupByKey]=DiscreteStatsTable[[#This Row],[GroupByKey]]),(DiscreteStatsTable[GroupByKey]=DiscreteStatsTable[[#This Row],[GroupByKey]])*DiscreteStatsTable[Average])),0)</f>
        <v>0.6930057279295283</v>
      </c>
      <c r="P551" s="5" cm="1">
        <f t="array" ref="P551">MAX(IF((ProjectInfoTable[ProjectName]=DiscreteStatsTable[[#This Row],[ProjectName]]),(ProjectInfoTable[ProjectName]=DiscreteStatsTable[[#This Row],[ProjectName]])*ProjectInfoTable[ConfidenceInterval]))</f>
        <v>0.95</v>
      </c>
      <c r="Q551" s="5">
        <f>IF(AND(DiscreteStatsTable[[#This Row],[RepsWithStatObserved]]=1,Y551=0),200000000000000000000,IFERROR(_xlfn.T.INV.2T(1 -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551" s="5" cm="1">
        <f t="array" ref="R551">MIN(IF((DiscreteStatsTable[GroupByKey]=DiscreteStatsTable[[#This Row],[GroupByKey]]),(DiscreteStatsTable[GroupByKey]=DiscreteStatsTable[[#This Row],[GroupByKey]])*DiscreteStatsTable[Average]))</f>
        <v>0.19675348802568801</v>
      </c>
      <c r="S551" s="5" cm="1">
        <f t="array" ref="S551">MAX(IF((DiscreteStatsTable[GroupByKey]=DiscreteStatsTable[[#This Row],[GroupByKey]]),(DiscreteStatsTable[GroupByKey]=DiscreteStatsTable[[#This Row],[GroupByKey]])*DiscreteStatsTable[Average]))</f>
        <v>3.2614571838962898</v>
      </c>
      <c r="T551" s="5" cm="1">
        <f t="array" ref="T551">MIN(IF((DiscreteStatsTable[GroupByKey]=DiscreteStatsTable[[#This Row],[GroupByKey]]),(DiscreteStatsTable[GroupByKey]=DiscreteStatsTable[[#This Row],[GroupByKey]])*DiscreteStatsTable[Minimum]))</f>
        <v>0.19675348802568801</v>
      </c>
      <c r="U551" s="5" cm="1">
        <f t="array" ref="U551">MAX(IF((DiscreteStatsTable[GroupByKey]=DiscreteStatsTable[[#This Row],[GroupByKey]]),(DiscreteStatsTable[GroupByKey]=DiscreteStatsTable[[#This Row],[GroupByKey]])*DiscreteStatsTable[Maximum]))</f>
        <v>3.2614571838962898</v>
      </c>
      <c r="V551" s="5" cm="1">
        <f t="array" ref="V551">IFERROR(AVERAGE(IF((DiscreteStatsTable[GroupByKey]=DiscreteStatsTable[[#This Row],[GroupByKey]]),(DiscreteStatsTable[GroupByKey]=DiscreteStatsTable[[#This Row],[GroupByKey]])*DiscreteStatsTable[NumberObservations])),0)</f>
        <v>1</v>
      </c>
      <c r="W551" s="5">
        <f>IF((DiscreteStatsTable[[#This Row],[RepsRequested]]&gt;1),DiscreteStatsTable[[#This Row],[HalfWidth]],DiscreteStatsTable[[#This Row],[BatchMeansHalfWidth]])</f>
        <v>0.33401806893870795</v>
      </c>
      <c r="X551" s="5" cm="1">
        <f t="array" ref="X551">COUNT(IF((DiscreteStatsTable[GroupByKey]=DiscreteStatsTable[[#This Row],[GroupByKey]]),(DiscreteStatsTable[GroupByKey]=DiscreteStatsTable[[#This Row],[GroupByKey]])*DiscreteStatsTable[Replication]))</f>
        <v>19</v>
      </c>
      <c r="Y551" s="5">
        <f>IF(DiscreteStatsTable[[#This Row],[RepsRequested]]=DiscreteStatsTable[[#This Row],[RepsWithStatObserved]],1,0)</f>
        <v>1</v>
      </c>
    </row>
    <row r="552" spans="1:25" x14ac:dyDescent="0.25">
      <c r="A552" t="s">
        <v>67</v>
      </c>
      <c r="B552" t="s">
        <v>69</v>
      </c>
      <c r="C552">
        <v>19</v>
      </c>
      <c r="D552" t="s">
        <v>102</v>
      </c>
      <c r="E552" t="s">
        <v>79</v>
      </c>
      <c r="F552" t="s">
        <v>80</v>
      </c>
      <c r="G552">
        <v>0.30649530649256601</v>
      </c>
      <c r="H552">
        <v>2E+20</v>
      </c>
      <c r="I552">
        <v>0.30649530649256601</v>
      </c>
      <c r="J552">
        <v>0.30649530649256601</v>
      </c>
      <c r="K552">
        <v>1</v>
      </c>
      <c r="L55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compartida)PrepPedidoH3ExpressionUser Specified</v>
      </c>
      <c r="M552" s="5" cm="1">
        <f t="array" ref="M552">MAX(IF((ProjectInfoTable[ProjectName]=DiscreteStatsTable[[#This Row],[ProjectName]]),(ProjectInfoTable[ProjectName]=DiscreteStatsTable[[#This Row],[ProjectName]])*ProjectInfoTable[NumberOfReplications]))</f>
        <v>19</v>
      </c>
      <c r="N552" s="5" cm="1">
        <f t="array" ref="N552">IFERROR(AVERAGE(IF((DiscreteStatsTable[GroupByKey]=DiscreteStatsTable[[#This Row],[GroupByKey]]),(DiscreteStatsTable[GroupByKey]=DiscreteStatsTable[[#This Row],[GroupByKey]])*DiscreteStatsTable[Average])),0)</f>
        <v>0.69352531674172502</v>
      </c>
      <c r="O552" s="5" cm="1">
        <f t="array" ref="O552">IFERROR(_xlfn.STDEV.S(IF((DiscreteStatsTable[GroupByKey]=DiscreteStatsTable[[#This Row],[GroupByKey]]),(DiscreteStatsTable[GroupByKey]=DiscreteStatsTable[[#This Row],[GroupByKey]])*DiscreteStatsTable[Average])),0)</f>
        <v>0.6930057279295283</v>
      </c>
      <c r="P552" s="5" cm="1">
        <f t="array" ref="P552">MAX(IF((ProjectInfoTable[ProjectName]=DiscreteStatsTable[[#This Row],[ProjectName]]),(ProjectInfoTable[ProjectName]=DiscreteStatsTable[[#This Row],[ProjectName]])*ProjectInfoTable[ConfidenceInterval]))</f>
        <v>0.95</v>
      </c>
      <c r="Q552" s="5">
        <f>IF(AND(DiscreteStatsTable[[#This Row],[RepsWithStatObserved]]=1,Y552=0),200000000000000000000,IFERROR(_xlfn.T.INV.2T(1 -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0.33401806893870795</v>
      </c>
      <c r="R552" s="5" cm="1">
        <f t="array" ref="R552">MIN(IF((DiscreteStatsTable[GroupByKey]=DiscreteStatsTable[[#This Row],[GroupByKey]]),(DiscreteStatsTable[GroupByKey]=DiscreteStatsTable[[#This Row],[GroupByKey]])*DiscreteStatsTable[Average]))</f>
        <v>0.19675348802568801</v>
      </c>
      <c r="S552" s="5" cm="1">
        <f t="array" ref="S552">MAX(IF((DiscreteStatsTable[GroupByKey]=DiscreteStatsTable[[#This Row],[GroupByKey]]),(DiscreteStatsTable[GroupByKey]=DiscreteStatsTable[[#This Row],[GroupByKey]])*DiscreteStatsTable[Average]))</f>
        <v>3.2614571838962898</v>
      </c>
      <c r="T552" s="5" cm="1">
        <f t="array" ref="T552">MIN(IF((DiscreteStatsTable[GroupByKey]=DiscreteStatsTable[[#This Row],[GroupByKey]]),(DiscreteStatsTable[GroupByKey]=DiscreteStatsTable[[#This Row],[GroupByKey]])*DiscreteStatsTable[Minimum]))</f>
        <v>0.19675348802568801</v>
      </c>
      <c r="U552" s="5" cm="1">
        <f t="array" ref="U552">MAX(IF((DiscreteStatsTable[GroupByKey]=DiscreteStatsTable[[#This Row],[GroupByKey]]),(DiscreteStatsTable[GroupByKey]=DiscreteStatsTable[[#This Row],[GroupByKey]])*DiscreteStatsTable[Maximum]))</f>
        <v>3.2614571838962898</v>
      </c>
      <c r="V552" s="5" cm="1">
        <f t="array" ref="V552">IFERROR(AVERAGE(IF((DiscreteStatsTable[GroupByKey]=DiscreteStatsTable[[#This Row],[GroupByKey]]),(DiscreteStatsTable[GroupByKey]=DiscreteStatsTable[[#This Row],[GroupByKey]])*DiscreteStatsTable[NumberObservations])),0)</f>
        <v>1</v>
      </c>
      <c r="W552" s="5">
        <f>IF((DiscreteStatsTable[[#This Row],[RepsRequested]]&gt;1),DiscreteStatsTable[[#This Row],[HalfWidth]],DiscreteStatsTable[[#This Row],[BatchMeansHalfWidth]])</f>
        <v>0.33401806893870795</v>
      </c>
      <c r="X552" s="5" cm="1">
        <f t="array" ref="X552">COUNT(IF((DiscreteStatsTable[GroupByKey]=DiscreteStatsTable[[#This Row],[GroupByKey]]),(DiscreteStatsTable[GroupByKey]=DiscreteStatsTable[[#This Row],[GroupByKey]])*DiscreteStatsTable[Replication]))</f>
        <v>19</v>
      </c>
      <c r="Y552" s="5">
        <f>IF(DiscreteStatsTable[[#This Row],[RepsRequested]]=DiscreteStatsTable[[#This Row],[RepsWithStatObserved]],1,0)</f>
        <v>1</v>
      </c>
    </row>
    <row r="553" spans="1:25" x14ac:dyDescent="0.25">
      <c r="A553" t="s">
        <v>67</v>
      </c>
      <c r="B553" t="s">
        <v>69</v>
      </c>
      <c r="C553">
        <v>1</v>
      </c>
      <c r="D553" t="s">
        <v>127</v>
      </c>
      <c r="E553" t="s">
        <v>71</v>
      </c>
      <c r="F553" t="s">
        <v>72</v>
      </c>
      <c r="G553">
        <v>0</v>
      </c>
      <c r="H553">
        <v>2E+20</v>
      </c>
      <c r="I553">
        <v>0</v>
      </c>
      <c r="J553">
        <v>0</v>
      </c>
      <c r="K553">
        <v>3</v>
      </c>
      <c r="L55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compartida)relojNVA TimeEntity</v>
      </c>
      <c r="M553" s="5" cm="1">
        <f t="array" ref="M553">MAX(IF((ProjectInfoTable[ProjectName]=DiscreteStatsTable[[#This Row],[ProjectName]]),(ProjectInfoTable[ProjectName]=DiscreteStatsTable[[#This Row],[ProjectName]])*ProjectInfoTable[NumberOfReplications]))</f>
        <v>19</v>
      </c>
      <c r="N553" s="5" cm="1">
        <f t="array" ref="N553">IFERROR(AVERAGE(IF((DiscreteStatsTable[GroupByKey]=DiscreteStatsTable[[#This Row],[GroupByKey]]),(DiscreteStatsTable[GroupByKey]=DiscreteStatsTable[[#This Row],[GroupByKey]])*DiscreteStatsTable[Average])),0)</f>
        <v>0</v>
      </c>
      <c r="O553" s="5" cm="1">
        <f t="array" ref="O553">IFERROR(_xlfn.STDEV.S(IF((DiscreteStatsTable[GroupByKey]=DiscreteStatsTable[[#This Row],[GroupByKey]]),(DiscreteStatsTable[GroupByKey]=DiscreteStatsTable[[#This Row],[GroupByKey]])*DiscreteStatsTable[Average])),0)</f>
        <v>0</v>
      </c>
      <c r="P553" s="5" cm="1">
        <f t="array" ref="P553">MAX(IF((ProjectInfoTable[ProjectName]=DiscreteStatsTable[[#This Row],[ProjectName]]),(ProjectInfoTable[ProjectName]=DiscreteStatsTable[[#This Row],[ProjectName]])*ProjectInfoTable[ConfidenceInterval]))</f>
        <v>0.95</v>
      </c>
      <c r="Q553" s="5">
        <f>IF(AND(DiscreteStatsTable[[#This Row],[RepsWithStatObserved]]=1,Y553=0),200000000000000000000,IFERROR(_xlfn.T.INV.2T(1 -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3" s="5" cm="1">
        <f t="array" ref="R553">MIN(IF((DiscreteStatsTable[GroupByKey]=DiscreteStatsTable[[#This Row],[GroupByKey]]),(DiscreteStatsTable[GroupByKey]=DiscreteStatsTable[[#This Row],[GroupByKey]])*DiscreteStatsTable[Average]))</f>
        <v>0</v>
      </c>
      <c r="S553" s="5" cm="1">
        <f t="array" ref="S553">MAX(IF((DiscreteStatsTable[GroupByKey]=DiscreteStatsTable[[#This Row],[GroupByKey]]),(DiscreteStatsTable[GroupByKey]=DiscreteStatsTable[[#This Row],[GroupByKey]])*DiscreteStatsTable[Average]))</f>
        <v>0</v>
      </c>
      <c r="T553" s="5" cm="1">
        <f t="array" ref="T553">MIN(IF((DiscreteStatsTable[GroupByKey]=DiscreteStatsTable[[#This Row],[GroupByKey]]),(DiscreteStatsTable[GroupByKey]=DiscreteStatsTable[[#This Row],[GroupByKey]])*DiscreteStatsTable[Minimum]))</f>
        <v>0</v>
      </c>
      <c r="U553" s="5" cm="1">
        <f t="array" ref="U553">MAX(IF((DiscreteStatsTable[GroupByKey]=DiscreteStatsTable[[#This Row],[GroupByKey]]),(DiscreteStatsTable[GroupByKey]=DiscreteStatsTable[[#This Row],[GroupByKey]])*DiscreteStatsTable[Maximum]))</f>
        <v>0</v>
      </c>
      <c r="V553" s="5" cm="1">
        <f t="array" ref="V553">IFERROR(AVERAGE(IF((DiscreteStatsTable[GroupByKey]=DiscreteStatsTable[[#This Row],[GroupByKey]]),(DiscreteStatsTable[GroupByKey]=DiscreteStatsTable[[#This Row],[GroupByKey]])*DiscreteStatsTable[NumberObservations])),0)</f>
        <v>3</v>
      </c>
      <c r="W553" s="5">
        <f>IF((DiscreteStatsTable[[#This Row],[RepsRequested]]&gt;1),DiscreteStatsTable[[#This Row],[HalfWidth]],DiscreteStatsTable[[#This Row],[BatchMeansHalfWidth]])</f>
        <v>0</v>
      </c>
      <c r="X553" s="5" cm="1">
        <f t="array" ref="X553">COUNT(IF((DiscreteStatsTable[GroupByKey]=DiscreteStatsTable[[#This Row],[GroupByKey]]),(DiscreteStatsTable[GroupByKey]=DiscreteStatsTable[[#This Row],[GroupByKey]])*DiscreteStatsTable[Replication]))</f>
        <v>19</v>
      </c>
      <c r="Y553" s="5">
        <f>IF(DiscreteStatsTable[[#This Row],[RepsRequested]]=DiscreteStatsTable[[#This Row],[RepsWithStatObserved]],1,0)</f>
        <v>1</v>
      </c>
    </row>
    <row r="554" spans="1:25" x14ac:dyDescent="0.25">
      <c r="A554" t="s">
        <v>67</v>
      </c>
      <c r="B554" t="s">
        <v>69</v>
      </c>
      <c r="C554">
        <v>1</v>
      </c>
      <c r="D554" t="s">
        <v>127</v>
      </c>
      <c r="E554" t="s">
        <v>73</v>
      </c>
      <c r="F554" t="s">
        <v>72</v>
      </c>
      <c r="G554">
        <v>0</v>
      </c>
      <c r="H554">
        <v>2E+20</v>
      </c>
      <c r="I554">
        <v>0</v>
      </c>
      <c r="J554">
        <v>0</v>
      </c>
      <c r="K554">
        <v>3</v>
      </c>
      <c r="L55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compartida)relojOther TimeEntity</v>
      </c>
      <c r="M554" s="5" cm="1">
        <f t="array" ref="M554">MAX(IF((ProjectInfoTable[ProjectName]=DiscreteStatsTable[[#This Row],[ProjectName]]),(ProjectInfoTable[ProjectName]=DiscreteStatsTable[[#This Row],[ProjectName]])*ProjectInfoTable[NumberOfReplications]))</f>
        <v>19</v>
      </c>
      <c r="N554" s="5" cm="1">
        <f t="array" ref="N554">IFERROR(AVERAGE(IF((DiscreteStatsTable[GroupByKey]=DiscreteStatsTable[[#This Row],[GroupByKey]]),(DiscreteStatsTable[GroupByKey]=DiscreteStatsTable[[#This Row],[GroupByKey]])*DiscreteStatsTable[Average])),0)</f>
        <v>0</v>
      </c>
      <c r="O554" s="5" cm="1">
        <f t="array" ref="O554">IFERROR(_xlfn.STDEV.S(IF((DiscreteStatsTable[GroupByKey]=DiscreteStatsTable[[#This Row],[GroupByKey]]),(DiscreteStatsTable[GroupByKey]=DiscreteStatsTable[[#This Row],[GroupByKey]])*DiscreteStatsTable[Average])),0)</f>
        <v>0</v>
      </c>
      <c r="P554" s="5" cm="1">
        <f t="array" ref="P554">MAX(IF((ProjectInfoTable[ProjectName]=DiscreteStatsTable[[#This Row],[ProjectName]]),(ProjectInfoTable[ProjectName]=DiscreteStatsTable[[#This Row],[ProjectName]])*ProjectInfoTable[ConfidenceInterval]))</f>
        <v>0.95</v>
      </c>
      <c r="Q554" s="5">
        <f>IF(AND(DiscreteStatsTable[[#This Row],[RepsWithStatObserved]]=1,Y554=0),200000000000000000000,IFERROR(_xlfn.T.INV.2T(1 -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4" s="5" cm="1">
        <f t="array" ref="R554">MIN(IF((DiscreteStatsTable[GroupByKey]=DiscreteStatsTable[[#This Row],[GroupByKey]]),(DiscreteStatsTable[GroupByKey]=DiscreteStatsTable[[#This Row],[GroupByKey]])*DiscreteStatsTable[Average]))</f>
        <v>0</v>
      </c>
      <c r="S554" s="5" cm="1">
        <f t="array" ref="S554">MAX(IF((DiscreteStatsTable[GroupByKey]=DiscreteStatsTable[[#This Row],[GroupByKey]]),(DiscreteStatsTable[GroupByKey]=DiscreteStatsTable[[#This Row],[GroupByKey]])*DiscreteStatsTable[Average]))</f>
        <v>0</v>
      </c>
      <c r="T554" s="5" cm="1">
        <f t="array" ref="T554">MIN(IF((DiscreteStatsTable[GroupByKey]=DiscreteStatsTable[[#This Row],[GroupByKey]]),(DiscreteStatsTable[GroupByKey]=DiscreteStatsTable[[#This Row],[GroupByKey]])*DiscreteStatsTable[Minimum]))</f>
        <v>0</v>
      </c>
      <c r="U554" s="5" cm="1">
        <f t="array" ref="U554">MAX(IF((DiscreteStatsTable[GroupByKey]=DiscreteStatsTable[[#This Row],[GroupByKey]]),(DiscreteStatsTable[GroupByKey]=DiscreteStatsTable[[#This Row],[GroupByKey]])*DiscreteStatsTable[Maximum]))</f>
        <v>0</v>
      </c>
      <c r="V554" s="5" cm="1">
        <f t="array" ref="V554">IFERROR(AVERAGE(IF((DiscreteStatsTable[GroupByKey]=DiscreteStatsTable[[#This Row],[GroupByKey]]),(DiscreteStatsTable[GroupByKey]=DiscreteStatsTable[[#This Row],[GroupByKey]])*DiscreteStatsTable[NumberObservations])),0)</f>
        <v>3</v>
      </c>
      <c r="W554" s="5">
        <f>IF((DiscreteStatsTable[[#This Row],[RepsRequested]]&gt;1),DiscreteStatsTable[[#This Row],[HalfWidth]],DiscreteStatsTable[[#This Row],[BatchMeansHalfWidth]])</f>
        <v>0</v>
      </c>
      <c r="X554" s="5" cm="1">
        <f t="array" ref="X554">COUNT(IF((DiscreteStatsTable[GroupByKey]=DiscreteStatsTable[[#This Row],[GroupByKey]]),(DiscreteStatsTable[GroupByKey]=DiscreteStatsTable[[#This Row],[GroupByKey]])*DiscreteStatsTable[Replication]))</f>
        <v>19</v>
      </c>
      <c r="Y554" s="5">
        <f>IF(DiscreteStatsTable[[#This Row],[RepsRequested]]=DiscreteStatsTable[[#This Row],[RepsWithStatObserved]],1,0)</f>
        <v>1</v>
      </c>
    </row>
    <row r="555" spans="1:25" x14ac:dyDescent="0.25">
      <c r="A555" t="s">
        <v>67</v>
      </c>
      <c r="B555" t="s">
        <v>69</v>
      </c>
      <c r="C555">
        <v>1</v>
      </c>
      <c r="D555" t="s">
        <v>127</v>
      </c>
      <c r="E555" t="s">
        <v>74</v>
      </c>
      <c r="F555" t="s">
        <v>72</v>
      </c>
      <c r="G555">
        <v>0</v>
      </c>
      <c r="H555">
        <v>2E+20</v>
      </c>
      <c r="I555">
        <v>0</v>
      </c>
      <c r="J555">
        <v>0</v>
      </c>
      <c r="K555">
        <v>3</v>
      </c>
      <c r="L55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compartida)relojTotal TimeEntity</v>
      </c>
      <c r="M555" s="5" cm="1">
        <f t="array" ref="M555">MAX(IF((ProjectInfoTable[ProjectName]=DiscreteStatsTable[[#This Row],[ProjectName]]),(ProjectInfoTable[ProjectName]=DiscreteStatsTable[[#This Row],[ProjectName]])*ProjectInfoTable[NumberOfReplications]))</f>
        <v>19</v>
      </c>
      <c r="N555" s="5" cm="1">
        <f t="array" ref="N555">IFERROR(AVERAGE(IF((DiscreteStatsTable[GroupByKey]=DiscreteStatsTable[[#This Row],[GroupByKey]]),(DiscreteStatsTable[GroupByKey]=DiscreteStatsTable[[#This Row],[GroupByKey]])*DiscreteStatsTable[Average])),0)</f>
        <v>0</v>
      </c>
      <c r="O555" s="5" cm="1">
        <f t="array" ref="O555">IFERROR(_xlfn.STDEV.S(IF((DiscreteStatsTable[GroupByKey]=DiscreteStatsTable[[#This Row],[GroupByKey]]),(DiscreteStatsTable[GroupByKey]=DiscreteStatsTable[[#This Row],[GroupByKey]])*DiscreteStatsTable[Average])),0)</f>
        <v>0</v>
      </c>
      <c r="P555" s="5" cm="1">
        <f t="array" ref="P555">MAX(IF((ProjectInfoTable[ProjectName]=DiscreteStatsTable[[#This Row],[ProjectName]]),(ProjectInfoTable[ProjectName]=DiscreteStatsTable[[#This Row],[ProjectName]])*ProjectInfoTable[ConfidenceInterval]))</f>
        <v>0.95</v>
      </c>
      <c r="Q555" s="5">
        <f>IF(AND(DiscreteStatsTable[[#This Row],[RepsWithStatObserved]]=1,Y555=0),200000000000000000000,IFERROR(_xlfn.T.INV.2T(1 -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5" s="5" cm="1">
        <f t="array" ref="R555">MIN(IF((DiscreteStatsTable[GroupByKey]=DiscreteStatsTable[[#This Row],[GroupByKey]]),(DiscreteStatsTable[GroupByKey]=DiscreteStatsTable[[#This Row],[GroupByKey]])*DiscreteStatsTable[Average]))</f>
        <v>0</v>
      </c>
      <c r="S555" s="5" cm="1">
        <f t="array" ref="S555">MAX(IF((DiscreteStatsTable[GroupByKey]=DiscreteStatsTable[[#This Row],[GroupByKey]]),(DiscreteStatsTable[GroupByKey]=DiscreteStatsTable[[#This Row],[GroupByKey]])*DiscreteStatsTable[Average]))</f>
        <v>0</v>
      </c>
      <c r="T555" s="5" cm="1">
        <f t="array" ref="T555">MIN(IF((DiscreteStatsTable[GroupByKey]=DiscreteStatsTable[[#This Row],[GroupByKey]]),(DiscreteStatsTable[GroupByKey]=DiscreteStatsTable[[#This Row],[GroupByKey]])*DiscreteStatsTable[Minimum]))</f>
        <v>0</v>
      </c>
      <c r="U555" s="5" cm="1">
        <f t="array" ref="U555">MAX(IF((DiscreteStatsTable[GroupByKey]=DiscreteStatsTable[[#This Row],[GroupByKey]]),(DiscreteStatsTable[GroupByKey]=DiscreteStatsTable[[#This Row],[GroupByKey]])*DiscreteStatsTable[Maximum]))</f>
        <v>0</v>
      </c>
      <c r="V555" s="5" cm="1">
        <f t="array" ref="V555">IFERROR(AVERAGE(IF((DiscreteStatsTable[GroupByKey]=DiscreteStatsTable[[#This Row],[GroupByKey]]),(DiscreteStatsTable[GroupByKey]=DiscreteStatsTable[[#This Row],[GroupByKey]])*DiscreteStatsTable[NumberObservations])),0)</f>
        <v>3</v>
      </c>
      <c r="W555" s="5">
        <f>IF((DiscreteStatsTable[[#This Row],[RepsRequested]]&gt;1),DiscreteStatsTable[[#This Row],[HalfWidth]],DiscreteStatsTable[[#This Row],[BatchMeansHalfWidth]])</f>
        <v>0</v>
      </c>
      <c r="X555" s="5" cm="1">
        <f t="array" ref="X555">COUNT(IF((DiscreteStatsTable[GroupByKey]=DiscreteStatsTable[[#This Row],[GroupByKey]]),(DiscreteStatsTable[GroupByKey]=DiscreteStatsTable[[#This Row],[GroupByKey]])*DiscreteStatsTable[Replication]))</f>
        <v>19</v>
      </c>
      <c r="Y555" s="5">
        <f>IF(DiscreteStatsTable[[#This Row],[RepsRequested]]=DiscreteStatsTable[[#This Row],[RepsWithStatObserved]],1,0)</f>
        <v>1</v>
      </c>
    </row>
    <row r="556" spans="1:25" x14ac:dyDescent="0.25">
      <c r="A556" t="s">
        <v>67</v>
      </c>
      <c r="B556" t="s">
        <v>69</v>
      </c>
      <c r="C556">
        <v>1</v>
      </c>
      <c r="D556" t="s">
        <v>127</v>
      </c>
      <c r="E556" t="s">
        <v>75</v>
      </c>
      <c r="F556" t="s">
        <v>72</v>
      </c>
      <c r="G556">
        <v>0</v>
      </c>
      <c r="H556">
        <v>2E+20</v>
      </c>
      <c r="I556">
        <v>0</v>
      </c>
      <c r="J556">
        <v>0</v>
      </c>
      <c r="K556">
        <v>3</v>
      </c>
      <c r="L55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compartida)relojTransfer TimeEntity</v>
      </c>
      <c r="M556" s="5" cm="1">
        <f t="array" ref="M556">MAX(IF((ProjectInfoTable[ProjectName]=DiscreteStatsTable[[#This Row],[ProjectName]]),(ProjectInfoTable[ProjectName]=DiscreteStatsTable[[#This Row],[ProjectName]])*ProjectInfoTable[NumberOfReplications]))</f>
        <v>19</v>
      </c>
      <c r="N556" s="5" cm="1">
        <f t="array" ref="N556">IFERROR(AVERAGE(IF((DiscreteStatsTable[GroupByKey]=DiscreteStatsTable[[#This Row],[GroupByKey]]),(DiscreteStatsTable[GroupByKey]=DiscreteStatsTable[[#This Row],[GroupByKey]])*DiscreteStatsTable[Average])),0)</f>
        <v>0</v>
      </c>
      <c r="O556" s="5" cm="1">
        <f t="array" ref="O556">IFERROR(_xlfn.STDEV.S(IF((DiscreteStatsTable[GroupByKey]=DiscreteStatsTable[[#This Row],[GroupByKey]]),(DiscreteStatsTable[GroupByKey]=DiscreteStatsTable[[#This Row],[GroupByKey]])*DiscreteStatsTable[Average])),0)</f>
        <v>0</v>
      </c>
      <c r="P556" s="5" cm="1">
        <f t="array" ref="P556">MAX(IF((ProjectInfoTable[ProjectName]=DiscreteStatsTable[[#This Row],[ProjectName]]),(ProjectInfoTable[ProjectName]=DiscreteStatsTable[[#This Row],[ProjectName]])*ProjectInfoTable[ConfidenceInterval]))</f>
        <v>0.95</v>
      </c>
      <c r="Q556" s="5">
        <f>IF(AND(DiscreteStatsTable[[#This Row],[RepsWithStatObserved]]=1,Y556=0),200000000000000000000,IFERROR(_xlfn.T.INV.2T(1 -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6" s="5" cm="1">
        <f t="array" ref="R556">MIN(IF((DiscreteStatsTable[GroupByKey]=DiscreteStatsTable[[#This Row],[GroupByKey]]),(DiscreteStatsTable[GroupByKey]=DiscreteStatsTable[[#This Row],[GroupByKey]])*DiscreteStatsTable[Average]))</f>
        <v>0</v>
      </c>
      <c r="S556" s="5" cm="1">
        <f t="array" ref="S556">MAX(IF((DiscreteStatsTable[GroupByKey]=DiscreteStatsTable[[#This Row],[GroupByKey]]),(DiscreteStatsTable[GroupByKey]=DiscreteStatsTable[[#This Row],[GroupByKey]])*DiscreteStatsTable[Average]))</f>
        <v>0</v>
      </c>
      <c r="T556" s="5" cm="1">
        <f t="array" ref="T556">MIN(IF((DiscreteStatsTable[GroupByKey]=DiscreteStatsTable[[#This Row],[GroupByKey]]),(DiscreteStatsTable[GroupByKey]=DiscreteStatsTable[[#This Row],[GroupByKey]])*DiscreteStatsTable[Minimum]))</f>
        <v>0</v>
      </c>
      <c r="U556" s="5" cm="1">
        <f t="array" ref="U556">MAX(IF((DiscreteStatsTable[GroupByKey]=DiscreteStatsTable[[#This Row],[GroupByKey]]),(DiscreteStatsTable[GroupByKey]=DiscreteStatsTable[[#This Row],[GroupByKey]])*DiscreteStatsTable[Maximum]))</f>
        <v>0</v>
      </c>
      <c r="V556" s="5" cm="1">
        <f t="array" ref="V556">IFERROR(AVERAGE(IF((DiscreteStatsTable[GroupByKey]=DiscreteStatsTable[[#This Row],[GroupByKey]]),(DiscreteStatsTable[GroupByKey]=DiscreteStatsTable[[#This Row],[GroupByKey]])*DiscreteStatsTable[NumberObservations])),0)</f>
        <v>3</v>
      </c>
      <c r="W556" s="5">
        <f>IF((DiscreteStatsTable[[#This Row],[RepsRequested]]&gt;1),DiscreteStatsTable[[#This Row],[HalfWidth]],DiscreteStatsTable[[#This Row],[BatchMeansHalfWidth]])</f>
        <v>0</v>
      </c>
      <c r="X556" s="5" cm="1">
        <f t="array" ref="X556">COUNT(IF((DiscreteStatsTable[GroupByKey]=DiscreteStatsTable[[#This Row],[GroupByKey]]),(DiscreteStatsTable[GroupByKey]=DiscreteStatsTable[[#This Row],[GroupByKey]])*DiscreteStatsTable[Replication]))</f>
        <v>19</v>
      </c>
      <c r="Y556" s="5">
        <f>IF(DiscreteStatsTable[[#This Row],[RepsRequested]]=DiscreteStatsTable[[#This Row],[RepsWithStatObserved]],1,0)</f>
        <v>1</v>
      </c>
    </row>
    <row r="557" spans="1:25" x14ac:dyDescent="0.25">
      <c r="A557" t="s">
        <v>67</v>
      </c>
      <c r="B557" t="s">
        <v>69</v>
      </c>
      <c r="C557">
        <v>1</v>
      </c>
      <c r="D557" t="s">
        <v>127</v>
      </c>
      <c r="E557" t="s">
        <v>76</v>
      </c>
      <c r="F557" t="s">
        <v>72</v>
      </c>
      <c r="G557">
        <v>0</v>
      </c>
      <c r="H557">
        <v>2E+20</v>
      </c>
      <c r="I557">
        <v>0</v>
      </c>
      <c r="J557">
        <v>0</v>
      </c>
      <c r="K557">
        <v>3</v>
      </c>
      <c r="L55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compartida)relojVA TimeEntity</v>
      </c>
      <c r="M557" s="5" cm="1">
        <f t="array" ref="M557">MAX(IF((ProjectInfoTable[ProjectName]=DiscreteStatsTable[[#This Row],[ProjectName]]),(ProjectInfoTable[ProjectName]=DiscreteStatsTable[[#This Row],[ProjectName]])*ProjectInfoTable[NumberOfReplications]))</f>
        <v>19</v>
      </c>
      <c r="N557" s="5" cm="1">
        <f t="array" ref="N557">IFERROR(AVERAGE(IF((DiscreteStatsTable[GroupByKey]=DiscreteStatsTable[[#This Row],[GroupByKey]]),(DiscreteStatsTable[GroupByKey]=DiscreteStatsTable[[#This Row],[GroupByKey]])*DiscreteStatsTable[Average])),0)</f>
        <v>0</v>
      </c>
      <c r="O557" s="5" cm="1">
        <f t="array" ref="O557">IFERROR(_xlfn.STDEV.S(IF((DiscreteStatsTable[GroupByKey]=DiscreteStatsTable[[#This Row],[GroupByKey]]),(DiscreteStatsTable[GroupByKey]=DiscreteStatsTable[[#This Row],[GroupByKey]])*DiscreteStatsTable[Average])),0)</f>
        <v>0</v>
      </c>
      <c r="P557" s="5" cm="1">
        <f t="array" ref="P557">MAX(IF((ProjectInfoTable[ProjectName]=DiscreteStatsTable[[#This Row],[ProjectName]]),(ProjectInfoTable[ProjectName]=DiscreteStatsTable[[#This Row],[ProjectName]])*ProjectInfoTable[ConfidenceInterval]))</f>
        <v>0.95</v>
      </c>
      <c r="Q557" s="5">
        <f>IF(AND(DiscreteStatsTable[[#This Row],[RepsWithStatObserved]]=1,Y557=0),200000000000000000000,IFERROR(_xlfn.T.INV.2T(1 -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7" s="5" cm="1">
        <f t="array" ref="R557">MIN(IF((DiscreteStatsTable[GroupByKey]=DiscreteStatsTable[[#This Row],[GroupByKey]]),(DiscreteStatsTable[GroupByKey]=DiscreteStatsTable[[#This Row],[GroupByKey]])*DiscreteStatsTable[Average]))</f>
        <v>0</v>
      </c>
      <c r="S557" s="5" cm="1">
        <f t="array" ref="S557">MAX(IF((DiscreteStatsTable[GroupByKey]=DiscreteStatsTable[[#This Row],[GroupByKey]]),(DiscreteStatsTable[GroupByKey]=DiscreteStatsTable[[#This Row],[GroupByKey]])*DiscreteStatsTable[Average]))</f>
        <v>0</v>
      </c>
      <c r="T557" s="5" cm="1">
        <f t="array" ref="T557">MIN(IF((DiscreteStatsTable[GroupByKey]=DiscreteStatsTable[[#This Row],[GroupByKey]]),(DiscreteStatsTable[GroupByKey]=DiscreteStatsTable[[#This Row],[GroupByKey]])*DiscreteStatsTable[Minimum]))</f>
        <v>0</v>
      </c>
      <c r="U557" s="5" cm="1">
        <f t="array" ref="U557">MAX(IF((DiscreteStatsTable[GroupByKey]=DiscreteStatsTable[[#This Row],[GroupByKey]]),(DiscreteStatsTable[GroupByKey]=DiscreteStatsTable[[#This Row],[GroupByKey]])*DiscreteStatsTable[Maximum]))</f>
        <v>0</v>
      </c>
      <c r="V557" s="5" cm="1">
        <f t="array" ref="V557">IFERROR(AVERAGE(IF((DiscreteStatsTable[GroupByKey]=DiscreteStatsTable[[#This Row],[GroupByKey]]),(DiscreteStatsTable[GroupByKey]=DiscreteStatsTable[[#This Row],[GroupByKey]])*DiscreteStatsTable[NumberObservations])),0)</f>
        <v>3</v>
      </c>
      <c r="W557" s="5">
        <f>IF((DiscreteStatsTable[[#This Row],[RepsRequested]]&gt;1),DiscreteStatsTable[[#This Row],[HalfWidth]],DiscreteStatsTable[[#This Row],[BatchMeansHalfWidth]])</f>
        <v>0</v>
      </c>
      <c r="X557" s="5" cm="1">
        <f t="array" ref="X557">COUNT(IF((DiscreteStatsTable[GroupByKey]=DiscreteStatsTable[[#This Row],[GroupByKey]]),(DiscreteStatsTable[GroupByKey]=DiscreteStatsTable[[#This Row],[GroupByKey]])*DiscreteStatsTable[Replication]))</f>
        <v>19</v>
      </c>
      <c r="Y557" s="5">
        <f>IF(DiscreteStatsTable[[#This Row],[RepsRequested]]=DiscreteStatsTable[[#This Row],[RepsWithStatObserved]],1,0)</f>
        <v>1</v>
      </c>
    </row>
    <row r="558" spans="1:25" x14ac:dyDescent="0.25">
      <c r="A558" t="s">
        <v>67</v>
      </c>
      <c r="B558" t="s">
        <v>69</v>
      </c>
      <c r="C558">
        <v>1</v>
      </c>
      <c r="D558" t="s">
        <v>127</v>
      </c>
      <c r="E558" t="s">
        <v>77</v>
      </c>
      <c r="F558" t="s">
        <v>72</v>
      </c>
      <c r="G558">
        <v>0</v>
      </c>
      <c r="H558">
        <v>2E+20</v>
      </c>
      <c r="I558">
        <v>0</v>
      </c>
      <c r="J558">
        <v>0</v>
      </c>
      <c r="K558">
        <v>3</v>
      </c>
      <c r="L55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compartida)relojWait TimeEntity</v>
      </c>
      <c r="M558" s="5" cm="1">
        <f t="array" ref="M558">MAX(IF((ProjectInfoTable[ProjectName]=DiscreteStatsTable[[#This Row],[ProjectName]]),(ProjectInfoTable[ProjectName]=DiscreteStatsTable[[#This Row],[ProjectName]])*ProjectInfoTable[NumberOfReplications]))</f>
        <v>19</v>
      </c>
      <c r="N558" s="5" cm="1">
        <f t="array" ref="N558">IFERROR(AVERAGE(IF((DiscreteStatsTable[GroupByKey]=DiscreteStatsTable[[#This Row],[GroupByKey]]),(DiscreteStatsTable[GroupByKey]=DiscreteStatsTable[[#This Row],[GroupByKey]])*DiscreteStatsTable[Average])),0)</f>
        <v>0</v>
      </c>
      <c r="O558" s="5" cm="1">
        <f t="array" ref="O558">IFERROR(_xlfn.STDEV.S(IF((DiscreteStatsTable[GroupByKey]=DiscreteStatsTable[[#This Row],[GroupByKey]]),(DiscreteStatsTable[GroupByKey]=DiscreteStatsTable[[#This Row],[GroupByKey]])*DiscreteStatsTable[Average])),0)</f>
        <v>0</v>
      </c>
      <c r="P558" s="5" cm="1">
        <f t="array" ref="P558">MAX(IF((ProjectInfoTable[ProjectName]=DiscreteStatsTable[[#This Row],[ProjectName]]),(ProjectInfoTable[ProjectName]=DiscreteStatsTable[[#This Row],[ProjectName]])*ProjectInfoTable[ConfidenceInterval]))</f>
        <v>0.95</v>
      </c>
      <c r="Q558" s="5">
        <f>IF(AND(DiscreteStatsTable[[#This Row],[RepsWithStatObserved]]=1,Y558=0),200000000000000000000,IFERROR(_xlfn.T.INV.2T(1 -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8" s="5" cm="1">
        <f t="array" ref="R558">MIN(IF((DiscreteStatsTable[GroupByKey]=DiscreteStatsTable[[#This Row],[GroupByKey]]),(DiscreteStatsTable[GroupByKey]=DiscreteStatsTable[[#This Row],[GroupByKey]])*DiscreteStatsTable[Average]))</f>
        <v>0</v>
      </c>
      <c r="S558" s="5" cm="1">
        <f t="array" ref="S558">MAX(IF((DiscreteStatsTable[GroupByKey]=DiscreteStatsTable[[#This Row],[GroupByKey]]),(DiscreteStatsTable[GroupByKey]=DiscreteStatsTable[[#This Row],[GroupByKey]])*DiscreteStatsTable[Average]))</f>
        <v>0</v>
      </c>
      <c r="T558" s="5" cm="1">
        <f t="array" ref="T558">MIN(IF((DiscreteStatsTable[GroupByKey]=DiscreteStatsTable[[#This Row],[GroupByKey]]),(DiscreteStatsTable[GroupByKey]=DiscreteStatsTable[[#This Row],[GroupByKey]])*DiscreteStatsTable[Minimum]))</f>
        <v>0</v>
      </c>
      <c r="U558" s="5" cm="1">
        <f t="array" ref="U558">MAX(IF((DiscreteStatsTable[GroupByKey]=DiscreteStatsTable[[#This Row],[GroupByKey]]),(DiscreteStatsTable[GroupByKey]=DiscreteStatsTable[[#This Row],[GroupByKey]])*DiscreteStatsTable[Maximum]))</f>
        <v>0</v>
      </c>
      <c r="V558" s="5" cm="1">
        <f t="array" ref="V558">IFERROR(AVERAGE(IF((DiscreteStatsTable[GroupByKey]=DiscreteStatsTable[[#This Row],[GroupByKey]]),(DiscreteStatsTable[GroupByKey]=DiscreteStatsTable[[#This Row],[GroupByKey]])*DiscreteStatsTable[NumberObservations])),0)</f>
        <v>3</v>
      </c>
      <c r="W558" s="5">
        <f>IF((DiscreteStatsTable[[#This Row],[RepsRequested]]&gt;1),DiscreteStatsTable[[#This Row],[HalfWidth]],DiscreteStatsTable[[#This Row],[BatchMeansHalfWidth]])</f>
        <v>0</v>
      </c>
      <c r="X558" s="5" cm="1">
        <f t="array" ref="X558">COUNT(IF((DiscreteStatsTable[GroupByKey]=DiscreteStatsTable[[#This Row],[GroupByKey]]),(DiscreteStatsTable[GroupByKey]=DiscreteStatsTable[[#This Row],[GroupByKey]])*DiscreteStatsTable[Replication]))</f>
        <v>19</v>
      </c>
      <c r="Y558" s="5">
        <f>IF(DiscreteStatsTable[[#This Row],[RepsRequested]]=DiscreteStatsTable[[#This Row],[RepsWithStatObserved]],1,0)</f>
        <v>1</v>
      </c>
    </row>
    <row r="559" spans="1:25" x14ac:dyDescent="0.25">
      <c r="A559" t="s">
        <v>67</v>
      </c>
      <c r="B559" t="s">
        <v>69</v>
      </c>
      <c r="C559">
        <v>2</v>
      </c>
      <c r="D559" t="s">
        <v>127</v>
      </c>
      <c r="E559" t="s">
        <v>71</v>
      </c>
      <c r="F559" t="s">
        <v>72</v>
      </c>
      <c r="G559">
        <v>0</v>
      </c>
      <c r="H559">
        <v>2E+20</v>
      </c>
      <c r="I559">
        <v>0</v>
      </c>
      <c r="J559">
        <v>0</v>
      </c>
      <c r="K559">
        <v>3</v>
      </c>
      <c r="L55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compartida)relojNVA TimeEntity</v>
      </c>
      <c r="M559" s="5" cm="1">
        <f t="array" ref="M559">MAX(IF((ProjectInfoTable[ProjectName]=DiscreteStatsTable[[#This Row],[ProjectName]]),(ProjectInfoTable[ProjectName]=DiscreteStatsTable[[#This Row],[ProjectName]])*ProjectInfoTable[NumberOfReplications]))</f>
        <v>19</v>
      </c>
      <c r="N559" s="5" cm="1">
        <f t="array" ref="N559">IFERROR(AVERAGE(IF((DiscreteStatsTable[GroupByKey]=DiscreteStatsTable[[#This Row],[GroupByKey]]),(DiscreteStatsTable[GroupByKey]=DiscreteStatsTable[[#This Row],[GroupByKey]])*DiscreteStatsTable[Average])),0)</f>
        <v>0</v>
      </c>
      <c r="O559" s="5" cm="1">
        <f t="array" ref="O559">IFERROR(_xlfn.STDEV.S(IF((DiscreteStatsTable[GroupByKey]=DiscreteStatsTable[[#This Row],[GroupByKey]]),(DiscreteStatsTable[GroupByKey]=DiscreteStatsTable[[#This Row],[GroupByKey]])*DiscreteStatsTable[Average])),0)</f>
        <v>0</v>
      </c>
      <c r="P559" s="5" cm="1">
        <f t="array" ref="P559">MAX(IF((ProjectInfoTable[ProjectName]=DiscreteStatsTable[[#This Row],[ProjectName]]),(ProjectInfoTable[ProjectName]=DiscreteStatsTable[[#This Row],[ProjectName]])*ProjectInfoTable[ConfidenceInterval]))</f>
        <v>0.95</v>
      </c>
      <c r="Q559" s="5">
        <f>IF(AND(DiscreteStatsTable[[#This Row],[RepsWithStatObserved]]=1,Y559=0),200000000000000000000,IFERROR(_xlfn.T.INV.2T(1 -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9" s="5" cm="1">
        <f t="array" ref="R559">MIN(IF((DiscreteStatsTable[GroupByKey]=DiscreteStatsTable[[#This Row],[GroupByKey]]),(DiscreteStatsTable[GroupByKey]=DiscreteStatsTable[[#This Row],[GroupByKey]])*DiscreteStatsTable[Average]))</f>
        <v>0</v>
      </c>
      <c r="S559" s="5" cm="1">
        <f t="array" ref="S559">MAX(IF((DiscreteStatsTable[GroupByKey]=DiscreteStatsTable[[#This Row],[GroupByKey]]),(DiscreteStatsTable[GroupByKey]=DiscreteStatsTable[[#This Row],[GroupByKey]])*DiscreteStatsTable[Average]))</f>
        <v>0</v>
      </c>
      <c r="T559" s="5" cm="1">
        <f t="array" ref="T559">MIN(IF((DiscreteStatsTable[GroupByKey]=DiscreteStatsTable[[#This Row],[GroupByKey]]),(DiscreteStatsTable[GroupByKey]=DiscreteStatsTable[[#This Row],[GroupByKey]])*DiscreteStatsTable[Minimum]))</f>
        <v>0</v>
      </c>
      <c r="U559" s="5" cm="1">
        <f t="array" ref="U559">MAX(IF((DiscreteStatsTable[GroupByKey]=DiscreteStatsTable[[#This Row],[GroupByKey]]),(DiscreteStatsTable[GroupByKey]=DiscreteStatsTable[[#This Row],[GroupByKey]])*DiscreteStatsTable[Maximum]))</f>
        <v>0</v>
      </c>
      <c r="V559" s="5" cm="1">
        <f t="array" ref="V559">IFERROR(AVERAGE(IF((DiscreteStatsTable[GroupByKey]=DiscreteStatsTable[[#This Row],[GroupByKey]]),(DiscreteStatsTable[GroupByKey]=DiscreteStatsTable[[#This Row],[GroupByKey]])*DiscreteStatsTable[NumberObservations])),0)</f>
        <v>3</v>
      </c>
      <c r="W559" s="5">
        <f>IF((DiscreteStatsTable[[#This Row],[RepsRequested]]&gt;1),DiscreteStatsTable[[#This Row],[HalfWidth]],DiscreteStatsTable[[#This Row],[BatchMeansHalfWidth]])</f>
        <v>0</v>
      </c>
      <c r="X559" s="5" cm="1">
        <f t="array" ref="X559">COUNT(IF((DiscreteStatsTable[GroupByKey]=DiscreteStatsTable[[#This Row],[GroupByKey]]),(DiscreteStatsTable[GroupByKey]=DiscreteStatsTable[[#This Row],[GroupByKey]])*DiscreteStatsTable[Replication]))</f>
        <v>19</v>
      </c>
      <c r="Y559" s="5">
        <f>IF(DiscreteStatsTable[[#This Row],[RepsRequested]]=DiscreteStatsTable[[#This Row],[RepsWithStatObserved]],1,0)</f>
        <v>1</v>
      </c>
    </row>
    <row r="560" spans="1:25" x14ac:dyDescent="0.25">
      <c r="A560" t="s">
        <v>67</v>
      </c>
      <c r="B560" t="s">
        <v>69</v>
      </c>
      <c r="C560">
        <v>2</v>
      </c>
      <c r="D560" t="s">
        <v>127</v>
      </c>
      <c r="E560" t="s">
        <v>73</v>
      </c>
      <c r="F560" t="s">
        <v>72</v>
      </c>
      <c r="G560">
        <v>0</v>
      </c>
      <c r="H560">
        <v>2E+20</v>
      </c>
      <c r="I560">
        <v>0</v>
      </c>
      <c r="J560">
        <v>0</v>
      </c>
      <c r="K560">
        <v>3</v>
      </c>
      <c r="L56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compartida)relojOther TimeEntity</v>
      </c>
      <c r="M560" s="5" cm="1">
        <f t="array" ref="M560">MAX(IF((ProjectInfoTable[ProjectName]=DiscreteStatsTable[[#This Row],[ProjectName]]),(ProjectInfoTable[ProjectName]=DiscreteStatsTable[[#This Row],[ProjectName]])*ProjectInfoTable[NumberOfReplications]))</f>
        <v>19</v>
      </c>
      <c r="N560" s="5" cm="1">
        <f t="array" ref="N560">IFERROR(AVERAGE(IF((DiscreteStatsTable[GroupByKey]=DiscreteStatsTable[[#This Row],[GroupByKey]]),(DiscreteStatsTable[GroupByKey]=DiscreteStatsTable[[#This Row],[GroupByKey]])*DiscreteStatsTable[Average])),0)</f>
        <v>0</v>
      </c>
      <c r="O560" s="5" cm="1">
        <f t="array" ref="O560">IFERROR(_xlfn.STDEV.S(IF((DiscreteStatsTable[GroupByKey]=DiscreteStatsTable[[#This Row],[GroupByKey]]),(DiscreteStatsTable[GroupByKey]=DiscreteStatsTable[[#This Row],[GroupByKey]])*DiscreteStatsTable[Average])),0)</f>
        <v>0</v>
      </c>
      <c r="P560" s="5" cm="1">
        <f t="array" ref="P560">MAX(IF((ProjectInfoTable[ProjectName]=DiscreteStatsTable[[#This Row],[ProjectName]]),(ProjectInfoTable[ProjectName]=DiscreteStatsTable[[#This Row],[ProjectName]])*ProjectInfoTable[ConfidenceInterval]))</f>
        <v>0.95</v>
      </c>
      <c r="Q560" s="5">
        <f>IF(AND(DiscreteStatsTable[[#This Row],[RepsWithStatObserved]]=1,Y560=0),200000000000000000000,IFERROR(_xlfn.T.INV.2T(1 -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0" s="5" cm="1">
        <f t="array" ref="R560">MIN(IF((DiscreteStatsTable[GroupByKey]=DiscreteStatsTable[[#This Row],[GroupByKey]]),(DiscreteStatsTable[GroupByKey]=DiscreteStatsTable[[#This Row],[GroupByKey]])*DiscreteStatsTable[Average]))</f>
        <v>0</v>
      </c>
      <c r="S560" s="5" cm="1">
        <f t="array" ref="S560">MAX(IF((DiscreteStatsTable[GroupByKey]=DiscreteStatsTable[[#This Row],[GroupByKey]]),(DiscreteStatsTable[GroupByKey]=DiscreteStatsTable[[#This Row],[GroupByKey]])*DiscreteStatsTable[Average]))</f>
        <v>0</v>
      </c>
      <c r="T560" s="5" cm="1">
        <f t="array" ref="T560">MIN(IF((DiscreteStatsTable[GroupByKey]=DiscreteStatsTable[[#This Row],[GroupByKey]]),(DiscreteStatsTable[GroupByKey]=DiscreteStatsTable[[#This Row],[GroupByKey]])*DiscreteStatsTable[Minimum]))</f>
        <v>0</v>
      </c>
      <c r="U560" s="5" cm="1">
        <f t="array" ref="U560">MAX(IF((DiscreteStatsTable[GroupByKey]=DiscreteStatsTable[[#This Row],[GroupByKey]]),(DiscreteStatsTable[GroupByKey]=DiscreteStatsTable[[#This Row],[GroupByKey]])*DiscreteStatsTable[Maximum]))</f>
        <v>0</v>
      </c>
      <c r="V560" s="5" cm="1">
        <f t="array" ref="V560">IFERROR(AVERAGE(IF((DiscreteStatsTable[GroupByKey]=DiscreteStatsTable[[#This Row],[GroupByKey]]),(DiscreteStatsTable[GroupByKey]=DiscreteStatsTable[[#This Row],[GroupByKey]])*DiscreteStatsTable[NumberObservations])),0)</f>
        <v>3</v>
      </c>
      <c r="W560" s="5">
        <f>IF((DiscreteStatsTable[[#This Row],[RepsRequested]]&gt;1),DiscreteStatsTable[[#This Row],[HalfWidth]],DiscreteStatsTable[[#This Row],[BatchMeansHalfWidth]])</f>
        <v>0</v>
      </c>
      <c r="X560" s="5" cm="1">
        <f t="array" ref="X560">COUNT(IF((DiscreteStatsTable[GroupByKey]=DiscreteStatsTable[[#This Row],[GroupByKey]]),(DiscreteStatsTable[GroupByKey]=DiscreteStatsTable[[#This Row],[GroupByKey]])*DiscreteStatsTable[Replication]))</f>
        <v>19</v>
      </c>
      <c r="Y560" s="5">
        <f>IF(DiscreteStatsTable[[#This Row],[RepsRequested]]=DiscreteStatsTable[[#This Row],[RepsWithStatObserved]],1,0)</f>
        <v>1</v>
      </c>
    </row>
    <row r="561" spans="1:25" x14ac:dyDescent="0.25">
      <c r="A561" t="s">
        <v>67</v>
      </c>
      <c r="B561" t="s">
        <v>69</v>
      </c>
      <c r="C561">
        <v>2</v>
      </c>
      <c r="D561" t="s">
        <v>127</v>
      </c>
      <c r="E561" t="s">
        <v>74</v>
      </c>
      <c r="F561" t="s">
        <v>72</v>
      </c>
      <c r="G561">
        <v>0</v>
      </c>
      <c r="H561">
        <v>2E+20</v>
      </c>
      <c r="I561">
        <v>0</v>
      </c>
      <c r="J561">
        <v>0</v>
      </c>
      <c r="K561">
        <v>3</v>
      </c>
      <c r="L56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compartida)relojTotal TimeEntity</v>
      </c>
      <c r="M561" s="5" cm="1">
        <f t="array" ref="M561">MAX(IF((ProjectInfoTable[ProjectName]=DiscreteStatsTable[[#This Row],[ProjectName]]),(ProjectInfoTable[ProjectName]=DiscreteStatsTable[[#This Row],[ProjectName]])*ProjectInfoTable[NumberOfReplications]))</f>
        <v>19</v>
      </c>
      <c r="N561" s="5" cm="1">
        <f t="array" ref="N561">IFERROR(AVERAGE(IF((DiscreteStatsTable[GroupByKey]=DiscreteStatsTable[[#This Row],[GroupByKey]]),(DiscreteStatsTable[GroupByKey]=DiscreteStatsTable[[#This Row],[GroupByKey]])*DiscreteStatsTable[Average])),0)</f>
        <v>0</v>
      </c>
      <c r="O561" s="5" cm="1">
        <f t="array" ref="O561">IFERROR(_xlfn.STDEV.S(IF((DiscreteStatsTable[GroupByKey]=DiscreteStatsTable[[#This Row],[GroupByKey]]),(DiscreteStatsTable[GroupByKey]=DiscreteStatsTable[[#This Row],[GroupByKey]])*DiscreteStatsTable[Average])),0)</f>
        <v>0</v>
      </c>
      <c r="P561" s="5" cm="1">
        <f t="array" ref="P561">MAX(IF((ProjectInfoTable[ProjectName]=DiscreteStatsTable[[#This Row],[ProjectName]]),(ProjectInfoTable[ProjectName]=DiscreteStatsTable[[#This Row],[ProjectName]])*ProjectInfoTable[ConfidenceInterval]))</f>
        <v>0.95</v>
      </c>
      <c r="Q561" s="5">
        <f>IF(AND(DiscreteStatsTable[[#This Row],[RepsWithStatObserved]]=1,Y561=0),200000000000000000000,IFERROR(_xlfn.T.INV.2T(1 -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1" s="5" cm="1">
        <f t="array" ref="R561">MIN(IF((DiscreteStatsTable[GroupByKey]=DiscreteStatsTable[[#This Row],[GroupByKey]]),(DiscreteStatsTable[GroupByKey]=DiscreteStatsTable[[#This Row],[GroupByKey]])*DiscreteStatsTable[Average]))</f>
        <v>0</v>
      </c>
      <c r="S561" s="5" cm="1">
        <f t="array" ref="S561">MAX(IF((DiscreteStatsTable[GroupByKey]=DiscreteStatsTable[[#This Row],[GroupByKey]]),(DiscreteStatsTable[GroupByKey]=DiscreteStatsTable[[#This Row],[GroupByKey]])*DiscreteStatsTable[Average]))</f>
        <v>0</v>
      </c>
      <c r="T561" s="5" cm="1">
        <f t="array" ref="T561">MIN(IF((DiscreteStatsTable[GroupByKey]=DiscreteStatsTable[[#This Row],[GroupByKey]]),(DiscreteStatsTable[GroupByKey]=DiscreteStatsTable[[#This Row],[GroupByKey]])*DiscreteStatsTable[Minimum]))</f>
        <v>0</v>
      </c>
      <c r="U561" s="5" cm="1">
        <f t="array" ref="U561">MAX(IF((DiscreteStatsTable[GroupByKey]=DiscreteStatsTable[[#This Row],[GroupByKey]]),(DiscreteStatsTable[GroupByKey]=DiscreteStatsTable[[#This Row],[GroupByKey]])*DiscreteStatsTable[Maximum]))</f>
        <v>0</v>
      </c>
      <c r="V561" s="5" cm="1">
        <f t="array" ref="V561">IFERROR(AVERAGE(IF((DiscreteStatsTable[GroupByKey]=DiscreteStatsTable[[#This Row],[GroupByKey]]),(DiscreteStatsTable[GroupByKey]=DiscreteStatsTable[[#This Row],[GroupByKey]])*DiscreteStatsTable[NumberObservations])),0)</f>
        <v>3</v>
      </c>
      <c r="W561" s="5">
        <f>IF((DiscreteStatsTable[[#This Row],[RepsRequested]]&gt;1),DiscreteStatsTable[[#This Row],[HalfWidth]],DiscreteStatsTable[[#This Row],[BatchMeansHalfWidth]])</f>
        <v>0</v>
      </c>
      <c r="X561" s="5" cm="1">
        <f t="array" ref="X561">COUNT(IF((DiscreteStatsTable[GroupByKey]=DiscreteStatsTable[[#This Row],[GroupByKey]]),(DiscreteStatsTable[GroupByKey]=DiscreteStatsTable[[#This Row],[GroupByKey]])*DiscreteStatsTable[Replication]))</f>
        <v>19</v>
      </c>
      <c r="Y561" s="5">
        <f>IF(DiscreteStatsTable[[#This Row],[RepsRequested]]=DiscreteStatsTable[[#This Row],[RepsWithStatObserved]],1,0)</f>
        <v>1</v>
      </c>
    </row>
    <row r="562" spans="1:25" x14ac:dyDescent="0.25">
      <c r="A562" t="s">
        <v>67</v>
      </c>
      <c r="B562" t="s">
        <v>69</v>
      </c>
      <c r="C562">
        <v>2</v>
      </c>
      <c r="D562" t="s">
        <v>127</v>
      </c>
      <c r="E562" t="s">
        <v>75</v>
      </c>
      <c r="F562" t="s">
        <v>72</v>
      </c>
      <c r="G562">
        <v>0</v>
      </c>
      <c r="H562">
        <v>2E+20</v>
      </c>
      <c r="I562">
        <v>0</v>
      </c>
      <c r="J562">
        <v>0</v>
      </c>
      <c r="K562">
        <v>3</v>
      </c>
      <c r="L56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compartida)relojTransfer TimeEntity</v>
      </c>
      <c r="M562" s="5" cm="1">
        <f t="array" ref="M562">MAX(IF((ProjectInfoTable[ProjectName]=DiscreteStatsTable[[#This Row],[ProjectName]]),(ProjectInfoTable[ProjectName]=DiscreteStatsTable[[#This Row],[ProjectName]])*ProjectInfoTable[NumberOfReplications]))</f>
        <v>19</v>
      </c>
      <c r="N562" s="5" cm="1">
        <f t="array" ref="N562">IFERROR(AVERAGE(IF((DiscreteStatsTable[GroupByKey]=DiscreteStatsTable[[#This Row],[GroupByKey]]),(DiscreteStatsTable[GroupByKey]=DiscreteStatsTable[[#This Row],[GroupByKey]])*DiscreteStatsTable[Average])),0)</f>
        <v>0</v>
      </c>
      <c r="O562" s="5" cm="1">
        <f t="array" ref="O562">IFERROR(_xlfn.STDEV.S(IF((DiscreteStatsTable[GroupByKey]=DiscreteStatsTable[[#This Row],[GroupByKey]]),(DiscreteStatsTable[GroupByKey]=DiscreteStatsTable[[#This Row],[GroupByKey]])*DiscreteStatsTable[Average])),0)</f>
        <v>0</v>
      </c>
      <c r="P562" s="5" cm="1">
        <f t="array" ref="P562">MAX(IF((ProjectInfoTable[ProjectName]=DiscreteStatsTable[[#This Row],[ProjectName]]),(ProjectInfoTable[ProjectName]=DiscreteStatsTable[[#This Row],[ProjectName]])*ProjectInfoTable[ConfidenceInterval]))</f>
        <v>0.95</v>
      </c>
      <c r="Q562" s="5">
        <f>IF(AND(DiscreteStatsTable[[#This Row],[RepsWithStatObserved]]=1,Y562=0),200000000000000000000,IFERROR(_xlfn.T.INV.2T(1 -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2" s="5" cm="1">
        <f t="array" ref="R562">MIN(IF((DiscreteStatsTable[GroupByKey]=DiscreteStatsTable[[#This Row],[GroupByKey]]),(DiscreteStatsTable[GroupByKey]=DiscreteStatsTable[[#This Row],[GroupByKey]])*DiscreteStatsTable[Average]))</f>
        <v>0</v>
      </c>
      <c r="S562" s="5" cm="1">
        <f t="array" ref="S562">MAX(IF((DiscreteStatsTable[GroupByKey]=DiscreteStatsTable[[#This Row],[GroupByKey]]),(DiscreteStatsTable[GroupByKey]=DiscreteStatsTable[[#This Row],[GroupByKey]])*DiscreteStatsTable[Average]))</f>
        <v>0</v>
      </c>
      <c r="T562" s="5" cm="1">
        <f t="array" ref="T562">MIN(IF((DiscreteStatsTable[GroupByKey]=DiscreteStatsTable[[#This Row],[GroupByKey]]),(DiscreteStatsTable[GroupByKey]=DiscreteStatsTable[[#This Row],[GroupByKey]])*DiscreteStatsTable[Minimum]))</f>
        <v>0</v>
      </c>
      <c r="U562" s="5" cm="1">
        <f t="array" ref="U562">MAX(IF((DiscreteStatsTable[GroupByKey]=DiscreteStatsTable[[#This Row],[GroupByKey]]),(DiscreteStatsTable[GroupByKey]=DiscreteStatsTable[[#This Row],[GroupByKey]])*DiscreteStatsTable[Maximum]))</f>
        <v>0</v>
      </c>
      <c r="V562" s="5" cm="1">
        <f t="array" ref="V562">IFERROR(AVERAGE(IF((DiscreteStatsTable[GroupByKey]=DiscreteStatsTable[[#This Row],[GroupByKey]]),(DiscreteStatsTable[GroupByKey]=DiscreteStatsTable[[#This Row],[GroupByKey]])*DiscreteStatsTable[NumberObservations])),0)</f>
        <v>3</v>
      </c>
      <c r="W562" s="5">
        <f>IF((DiscreteStatsTable[[#This Row],[RepsRequested]]&gt;1),DiscreteStatsTable[[#This Row],[HalfWidth]],DiscreteStatsTable[[#This Row],[BatchMeansHalfWidth]])</f>
        <v>0</v>
      </c>
      <c r="X562" s="5" cm="1">
        <f t="array" ref="X562">COUNT(IF((DiscreteStatsTable[GroupByKey]=DiscreteStatsTable[[#This Row],[GroupByKey]]),(DiscreteStatsTable[GroupByKey]=DiscreteStatsTable[[#This Row],[GroupByKey]])*DiscreteStatsTable[Replication]))</f>
        <v>19</v>
      </c>
      <c r="Y562" s="5">
        <f>IF(DiscreteStatsTable[[#This Row],[RepsRequested]]=DiscreteStatsTable[[#This Row],[RepsWithStatObserved]],1,0)</f>
        <v>1</v>
      </c>
    </row>
    <row r="563" spans="1:25" x14ac:dyDescent="0.25">
      <c r="A563" t="s">
        <v>67</v>
      </c>
      <c r="B563" t="s">
        <v>69</v>
      </c>
      <c r="C563">
        <v>2</v>
      </c>
      <c r="D563" t="s">
        <v>127</v>
      </c>
      <c r="E563" t="s">
        <v>76</v>
      </c>
      <c r="F563" t="s">
        <v>72</v>
      </c>
      <c r="G563">
        <v>0</v>
      </c>
      <c r="H563">
        <v>2E+20</v>
      </c>
      <c r="I563">
        <v>0</v>
      </c>
      <c r="J563">
        <v>0</v>
      </c>
      <c r="K563">
        <v>3</v>
      </c>
      <c r="L56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compartida)relojVA TimeEntity</v>
      </c>
      <c r="M563" s="5" cm="1">
        <f t="array" ref="M563">MAX(IF((ProjectInfoTable[ProjectName]=DiscreteStatsTable[[#This Row],[ProjectName]]),(ProjectInfoTable[ProjectName]=DiscreteStatsTable[[#This Row],[ProjectName]])*ProjectInfoTable[NumberOfReplications]))</f>
        <v>19</v>
      </c>
      <c r="N563" s="5" cm="1">
        <f t="array" ref="N563">IFERROR(AVERAGE(IF((DiscreteStatsTable[GroupByKey]=DiscreteStatsTable[[#This Row],[GroupByKey]]),(DiscreteStatsTable[GroupByKey]=DiscreteStatsTable[[#This Row],[GroupByKey]])*DiscreteStatsTable[Average])),0)</f>
        <v>0</v>
      </c>
      <c r="O563" s="5" cm="1">
        <f t="array" ref="O563">IFERROR(_xlfn.STDEV.S(IF((DiscreteStatsTable[GroupByKey]=DiscreteStatsTable[[#This Row],[GroupByKey]]),(DiscreteStatsTable[GroupByKey]=DiscreteStatsTable[[#This Row],[GroupByKey]])*DiscreteStatsTable[Average])),0)</f>
        <v>0</v>
      </c>
      <c r="P563" s="5" cm="1">
        <f t="array" ref="P563">MAX(IF((ProjectInfoTable[ProjectName]=DiscreteStatsTable[[#This Row],[ProjectName]]),(ProjectInfoTable[ProjectName]=DiscreteStatsTable[[#This Row],[ProjectName]])*ProjectInfoTable[ConfidenceInterval]))</f>
        <v>0.95</v>
      </c>
      <c r="Q563" s="5">
        <f>IF(AND(DiscreteStatsTable[[#This Row],[RepsWithStatObserved]]=1,Y563=0),200000000000000000000,IFERROR(_xlfn.T.INV.2T(1 -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3" s="5" cm="1">
        <f t="array" ref="R563">MIN(IF((DiscreteStatsTable[GroupByKey]=DiscreteStatsTable[[#This Row],[GroupByKey]]),(DiscreteStatsTable[GroupByKey]=DiscreteStatsTable[[#This Row],[GroupByKey]])*DiscreteStatsTable[Average]))</f>
        <v>0</v>
      </c>
      <c r="S563" s="5" cm="1">
        <f t="array" ref="S563">MAX(IF((DiscreteStatsTable[GroupByKey]=DiscreteStatsTable[[#This Row],[GroupByKey]]),(DiscreteStatsTable[GroupByKey]=DiscreteStatsTable[[#This Row],[GroupByKey]])*DiscreteStatsTable[Average]))</f>
        <v>0</v>
      </c>
      <c r="T563" s="5" cm="1">
        <f t="array" ref="T563">MIN(IF((DiscreteStatsTable[GroupByKey]=DiscreteStatsTable[[#This Row],[GroupByKey]]),(DiscreteStatsTable[GroupByKey]=DiscreteStatsTable[[#This Row],[GroupByKey]])*DiscreteStatsTable[Minimum]))</f>
        <v>0</v>
      </c>
      <c r="U563" s="5" cm="1">
        <f t="array" ref="U563">MAX(IF((DiscreteStatsTable[GroupByKey]=DiscreteStatsTable[[#This Row],[GroupByKey]]),(DiscreteStatsTable[GroupByKey]=DiscreteStatsTable[[#This Row],[GroupByKey]])*DiscreteStatsTable[Maximum]))</f>
        <v>0</v>
      </c>
      <c r="V563" s="5" cm="1">
        <f t="array" ref="V563">IFERROR(AVERAGE(IF((DiscreteStatsTable[GroupByKey]=DiscreteStatsTable[[#This Row],[GroupByKey]]),(DiscreteStatsTable[GroupByKey]=DiscreteStatsTable[[#This Row],[GroupByKey]])*DiscreteStatsTable[NumberObservations])),0)</f>
        <v>3</v>
      </c>
      <c r="W563" s="5">
        <f>IF((DiscreteStatsTable[[#This Row],[RepsRequested]]&gt;1),DiscreteStatsTable[[#This Row],[HalfWidth]],DiscreteStatsTable[[#This Row],[BatchMeansHalfWidth]])</f>
        <v>0</v>
      </c>
      <c r="X563" s="5" cm="1">
        <f t="array" ref="X563">COUNT(IF((DiscreteStatsTable[GroupByKey]=DiscreteStatsTable[[#This Row],[GroupByKey]]),(DiscreteStatsTable[GroupByKey]=DiscreteStatsTable[[#This Row],[GroupByKey]])*DiscreteStatsTable[Replication]))</f>
        <v>19</v>
      </c>
      <c r="Y563" s="5">
        <f>IF(DiscreteStatsTable[[#This Row],[RepsRequested]]=DiscreteStatsTable[[#This Row],[RepsWithStatObserved]],1,0)</f>
        <v>1</v>
      </c>
    </row>
    <row r="564" spans="1:25" x14ac:dyDescent="0.25">
      <c r="A564" t="s">
        <v>67</v>
      </c>
      <c r="B564" t="s">
        <v>69</v>
      </c>
      <c r="C564">
        <v>2</v>
      </c>
      <c r="D564" t="s">
        <v>127</v>
      </c>
      <c r="E564" t="s">
        <v>77</v>
      </c>
      <c r="F564" t="s">
        <v>72</v>
      </c>
      <c r="G564">
        <v>0</v>
      </c>
      <c r="H564">
        <v>2E+20</v>
      </c>
      <c r="I564">
        <v>0</v>
      </c>
      <c r="J564">
        <v>0</v>
      </c>
      <c r="K564">
        <v>3</v>
      </c>
      <c r="L56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compartida)relojWait TimeEntity</v>
      </c>
      <c r="M564" s="5" cm="1">
        <f t="array" ref="M564">MAX(IF((ProjectInfoTable[ProjectName]=DiscreteStatsTable[[#This Row],[ProjectName]]),(ProjectInfoTable[ProjectName]=DiscreteStatsTable[[#This Row],[ProjectName]])*ProjectInfoTable[NumberOfReplications]))</f>
        <v>19</v>
      </c>
      <c r="N564" s="5" cm="1">
        <f t="array" ref="N564">IFERROR(AVERAGE(IF((DiscreteStatsTable[GroupByKey]=DiscreteStatsTable[[#This Row],[GroupByKey]]),(DiscreteStatsTable[GroupByKey]=DiscreteStatsTable[[#This Row],[GroupByKey]])*DiscreteStatsTable[Average])),0)</f>
        <v>0</v>
      </c>
      <c r="O564" s="5" cm="1">
        <f t="array" ref="O564">IFERROR(_xlfn.STDEV.S(IF((DiscreteStatsTable[GroupByKey]=DiscreteStatsTable[[#This Row],[GroupByKey]]),(DiscreteStatsTable[GroupByKey]=DiscreteStatsTable[[#This Row],[GroupByKey]])*DiscreteStatsTable[Average])),0)</f>
        <v>0</v>
      </c>
      <c r="P564" s="5" cm="1">
        <f t="array" ref="P564">MAX(IF((ProjectInfoTable[ProjectName]=DiscreteStatsTable[[#This Row],[ProjectName]]),(ProjectInfoTable[ProjectName]=DiscreteStatsTable[[#This Row],[ProjectName]])*ProjectInfoTable[ConfidenceInterval]))</f>
        <v>0.95</v>
      </c>
      <c r="Q564" s="5">
        <f>IF(AND(DiscreteStatsTable[[#This Row],[RepsWithStatObserved]]=1,Y564=0),200000000000000000000,IFERROR(_xlfn.T.INV.2T(1 -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4" s="5" cm="1">
        <f t="array" ref="R564">MIN(IF((DiscreteStatsTable[GroupByKey]=DiscreteStatsTable[[#This Row],[GroupByKey]]),(DiscreteStatsTable[GroupByKey]=DiscreteStatsTable[[#This Row],[GroupByKey]])*DiscreteStatsTable[Average]))</f>
        <v>0</v>
      </c>
      <c r="S564" s="5" cm="1">
        <f t="array" ref="S564">MAX(IF((DiscreteStatsTable[GroupByKey]=DiscreteStatsTable[[#This Row],[GroupByKey]]),(DiscreteStatsTable[GroupByKey]=DiscreteStatsTable[[#This Row],[GroupByKey]])*DiscreteStatsTable[Average]))</f>
        <v>0</v>
      </c>
      <c r="T564" s="5" cm="1">
        <f t="array" ref="T564">MIN(IF((DiscreteStatsTable[GroupByKey]=DiscreteStatsTable[[#This Row],[GroupByKey]]),(DiscreteStatsTable[GroupByKey]=DiscreteStatsTable[[#This Row],[GroupByKey]])*DiscreteStatsTable[Minimum]))</f>
        <v>0</v>
      </c>
      <c r="U564" s="5" cm="1">
        <f t="array" ref="U564">MAX(IF((DiscreteStatsTable[GroupByKey]=DiscreteStatsTable[[#This Row],[GroupByKey]]),(DiscreteStatsTable[GroupByKey]=DiscreteStatsTable[[#This Row],[GroupByKey]])*DiscreteStatsTable[Maximum]))</f>
        <v>0</v>
      </c>
      <c r="V564" s="5" cm="1">
        <f t="array" ref="V564">IFERROR(AVERAGE(IF((DiscreteStatsTable[GroupByKey]=DiscreteStatsTable[[#This Row],[GroupByKey]]),(DiscreteStatsTable[GroupByKey]=DiscreteStatsTable[[#This Row],[GroupByKey]])*DiscreteStatsTable[NumberObservations])),0)</f>
        <v>3</v>
      </c>
      <c r="W564" s="5">
        <f>IF((DiscreteStatsTable[[#This Row],[RepsRequested]]&gt;1),DiscreteStatsTable[[#This Row],[HalfWidth]],DiscreteStatsTable[[#This Row],[BatchMeansHalfWidth]])</f>
        <v>0</v>
      </c>
      <c r="X564" s="5" cm="1">
        <f t="array" ref="X564">COUNT(IF((DiscreteStatsTable[GroupByKey]=DiscreteStatsTable[[#This Row],[GroupByKey]]),(DiscreteStatsTable[GroupByKey]=DiscreteStatsTable[[#This Row],[GroupByKey]])*DiscreteStatsTable[Replication]))</f>
        <v>19</v>
      </c>
      <c r="Y564" s="5">
        <f>IF(DiscreteStatsTable[[#This Row],[RepsRequested]]=DiscreteStatsTable[[#This Row],[RepsWithStatObserved]],1,0)</f>
        <v>1</v>
      </c>
    </row>
    <row r="565" spans="1:25" x14ac:dyDescent="0.25">
      <c r="A565" t="s">
        <v>67</v>
      </c>
      <c r="B565" t="s">
        <v>69</v>
      </c>
      <c r="C565">
        <v>3</v>
      </c>
      <c r="D565" t="s">
        <v>127</v>
      </c>
      <c r="E565" t="s">
        <v>71</v>
      </c>
      <c r="F565" t="s">
        <v>72</v>
      </c>
      <c r="G565">
        <v>0</v>
      </c>
      <c r="H565">
        <v>2E+20</v>
      </c>
      <c r="I565">
        <v>0</v>
      </c>
      <c r="J565">
        <v>0</v>
      </c>
      <c r="K565">
        <v>3</v>
      </c>
      <c r="L56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compartida)relojNVA TimeEntity</v>
      </c>
      <c r="M565" s="5" cm="1">
        <f t="array" ref="M565">MAX(IF((ProjectInfoTable[ProjectName]=DiscreteStatsTable[[#This Row],[ProjectName]]),(ProjectInfoTable[ProjectName]=DiscreteStatsTable[[#This Row],[ProjectName]])*ProjectInfoTable[NumberOfReplications]))</f>
        <v>19</v>
      </c>
      <c r="N565" s="5" cm="1">
        <f t="array" ref="N565">IFERROR(AVERAGE(IF((DiscreteStatsTable[GroupByKey]=DiscreteStatsTable[[#This Row],[GroupByKey]]),(DiscreteStatsTable[GroupByKey]=DiscreteStatsTable[[#This Row],[GroupByKey]])*DiscreteStatsTable[Average])),0)</f>
        <v>0</v>
      </c>
      <c r="O565" s="5" cm="1">
        <f t="array" ref="O565">IFERROR(_xlfn.STDEV.S(IF((DiscreteStatsTable[GroupByKey]=DiscreteStatsTable[[#This Row],[GroupByKey]]),(DiscreteStatsTable[GroupByKey]=DiscreteStatsTable[[#This Row],[GroupByKey]])*DiscreteStatsTable[Average])),0)</f>
        <v>0</v>
      </c>
      <c r="P565" s="5" cm="1">
        <f t="array" ref="P565">MAX(IF((ProjectInfoTable[ProjectName]=DiscreteStatsTable[[#This Row],[ProjectName]]),(ProjectInfoTable[ProjectName]=DiscreteStatsTable[[#This Row],[ProjectName]])*ProjectInfoTable[ConfidenceInterval]))</f>
        <v>0.95</v>
      </c>
      <c r="Q565" s="5">
        <f>IF(AND(DiscreteStatsTable[[#This Row],[RepsWithStatObserved]]=1,Y565=0),200000000000000000000,IFERROR(_xlfn.T.INV.2T(1 -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5" s="5" cm="1">
        <f t="array" ref="R565">MIN(IF((DiscreteStatsTable[GroupByKey]=DiscreteStatsTable[[#This Row],[GroupByKey]]),(DiscreteStatsTable[GroupByKey]=DiscreteStatsTable[[#This Row],[GroupByKey]])*DiscreteStatsTable[Average]))</f>
        <v>0</v>
      </c>
      <c r="S565" s="5" cm="1">
        <f t="array" ref="S565">MAX(IF((DiscreteStatsTable[GroupByKey]=DiscreteStatsTable[[#This Row],[GroupByKey]]),(DiscreteStatsTable[GroupByKey]=DiscreteStatsTable[[#This Row],[GroupByKey]])*DiscreteStatsTable[Average]))</f>
        <v>0</v>
      </c>
      <c r="T565" s="5" cm="1">
        <f t="array" ref="T565">MIN(IF((DiscreteStatsTable[GroupByKey]=DiscreteStatsTable[[#This Row],[GroupByKey]]),(DiscreteStatsTable[GroupByKey]=DiscreteStatsTable[[#This Row],[GroupByKey]])*DiscreteStatsTable[Minimum]))</f>
        <v>0</v>
      </c>
      <c r="U565" s="5" cm="1">
        <f t="array" ref="U565">MAX(IF((DiscreteStatsTable[GroupByKey]=DiscreteStatsTable[[#This Row],[GroupByKey]]),(DiscreteStatsTable[GroupByKey]=DiscreteStatsTable[[#This Row],[GroupByKey]])*DiscreteStatsTable[Maximum]))</f>
        <v>0</v>
      </c>
      <c r="V565" s="5" cm="1">
        <f t="array" ref="V565">IFERROR(AVERAGE(IF((DiscreteStatsTable[GroupByKey]=DiscreteStatsTable[[#This Row],[GroupByKey]]),(DiscreteStatsTable[GroupByKey]=DiscreteStatsTable[[#This Row],[GroupByKey]])*DiscreteStatsTable[NumberObservations])),0)</f>
        <v>3</v>
      </c>
      <c r="W565" s="5">
        <f>IF((DiscreteStatsTable[[#This Row],[RepsRequested]]&gt;1),DiscreteStatsTable[[#This Row],[HalfWidth]],DiscreteStatsTable[[#This Row],[BatchMeansHalfWidth]])</f>
        <v>0</v>
      </c>
      <c r="X565" s="5" cm="1">
        <f t="array" ref="X565">COUNT(IF((DiscreteStatsTable[GroupByKey]=DiscreteStatsTable[[#This Row],[GroupByKey]]),(DiscreteStatsTable[GroupByKey]=DiscreteStatsTable[[#This Row],[GroupByKey]])*DiscreteStatsTable[Replication]))</f>
        <v>19</v>
      </c>
      <c r="Y565" s="5">
        <f>IF(DiscreteStatsTable[[#This Row],[RepsRequested]]=DiscreteStatsTable[[#This Row],[RepsWithStatObserved]],1,0)</f>
        <v>1</v>
      </c>
    </row>
    <row r="566" spans="1:25" x14ac:dyDescent="0.25">
      <c r="A566" t="s">
        <v>67</v>
      </c>
      <c r="B566" t="s">
        <v>69</v>
      </c>
      <c r="C566">
        <v>3</v>
      </c>
      <c r="D566" t="s">
        <v>127</v>
      </c>
      <c r="E566" t="s">
        <v>73</v>
      </c>
      <c r="F566" t="s">
        <v>72</v>
      </c>
      <c r="G566">
        <v>0</v>
      </c>
      <c r="H566">
        <v>2E+20</v>
      </c>
      <c r="I566">
        <v>0</v>
      </c>
      <c r="J566">
        <v>0</v>
      </c>
      <c r="K566">
        <v>3</v>
      </c>
      <c r="L56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compartida)relojOther TimeEntity</v>
      </c>
      <c r="M566" s="5" cm="1">
        <f t="array" ref="M566">MAX(IF((ProjectInfoTable[ProjectName]=DiscreteStatsTable[[#This Row],[ProjectName]]),(ProjectInfoTable[ProjectName]=DiscreteStatsTable[[#This Row],[ProjectName]])*ProjectInfoTable[NumberOfReplications]))</f>
        <v>19</v>
      </c>
      <c r="N566" s="5" cm="1">
        <f t="array" ref="N566">IFERROR(AVERAGE(IF((DiscreteStatsTable[GroupByKey]=DiscreteStatsTable[[#This Row],[GroupByKey]]),(DiscreteStatsTable[GroupByKey]=DiscreteStatsTable[[#This Row],[GroupByKey]])*DiscreteStatsTable[Average])),0)</f>
        <v>0</v>
      </c>
      <c r="O566" s="5" cm="1">
        <f t="array" ref="O566">IFERROR(_xlfn.STDEV.S(IF((DiscreteStatsTable[GroupByKey]=DiscreteStatsTable[[#This Row],[GroupByKey]]),(DiscreteStatsTable[GroupByKey]=DiscreteStatsTable[[#This Row],[GroupByKey]])*DiscreteStatsTable[Average])),0)</f>
        <v>0</v>
      </c>
      <c r="P566" s="5" cm="1">
        <f t="array" ref="P566">MAX(IF((ProjectInfoTable[ProjectName]=DiscreteStatsTable[[#This Row],[ProjectName]]),(ProjectInfoTable[ProjectName]=DiscreteStatsTable[[#This Row],[ProjectName]])*ProjectInfoTable[ConfidenceInterval]))</f>
        <v>0.95</v>
      </c>
      <c r="Q566" s="5">
        <f>IF(AND(DiscreteStatsTable[[#This Row],[RepsWithStatObserved]]=1,Y566=0),200000000000000000000,IFERROR(_xlfn.T.INV.2T(1 -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6" s="5" cm="1">
        <f t="array" ref="R566">MIN(IF((DiscreteStatsTable[GroupByKey]=DiscreteStatsTable[[#This Row],[GroupByKey]]),(DiscreteStatsTable[GroupByKey]=DiscreteStatsTable[[#This Row],[GroupByKey]])*DiscreteStatsTable[Average]))</f>
        <v>0</v>
      </c>
      <c r="S566" s="5" cm="1">
        <f t="array" ref="S566">MAX(IF((DiscreteStatsTable[GroupByKey]=DiscreteStatsTable[[#This Row],[GroupByKey]]),(DiscreteStatsTable[GroupByKey]=DiscreteStatsTable[[#This Row],[GroupByKey]])*DiscreteStatsTable[Average]))</f>
        <v>0</v>
      </c>
      <c r="T566" s="5" cm="1">
        <f t="array" ref="T566">MIN(IF((DiscreteStatsTable[GroupByKey]=DiscreteStatsTable[[#This Row],[GroupByKey]]),(DiscreteStatsTable[GroupByKey]=DiscreteStatsTable[[#This Row],[GroupByKey]])*DiscreteStatsTable[Minimum]))</f>
        <v>0</v>
      </c>
      <c r="U566" s="5" cm="1">
        <f t="array" ref="U566">MAX(IF((DiscreteStatsTable[GroupByKey]=DiscreteStatsTable[[#This Row],[GroupByKey]]),(DiscreteStatsTable[GroupByKey]=DiscreteStatsTable[[#This Row],[GroupByKey]])*DiscreteStatsTable[Maximum]))</f>
        <v>0</v>
      </c>
      <c r="V566" s="5" cm="1">
        <f t="array" ref="V566">IFERROR(AVERAGE(IF((DiscreteStatsTable[GroupByKey]=DiscreteStatsTable[[#This Row],[GroupByKey]]),(DiscreteStatsTable[GroupByKey]=DiscreteStatsTable[[#This Row],[GroupByKey]])*DiscreteStatsTable[NumberObservations])),0)</f>
        <v>3</v>
      </c>
      <c r="W566" s="5">
        <f>IF((DiscreteStatsTable[[#This Row],[RepsRequested]]&gt;1),DiscreteStatsTable[[#This Row],[HalfWidth]],DiscreteStatsTable[[#This Row],[BatchMeansHalfWidth]])</f>
        <v>0</v>
      </c>
      <c r="X566" s="5" cm="1">
        <f t="array" ref="X566">COUNT(IF((DiscreteStatsTable[GroupByKey]=DiscreteStatsTable[[#This Row],[GroupByKey]]),(DiscreteStatsTable[GroupByKey]=DiscreteStatsTable[[#This Row],[GroupByKey]])*DiscreteStatsTable[Replication]))</f>
        <v>19</v>
      </c>
      <c r="Y566" s="5">
        <f>IF(DiscreteStatsTable[[#This Row],[RepsRequested]]=DiscreteStatsTable[[#This Row],[RepsWithStatObserved]],1,0)</f>
        <v>1</v>
      </c>
    </row>
    <row r="567" spans="1:25" x14ac:dyDescent="0.25">
      <c r="A567" t="s">
        <v>67</v>
      </c>
      <c r="B567" t="s">
        <v>69</v>
      </c>
      <c r="C567">
        <v>3</v>
      </c>
      <c r="D567" t="s">
        <v>127</v>
      </c>
      <c r="E567" t="s">
        <v>74</v>
      </c>
      <c r="F567" t="s">
        <v>72</v>
      </c>
      <c r="G567">
        <v>0</v>
      </c>
      <c r="H567">
        <v>2E+20</v>
      </c>
      <c r="I567">
        <v>0</v>
      </c>
      <c r="J567">
        <v>0</v>
      </c>
      <c r="K567">
        <v>3</v>
      </c>
      <c r="L56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compartida)relojTotal TimeEntity</v>
      </c>
      <c r="M567" s="5" cm="1">
        <f t="array" ref="M567">MAX(IF((ProjectInfoTable[ProjectName]=DiscreteStatsTable[[#This Row],[ProjectName]]),(ProjectInfoTable[ProjectName]=DiscreteStatsTable[[#This Row],[ProjectName]])*ProjectInfoTable[NumberOfReplications]))</f>
        <v>19</v>
      </c>
      <c r="N567" s="5" cm="1">
        <f t="array" ref="N567">IFERROR(AVERAGE(IF((DiscreteStatsTable[GroupByKey]=DiscreteStatsTable[[#This Row],[GroupByKey]]),(DiscreteStatsTable[GroupByKey]=DiscreteStatsTable[[#This Row],[GroupByKey]])*DiscreteStatsTable[Average])),0)</f>
        <v>0</v>
      </c>
      <c r="O567" s="5" cm="1">
        <f t="array" ref="O567">IFERROR(_xlfn.STDEV.S(IF((DiscreteStatsTable[GroupByKey]=DiscreteStatsTable[[#This Row],[GroupByKey]]),(DiscreteStatsTable[GroupByKey]=DiscreteStatsTable[[#This Row],[GroupByKey]])*DiscreteStatsTable[Average])),0)</f>
        <v>0</v>
      </c>
      <c r="P567" s="5" cm="1">
        <f t="array" ref="P567">MAX(IF((ProjectInfoTable[ProjectName]=DiscreteStatsTable[[#This Row],[ProjectName]]),(ProjectInfoTable[ProjectName]=DiscreteStatsTable[[#This Row],[ProjectName]])*ProjectInfoTable[ConfidenceInterval]))</f>
        <v>0.95</v>
      </c>
      <c r="Q567" s="5">
        <f>IF(AND(DiscreteStatsTable[[#This Row],[RepsWithStatObserved]]=1,Y567=0),200000000000000000000,IFERROR(_xlfn.T.INV.2T(1 -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7" s="5" cm="1">
        <f t="array" ref="R567">MIN(IF((DiscreteStatsTable[GroupByKey]=DiscreteStatsTable[[#This Row],[GroupByKey]]),(DiscreteStatsTable[GroupByKey]=DiscreteStatsTable[[#This Row],[GroupByKey]])*DiscreteStatsTable[Average]))</f>
        <v>0</v>
      </c>
      <c r="S567" s="5" cm="1">
        <f t="array" ref="S567">MAX(IF((DiscreteStatsTable[GroupByKey]=DiscreteStatsTable[[#This Row],[GroupByKey]]),(DiscreteStatsTable[GroupByKey]=DiscreteStatsTable[[#This Row],[GroupByKey]])*DiscreteStatsTable[Average]))</f>
        <v>0</v>
      </c>
      <c r="T567" s="5" cm="1">
        <f t="array" ref="T567">MIN(IF((DiscreteStatsTable[GroupByKey]=DiscreteStatsTable[[#This Row],[GroupByKey]]),(DiscreteStatsTable[GroupByKey]=DiscreteStatsTable[[#This Row],[GroupByKey]])*DiscreteStatsTable[Minimum]))</f>
        <v>0</v>
      </c>
      <c r="U567" s="5" cm="1">
        <f t="array" ref="U567">MAX(IF((DiscreteStatsTable[GroupByKey]=DiscreteStatsTable[[#This Row],[GroupByKey]]),(DiscreteStatsTable[GroupByKey]=DiscreteStatsTable[[#This Row],[GroupByKey]])*DiscreteStatsTable[Maximum]))</f>
        <v>0</v>
      </c>
      <c r="V567" s="5" cm="1">
        <f t="array" ref="V567">IFERROR(AVERAGE(IF((DiscreteStatsTable[GroupByKey]=DiscreteStatsTable[[#This Row],[GroupByKey]]),(DiscreteStatsTable[GroupByKey]=DiscreteStatsTable[[#This Row],[GroupByKey]])*DiscreteStatsTable[NumberObservations])),0)</f>
        <v>3</v>
      </c>
      <c r="W567" s="5">
        <f>IF((DiscreteStatsTable[[#This Row],[RepsRequested]]&gt;1),DiscreteStatsTable[[#This Row],[HalfWidth]],DiscreteStatsTable[[#This Row],[BatchMeansHalfWidth]])</f>
        <v>0</v>
      </c>
      <c r="X567" s="5" cm="1">
        <f t="array" ref="X567">COUNT(IF((DiscreteStatsTable[GroupByKey]=DiscreteStatsTable[[#This Row],[GroupByKey]]),(DiscreteStatsTable[GroupByKey]=DiscreteStatsTable[[#This Row],[GroupByKey]])*DiscreteStatsTable[Replication]))</f>
        <v>19</v>
      </c>
      <c r="Y567" s="5">
        <f>IF(DiscreteStatsTable[[#This Row],[RepsRequested]]=DiscreteStatsTable[[#This Row],[RepsWithStatObserved]],1,0)</f>
        <v>1</v>
      </c>
    </row>
    <row r="568" spans="1:25" x14ac:dyDescent="0.25">
      <c r="A568" t="s">
        <v>67</v>
      </c>
      <c r="B568" t="s">
        <v>69</v>
      </c>
      <c r="C568">
        <v>3</v>
      </c>
      <c r="D568" t="s">
        <v>127</v>
      </c>
      <c r="E568" t="s">
        <v>75</v>
      </c>
      <c r="F568" t="s">
        <v>72</v>
      </c>
      <c r="G568">
        <v>0</v>
      </c>
      <c r="H568">
        <v>2E+20</v>
      </c>
      <c r="I568">
        <v>0</v>
      </c>
      <c r="J568">
        <v>0</v>
      </c>
      <c r="K568">
        <v>3</v>
      </c>
      <c r="L56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compartida)relojTransfer TimeEntity</v>
      </c>
      <c r="M568" s="5" cm="1">
        <f t="array" ref="M568">MAX(IF((ProjectInfoTable[ProjectName]=DiscreteStatsTable[[#This Row],[ProjectName]]),(ProjectInfoTable[ProjectName]=DiscreteStatsTable[[#This Row],[ProjectName]])*ProjectInfoTable[NumberOfReplications]))</f>
        <v>19</v>
      </c>
      <c r="N568" s="5" cm="1">
        <f t="array" ref="N568">IFERROR(AVERAGE(IF((DiscreteStatsTable[GroupByKey]=DiscreteStatsTable[[#This Row],[GroupByKey]]),(DiscreteStatsTable[GroupByKey]=DiscreteStatsTable[[#This Row],[GroupByKey]])*DiscreteStatsTable[Average])),0)</f>
        <v>0</v>
      </c>
      <c r="O568" s="5" cm="1">
        <f t="array" ref="O568">IFERROR(_xlfn.STDEV.S(IF((DiscreteStatsTable[GroupByKey]=DiscreteStatsTable[[#This Row],[GroupByKey]]),(DiscreteStatsTable[GroupByKey]=DiscreteStatsTable[[#This Row],[GroupByKey]])*DiscreteStatsTable[Average])),0)</f>
        <v>0</v>
      </c>
      <c r="P568" s="5" cm="1">
        <f t="array" ref="P568">MAX(IF((ProjectInfoTable[ProjectName]=DiscreteStatsTable[[#This Row],[ProjectName]]),(ProjectInfoTable[ProjectName]=DiscreteStatsTable[[#This Row],[ProjectName]])*ProjectInfoTable[ConfidenceInterval]))</f>
        <v>0.95</v>
      </c>
      <c r="Q568" s="5">
        <f>IF(AND(DiscreteStatsTable[[#This Row],[RepsWithStatObserved]]=1,Y568=0),200000000000000000000,IFERROR(_xlfn.T.INV.2T(1 -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8" s="5" cm="1">
        <f t="array" ref="R568">MIN(IF((DiscreteStatsTable[GroupByKey]=DiscreteStatsTable[[#This Row],[GroupByKey]]),(DiscreteStatsTable[GroupByKey]=DiscreteStatsTable[[#This Row],[GroupByKey]])*DiscreteStatsTable[Average]))</f>
        <v>0</v>
      </c>
      <c r="S568" s="5" cm="1">
        <f t="array" ref="S568">MAX(IF((DiscreteStatsTable[GroupByKey]=DiscreteStatsTable[[#This Row],[GroupByKey]]),(DiscreteStatsTable[GroupByKey]=DiscreteStatsTable[[#This Row],[GroupByKey]])*DiscreteStatsTable[Average]))</f>
        <v>0</v>
      </c>
      <c r="T568" s="5" cm="1">
        <f t="array" ref="T568">MIN(IF((DiscreteStatsTable[GroupByKey]=DiscreteStatsTable[[#This Row],[GroupByKey]]),(DiscreteStatsTable[GroupByKey]=DiscreteStatsTable[[#This Row],[GroupByKey]])*DiscreteStatsTable[Minimum]))</f>
        <v>0</v>
      </c>
      <c r="U568" s="5" cm="1">
        <f t="array" ref="U568">MAX(IF((DiscreteStatsTable[GroupByKey]=DiscreteStatsTable[[#This Row],[GroupByKey]]),(DiscreteStatsTable[GroupByKey]=DiscreteStatsTable[[#This Row],[GroupByKey]])*DiscreteStatsTable[Maximum]))</f>
        <v>0</v>
      </c>
      <c r="V568" s="5" cm="1">
        <f t="array" ref="V568">IFERROR(AVERAGE(IF((DiscreteStatsTable[GroupByKey]=DiscreteStatsTable[[#This Row],[GroupByKey]]),(DiscreteStatsTable[GroupByKey]=DiscreteStatsTable[[#This Row],[GroupByKey]])*DiscreteStatsTable[NumberObservations])),0)</f>
        <v>3</v>
      </c>
      <c r="W568" s="5">
        <f>IF((DiscreteStatsTable[[#This Row],[RepsRequested]]&gt;1),DiscreteStatsTable[[#This Row],[HalfWidth]],DiscreteStatsTable[[#This Row],[BatchMeansHalfWidth]])</f>
        <v>0</v>
      </c>
      <c r="X568" s="5" cm="1">
        <f t="array" ref="X568">COUNT(IF((DiscreteStatsTable[GroupByKey]=DiscreteStatsTable[[#This Row],[GroupByKey]]),(DiscreteStatsTable[GroupByKey]=DiscreteStatsTable[[#This Row],[GroupByKey]])*DiscreteStatsTable[Replication]))</f>
        <v>19</v>
      </c>
      <c r="Y568" s="5">
        <f>IF(DiscreteStatsTable[[#This Row],[RepsRequested]]=DiscreteStatsTable[[#This Row],[RepsWithStatObserved]],1,0)</f>
        <v>1</v>
      </c>
    </row>
    <row r="569" spans="1:25" x14ac:dyDescent="0.25">
      <c r="A569" t="s">
        <v>67</v>
      </c>
      <c r="B569" t="s">
        <v>69</v>
      </c>
      <c r="C569">
        <v>3</v>
      </c>
      <c r="D569" t="s">
        <v>127</v>
      </c>
      <c r="E569" t="s">
        <v>76</v>
      </c>
      <c r="F569" t="s">
        <v>72</v>
      </c>
      <c r="G569">
        <v>0</v>
      </c>
      <c r="H569">
        <v>2E+20</v>
      </c>
      <c r="I569">
        <v>0</v>
      </c>
      <c r="J569">
        <v>0</v>
      </c>
      <c r="K569">
        <v>3</v>
      </c>
      <c r="L56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compartida)relojVA TimeEntity</v>
      </c>
      <c r="M569" s="5" cm="1">
        <f t="array" ref="M569">MAX(IF((ProjectInfoTable[ProjectName]=DiscreteStatsTable[[#This Row],[ProjectName]]),(ProjectInfoTable[ProjectName]=DiscreteStatsTable[[#This Row],[ProjectName]])*ProjectInfoTable[NumberOfReplications]))</f>
        <v>19</v>
      </c>
      <c r="N569" s="5" cm="1">
        <f t="array" ref="N569">IFERROR(AVERAGE(IF((DiscreteStatsTable[GroupByKey]=DiscreteStatsTable[[#This Row],[GroupByKey]]),(DiscreteStatsTable[GroupByKey]=DiscreteStatsTable[[#This Row],[GroupByKey]])*DiscreteStatsTable[Average])),0)</f>
        <v>0</v>
      </c>
      <c r="O569" s="5" cm="1">
        <f t="array" ref="O569">IFERROR(_xlfn.STDEV.S(IF((DiscreteStatsTable[GroupByKey]=DiscreteStatsTable[[#This Row],[GroupByKey]]),(DiscreteStatsTable[GroupByKey]=DiscreteStatsTable[[#This Row],[GroupByKey]])*DiscreteStatsTable[Average])),0)</f>
        <v>0</v>
      </c>
      <c r="P569" s="5" cm="1">
        <f t="array" ref="P569">MAX(IF((ProjectInfoTable[ProjectName]=DiscreteStatsTable[[#This Row],[ProjectName]]),(ProjectInfoTable[ProjectName]=DiscreteStatsTable[[#This Row],[ProjectName]])*ProjectInfoTable[ConfidenceInterval]))</f>
        <v>0.95</v>
      </c>
      <c r="Q569" s="5">
        <f>IF(AND(DiscreteStatsTable[[#This Row],[RepsWithStatObserved]]=1,Y569=0),200000000000000000000,IFERROR(_xlfn.T.INV.2T(1 -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9" s="5" cm="1">
        <f t="array" ref="R569">MIN(IF((DiscreteStatsTable[GroupByKey]=DiscreteStatsTable[[#This Row],[GroupByKey]]),(DiscreteStatsTable[GroupByKey]=DiscreteStatsTable[[#This Row],[GroupByKey]])*DiscreteStatsTable[Average]))</f>
        <v>0</v>
      </c>
      <c r="S569" s="5" cm="1">
        <f t="array" ref="S569">MAX(IF((DiscreteStatsTable[GroupByKey]=DiscreteStatsTable[[#This Row],[GroupByKey]]),(DiscreteStatsTable[GroupByKey]=DiscreteStatsTable[[#This Row],[GroupByKey]])*DiscreteStatsTable[Average]))</f>
        <v>0</v>
      </c>
      <c r="T569" s="5" cm="1">
        <f t="array" ref="T569">MIN(IF((DiscreteStatsTable[GroupByKey]=DiscreteStatsTable[[#This Row],[GroupByKey]]),(DiscreteStatsTable[GroupByKey]=DiscreteStatsTable[[#This Row],[GroupByKey]])*DiscreteStatsTable[Minimum]))</f>
        <v>0</v>
      </c>
      <c r="U569" s="5" cm="1">
        <f t="array" ref="U569">MAX(IF((DiscreteStatsTable[GroupByKey]=DiscreteStatsTable[[#This Row],[GroupByKey]]),(DiscreteStatsTable[GroupByKey]=DiscreteStatsTable[[#This Row],[GroupByKey]])*DiscreteStatsTable[Maximum]))</f>
        <v>0</v>
      </c>
      <c r="V569" s="5" cm="1">
        <f t="array" ref="V569">IFERROR(AVERAGE(IF((DiscreteStatsTable[GroupByKey]=DiscreteStatsTable[[#This Row],[GroupByKey]]),(DiscreteStatsTable[GroupByKey]=DiscreteStatsTable[[#This Row],[GroupByKey]])*DiscreteStatsTable[NumberObservations])),0)</f>
        <v>3</v>
      </c>
      <c r="W569" s="5">
        <f>IF((DiscreteStatsTable[[#This Row],[RepsRequested]]&gt;1),DiscreteStatsTable[[#This Row],[HalfWidth]],DiscreteStatsTable[[#This Row],[BatchMeansHalfWidth]])</f>
        <v>0</v>
      </c>
      <c r="X569" s="5" cm="1">
        <f t="array" ref="X569">COUNT(IF((DiscreteStatsTable[GroupByKey]=DiscreteStatsTable[[#This Row],[GroupByKey]]),(DiscreteStatsTable[GroupByKey]=DiscreteStatsTable[[#This Row],[GroupByKey]])*DiscreteStatsTable[Replication]))</f>
        <v>19</v>
      </c>
      <c r="Y569" s="5">
        <f>IF(DiscreteStatsTable[[#This Row],[RepsRequested]]=DiscreteStatsTable[[#This Row],[RepsWithStatObserved]],1,0)</f>
        <v>1</v>
      </c>
    </row>
    <row r="570" spans="1:25" x14ac:dyDescent="0.25">
      <c r="A570" t="s">
        <v>67</v>
      </c>
      <c r="B570" t="s">
        <v>69</v>
      </c>
      <c r="C570">
        <v>3</v>
      </c>
      <c r="D570" t="s">
        <v>127</v>
      </c>
      <c r="E570" t="s">
        <v>77</v>
      </c>
      <c r="F570" t="s">
        <v>72</v>
      </c>
      <c r="G570">
        <v>0</v>
      </c>
      <c r="H570">
        <v>2E+20</v>
      </c>
      <c r="I570">
        <v>0</v>
      </c>
      <c r="J570">
        <v>0</v>
      </c>
      <c r="K570">
        <v>3</v>
      </c>
      <c r="L57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compartida)relojWait TimeEntity</v>
      </c>
      <c r="M570" s="5" cm="1">
        <f t="array" ref="M570">MAX(IF((ProjectInfoTable[ProjectName]=DiscreteStatsTable[[#This Row],[ProjectName]]),(ProjectInfoTable[ProjectName]=DiscreteStatsTable[[#This Row],[ProjectName]])*ProjectInfoTable[NumberOfReplications]))</f>
        <v>19</v>
      </c>
      <c r="N570" s="5" cm="1">
        <f t="array" ref="N570">IFERROR(AVERAGE(IF((DiscreteStatsTable[GroupByKey]=DiscreteStatsTable[[#This Row],[GroupByKey]]),(DiscreteStatsTable[GroupByKey]=DiscreteStatsTable[[#This Row],[GroupByKey]])*DiscreteStatsTable[Average])),0)</f>
        <v>0</v>
      </c>
      <c r="O570" s="5" cm="1">
        <f t="array" ref="O570">IFERROR(_xlfn.STDEV.S(IF((DiscreteStatsTable[GroupByKey]=DiscreteStatsTable[[#This Row],[GroupByKey]]),(DiscreteStatsTable[GroupByKey]=DiscreteStatsTable[[#This Row],[GroupByKey]])*DiscreteStatsTable[Average])),0)</f>
        <v>0</v>
      </c>
      <c r="P570" s="5" cm="1">
        <f t="array" ref="P570">MAX(IF((ProjectInfoTable[ProjectName]=DiscreteStatsTable[[#This Row],[ProjectName]]),(ProjectInfoTable[ProjectName]=DiscreteStatsTable[[#This Row],[ProjectName]])*ProjectInfoTable[ConfidenceInterval]))</f>
        <v>0.95</v>
      </c>
      <c r="Q570" s="5">
        <f>IF(AND(DiscreteStatsTable[[#This Row],[RepsWithStatObserved]]=1,Y570=0),200000000000000000000,IFERROR(_xlfn.T.INV.2T(1 -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0" s="5" cm="1">
        <f t="array" ref="R570">MIN(IF((DiscreteStatsTable[GroupByKey]=DiscreteStatsTable[[#This Row],[GroupByKey]]),(DiscreteStatsTable[GroupByKey]=DiscreteStatsTable[[#This Row],[GroupByKey]])*DiscreteStatsTable[Average]))</f>
        <v>0</v>
      </c>
      <c r="S570" s="5" cm="1">
        <f t="array" ref="S570">MAX(IF((DiscreteStatsTable[GroupByKey]=DiscreteStatsTable[[#This Row],[GroupByKey]]),(DiscreteStatsTable[GroupByKey]=DiscreteStatsTable[[#This Row],[GroupByKey]])*DiscreteStatsTable[Average]))</f>
        <v>0</v>
      </c>
      <c r="T570" s="5" cm="1">
        <f t="array" ref="T570">MIN(IF((DiscreteStatsTable[GroupByKey]=DiscreteStatsTable[[#This Row],[GroupByKey]]),(DiscreteStatsTable[GroupByKey]=DiscreteStatsTable[[#This Row],[GroupByKey]])*DiscreteStatsTable[Minimum]))</f>
        <v>0</v>
      </c>
      <c r="U570" s="5" cm="1">
        <f t="array" ref="U570">MAX(IF((DiscreteStatsTable[GroupByKey]=DiscreteStatsTable[[#This Row],[GroupByKey]]),(DiscreteStatsTable[GroupByKey]=DiscreteStatsTable[[#This Row],[GroupByKey]])*DiscreteStatsTable[Maximum]))</f>
        <v>0</v>
      </c>
      <c r="V570" s="5" cm="1">
        <f t="array" ref="V570">IFERROR(AVERAGE(IF((DiscreteStatsTable[GroupByKey]=DiscreteStatsTable[[#This Row],[GroupByKey]]),(DiscreteStatsTable[GroupByKey]=DiscreteStatsTable[[#This Row],[GroupByKey]])*DiscreteStatsTable[NumberObservations])),0)</f>
        <v>3</v>
      </c>
      <c r="W570" s="5">
        <f>IF((DiscreteStatsTable[[#This Row],[RepsRequested]]&gt;1),DiscreteStatsTable[[#This Row],[HalfWidth]],DiscreteStatsTable[[#This Row],[BatchMeansHalfWidth]])</f>
        <v>0</v>
      </c>
      <c r="X570" s="5" cm="1">
        <f t="array" ref="X570">COUNT(IF((DiscreteStatsTable[GroupByKey]=DiscreteStatsTable[[#This Row],[GroupByKey]]),(DiscreteStatsTable[GroupByKey]=DiscreteStatsTable[[#This Row],[GroupByKey]])*DiscreteStatsTable[Replication]))</f>
        <v>19</v>
      </c>
      <c r="Y570" s="5">
        <f>IF(DiscreteStatsTable[[#This Row],[RepsRequested]]=DiscreteStatsTable[[#This Row],[RepsWithStatObserved]],1,0)</f>
        <v>1</v>
      </c>
    </row>
    <row r="571" spans="1:25" x14ac:dyDescent="0.25">
      <c r="A571" t="s">
        <v>67</v>
      </c>
      <c r="B571" t="s">
        <v>69</v>
      </c>
      <c r="C571">
        <v>4</v>
      </c>
      <c r="D571" t="s">
        <v>127</v>
      </c>
      <c r="E571" t="s">
        <v>71</v>
      </c>
      <c r="F571" t="s">
        <v>72</v>
      </c>
      <c r="G571">
        <v>0</v>
      </c>
      <c r="H571">
        <v>2E+20</v>
      </c>
      <c r="I571">
        <v>0</v>
      </c>
      <c r="J571">
        <v>0</v>
      </c>
      <c r="K571">
        <v>3</v>
      </c>
      <c r="L57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compartida)relojNVA TimeEntity</v>
      </c>
      <c r="M571" s="5" cm="1">
        <f t="array" ref="M571">MAX(IF((ProjectInfoTable[ProjectName]=DiscreteStatsTable[[#This Row],[ProjectName]]),(ProjectInfoTable[ProjectName]=DiscreteStatsTable[[#This Row],[ProjectName]])*ProjectInfoTable[NumberOfReplications]))</f>
        <v>19</v>
      </c>
      <c r="N571" s="5" cm="1">
        <f t="array" ref="N571">IFERROR(AVERAGE(IF((DiscreteStatsTable[GroupByKey]=DiscreteStatsTable[[#This Row],[GroupByKey]]),(DiscreteStatsTable[GroupByKey]=DiscreteStatsTable[[#This Row],[GroupByKey]])*DiscreteStatsTable[Average])),0)</f>
        <v>0</v>
      </c>
      <c r="O571" s="5" cm="1">
        <f t="array" ref="O571">IFERROR(_xlfn.STDEV.S(IF((DiscreteStatsTable[GroupByKey]=DiscreteStatsTable[[#This Row],[GroupByKey]]),(DiscreteStatsTable[GroupByKey]=DiscreteStatsTable[[#This Row],[GroupByKey]])*DiscreteStatsTable[Average])),0)</f>
        <v>0</v>
      </c>
      <c r="P571" s="5" cm="1">
        <f t="array" ref="P571">MAX(IF((ProjectInfoTable[ProjectName]=DiscreteStatsTable[[#This Row],[ProjectName]]),(ProjectInfoTable[ProjectName]=DiscreteStatsTable[[#This Row],[ProjectName]])*ProjectInfoTable[ConfidenceInterval]))</f>
        <v>0.95</v>
      </c>
      <c r="Q571" s="5">
        <f>IF(AND(DiscreteStatsTable[[#This Row],[RepsWithStatObserved]]=1,Y571=0),200000000000000000000,IFERROR(_xlfn.T.INV.2T(1 -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1" s="5" cm="1">
        <f t="array" ref="R571">MIN(IF((DiscreteStatsTable[GroupByKey]=DiscreteStatsTable[[#This Row],[GroupByKey]]),(DiscreteStatsTable[GroupByKey]=DiscreteStatsTable[[#This Row],[GroupByKey]])*DiscreteStatsTable[Average]))</f>
        <v>0</v>
      </c>
      <c r="S571" s="5" cm="1">
        <f t="array" ref="S571">MAX(IF((DiscreteStatsTable[GroupByKey]=DiscreteStatsTable[[#This Row],[GroupByKey]]),(DiscreteStatsTable[GroupByKey]=DiscreteStatsTable[[#This Row],[GroupByKey]])*DiscreteStatsTable[Average]))</f>
        <v>0</v>
      </c>
      <c r="T571" s="5" cm="1">
        <f t="array" ref="T571">MIN(IF((DiscreteStatsTable[GroupByKey]=DiscreteStatsTable[[#This Row],[GroupByKey]]),(DiscreteStatsTable[GroupByKey]=DiscreteStatsTable[[#This Row],[GroupByKey]])*DiscreteStatsTable[Minimum]))</f>
        <v>0</v>
      </c>
      <c r="U571" s="5" cm="1">
        <f t="array" ref="U571">MAX(IF((DiscreteStatsTable[GroupByKey]=DiscreteStatsTable[[#This Row],[GroupByKey]]),(DiscreteStatsTable[GroupByKey]=DiscreteStatsTable[[#This Row],[GroupByKey]])*DiscreteStatsTable[Maximum]))</f>
        <v>0</v>
      </c>
      <c r="V571" s="5" cm="1">
        <f t="array" ref="V571">IFERROR(AVERAGE(IF((DiscreteStatsTable[GroupByKey]=DiscreteStatsTable[[#This Row],[GroupByKey]]),(DiscreteStatsTable[GroupByKey]=DiscreteStatsTable[[#This Row],[GroupByKey]])*DiscreteStatsTable[NumberObservations])),0)</f>
        <v>3</v>
      </c>
      <c r="W571" s="5">
        <f>IF((DiscreteStatsTable[[#This Row],[RepsRequested]]&gt;1),DiscreteStatsTable[[#This Row],[HalfWidth]],DiscreteStatsTable[[#This Row],[BatchMeansHalfWidth]])</f>
        <v>0</v>
      </c>
      <c r="X571" s="5" cm="1">
        <f t="array" ref="X571">COUNT(IF((DiscreteStatsTable[GroupByKey]=DiscreteStatsTable[[#This Row],[GroupByKey]]),(DiscreteStatsTable[GroupByKey]=DiscreteStatsTable[[#This Row],[GroupByKey]])*DiscreteStatsTable[Replication]))</f>
        <v>19</v>
      </c>
      <c r="Y571" s="5">
        <f>IF(DiscreteStatsTable[[#This Row],[RepsRequested]]=DiscreteStatsTable[[#This Row],[RepsWithStatObserved]],1,0)</f>
        <v>1</v>
      </c>
    </row>
    <row r="572" spans="1:25" x14ac:dyDescent="0.25">
      <c r="A572" t="s">
        <v>67</v>
      </c>
      <c r="B572" t="s">
        <v>69</v>
      </c>
      <c r="C572">
        <v>4</v>
      </c>
      <c r="D572" t="s">
        <v>127</v>
      </c>
      <c r="E572" t="s">
        <v>73</v>
      </c>
      <c r="F572" t="s">
        <v>72</v>
      </c>
      <c r="G572">
        <v>0</v>
      </c>
      <c r="H572">
        <v>2E+20</v>
      </c>
      <c r="I572">
        <v>0</v>
      </c>
      <c r="J572">
        <v>0</v>
      </c>
      <c r="K572">
        <v>3</v>
      </c>
      <c r="L57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compartida)relojOther TimeEntity</v>
      </c>
      <c r="M572" s="5" cm="1">
        <f t="array" ref="M572">MAX(IF((ProjectInfoTable[ProjectName]=DiscreteStatsTable[[#This Row],[ProjectName]]),(ProjectInfoTable[ProjectName]=DiscreteStatsTable[[#This Row],[ProjectName]])*ProjectInfoTable[NumberOfReplications]))</f>
        <v>19</v>
      </c>
      <c r="N572" s="5" cm="1">
        <f t="array" ref="N572">IFERROR(AVERAGE(IF((DiscreteStatsTable[GroupByKey]=DiscreteStatsTable[[#This Row],[GroupByKey]]),(DiscreteStatsTable[GroupByKey]=DiscreteStatsTable[[#This Row],[GroupByKey]])*DiscreteStatsTable[Average])),0)</f>
        <v>0</v>
      </c>
      <c r="O572" s="5" cm="1">
        <f t="array" ref="O572">IFERROR(_xlfn.STDEV.S(IF((DiscreteStatsTable[GroupByKey]=DiscreteStatsTable[[#This Row],[GroupByKey]]),(DiscreteStatsTable[GroupByKey]=DiscreteStatsTable[[#This Row],[GroupByKey]])*DiscreteStatsTable[Average])),0)</f>
        <v>0</v>
      </c>
      <c r="P572" s="5" cm="1">
        <f t="array" ref="P572">MAX(IF((ProjectInfoTable[ProjectName]=DiscreteStatsTable[[#This Row],[ProjectName]]),(ProjectInfoTable[ProjectName]=DiscreteStatsTable[[#This Row],[ProjectName]])*ProjectInfoTable[ConfidenceInterval]))</f>
        <v>0.95</v>
      </c>
      <c r="Q572" s="5">
        <f>IF(AND(DiscreteStatsTable[[#This Row],[RepsWithStatObserved]]=1,Y572=0),200000000000000000000,IFERROR(_xlfn.T.INV.2T(1 -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2" s="5" cm="1">
        <f t="array" ref="R572">MIN(IF((DiscreteStatsTable[GroupByKey]=DiscreteStatsTable[[#This Row],[GroupByKey]]),(DiscreteStatsTable[GroupByKey]=DiscreteStatsTable[[#This Row],[GroupByKey]])*DiscreteStatsTable[Average]))</f>
        <v>0</v>
      </c>
      <c r="S572" s="5" cm="1">
        <f t="array" ref="S572">MAX(IF((DiscreteStatsTable[GroupByKey]=DiscreteStatsTable[[#This Row],[GroupByKey]]),(DiscreteStatsTable[GroupByKey]=DiscreteStatsTable[[#This Row],[GroupByKey]])*DiscreteStatsTable[Average]))</f>
        <v>0</v>
      </c>
      <c r="T572" s="5" cm="1">
        <f t="array" ref="T572">MIN(IF((DiscreteStatsTable[GroupByKey]=DiscreteStatsTable[[#This Row],[GroupByKey]]),(DiscreteStatsTable[GroupByKey]=DiscreteStatsTable[[#This Row],[GroupByKey]])*DiscreteStatsTable[Minimum]))</f>
        <v>0</v>
      </c>
      <c r="U572" s="5" cm="1">
        <f t="array" ref="U572">MAX(IF((DiscreteStatsTable[GroupByKey]=DiscreteStatsTable[[#This Row],[GroupByKey]]),(DiscreteStatsTable[GroupByKey]=DiscreteStatsTable[[#This Row],[GroupByKey]])*DiscreteStatsTable[Maximum]))</f>
        <v>0</v>
      </c>
      <c r="V572" s="5" cm="1">
        <f t="array" ref="V572">IFERROR(AVERAGE(IF((DiscreteStatsTable[GroupByKey]=DiscreteStatsTable[[#This Row],[GroupByKey]]),(DiscreteStatsTable[GroupByKey]=DiscreteStatsTable[[#This Row],[GroupByKey]])*DiscreteStatsTable[NumberObservations])),0)</f>
        <v>3</v>
      </c>
      <c r="W572" s="5">
        <f>IF((DiscreteStatsTable[[#This Row],[RepsRequested]]&gt;1),DiscreteStatsTable[[#This Row],[HalfWidth]],DiscreteStatsTable[[#This Row],[BatchMeansHalfWidth]])</f>
        <v>0</v>
      </c>
      <c r="X572" s="5" cm="1">
        <f t="array" ref="X572">COUNT(IF((DiscreteStatsTable[GroupByKey]=DiscreteStatsTable[[#This Row],[GroupByKey]]),(DiscreteStatsTable[GroupByKey]=DiscreteStatsTable[[#This Row],[GroupByKey]])*DiscreteStatsTable[Replication]))</f>
        <v>19</v>
      </c>
      <c r="Y572" s="5">
        <f>IF(DiscreteStatsTable[[#This Row],[RepsRequested]]=DiscreteStatsTable[[#This Row],[RepsWithStatObserved]],1,0)</f>
        <v>1</v>
      </c>
    </row>
    <row r="573" spans="1:25" x14ac:dyDescent="0.25">
      <c r="A573" t="s">
        <v>67</v>
      </c>
      <c r="B573" t="s">
        <v>69</v>
      </c>
      <c r="C573">
        <v>4</v>
      </c>
      <c r="D573" t="s">
        <v>127</v>
      </c>
      <c r="E573" t="s">
        <v>74</v>
      </c>
      <c r="F573" t="s">
        <v>72</v>
      </c>
      <c r="G573">
        <v>0</v>
      </c>
      <c r="H573">
        <v>2E+20</v>
      </c>
      <c r="I573">
        <v>0</v>
      </c>
      <c r="J573">
        <v>0</v>
      </c>
      <c r="K573">
        <v>3</v>
      </c>
      <c r="L57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compartida)relojTotal TimeEntity</v>
      </c>
      <c r="M573" s="5" cm="1">
        <f t="array" ref="M573">MAX(IF((ProjectInfoTable[ProjectName]=DiscreteStatsTable[[#This Row],[ProjectName]]),(ProjectInfoTable[ProjectName]=DiscreteStatsTable[[#This Row],[ProjectName]])*ProjectInfoTable[NumberOfReplications]))</f>
        <v>19</v>
      </c>
      <c r="N573" s="5" cm="1">
        <f t="array" ref="N573">IFERROR(AVERAGE(IF((DiscreteStatsTable[GroupByKey]=DiscreteStatsTable[[#This Row],[GroupByKey]]),(DiscreteStatsTable[GroupByKey]=DiscreteStatsTable[[#This Row],[GroupByKey]])*DiscreteStatsTable[Average])),0)</f>
        <v>0</v>
      </c>
      <c r="O573" s="5" cm="1">
        <f t="array" ref="O573">IFERROR(_xlfn.STDEV.S(IF((DiscreteStatsTable[GroupByKey]=DiscreteStatsTable[[#This Row],[GroupByKey]]),(DiscreteStatsTable[GroupByKey]=DiscreteStatsTable[[#This Row],[GroupByKey]])*DiscreteStatsTable[Average])),0)</f>
        <v>0</v>
      </c>
      <c r="P573" s="5" cm="1">
        <f t="array" ref="P573">MAX(IF((ProjectInfoTable[ProjectName]=DiscreteStatsTable[[#This Row],[ProjectName]]),(ProjectInfoTable[ProjectName]=DiscreteStatsTable[[#This Row],[ProjectName]])*ProjectInfoTable[ConfidenceInterval]))</f>
        <v>0.95</v>
      </c>
      <c r="Q573" s="5">
        <f>IF(AND(DiscreteStatsTable[[#This Row],[RepsWithStatObserved]]=1,Y573=0),200000000000000000000,IFERROR(_xlfn.T.INV.2T(1 -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3" s="5" cm="1">
        <f t="array" ref="R573">MIN(IF((DiscreteStatsTable[GroupByKey]=DiscreteStatsTable[[#This Row],[GroupByKey]]),(DiscreteStatsTable[GroupByKey]=DiscreteStatsTable[[#This Row],[GroupByKey]])*DiscreteStatsTable[Average]))</f>
        <v>0</v>
      </c>
      <c r="S573" s="5" cm="1">
        <f t="array" ref="S573">MAX(IF((DiscreteStatsTable[GroupByKey]=DiscreteStatsTable[[#This Row],[GroupByKey]]),(DiscreteStatsTable[GroupByKey]=DiscreteStatsTable[[#This Row],[GroupByKey]])*DiscreteStatsTable[Average]))</f>
        <v>0</v>
      </c>
      <c r="T573" s="5" cm="1">
        <f t="array" ref="T573">MIN(IF((DiscreteStatsTable[GroupByKey]=DiscreteStatsTable[[#This Row],[GroupByKey]]),(DiscreteStatsTable[GroupByKey]=DiscreteStatsTable[[#This Row],[GroupByKey]])*DiscreteStatsTable[Minimum]))</f>
        <v>0</v>
      </c>
      <c r="U573" s="5" cm="1">
        <f t="array" ref="U573">MAX(IF((DiscreteStatsTable[GroupByKey]=DiscreteStatsTable[[#This Row],[GroupByKey]]),(DiscreteStatsTable[GroupByKey]=DiscreteStatsTable[[#This Row],[GroupByKey]])*DiscreteStatsTable[Maximum]))</f>
        <v>0</v>
      </c>
      <c r="V573" s="5" cm="1">
        <f t="array" ref="V573">IFERROR(AVERAGE(IF((DiscreteStatsTable[GroupByKey]=DiscreteStatsTable[[#This Row],[GroupByKey]]),(DiscreteStatsTable[GroupByKey]=DiscreteStatsTable[[#This Row],[GroupByKey]])*DiscreteStatsTable[NumberObservations])),0)</f>
        <v>3</v>
      </c>
      <c r="W573" s="5">
        <f>IF((DiscreteStatsTable[[#This Row],[RepsRequested]]&gt;1),DiscreteStatsTable[[#This Row],[HalfWidth]],DiscreteStatsTable[[#This Row],[BatchMeansHalfWidth]])</f>
        <v>0</v>
      </c>
      <c r="X573" s="5" cm="1">
        <f t="array" ref="X573">COUNT(IF((DiscreteStatsTable[GroupByKey]=DiscreteStatsTable[[#This Row],[GroupByKey]]),(DiscreteStatsTable[GroupByKey]=DiscreteStatsTable[[#This Row],[GroupByKey]])*DiscreteStatsTable[Replication]))</f>
        <v>19</v>
      </c>
      <c r="Y573" s="5">
        <f>IF(DiscreteStatsTable[[#This Row],[RepsRequested]]=DiscreteStatsTable[[#This Row],[RepsWithStatObserved]],1,0)</f>
        <v>1</v>
      </c>
    </row>
    <row r="574" spans="1:25" x14ac:dyDescent="0.25">
      <c r="A574" t="s">
        <v>67</v>
      </c>
      <c r="B574" t="s">
        <v>69</v>
      </c>
      <c r="C574">
        <v>4</v>
      </c>
      <c r="D574" t="s">
        <v>127</v>
      </c>
      <c r="E574" t="s">
        <v>75</v>
      </c>
      <c r="F574" t="s">
        <v>72</v>
      </c>
      <c r="G574">
        <v>0</v>
      </c>
      <c r="H574">
        <v>2E+20</v>
      </c>
      <c r="I574">
        <v>0</v>
      </c>
      <c r="J574">
        <v>0</v>
      </c>
      <c r="K574">
        <v>3</v>
      </c>
      <c r="L57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compartida)relojTransfer TimeEntity</v>
      </c>
      <c r="M574" s="5" cm="1">
        <f t="array" ref="M574">MAX(IF((ProjectInfoTable[ProjectName]=DiscreteStatsTable[[#This Row],[ProjectName]]),(ProjectInfoTable[ProjectName]=DiscreteStatsTable[[#This Row],[ProjectName]])*ProjectInfoTable[NumberOfReplications]))</f>
        <v>19</v>
      </c>
      <c r="N574" s="5" cm="1">
        <f t="array" ref="N574">IFERROR(AVERAGE(IF((DiscreteStatsTable[GroupByKey]=DiscreteStatsTable[[#This Row],[GroupByKey]]),(DiscreteStatsTable[GroupByKey]=DiscreteStatsTable[[#This Row],[GroupByKey]])*DiscreteStatsTable[Average])),0)</f>
        <v>0</v>
      </c>
      <c r="O574" s="5" cm="1">
        <f t="array" ref="O574">IFERROR(_xlfn.STDEV.S(IF((DiscreteStatsTable[GroupByKey]=DiscreteStatsTable[[#This Row],[GroupByKey]]),(DiscreteStatsTable[GroupByKey]=DiscreteStatsTable[[#This Row],[GroupByKey]])*DiscreteStatsTable[Average])),0)</f>
        <v>0</v>
      </c>
      <c r="P574" s="5" cm="1">
        <f t="array" ref="P574">MAX(IF((ProjectInfoTable[ProjectName]=DiscreteStatsTable[[#This Row],[ProjectName]]),(ProjectInfoTable[ProjectName]=DiscreteStatsTable[[#This Row],[ProjectName]])*ProjectInfoTable[ConfidenceInterval]))</f>
        <v>0.95</v>
      </c>
      <c r="Q574" s="5">
        <f>IF(AND(DiscreteStatsTable[[#This Row],[RepsWithStatObserved]]=1,Y574=0),200000000000000000000,IFERROR(_xlfn.T.INV.2T(1 -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4" s="5" cm="1">
        <f t="array" ref="R574">MIN(IF((DiscreteStatsTable[GroupByKey]=DiscreteStatsTable[[#This Row],[GroupByKey]]),(DiscreteStatsTable[GroupByKey]=DiscreteStatsTable[[#This Row],[GroupByKey]])*DiscreteStatsTable[Average]))</f>
        <v>0</v>
      </c>
      <c r="S574" s="5" cm="1">
        <f t="array" ref="S574">MAX(IF((DiscreteStatsTable[GroupByKey]=DiscreteStatsTable[[#This Row],[GroupByKey]]),(DiscreteStatsTable[GroupByKey]=DiscreteStatsTable[[#This Row],[GroupByKey]])*DiscreteStatsTable[Average]))</f>
        <v>0</v>
      </c>
      <c r="T574" s="5" cm="1">
        <f t="array" ref="T574">MIN(IF((DiscreteStatsTable[GroupByKey]=DiscreteStatsTable[[#This Row],[GroupByKey]]),(DiscreteStatsTable[GroupByKey]=DiscreteStatsTable[[#This Row],[GroupByKey]])*DiscreteStatsTable[Minimum]))</f>
        <v>0</v>
      </c>
      <c r="U574" s="5" cm="1">
        <f t="array" ref="U574">MAX(IF((DiscreteStatsTable[GroupByKey]=DiscreteStatsTable[[#This Row],[GroupByKey]]),(DiscreteStatsTable[GroupByKey]=DiscreteStatsTable[[#This Row],[GroupByKey]])*DiscreteStatsTable[Maximum]))</f>
        <v>0</v>
      </c>
      <c r="V574" s="5" cm="1">
        <f t="array" ref="V574">IFERROR(AVERAGE(IF((DiscreteStatsTable[GroupByKey]=DiscreteStatsTable[[#This Row],[GroupByKey]]),(DiscreteStatsTable[GroupByKey]=DiscreteStatsTable[[#This Row],[GroupByKey]])*DiscreteStatsTable[NumberObservations])),0)</f>
        <v>3</v>
      </c>
      <c r="W574" s="5">
        <f>IF((DiscreteStatsTable[[#This Row],[RepsRequested]]&gt;1),DiscreteStatsTable[[#This Row],[HalfWidth]],DiscreteStatsTable[[#This Row],[BatchMeansHalfWidth]])</f>
        <v>0</v>
      </c>
      <c r="X574" s="5" cm="1">
        <f t="array" ref="X574">COUNT(IF((DiscreteStatsTable[GroupByKey]=DiscreteStatsTable[[#This Row],[GroupByKey]]),(DiscreteStatsTable[GroupByKey]=DiscreteStatsTable[[#This Row],[GroupByKey]])*DiscreteStatsTable[Replication]))</f>
        <v>19</v>
      </c>
      <c r="Y574" s="5">
        <f>IF(DiscreteStatsTable[[#This Row],[RepsRequested]]=DiscreteStatsTable[[#This Row],[RepsWithStatObserved]],1,0)</f>
        <v>1</v>
      </c>
    </row>
    <row r="575" spans="1:25" x14ac:dyDescent="0.25">
      <c r="A575" t="s">
        <v>67</v>
      </c>
      <c r="B575" t="s">
        <v>69</v>
      </c>
      <c r="C575">
        <v>4</v>
      </c>
      <c r="D575" t="s">
        <v>127</v>
      </c>
      <c r="E575" t="s">
        <v>76</v>
      </c>
      <c r="F575" t="s">
        <v>72</v>
      </c>
      <c r="G575">
        <v>0</v>
      </c>
      <c r="H575">
        <v>2E+20</v>
      </c>
      <c r="I575">
        <v>0</v>
      </c>
      <c r="J575">
        <v>0</v>
      </c>
      <c r="K575">
        <v>3</v>
      </c>
      <c r="L57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compartida)relojVA TimeEntity</v>
      </c>
      <c r="M575" s="5" cm="1">
        <f t="array" ref="M575">MAX(IF((ProjectInfoTable[ProjectName]=DiscreteStatsTable[[#This Row],[ProjectName]]),(ProjectInfoTable[ProjectName]=DiscreteStatsTable[[#This Row],[ProjectName]])*ProjectInfoTable[NumberOfReplications]))</f>
        <v>19</v>
      </c>
      <c r="N575" s="5" cm="1">
        <f t="array" ref="N575">IFERROR(AVERAGE(IF((DiscreteStatsTable[GroupByKey]=DiscreteStatsTable[[#This Row],[GroupByKey]]),(DiscreteStatsTable[GroupByKey]=DiscreteStatsTable[[#This Row],[GroupByKey]])*DiscreteStatsTable[Average])),0)</f>
        <v>0</v>
      </c>
      <c r="O575" s="5" cm="1">
        <f t="array" ref="O575">IFERROR(_xlfn.STDEV.S(IF((DiscreteStatsTable[GroupByKey]=DiscreteStatsTable[[#This Row],[GroupByKey]]),(DiscreteStatsTable[GroupByKey]=DiscreteStatsTable[[#This Row],[GroupByKey]])*DiscreteStatsTable[Average])),0)</f>
        <v>0</v>
      </c>
      <c r="P575" s="5" cm="1">
        <f t="array" ref="P575">MAX(IF((ProjectInfoTable[ProjectName]=DiscreteStatsTable[[#This Row],[ProjectName]]),(ProjectInfoTable[ProjectName]=DiscreteStatsTable[[#This Row],[ProjectName]])*ProjectInfoTable[ConfidenceInterval]))</f>
        <v>0.95</v>
      </c>
      <c r="Q575" s="5">
        <f>IF(AND(DiscreteStatsTable[[#This Row],[RepsWithStatObserved]]=1,Y575=0),200000000000000000000,IFERROR(_xlfn.T.INV.2T(1 -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5" s="5" cm="1">
        <f t="array" ref="R575">MIN(IF((DiscreteStatsTable[GroupByKey]=DiscreteStatsTable[[#This Row],[GroupByKey]]),(DiscreteStatsTable[GroupByKey]=DiscreteStatsTable[[#This Row],[GroupByKey]])*DiscreteStatsTable[Average]))</f>
        <v>0</v>
      </c>
      <c r="S575" s="5" cm="1">
        <f t="array" ref="S575">MAX(IF((DiscreteStatsTable[GroupByKey]=DiscreteStatsTable[[#This Row],[GroupByKey]]),(DiscreteStatsTable[GroupByKey]=DiscreteStatsTable[[#This Row],[GroupByKey]])*DiscreteStatsTable[Average]))</f>
        <v>0</v>
      </c>
      <c r="T575" s="5" cm="1">
        <f t="array" ref="T575">MIN(IF((DiscreteStatsTable[GroupByKey]=DiscreteStatsTable[[#This Row],[GroupByKey]]),(DiscreteStatsTable[GroupByKey]=DiscreteStatsTable[[#This Row],[GroupByKey]])*DiscreteStatsTable[Minimum]))</f>
        <v>0</v>
      </c>
      <c r="U575" s="5" cm="1">
        <f t="array" ref="U575">MAX(IF((DiscreteStatsTable[GroupByKey]=DiscreteStatsTable[[#This Row],[GroupByKey]]),(DiscreteStatsTable[GroupByKey]=DiscreteStatsTable[[#This Row],[GroupByKey]])*DiscreteStatsTable[Maximum]))</f>
        <v>0</v>
      </c>
      <c r="V575" s="5" cm="1">
        <f t="array" ref="V575">IFERROR(AVERAGE(IF((DiscreteStatsTable[GroupByKey]=DiscreteStatsTable[[#This Row],[GroupByKey]]),(DiscreteStatsTable[GroupByKey]=DiscreteStatsTable[[#This Row],[GroupByKey]])*DiscreteStatsTable[NumberObservations])),0)</f>
        <v>3</v>
      </c>
      <c r="W575" s="5">
        <f>IF((DiscreteStatsTable[[#This Row],[RepsRequested]]&gt;1),DiscreteStatsTable[[#This Row],[HalfWidth]],DiscreteStatsTable[[#This Row],[BatchMeansHalfWidth]])</f>
        <v>0</v>
      </c>
      <c r="X575" s="5" cm="1">
        <f t="array" ref="X575">COUNT(IF((DiscreteStatsTable[GroupByKey]=DiscreteStatsTable[[#This Row],[GroupByKey]]),(DiscreteStatsTable[GroupByKey]=DiscreteStatsTable[[#This Row],[GroupByKey]])*DiscreteStatsTable[Replication]))</f>
        <v>19</v>
      </c>
      <c r="Y575" s="5">
        <f>IF(DiscreteStatsTable[[#This Row],[RepsRequested]]=DiscreteStatsTable[[#This Row],[RepsWithStatObserved]],1,0)</f>
        <v>1</v>
      </c>
    </row>
    <row r="576" spans="1:25" x14ac:dyDescent="0.25">
      <c r="A576" t="s">
        <v>67</v>
      </c>
      <c r="B576" t="s">
        <v>69</v>
      </c>
      <c r="C576">
        <v>4</v>
      </c>
      <c r="D576" t="s">
        <v>127</v>
      </c>
      <c r="E576" t="s">
        <v>77</v>
      </c>
      <c r="F576" t="s">
        <v>72</v>
      </c>
      <c r="G576">
        <v>0</v>
      </c>
      <c r="H576">
        <v>2E+20</v>
      </c>
      <c r="I576">
        <v>0</v>
      </c>
      <c r="J576">
        <v>0</v>
      </c>
      <c r="K576">
        <v>3</v>
      </c>
      <c r="L57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compartida)relojWait TimeEntity</v>
      </c>
      <c r="M576" s="5" cm="1">
        <f t="array" ref="M576">MAX(IF((ProjectInfoTable[ProjectName]=DiscreteStatsTable[[#This Row],[ProjectName]]),(ProjectInfoTable[ProjectName]=DiscreteStatsTable[[#This Row],[ProjectName]])*ProjectInfoTable[NumberOfReplications]))</f>
        <v>19</v>
      </c>
      <c r="N576" s="5" cm="1">
        <f t="array" ref="N576">IFERROR(AVERAGE(IF((DiscreteStatsTable[GroupByKey]=DiscreteStatsTable[[#This Row],[GroupByKey]]),(DiscreteStatsTable[GroupByKey]=DiscreteStatsTable[[#This Row],[GroupByKey]])*DiscreteStatsTable[Average])),0)</f>
        <v>0</v>
      </c>
      <c r="O576" s="5" cm="1">
        <f t="array" ref="O576">IFERROR(_xlfn.STDEV.S(IF((DiscreteStatsTable[GroupByKey]=DiscreteStatsTable[[#This Row],[GroupByKey]]),(DiscreteStatsTable[GroupByKey]=DiscreteStatsTable[[#This Row],[GroupByKey]])*DiscreteStatsTable[Average])),0)</f>
        <v>0</v>
      </c>
      <c r="P576" s="5" cm="1">
        <f t="array" ref="P576">MAX(IF((ProjectInfoTable[ProjectName]=DiscreteStatsTable[[#This Row],[ProjectName]]),(ProjectInfoTable[ProjectName]=DiscreteStatsTable[[#This Row],[ProjectName]])*ProjectInfoTable[ConfidenceInterval]))</f>
        <v>0.95</v>
      </c>
      <c r="Q576" s="5">
        <f>IF(AND(DiscreteStatsTable[[#This Row],[RepsWithStatObserved]]=1,Y576=0),200000000000000000000,IFERROR(_xlfn.T.INV.2T(1 -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6" s="5" cm="1">
        <f t="array" ref="R576">MIN(IF((DiscreteStatsTable[GroupByKey]=DiscreteStatsTable[[#This Row],[GroupByKey]]),(DiscreteStatsTable[GroupByKey]=DiscreteStatsTable[[#This Row],[GroupByKey]])*DiscreteStatsTable[Average]))</f>
        <v>0</v>
      </c>
      <c r="S576" s="5" cm="1">
        <f t="array" ref="S576">MAX(IF((DiscreteStatsTable[GroupByKey]=DiscreteStatsTable[[#This Row],[GroupByKey]]),(DiscreteStatsTable[GroupByKey]=DiscreteStatsTable[[#This Row],[GroupByKey]])*DiscreteStatsTable[Average]))</f>
        <v>0</v>
      </c>
      <c r="T576" s="5" cm="1">
        <f t="array" ref="T576">MIN(IF((DiscreteStatsTable[GroupByKey]=DiscreteStatsTable[[#This Row],[GroupByKey]]),(DiscreteStatsTable[GroupByKey]=DiscreteStatsTable[[#This Row],[GroupByKey]])*DiscreteStatsTable[Minimum]))</f>
        <v>0</v>
      </c>
      <c r="U576" s="5" cm="1">
        <f t="array" ref="U576">MAX(IF((DiscreteStatsTable[GroupByKey]=DiscreteStatsTable[[#This Row],[GroupByKey]]),(DiscreteStatsTable[GroupByKey]=DiscreteStatsTable[[#This Row],[GroupByKey]])*DiscreteStatsTable[Maximum]))</f>
        <v>0</v>
      </c>
      <c r="V576" s="5" cm="1">
        <f t="array" ref="V576">IFERROR(AVERAGE(IF((DiscreteStatsTable[GroupByKey]=DiscreteStatsTable[[#This Row],[GroupByKey]]),(DiscreteStatsTable[GroupByKey]=DiscreteStatsTable[[#This Row],[GroupByKey]])*DiscreteStatsTable[NumberObservations])),0)</f>
        <v>3</v>
      </c>
      <c r="W576" s="5">
        <f>IF((DiscreteStatsTable[[#This Row],[RepsRequested]]&gt;1),DiscreteStatsTable[[#This Row],[HalfWidth]],DiscreteStatsTable[[#This Row],[BatchMeansHalfWidth]])</f>
        <v>0</v>
      </c>
      <c r="X576" s="5" cm="1">
        <f t="array" ref="X576">COUNT(IF((DiscreteStatsTable[GroupByKey]=DiscreteStatsTable[[#This Row],[GroupByKey]]),(DiscreteStatsTable[GroupByKey]=DiscreteStatsTable[[#This Row],[GroupByKey]])*DiscreteStatsTable[Replication]))</f>
        <v>19</v>
      </c>
      <c r="Y576" s="5">
        <f>IF(DiscreteStatsTable[[#This Row],[RepsRequested]]=DiscreteStatsTable[[#This Row],[RepsWithStatObserved]],1,0)</f>
        <v>1</v>
      </c>
    </row>
    <row r="577" spans="1:25" x14ac:dyDescent="0.25">
      <c r="A577" t="s">
        <v>67</v>
      </c>
      <c r="B577" t="s">
        <v>69</v>
      </c>
      <c r="C577">
        <v>5</v>
      </c>
      <c r="D577" t="s">
        <v>127</v>
      </c>
      <c r="E577" t="s">
        <v>71</v>
      </c>
      <c r="F577" t="s">
        <v>72</v>
      </c>
      <c r="G577">
        <v>0</v>
      </c>
      <c r="H577">
        <v>2E+20</v>
      </c>
      <c r="I577">
        <v>0</v>
      </c>
      <c r="J577">
        <v>0</v>
      </c>
      <c r="K577">
        <v>3</v>
      </c>
      <c r="L57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compartida)relojNVA TimeEntity</v>
      </c>
      <c r="M577" s="5" cm="1">
        <f t="array" ref="M577">MAX(IF((ProjectInfoTable[ProjectName]=DiscreteStatsTable[[#This Row],[ProjectName]]),(ProjectInfoTable[ProjectName]=DiscreteStatsTable[[#This Row],[ProjectName]])*ProjectInfoTable[NumberOfReplications]))</f>
        <v>19</v>
      </c>
      <c r="N577" s="5" cm="1">
        <f t="array" ref="N577">IFERROR(AVERAGE(IF((DiscreteStatsTable[GroupByKey]=DiscreteStatsTable[[#This Row],[GroupByKey]]),(DiscreteStatsTable[GroupByKey]=DiscreteStatsTable[[#This Row],[GroupByKey]])*DiscreteStatsTable[Average])),0)</f>
        <v>0</v>
      </c>
      <c r="O577" s="5" cm="1">
        <f t="array" ref="O577">IFERROR(_xlfn.STDEV.S(IF((DiscreteStatsTable[GroupByKey]=DiscreteStatsTable[[#This Row],[GroupByKey]]),(DiscreteStatsTable[GroupByKey]=DiscreteStatsTable[[#This Row],[GroupByKey]])*DiscreteStatsTable[Average])),0)</f>
        <v>0</v>
      </c>
      <c r="P577" s="5" cm="1">
        <f t="array" ref="P577">MAX(IF((ProjectInfoTable[ProjectName]=DiscreteStatsTable[[#This Row],[ProjectName]]),(ProjectInfoTable[ProjectName]=DiscreteStatsTable[[#This Row],[ProjectName]])*ProjectInfoTable[ConfidenceInterval]))</f>
        <v>0.95</v>
      </c>
      <c r="Q577" s="5">
        <f>IF(AND(DiscreteStatsTable[[#This Row],[RepsWithStatObserved]]=1,Y577=0),200000000000000000000,IFERROR(_xlfn.T.INV.2T(1 -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7" s="5" cm="1">
        <f t="array" ref="R577">MIN(IF((DiscreteStatsTable[GroupByKey]=DiscreteStatsTable[[#This Row],[GroupByKey]]),(DiscreteStatsTable[GroupByKey]=DiscreteStatsTable[[#This Row],[GroupByKey]])*DiscreteStatsTable[Average]))</f>
        <v>0</v>
      </c>
      <c r="S577" s="5" cm="1">
        <f t="array" ref="S577">MAX(IF((DiscreteStatsTable[GroupByKey]=DiscreteStatsTable[[#This Row],[GroupByKey]]),(DiscreteStatsTable[GroupByKey]=DiscreteStatsTable[[#This Row],[GroupByKey]])*DiscreteStatsTable[Average]))</f>
        <v>0</v>
      </c>
      <c r="T577" s="5" cm="1">
        <f t="array" ref="T577">MIN(IF((DiscreteStatsTable[GroupByKey]=DiscreteStatsTable[[#This Row],[GroupByKey]]),(DiscreteStatsTable[GroupByKey]=DiscreteStatsTable[[#This Row],[GroupByKey]])*DiscreteStatsTable[Minimum]))</f>
        <v>0</v>
      </c>
      <c r="U577" s="5" cm="1">
        <f t="array" ref="U577">MAX(IF((DiscreteStatsTable[GroupByKey]=DiscreteStatsTable[[#This Row],[GroupByKey]]),(DiscreteStatsTable[GroupByKey]=DiscreteStatsTable[[#This Row],[GroupByKey]])*DiscreteStatsTable[Maximum]))</f>
        <v>0</v>
      </c>
      <c r="V577" s="5" cm="1">
        <f t="array" ref="V577">IFERROR(AVERAGE(IF((DiscreteStatsTable[GroupByKey]=DiscreteStatsTable[[#This Row],[GroupByKey]]),(DiscreteStatsTable[GroupByKey]=DiscreteStatsTable[[#This Row],[GroupByKey]])*DiscreteStatsTable[NumberObservations])),0)</f>
        <v>3</v>
      </c>
      <c r="W577" s="5">
        <f>IF((DiscreteStatsTable[[#This Row],[RepsRequested]]&gt;1),DiscreteStatsTable[[#This Row],[HalfWidth]],DiscreteStatsTable[[#This Row],[BatchMeansHalfWidth]])</f>
        <v>0</v>
      </c>
      <c r="X577" s="5" cm="1">
        <f t="array" ref="X577">COUNT(IF((DiscreteStatsTable[GroupByKey]=DiscreteStatsTable[[#This Row],[GroupByKey]]),(DiscreteStatsTable[GroupByKey]=DiscreteStatsTable[[#This Row],[GroupByKey]])*DiscreteStatsTable[Replication]))</f>
        <v>19</v>
      </c>
      <c r="Y577" s="5">
        <f>IF(DiscreteStatsTable[[#This Row],[RepsRequested]]=DiscreteStatsTable[[#This Row],[RepsWithStatObserved]],1,0)</f>
        <v>1</v>
      </c>
    </row>
    <row r="578" spans="1:25" x14ac:dyDescent="0.25">
      <c r="A578" t="s">
        <v>67</v>
      </c>
      <c r="B578" t="s">
        <v>69</v>
      </c>
      <c r="C578">
        <v>5</v>
      </c>
      <c r="D578" t="s">
        <v>127</v>
      </c>
      <c r="E578" t="s">
        <v>73</v>
      </c>
      <c r="F578" t="s">
        <v>72</v>
      </c>
      <c r="G578">
        <v>0</v>
      </c>
      <c r="H578">
        <v>2E+20</v>
      </c>
      <c r="I578">
        <v>0</v>
      </c>
      <c r="J578">
        <v>0</v>
      </c>
      <c r="K578">
        <v>3</v>
      </c>
      <c r="L57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compartida)relojOther TimeEntity</v>
      </c>
      <c r="M578" s="5" cm="1">
        <f t="array" ref="M578">MAX(IF((ProjectInfoTable[ProjectName]=DiscreteStatsTable[[#This Row],[ProjectName]]),(ProjectInfoTable[ProjectName]=DiscreteStatsTable[[#This Row],[ProjectName]])*ProjectInfoTable[NumberOfReplications]))</f>
        <v>19</v>
      </c>
      <c r="N578" s="5" cm="1">
        <f t="array" ref="N578">IFERROR(AVERAGE(IF((DiscreteStatsTable[GroupByKey]=DiscreteStatsTable[[#This Row],[GroupByKey]]),(DiscreteStatsTable[GroupByKey]=DiscreteStatsTable[[#This Row],[GroupByKey]])*DiscreteStatsTable[Average])),0)</f>
        <v>0</v>
      </c>
      <c r="O578" s="5" cm="1">
        <f t="array" ref="O578">IFERROR(_xlfn.STDEV.S(IF((DiscreteStatsTable[GroupByKey]=DiscreteStatsTable[[#This Row],[GroupByKey]]),(DiscreteStatsTable[GroupByKey]=DiscreteStatsTable[[#This Row],[GroupByKey]])*DiscreteStatsTable[Average])),0)</f>
        <v>0</v>
      </c>
      <c r="P578" s="5" cm="1">
        <f t="array" ref="P578">MAX(IF((ProjectInfoTable[ProjectName]=DiscreteStatsTable[[#This Row],[ProjectName]]),(ProjectInfoTable[ProjectName]=DiscreteStatsTable[[#This Row],[ProjectName]])*ProjectInfoTable[ConfidenceInterval]))</f>
        <v>0.95</v>
      </c>
      <c r="Q578" s="5">
        <f>IF(AND(DiscreteStatsTable[[#This Row],[RepsWithStatObserved]]=1,Y578=0),200000000000000000000,IFERROR(_xlfn.T.INV.2T(1 -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8" s="5" cm="1">
        <f t="array" ref="R578">MIN(IF((DiscreteStatsTable[GroupByKey]=DiscreteStatsTable[[#This Row],[GroupByKey]]),(DiscreteStatsTable[GroupByKey]=DiscreteStatsTable[[#This Row],[GroupByKey]])*DiscreteStatsTable[Average]))</f>
        <v>0</v>
      </c>
      <c r="S578" s="5" cm="1">
        <f t="array" ref="S578">MAX(IF((DiscreteStatsTable[GroupByKey]=DiscreteStatsTable[[#This Row],[GroupByKey]]),(DiscreteStatsTable[GroupByKey]=DiscreteStatsTable[[#This Row],[GroupByKey]])*DiscreteStatsTable[Average]))</f>
        <v>0</v>
      </c>
      <c r="T578" s="5" cm="1">
        <f t="array" ref="T578">MIN(IF((DiscreteStatsTable[GroupByKey]=DiscreteStatsTable[[#This Row],[GroupByKey]]),(DiscreteStatsTable[GroupByKey]=DiscreteStatsTable[[#This Row],[GroupByKey]])*DiscreteStatsTable[Minimum]))</f>
        <v>0</v>
      </c>
      <c r="U578" s="5" cm="1">
        <f t="array" ref="U578">MAX(IF((DiscreteStatsTable[GroupByKey]=DiscreteStatsTable[[#This Row],[GroupByKey]]),(DiscreteStatsTable[GroupByKey]=DiscreteStatsTable[[#This Row],[GroupByKey]])*DiscreteStatsTable[Maximum]))</f>
        <v>0</v>
      </c>
      <c r="V578" s="5" cm="1">
        <f t="array" ref="V578">IFERROR(AVERAGE(IF((DiscreteStatsTable[GroupByKey]=DiscreteStatsTable[[#This Row],[GroupByKey]]),(DiscreteStatsTable[GroupByKey]=DiscreteStatsTable[[#This Row],[GroupByKey]])*DiscreteStatsTable[NumberObservations])),0)</f>
        <v>3</v>
      </c>
      <c r="W578" s="5">
        <f>IF((DiscreteStatsTable[[#This Row],[RepsRequested]]&gt;1),DiscreteStatsTable[[#This Row],[HalfWidth]],DiscreteStatsTable[[#This Row],[BatchMeansHalfWidth]])</f>
        <v>0</v>
      </c>
      <c r="X578" s="5" cm="1">
        <f t="array" ref="X578">COUNT(IF((DiscreteStatsTable[GroupByKey]=DiscreteStatsTable[[#This Row],[GroupByKey]]),(DiscreteStatsTable[GroupByKey]=DiscreteStatsTable[[#This Row],[GroupByKey]])*DiscreteStatsTable[Replication]))</f>
        <v>19</v>
      </c>
      <c r="Y578" s="5">
        <f>IF(DiscreteStatsTable[[#This Row],[RepsRequested]]=DiscreteStatsTable[[#This Row],[RepsWithStatObserved]],1,0)</f>
        <v>1</v>
      </c>
    </row>
    <row r="579" spans="1:25" x14ac:dyDescent="0.25">
      <c r="A579" t="s">
        <v>67</v>
      </c>
      <c r="B579" t="s">
        <v>69</v>
      </c>
      <c r="C579">
        <v>5</v>
      </c>
      <c r="D579" t="s">
        <v>127</v>
      </c>
      <c r="E579" t="s">
        <v>74</v>
      </c>
      <c r="F579" t="s">
        <v>72</v>
      </c>
      <c r="G579">
        <v>0</v>
      </c>
      <c r="H579">
        <v>2E+20</v>
      </c>
      <c r="I579">
        <v>0</v>
      </c>
      <c r="J579">
        <v>0</v>
      </c>
      <c r="K579">
        <v>3</v>
      </c>
      <c r="L57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compartida)relojTotal TimeEntity</v>
      </c>
      <c r="M579" s="5" cm="1">
        <f t="array" ref="M579">MAX(IF((ProjectInfoTable[ProjectName]=DiscreteStatsTable[[#This Row],[ProjectName]]),(ProjectInfoTable[ProjectName]=DiscreteStatsTable[[#This Row],[ProjectName]])*ProjectInfoTable[NumberOfReplications]))</f>
        <v>19</v>
      </c>
      <c r="N579" s="5" cm="1">
        <f t="array" ref="N579">IFERROR(AVERAGE(IF((DiscreteStatsTable[GroupByKey]=DiscreteStatsTable[[#This Row],[GroupByKey]]),(DiscreteStatsTable[GroupByKey]=DiscreteStatsTable[[#This Row],[GroupByKey]])*DiscreteStatsTable[Average])),0)</f>
        <v>0</v>
      </c>
      <c r="O579" s="5" cm="1">
        <f t="array" ref="O579">IFERROR(_xlfn.STDEV.S(IF((DiscreteStatsTable[GroupByKey]=DiscreteStatsTable[[#This Row],[GroupByKey]]),(DiscreteStatsTable[GroupByKey]=DiscreteStatsTable[[#This Row],[GroupByKey]])*DiscreteStatsTable[Average])),0)</f>
        <v>0</v>
      </c>
      <c r="P579" s="5" cm="1">
        <f t="array" ref="P579">MAX(IF((ProjectInfoTable[ProjectName]=DiscreteStatsTable[[#This Row],[ProjectName]]),(ProjectInfoTable[ProjectName]=DiscreteStatsTable[[#This Row],[ProjectName]])*ProjectInfoTable[ConfidenceInterval]))</f>
        <v>0.95</v>
      </c>
      <c r="Q579" s="5">
        <f>IF(AND(DiscreteStatsTable[[#This Row],[RepsWithStatObserved]]=1,Y579=0),200000000000000000000,IFERROR(_xlfn.T.INV.2T(1 -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9" s="5" cm="1">
        <f t="array" ref="R579">MIN(IF((DiscreteStatsTable[GroupByKey]=DiscreteStatsTable[[#This Row],[GroupByKey]]),(DiscreteStatsTable[GroupByKey]=DiscreteStatsTable[[#This Row],[GroupByKey]])*DiscreteStatsTable[Average]))</f>
        <v>0</v>
      </c>
      <c r="S579" s="5" cm="1">
        <f t="array" ref="S579">MAX(IF((DiscreteStatsTable[GroupByKey]=DiscreteStatsTable[[#This Row],[GroupByKey]]),(DiscreteStatsTable[GroupByKey]=DiscreteStatsTable[[#This Row],[GroupByKey]])*DiscreteStatsTable[Average]))</f>
        <v>0</v>
      </c>
      <c r="T579" s="5" cm="1">
        <f t="array" ref="T579">MIN(IF((DiscreteStatsTable[GroupByKey]=DiscreteStatsTable[[#This Row],[GroupByKey]]),(DiscreteStatsTable[GroupByKey]=DiscreteStatsTable[[#This Row],[GroupByKey]])*DiscreteStatsTable[Minimum]))</f>
        <v>0</v>
      </c>
      <c r="U579" s="5" cm="1">
        <f t="array" ref="U579">MAX(IF((DiscreteStatsTable[GroupByKey]=DiscreteStatsTable[[#This Row],[GroupByKey]]),(DiscreteStatsTable[GroupByKey]=DiscreteStatsTable[[#This Row],[GroupByKey]])*DiscreteStatsTable[Maximum]))</f>
        <v>0</v>
      </c>
      <c r="V579" s="5" cm="1">
        <f t="array" ref="V579">IFERROR(AVERAGE(IF((DiscreteStatsTable[GroupByKey]=DiscreteStatsTable[[#This Row],[GroupByKey]]),(DiscreteStatsTable[GroupByKey]=DiscreteStatsTable[[#This Row],[GroupByKey]])*DiscreteStatsTable[NumberObservations])),0)</f>
        <v>3</v>
      </c>
      <c r="W579" s="5">
        <f>IF((DiscreteStatsTable[[#This Row],[RepsRequested]]&gt;1),DiscreteStatsTable[[#This Row],[HalfWidth]],DiscreteStatsTable[[#This Row],[BatchMeansHalfWidth]])</f>
        <v>0</v>
      </c>
      <c r="X579" s="5" cm="1">
        <f t="array" ref="X579">COUNT(IF((DiscreteStatsTable[GroupByKey]=DiscreteStatsTable[[#This Row],[GroupByKey]]),(DiscreteStatsTable[GroupByKey]=DiscreteStatsTable[[#This Row],[GroupByKey]])*DiscreteStatsTable[Replication]))</f>
        <v>19</v>
      </c>
      <c r="Y579" s="5">
        <f>IF(DiscreteStatsTable[[#This Row],[RepsRequested]]=DiscreteStatsTable[[#This Row],[RepsWithStatObserved]],1,0)</f>
        <v>1</v>
      </c>
    </row>
    <row r="580" spans="1:25" x14ac:dyDescent="0.25">
      <c r="A580" t="s">
        <v>67</v>
      </c>
      <c r="B580" t="s">
        <v>69</v>
      </c>
      <c r="C580">
        <v>5</v>
      </c>
      <c r="D580" t="s">
        <v>127</v>
      </c>
      <c r="E580" t="s">
        <v>75</v>
      </c>
      <c r="F580" t="s">
        <v>72</v>
      </c>
      <c r="G580">
        <v>0</v>
      </c>
      <c r="H580">
        <v>2E+20</v>
      </c>
      <c r="I580">
        <v>0</v>
      </c>
      <c r="J580">
        <v>0</v>
      </c>
      <c r="K580">
        <v>3</v>
      </c>
      <c r="L58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compartida)relojTransfer TimeEntity</v>
      </c>
      <c r="M580" s="5" cm="1">
        <f t="array" ref="M580">MAX(IF((ProjectInfoTable[ProjectName]=DiscreteStatsTable[[#This Row],[ProjectName]]),(ProjectInfoTable[ProjectName]=DiscreteStatsTable[[#This Row],[ProjectName]])*ProjectInfoTable[NumberOfReplications]))</f>
        <v>19</v>
      </c>
      <c r="N580" s="5" cm="1">
        <f t="array" ref="N580">IFERROR(AVERAGE(IF((DiscreteStatsTable[GroupByKey]=DiscreteStatsTable[[#This Row],[GroupByKey]]),(DiscreteStatsTable[GroupByKey]=DiscreteStatsTable[[#This Row],[GroupByKey]])*DiscreteStatsTable[Average])),0)</f>
        <v>0</v>
      </c>
      <c r="O580" s="5" cm="1">
        <f t="array" ref="O580">IFERROR(_xlfn.STDEV.S(IF((DiscreteStatsTable[GroupByKey]=DiscreteStatsTable[[#This Row],[GroupByKey]]),(DiscreteStatsTable[GroupByKey]=DiscreteStatsTable[[#This Row],[GroupByKey]])*DiscreteStatsTable[Average])),0)</f>
        <v>0</v>
      </c>
      <c r="P580" s="5" cm="1">
        <f t="array" ref="P580">MAX(IF((ProjectInfoTable[ProjectName]=DiscreteStatsTable[[#This Row],[ProjectName]]),(ProjectInfoTable[ProjectName]=DiscreteStatsTable[[#This Row],[ProjectName]])*ProjectInfoTable[ConfidenceInterval]))</f>
        <v>0.95</v>
      </c>
      <c r="Q580" s="5">
        <f>IF(AND(DiscreteStatsTable[[#This Row],[RepsWithStatObserved]]=1,Y580=0),200000000000000000000,IFERROR(_xlfn.T.INV.2T(1 -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0" s="5" cm="1">
        <f t="array" ref="R580">MIN(IF((DiscreteStatsTable[GroupByKey]=DiscreteStatsTable[[#This Row],[GroupByKey]]),(DiscreteStatsTable[GroupByKey]=DiscreteStatsTable[[#This Row],[GroupByKey]])*DiscreteStatsTable[Average]))</f>
        <v>0</v>
      </c>
      <c r="S580" s="5" cm="1">
        <f t="array" ref="S580">MAX(IF((DiscreteStatsTable[GroupByKey]=DiscreteStatsTable[[#This Row],[GroupByKey]]),(DiscreteStatsTable[GroupByKey]=DiscreteStatsTable[[#This Row],[GroupByKey]])*DiscreteStatsTable[Average]))</f>
        <v>0</v>
      </c>
      <c r="T580" s="5" cm="1">
        <f t="array" ref="T580">MIN(IF((DiscreteStatsTable[GroupByKey]=DiscreteStatsTable[[#This Row],[GroupByKey]]),(DiscreteStatsTable[GroupByKey]=DiscreteStatsTable[[#This Row],[GroupByKey]])*DiscreteStatsTable[Minimum]))</f>
        <v>0</v>
      </c>
      <c r="U580" s="5" cm="1">
        <f t="array" ref="U580">MAX(IF((DiscreteStatsTable[GroupByKey]=DiscreteStatsTable[[#This Row],[GroupByKey]]),(DiscreteStatsTable[GroupByKey]=DiscreteStatsTable[[#This Row],[GroupByKey]])*DiscreteStatsTable[Maximum]))</f>
        <v>0</v>
      </c>
      <c r="V580" s="5" cm="1">
        <f t="array" ref="V580">IFERROR(AVERAGE(IF((DiscreteStatsTable[GroupByKey]=DiscreteStatsTable[[#This Row],[GroupByKey]]),(DiscreteStatsTable[GroupByKey]=DiscreteStatsTable[[#This Row],[GroupByKey]])*DiscreteStatsTable[NumberObservations])),0)</f>
        <v>3</v>
      </c>
      <c r="W580" s="5">
        <f>IF((DiscreteStatsTable[[#This Row],[RepsRequested]]&gt;1),DiscreteStatsTable[[#This Row],[HalfWidth]],DiscreteStatsTable[[#This Row],[BatchMeansHalfWidth]])</f>
        <v>0</v>
      </c>
      <c r="X580" s="5" cm="1">
        <f t="array" ref="X580">COUNT(IF((DiscreteStatsTable[GroupByKey]=DiscreteStatsTable[[#This Row],[GroupByKey]]),(DiscreteStatsTable[GroupByKey]=DiscreteStatsTable[[#This Row],[GroupByKey]])*DiscreteStatsTable[Replication]))</f>
        <v>19</v>
      </c>
      <c r="Y580" s="5">
        <f>IF(DiscreteStatsTable[[#This Row],[RepsRequested]]=DiscreteStatsTable[[#This Row],[RepsWithStatObserved]],1,0)</f>
        <v>1</v>
      </c>
    </row>
    <row r="581" spans="1:25" x14ac:dyDescent="0.25">
      <c r="A581" t="s">
        <v>67</v>
      </c>
      <c r="B581" t="s">
        <v>69</v>
      </c>
      <c r="C581">
        <v>5</v>
      </c>
      <c r="D581" t="s">
        <v>127</v>
      </c>
      <c r="E581" t="s">
        <v>76</v>
      </c>
      <c r="F581" t="s">
        <v>72</v>
      </c>
      <c r="G581">
        <v>0</v>
      </c>
      <c r="H581">
        <v>2E+20</v>
      </c>
      <c r="I581">
        <v>0</v>
      </c>
      <c r="J581">
        <v>0</v>
      </c>
      <c r="K581">
        <v>3</v>
      </c>
      <c r="L58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compartida)relojVA TimeEntity</v>
      </c>
      <c r="M581" s="5" cm="1">
        <f t="array" ref="M581">MAX(IF((ProjectInfoTable[ProjectName]=DiscreteStatsTable[[#This Row],[ProjectName]]),(ProjectInfoTable[ProjectName]=DiscreteStatsTable[[#This Row],[ProjectName]])*ProjectInfoTable[NumberOfReplications]))</f>
        <v>19</v>
      </c>
      <c r="N581" s="5" cm="1">
        <f t="array" ref="N581">IFERROR(AVERAGE(IF((DiscreteStatsTable[GroupByKey]=DiscreteStatsTable[[#This Row],[GroupByKey]]),(DiscreteStatsTable[GroupByKey]=DiscreteStatsTable[[#This Row],[GroupByKey]])*DiscreteStatsTable[Average])),0)</f>
        <v>0</v>
      </c>
      <c r="O581" s="5" cm="1">
        <f t="array" ref="O581">IFERROR(_xlfn.STDEV.S(IF((DiscreteStatsTable[GroupByKey]=DiscreteStatsTable[[#This Row],[GroupByKey]]),(DiscreteStatsTable[GroupByKey]=DiscreteStatsTable[[#This Row],[GroupByKey]])*DiscreteStatsTable[Average])),0)</f>
        <v>0</v>
      </c>
      <c r="P581" s="5" cm="1">
        <f t="array" ref="P581">MAX(IF((ProjectInfoTable[ProjectName]=DiscreteStatsTable[[#This Row],[ProjectName]]),(ProjectInfoTable[ProjectName]=DiscreteStatsTable[[#This Row],[ProjectName]])*ProjectInfoTable[ConfidenceInterval]))</f>
        <v>0.95</v>
      </c>
      <c r="Q581" s="5">
        <f>IF(AND(DiscreteStatsTable[[#This Row],[RepsWithStatObserved]]=1,Y581=0),200000000000000000000,IFERROR(_xlfn.T.INV.2T(1 -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1" s="5" cm="1">
        <f t="array" ref="R581">MIN(IF((DiscreteStatsTable[GroupByKey]=DiscreteStatsTable[[#This Row],[GroupByKey]]),(DiscreteStatsTable[GroupByKey]=DiscreteStatsTable[[#This Row],[GroupByKey]])*DiscreteStatsTable[Average]))</f>
        <v>0</v>
      </c>
      <c r="S581" s="5" cm="1">
        <f t="array" ref="S581">MAX(IF((DiscreteStatsTable[GroupByKey]=DiscreteStatsTable[[#This Row],[GroupByKey]]),(DiscreteStatsTable[GroupByKey]=DiscreteStatsTable[[#This Row],[GroupByKey]])*DiscreteStatsTable[Average]))</f>
        <v>0</v>
      </c>
      <c r="T581" s="5" cm="1">
        <f t="array" ref="T581">MIN(IF((DiscreteStatsTable[GroupByKey]=DiscreteStatsTable[[#This Row],[GroupByKey]]),(DiscreteStatsTable[GroupByKey]=DiscreteStatsTable[[#This Row],[GroupByKey]])*DiscreteStatsTable[Minimum]))</f>
        <v>0</v>
      </c>
      <c r="U581" s="5" cm="1">
        <f t="array" ref="U581">MAX(IF((DiscreteStatsTable[GroupByKey]=DiscreteStatsTable[[#This Row],[GroupByKey]]),(DiscreteStatsTable[GroupByKey]=DiscreteStatsTable[[#This Row],[GroupByKey]])*DiscreteStatsTable[Maximum]))</f>
        <v>0</v>
      </c>
      <c r="V581" s="5" cm="1">
        <f t="array" ref="V581">IFERROR(AVERAGE(IF((DiscreteStatsTable[GroupByKey]=DiscreteStatsTable[[#This Row],[GroupByKey]]),(DiscreteStatsTable[GroupByKey]=DiscreteStatsTable[[#This Row],[GroupByKey]])*DiscreteStatsTable[NumberObservations])),0)</f>
        <v>3</v>
      </c>
      <c r="W581" s="5">
        <f>IF((DiscreteStatsTable[[#This Row],[RepsRequested]]&gt;1),DiscreteStatsTable[[#This Row],[HalfWidth]],DiscreteStatsTable[[#This Row],[BatchMeansHalfWidth]])</f>
        <v>0</v>
      </c>
      <c r="X581" s="5" cm="1">
        <f t="array" ref="X581">COUNT(IF((DiscreteStatsTable[GroupByKey]=DiscreteStatsTable[[#This Row],[GroupByKey]]),(DiscreteStatsTable[GroupByKey]=DiscreteStatsTable[[#This Row],[GroupByKey]])*DiscreteStatsTable[Replication]))</f>
        <v>19</v>
      </c>
      <c r="Y581" s="5">
        <f>IF(DiscreteStatsTable[[#This Row],[RepsRequested]]=DiscreteStatsTable[[#This Row],[RepsWithStatObserved]],1,0)</f>
        <v>1</v>
      </c>
    </row>
    <row r="582" spans="1:25" x14ac:dyDescent="0.25">
      <c r="A582" t="s">
        <v>67</v>
      </c>
      <c r="B582" t="s">
        <v>69</v>
      </c>
      <c r="C582">
        <v>5</v>
      </c>
      <c r="D582" t="s">
        <v>127</v>
      </c>
      <c r="E582" t="s">
        <v>77</v>
      </c>
      <c r="F582" t="s">
        <v>72</v>
      </c>
      <c r="G582">
        <v>0</v>
      </c>
      <c r="H582">
        <v>2E+20</v>
      </c>
      <c r="I582">
        <v>0</v>
      </c>
      <c r="J582">
        <v>0</v>
      </c>
      <c r="K582">
        <v>3</v>
      </c>
      <c r="L58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compartida)relojWait TimeEntity</v>
      </c>
      <c r="M582" s="5" cm="1">
        <f t="array" ref="M582">MAX(IF((ProjectInfoTable[ProjectName]=DiscreteStatsTable[[#This Row],[ProjectName]]),(ProjectInfoTable[ProjectName]=DiscreteStatsTable[[#This Row],[ProjectName]])*ProjectInfoTable[NumberOfReplications]))</f>
        <v>19</v>
      </c>
      <c r="N582" s="5" cm="1">
        <f t="array" ref="N582">IFERROR(AVERAGE(IF((DiscreteStatsTable[GroupByKey]=DiscreteStatsTable[[#This Row],[GroupByKey]]),(DiscreteStatsTable[GroupByKey]=DiscreteStatsTable[[#This Row],[GroupByKey]])*DiscreteStatsTable[Average])),0)</f>
        <v>0</v>
      </c>
      <c r="O582" s="5" cm="1">
        <f t="array" ref="O582">IFERROR(_xlfn.STDEV.S(IF((DiscreteStatsTable[GroupByKey]=DiscreteStatsTable[[#This Row],[GroupByKey]]),(DiscreteStatsTable[GroupByKey]=DiscreteStatsTable[[#This Row],[GroupByKey]])*DiscreteStatsTable[Average])),0)</f>
        <v>0</v>
      </c>
      <c r="P582" s="5" cm="1">
        <f t="array" ref="P582">MAX(IF((ProjectInfoTable[ProjectName]=DiscreteStatsTable[[#This Row],[ProjectName]]),(ProjectInfoTable[ProjectName]=DiscreteStatsTable[[#This Row],[ProjectName]])*ProjectInfoTable[ConfidenceInterval]))</f>
        <v>0.95</v>
      </c>
      <c r="Q582" s="5">
        <f>IF(AND(DiscreteStatsTable[[#This Row],[RepsWithStatObserved]]=1,Y582=0),200000000000000000000,IFERROR(_xlfn.T.INV.2T(1 -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2" s="5" cm="1">
        <f t="array" ref="R582">MIN(IF((DiscreteStatsTable[GroupByKey]=DiscreteStatsTable[[#This Row],[GroupByKey]]),(DiscreteStatsTable[GroupByKey]=DiscreteStatsTable[[#This Row],[GroupByKey]])*DiscreteStatsTable[Average]))</f>
        <v>0</v>
      </c>
      <c r="S582" s="5" cm="1">
        <f t="array" ref="S582">MAX(IF((DiscreteStatsTable[GroupByKey]=DiscreteStatsTable[[#This Row],[GroupByKey]]),(DiscreteStatsTable[GroupByKey]=DiscreteStatsTable[[#This Row],[GroupByKey]])*DiscreteStatsTable[Average]))</f>
        <v>0</v>
      </c>
      <c r="T582" s="5" cm="1">
        <f t="array" ref="T582">MIN(IF((DiscreteStatsTable[GroupByKey]=DiscreteStatsTable[[#This Row],[GroupByKey]]),(DiscreteStatsTable[GroupByKey]=DiscreteStatsTable[[#This Row],[GroupByKey]])*DiscreteStatsTable[Minimum]))</f>
        <v>0</v>
      </c>
      <c r="U582" s="5" cm="1">
        <f t="array" ref="U582">MAX(IF((DiscreteStatsTable[GroupByKey]=DiscreteStatsTable[[#This Row],[GroupByKey]]),(DiscreteStatsTable[GroupByKey]=DiscreteStatsTable[[#This Row],[GroupByKey]])*DiscreteStatsTable[Maximum]))</f>
        <v>0</v>
      </c>
      <c r="V582" s="5" cm="1">
        <f t="array" ref="V582">IFERROR(AVERAGE(IF((DiscreteStatsTable[GroupByKey]=DiscreteStatsTable[[#This Row],[GroupByKey]]),(DiscreteStatsTable[GroupByKey]=DiscreteStatsTable[[#This Row],[GroupByKey]])*DiscreteStatsTable[NumberObservations])),0)</f>
        <v>3</v>
      </c>
      <c r="W582" s="5">
        <f>IF((DiscreteStatsTable[[#This Row],[RepsRequested]]&gt;1),DiscreteStatsTable[[#This Row],[HalfWidth]],DiscreteStatsTable[[#This Row],[BatchMeansHalfWidth]])</f>
        <v>0</v>
      </c>
      <c r="X582" s="5" cm="1">
        <f t="array" ref="X582">COUNT(IF((DiscreteStatsTable[GroupByKey]=DiscreteStatsTable[[#This Row],[GroupByKey]]),(DiscreteStatsTable[GroupByKey]=DiscreteStatsTable[[#This Row],[GroupByKey]])*DiscreteStatsTable[Replication]))</f>
        <v>19</v>
      </c>
      <c r="Y582" s="5">
        <f>IF(DiscreteStatsTable[[#This Row],[RepsRequested]]=DiscreteStatsTable[[#This Row],[RepsWithStatObserved]],1,0)</f>
        <v>1</v>
      </c>
    </row>
    <row r="583" spans="1:25" x14ac:dyDescent="0.25">
      <c r="A583" t="s">
        <v>67</v>
      </c>
      <c r="B583" t="s">
        <v>69</v>
      </c>
      <c r="C583">
        <v>6</v>
      </c>
      <c r="D583" t="s">
        <v>127</v>
      </c>
      <c r="E583" t="s">
        <v>71</v>
      </c>
      <c r="F583" t="s">
        <v>72</v>
      </c>
      <c r="G583">
        <v>0</v>
      </c>
      <c r="H583">
        <v>2E+20</v>
      </c>
      <c r="I583">
        <v>0</v>
      </c>
      <c r="J583">
        <v>0</v>
      </c>
      <c r="K583">
        <v>3</v>
      </c>
      <c r="L58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compartida)relojNVA TimeEntity</v>
      </c>
      <c r="M583" s="5" cm="1">
        <f t="array" ref="M583">MAX(IF((ProjectInfoTable[ProjectName]=DiscreteStatsTable[[#This Row],[ProjectName]]),(ProjectInfoTable[ProjectName]=DiscreteStatsTable[[#This Row],[ProjectName]])*ProjectInfoTable[NumberOfReplications]))</f>
        <v>19</v>
      </c>
      <c r="N583" s="5" cm="1">
        <f t="array" ref="N583">IFERROR(AVERAGE(IF((DiscreteStatsTable[GroupByKey]=DiscreteStatsTable[[#This Row],[GroupByKey]]),(DiscreteStatsTable[GroupByKey]=DiscreteStatsTable[[#This Row],[GroupByKey]])*DiscreteStatsTable[Average])),0)</f>
        <v>0</v>
      </c>
      <c r="O583" s="5" cm="1">
        <f t="array" ref="O583">IFERROR(_xlfn.STDEV.S(IF((DiscreteStatsTable[GroupByKey]=DiscreteStatsTable[[#This Row],[GroupByKey]]),(DiscreteStatsTable[GroupByKey]=DiscreteStatsTable[[#This Row],[GroupByKey]])*DiscreteStatsTable[Average])),0)</f>
        <v>0</v>
      </c>
      <c r="P583" s="5" cm="1">
        <f t="array" ref="P583">MAX(IF((ProjectInfoTable[ProjectName]=DiscreteStatsTable[[#This Row],[ProjectName]]),(ProjectInfoTable[ProjectName]=DiscreteStatsTable[[#This Row],[ProjectName]])*ProjectInfoTable[ConfidenceInterval]))</f>
        <v>0.95</v>
      </c>
      <c r="Q583" s="5">
        <f>IF(AND(DiscreteStatsTable[[#This Row],[RepsWithStatObserved]]=1,Y583=0),200000000000000000000,IFERROR(_xlfn.T.INV.2T(1 -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3" s="5" cm="1">
        <f t="array" ref="R583">MIN(IF((DiscreteStatsTable[GroupByKey]=DiscreteStatsTable[[#This Row],[GroupByKey]]),(DiscreteStatsTable[GroupByKey]=DiscreteStatsTable[[#This Row],[GroupByKey]])*DiscreteStatsTable[Average]))</f>
        <v>0</v>
      </c>
      <c r="S583" s="5" cm="1">
        <f t="array" ref="S583">MAX(IF((DiscreteStatsTable[GroupByKey]=DiscreteStatsTable[[#This Row],[GroupByKey]]),(DiscreteStatsTable[GroupByKey]=DiscreteStatsTable[[#This Row],[GroupByKey]])*DiscreteStatsTable[Average]))</f>
        <v>0</v>
      </c>
      <c r="T583" s="5" cm="1">
        <f t="array" ref="T583">MIN(IF((DiscreteStatsTable[GroupByKey]=DiscreteStatsTable[[#This Row],[GroupByKey]]),(DiscreteStatsTable[GroupByKey]=DiscreteStatsTable[[#This Row],[GroupByKey]])*DiscreteStatsTable[Minimum]))</f>
        <v>0</v>
      </c>
      <c r="U583" s="5" cm="1">
        <f t="array" ref="U583">MAX(IF((DiscreteStatsTable[GroupByKey]=DiscreteStatsTable[[#This Row],[GroupByKey]]),(DiscreteStatsTable[GroupByKey]=DiscreteStatsTable[[#This Row],[GroupByKey]])*DiscreteStatsTable[Maximum]))</f>
        <v>0</v>
      </c>
      <c r="V583" s="5" cm="1">
        <f t="array" ref="V583">IFERROR(AVERAGE(IF((DiscreteStatsTable[GroupByKey]=DiscreteStatsTable[[#This Row],[GroupByKey]]),(DiscreteStatsTable[GroupByKey]=DiscreteStatsTable[[#This Row],[GroupByKey]])*DiscreteStatsTable[NumberObservations])),0)</f>
        <v>3</v>
      </c>
      <c r="W583" s="5">
        <f>IF((DiscreteStatsTable[[#This Row],[RepsRequested]]&gt;1),DiscreteStatsTable[[#This Row],[HalfWidth]],DiscreteStatsTable[[#This Row],[BatchMeansHalfWidth]])</f>
        <v>0</v>
      </c>
      <c r="X583" s="5" cm="1">
        <f t="array" ref="X583">COUNT(IF((DiscreteStatsTable[GroupByKey]=DiscreteStatsTable[[#This Row],[GroupByKey]]),(DiscreteStatsTable[GroupByKey]=DiscreteStatsTable[[#This Row],[GroupByKey]])*DiscreteStatsTable[Replication]))</f>
        <v>19</v>
      </c>
      <c r="Y583" s="5">
        <f>IF(DiscreteStatsTable[[#This Row],[RepsRequested]]=DiscreteStatsTable[[#This Row],[RepsWithStatObserved]],1,0)</f>
        <v>1</v>
      </c>
    </row>
    <row r="584" spans="1:25" x14ac:dyDescent="0.25">
      <c r="A584" t="s">
        <v>67</v>
      </c>
      <c r="B584" t="s">
        <v>69</v>
      </c>
      <c r="C584">
        <v>6</v>
      </c>
      <c r="D584" t="s">
        <v>127</v>
      </c>
      <c r="E584" t="s">
        <v>73</v>
      </c>
      <c r="F584" t="s">
        <v>72</v>
      </c>
      <c r="G584">
        <v>0</v>
      </c>
      <c r="H584">
        <v>2E+20</v>
      </c>
      <c r="I584">
        <v>0</v>
      </c>
      <c r="J584">
        <v>0</v>
      </c>
      <c r="K584">
        <v>3</v>
      </c>
      <c r="L58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compartida)relojOther TimeEntity</v>
      </c>
      <c r="M584" s="5" cm="1">
        <f t="array" ref="M584">MAX(IF((ProjectInfoTable[ProjectName]=DiscreteStatsTable[[#This Row],[ProjectName]]),(ProjectInfoTable[ProjectName]=DiscreteStatsTable[[#This Row],[ProjectName]])*ProjectInfoTable[NumberOfReplications]))</f>
        <v>19</v>
      </c>
      <c r="N584" s="5" cm="1">
        <f t="array" ref="N584">IFERROR(AVERAGE(IF((DiscreteStatsTable[GroupByKey]=DiscreteStatsTable[[#This Row],[GroupByKey]]),(DiscreteStatsTable[GroupByKey]=DiscreteStatsTable[[#This Row],[GroupByKey]])*DiscreteStatsTable[Average])),0)</f>
        <v>0</v>
      </c>
      <c r="O584" s="5" cm="1">
        <f t="array" ref="O584">IFERROR(_xlfn.STDEV.S(IF((DiscreteStatsTable[GroupByKey]=DiscreteStatsTable[[#This Row],[GroupByKey]]),(DiscreteStatsTable[GroupByKey]=DiscreteStatsTable[[#This Row],[GroupByKey]])*DiscreteStatsTable[Average])),0)</f>
        <v>0</v>
      </c>
      <c r="P584" s="5" cm="1">
        <f t="array" ref="P584">MAX(IF((ProjectInfoTable[ProjectName]=DiscreteStatsTable[[#This Row],[ProjectName]]),(ProjectInfoTable[ProjectName]=DiscreteStatsTable[[#This Row],[ProjectName]])*ProjectInfoTable[ConfidenceInterval]))</f>
        <v>0.95</v>
      </c>
      <c r="Q584" s="5">
        <f>IF(AND(DiscreteStatsTable[[#This Row],[RepsWithStatObserved]]=1,Y584=0),200000000000000000000,IFERROR(_xlfn.T.INV.2T(1 -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4" s="5" cm="1">
        <f t="array" ref="R584">MIN(IF((DiscreteStatsTable[GroupByKey]=DiscreteStatsTable[[#This Row],[GroupByKey]]),(DiscreteStatsTable[GroupByKey]=DiscreteStatsTable[[#This Row],[GroupByKey]])*DiscreteStatsTable[Average]))</f>
        <v>0</v>
      </c>
      <c r="S584" s="5" cm="1">
        <f t="array" ref="S584">MAX(IF((DiscreteStatsTable[GroupByKey]=DiscreteStatsTable[[#This Row],[GroupByKey]]),(DiscreteStatsTable[GroupByKey]=DiscreteStatsTable[[#This Row],[GroupByKey]])*DiscreteStatsTable[Average]))</f>
        <v>0</v>
      </c>
      <c r="T584" s="5" cm="1">
        <f t="array" ref="T584">MIN(IF((DiscreteStatsTable[GroupByKey]=DiscreteStatsTable[[#This Row],[GroupByKey]]),(DiscreteStatsTable[GroupByKey]=DiscreteStatsTable[[#This Row],[GroupByKey]])*DiscreteStatsTable[Minimum]))</f>
        <v>0</v>
      </c>
      <c r="U584" s="5" cm="1">
        <f t="array" ref="U584">MAX(IF((DiscreteStatsTable[GroupByKey]=DiscreteStatsTable[[#This Row],[GroupByKey]]),(DiscreteStatsTable[GroupByKey]=DiscreteStatsTable[[#This Row],[GroupByKey]])*DiscreteStatsTable[Maximum]))</f>
        <v>0</v>
      </c>
      <c r="V584" s="5" cm="1">
        <f t="array" ref="V584">IFERROR(AVERAGE(IF((DiscreteStatsTable[GroupByKey]=DiscreteStatsTable[[#This Row],[GroupByKey]]),(DiscreteStatsTable[GroupByKey]=DiscreteStatsTable[[#This Row],[GroupByKey]])*DiscreteStatsTable[NumberObservations])),0)</f>
        <v>3</v>
      </c>
      <c r="W584" s="5">
        <f>IF((DiscreteStatsTable[[#This Row],[RepsRequested]]&gt;1),DiscreteStatsTable[[#This Row],[HalfWidth]],DiscreteStatsTable[[#This Row],[BatchMeansHalfWidth]])</f>
        <v>0</v>
      </c>
      <c r="X584" s="5" cm="1">
        <f t="array" ref="X584">COUNT(IF((DiscreteStatsTable[GroupByKey]=DiscreteStatsTable[[#This Row],[GroupByKey]]),(DiscreteStatsTable[GroupByKey]=DiscreteStatsTable[[#This Row],[GroupByKey]])*DiscreteStatsTable[Replication]))</f>
        <v>19</v>
      </c>
      <c r="Y584" s="5">
        <f>IF(DiscreteStatsTable[[#This Row],[RepsRequested]]=DiscreteStatsTable[[#This Row],[RepsWithStatObserved]],1,0)</f>
        <v>1</v>
      </c>
    </row>
    <row r="585" spans="1:25" x14ac:dyDescent="0.25">
      <c r="A585" t="s">
        <v>67</v>
      </c>
      <c r="B585" t="s">
        <v>69</v>
      </c>
      <c r="C585">
        <v>6</v>
      </c>
      <c r="D585" t="s">
        <v>127</v>
      </c>
      <c r="E585" t="s">
        <v>74</v>
      </c>
      <c r="F585" t="s">
        <v>72</v>
      </c>
      <c r="G585">
        <v>0</v>
      </c>
      <c r="H585">
        <v>2E+20</v>
      </c>
      <c r="I585">
        <v>0</v>
      </c>
      <c r="J585">
        <v>0</v>
      </c>
      <c r="K585">
        <v>3</v>
      </c>
      <c r="L58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compartida)relojTotal TimeEntity</v>
      </c>
      <c r="M585" s="5" cm="1">
        <f t="array" ref="M585">MAX(IF((ProjectInfoTable[ProjectName]=DiscreteStatsTable[[#This Row],[ProjectName]]),(ProjectInfoTable[ProjectName]=DiscreteStatsTable[[#This Row],[ProjectName]])*ProjectInfoTable[NumberOfReplications]))</f>
        <v>19</v>
      </c>
      <c r="N585" s="5" cm="1">
        <f t="array" ref="N585">IFERROR(AVERAGE(IF((DiscreteStatsTable[GroupByKey]=DiscreteStatsTable[[#This Row],[GroupByKey]]),(DiscreteStatsTable[GroupByKey]=DiscreteStatsTable[[#This Row],[GroupByKey]])*DiscreteStatsTable[Average])),0)</f>
        <v>0</v>
      </c>
      <c r="O585" s="5" cm="1">
        <f t="array" ref="O585">IFERROR(_xlfn.STDEV.S(IF((DiscreteStatsTable[GroupByKey]=DiscreteStatsTable[[#This Row],[GroupByKey]]),(DiscreteStatsTable[GroupByKey]=DiscreteStatsTable[[#This Row],[GroupByKey]])*DiscreteStatsTable[Average])),0)</f>
        <v>0</v>
      </c>
      <c r="P585" s="5" cm="1">
        <f t="array" ref="P585">MAX(IF((ProjectInfoTable[ProjectName]=DiscreteStatsTable[[#This Row],[ProjectName]]),(ProjectInfoTable[ProjectName]=DiscreteStatsTable[[#This Row],[ProjectName]])*ProjectInfoTable[ConfidenceInterval]))</f>
        <v>0.95</v>
      </c>
      <c r="Q585" s="5">
        <f>IF(AND(DiscreteStatsTable[[#This Row],[RepsWithStatObserved]]=1,Y585=0),200000000000000000000,IFERROR(_xlfn.T.INV.2T(1 -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5" s="5" cm="1">
        <f t="array" ref="R585">MIN(IF((DiscreteStatsTable[GroupByKey]=DiscreteStatsTable[[#This Row],[GroupByKey]]),(DiscreteStatsTable[GroupByKey]=DiscreteStatsTable[[#This Row],[GroupByKey]])*DiscreteStatsTable[Average]))</f>
        <v>0</v>
      </c>
      <c r="S585" s="5" cm="1">
        <f t="array" ref="S585">MAX(IF((DiscreteStatsTable[GroupByKey]=DiscreteStatsTable[[#This Row],[GroupByKey]]),(DiscreteStatsTable[GroupByKey]=DiscreteStatsTable[[#This Row],[GroupByKey]])*DiscreteStatsTable[Average]))</f>
        <v>0</v>
      </c>
      <c r="T585" s="5" cm="1">
        <f t="array" ref="T585">MIN(IF((DiscreteStatsTable[GroupByKey]=DiscreteStatsTable[[#This Row],[GroupByKey]]),(DiscreteStatsTable[GroupByKey]=DiscreteStatsTable[[#This Row],[GroupByKey]])*DiscreteStatsTable[Minimum]))</f>
        <v>0</v>
      </c>
      <c r="U585" s="5" cm="1">
        <f t="array" ref="U585">MAX(IF((DiscreteStatsTable[GroupByKey]=DiscreteStatsTable[[#This Row],[GroupByKey]]),(DiscreteStatsTable[GroupByKey]=DiscreteStatsTable[[#This Row],[GroupByKey]])*DiscreteStatsTable[Maximum]))</f>
        <v>0</v>
      </c>
      <c r="V585" s="5" cm="1">
        <f t="array" ref="V585">IFERROR(AVERAGE(IF((DiscreteStatsTable[GroupByKey]=DiscreteStatsTable[[#This Row],[GroupByKey]]),(DiscreteStatsTable[GroupByKey]=DiscreteStatsTable[[#This Row],[GroupByKey]])*DiscreteStatsTable[NumberObservations])),0)</f>
        <v>3</v>
      </c>
      <c r="W585" s="5">
        <f>IF((DiscreteStatsTable[[#This Row],[RepsRequested]]&gt;1),DiscreteStatsTable[[#This Row],[HalfWidth]],DiscreteStatsTable[[#This Row],[BatchMeansHalfWidth]])</f>
        <v>0</v>
      </c>
      <c r="X585" s="5" cm="1">
        <f t="array" ref="X585">COUNT(IF((DiscreteStatsTable[GroupByKey]=DiscreteStatsTable[[#This Row],[GroupByKey]]),(DiscreteStatsTable[GroupByKey]=DiscreteStatsTable[[#This Row],[GroupByKey]])*DiscreteStatsTable[Replication]))</f>
        <v>19</v>
      </c>
      <c r="Y585" s="5">
        <f>IF(DiscreteStatsTable[[#This Row],[RepsRequested]]=DiscreteStatsTable[[#This Row],[RepsWithStatObserved]],1,0)</f>
        <v>1</v>
      </c>
    </row>
    <row r="586" spans="1:25" x14ac:dyDescent="0.25">
      <c r="A586" t="s">
        <v>67</v>
      </c>
      <c r="B586" t="s">
        <v>69</v>
      </c>
      <c r="C586">
        <v>6</v>
      </c>
      <c r="D586" t="s">
        <v>127</v>
      </c>
      <c r="E586" t="s">
        <v>75</v>
      </c>
      <c r="F586" t="s">
        <v>72</v>
      </c>
      <c r="G586">
        <v>0</v>
      </c>
      <c r="H586">
        <v>2E+20</v>
      </c>
      <c r="I586">
        <v>0</v>
      </c>
      <c r="J586">
        <v>0</v>
      </c>
      <c r="K586">
        <v>3</v>
      </c>
      <c r="L58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compartida)relojTransfer TimeEntity</v>
      </c>
      <c r="M586" s="5" cm="1">
        <f t="array" ref="M586">MAX(IF((ProjectInfoTable[ProjectName]=DiscreteStatsTable[[#This Row],[ProjectName]]),(ProjectInfoTable[ProjectName]=DiscreteStatsTable[[#This Row],[ProjectName]])*ProjectInfoTable[NumberOfReplications]))</f>
        <v>19</v>
      </c>
      <c r="N586" s="5" cm="1">
        <f t="array" ref="N586">IFERROR(AVERAGE(IF((DiscreteStatsTable[GroupByKey]=DiscreteStatsTable[[#This Row],[GroupByKey]]),(DiscreteStatsTable[GroupByKey]=DiscreteStatsTable[[#This Row],[GroupByKey]])*DiscreteStatsTable[Average])),0)</f>
        <v>0</v>
      </c>
      <c r="O586" s="5" cm="1">
        <f t="array" ref="O586">IFERROR(_xlfn.STDEV.S(IF((DiscreteStatsTable[GroupByKey]=DiscreteStatsTable[[#This Row],[GroupByKey]]),(DiscreteStatsTable[GroupByKey]=DiscreteStatsTable[[#This Row],[GroupByKey]])*DiscreteStatsTable[Average])),0)</f>
        <v>0</v>
      </c>
      <c r="P586" s="5" cm="1">
        <f t="array" ref="P586">MAX(IF((ProjectInfoTable[ProjectName]=DiscreteStatsTable[[#This Row],[ProjectName]]),(ProjectInfoTable[ProjectName]=DiscreteStatsTable[[#This Row],[ProjectName]])*ProjectInfoTable[ConfidenceInterval]))</f>
        <v>0.95</v>
      </c>
      <c r="Q586" s="5">
        <f>IF(AND(DiscreteStatsTable[[#This Row],[RepsWithStatObserved]]=1,Y586=0),200000000000000000000,IFERROR(_xlfn.T.INV.2T(1 -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6" s="5" cm="1">
        <f t="array" ref="R586">MIN(IF((DiscreteStatsTable[GroupByKey]=DiscreteStatsTable[[#This Row],[GroupByKey]]),(DiscreteStatsTable[GroupByKey]=DiscreteStatsTable[[#This Row],[GroupByKey]])*DiscreteStatsTable[Average]))</f>
        <v>0</v>
      </c>
      <c r="S586" s="5" cm="1">
        <f t="array" ref="S586">MAX(IF((DiscreteStatsTable[GroupByKey]=DiscreteStatsTable[[#This Row],[GroupByKey]]),(DiscreteStatsTable[GroupByKey]=DiscreteStatsTable[[#This Row],[GroupByKey]])*DiscreteStatsTable[Average]))</f>
        <v>0</v>
      </c>
      <c r="T586" s="5" cm="1">
        <f t="array" ref="T586">MIN(IF((DiscreteStatsTable[GroupByKey]=DiscreteStatsTable[[#This Row],[GroupByKey]]),(DiscreteStatsTable[GroupByKey]=DiscreteStatsTable[[#This Row],[GroupByKey]])*DiscreteStatsTable[Minimum]))</f>
        <v>0</v>
      </c>
      <c r="U586" s="5" cm="1">
        <f t="array" ref="U586">MAX(IF((DiscreteStatsTable[GroupByKey]=DiscreteStatsTable[[#This Row],[GroupByKey]]),(DiscreteStatsTable[GroupByKey]=DiscreteStatsTable[[#This Row],[GroupByKey]])*DiscreteStatsTable[Maximum]))</f>
        <v>0</v>
      </c>
      <c r="V586" s="5" cm="1">
        <f t="array" ref="V586">IFERROR(AVERAGE(IF((DiscreteStatsTable[GroupByKey]=DiscreteStatsTable[[#This Row],[GroupByKey]]),(DiscreteStatsTable[GroupByKey]=DiscreteStatsTable[[#This Row],[GroupByKey]])*DiscreteStatsTable[NumberObservations])),0)</f>
        <v>3</v>
      </c>
      <c r="W586" s="5">
        <f>IF((DiscreteStatsTable[[#This Row],[RepsRequested]]&gt;1),DiscreteStatsTable[[#This Row],[HalfWidth]],DiscreteStatsTable[[#This Row],[BatchMeansHalfWidth]])</f>
        <v>0</v>
      </c>
      <c r="X586" s="5" cm="1">
        <f t="array" ref="X586">COUNT(IF((DiscreteStatsTable[GroupByKey]=DiscreteStatsTable[[#This Row],[GroupByKey]]),(DiscreteStatsTable[GroupByKey]=DiscreteStatsTable[[#This Row],[GroupByKey]])*DiscreteStatsTable[Replication]))</f>
        <v>19</v>
      </c>
      <c r="Y586" s="5">
        <f>IF(DiscreteStatsTable[[#This Row],[RepsRequested]]=DiscreteStatsTable[[#This Row],[RepsWithStatObserved]],1,0)</f>
        <v>1</v>
      </c>
    </row>
    <row r="587" spans="1:25" x14ac:dyDescent="0.25">
      <c r="A587" t="s">
        <v>67</v>
      </c>
      <c r="B587" t="s">
        <v>69</v>
      </c>
      <c r="C587">
        <v>6</v>
      </c>
      <c r="D587" t="s">
        <v>127</v>
      </c>
      <c r="E587" t="s">
        <v>76</v>
      </c>
      <c r="F587" t="s">
        <v>72</v>
      </c>
      <c r="G587">
        <v>0</v>
      </c>
      <c r="H587">
        <v>2E+20</v>
      </c>
      <c r="I587">
        <v>0</v>
      </c>
      <c r="J587">
        <v>0</v>
      </c>
      <c r="K587">
        <v>3</v>
      </c>
      <c r="L58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compartida)relojVA TimeEntity</v>
      </c>
      <c r="M587" s="5" cm="1">
        <f t="array" ref="M587">MAX(IF((ProjectInfoTable[ProjectName]=DiscreteStatsTable[[#This Row],[ProjectName]]),(ProjectInfoTable[ProjectName]=DiscreteStatsTable[[#This Row],[ProjectName]])*ProjectInfoTable[NumberOfReplications]))</f>
        <v>19</v>
      </c>
      <c r="N587" s="5" cm="1">
        <f t="array" ref="N587">IFERROR(AVERAGE(IF((DiscreteStatsTable[GroupByKey]=DiscreteStatsTable[[#This Row],[GroupByKey]]),(DiscreteStatsTable[GroupByKey]=DiscreteStatsTable[[#This Row],[GroupByKey]])*DiscreteStatsTable[Average])),0)</f>
        <v>0</v>
      </c>
      <c r="O587" s="5" cm="1">
        <f t="array" ref="O587">IFERROR(_xlfn.STDEV.S(IF((DiscreteStatsTable[GroupByKey]=DiscreteStatsTable[[#This Row],[GroupByKey]]),(DiscreteStatsTable[GroupByKey]=DiscreteStatsTable[[#This Row],[GroupByKey]])*DiscreteStatsTable[Average])),0)</f>
        <v>0</v>
      </c>
      <c r="P587" s="5" cm="1">
        <f t="array" ref="P587">MAX(IF((ProjectInfoTable[ProjectName]=DiscreteStatsTable[[#This Row],[ProjectName]]),(ProjectInfoTable[ProjectName]=DiscreteStatsTable[[#This Row],[ProjectName]])*ProjectInfoTable[ConfidenceInterval]))</f>
        <v>0.95</v>
      </c>
      <c r="Q587" s="5">
        <f>IF(AND(DiscreteStatsTable[[#This Row],[RepsWithStatObserved]]=1,Y587=0),200000000000000000000,IFERROR(_xlfn.T.INV.2T(1 -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7" s="5" cm="1">
        <f t="array" ref="R587">MIN(IF((DiscreteStatsTable[GroupByKey]=DiscreteStatsTable[[#This Row],[GroupByKey]]),(DiscreteStatsTable[GroupByKey]=DiscreteStatsTable[[#This Row],[GroupByKey]])*DiscreteStatsTable[Average]))</f>
        <v>0</v>
      </c>
      <c r="S587" s="5" cm="1">
        <f t="array" ref="S587">MAX(IF((DiscreteStatsTable[GroupByKey]=DiscreteStatsTable[[#This Row],[GroupByKey]]),(DiscreteStatsTable[GroupByKey]=DiscreteStatsTable[[#This Row],[GroupByKey]])*DiscreteStatsTable[Average]))</f>
        <v>0</v>
      </c>
      <c r="T587" s="5" cm="1">
        <f t="array" ref="T587">MIN(IF((DiscreteStatsTable[GroupByKey]=DiscreteStatsTable[[#This Row],[GroupByKey]]),(DiscreteStatsTable[GroupByKey]=DiscreteStatsTable[[#This Row],[GroupByKey]])*DiscreteStatsTable[Minimum]))</f>
        <v>0</v>
      </c>
      <c r="U587" s="5" cm="1">
        <f t="array" ref="U587">MAX(IF((DiscreteStatsTable[GroupByKey]=DiscreteStatsTable[[#This Row],[GroupByKey]]),(DiscreteStatsTable[GroupByKey]=DiscreteStatsTable[[#This Row],[GroupByKey]])*DiscreteStatsTable[Maximum]))</f>
        <v>0</v>
      </c>
      <c r="V587" s="5" cm="1">
        <f t="array" ref="V587">IFERROR(AVERAGE(IF((DiscreteStatsTable[GroupByKey]=DiscreteStatsTable[[#This Row],[GroupByKey]]),(DiscreteStatsTable[GroupByKey]=DiscreteStatsTable[[#This Row],[GroupByKey]])*DiscreteStatsTable[NumberObservations])),0)</f>
        <v>3</v>
      </c>
      <c r="W587" s="5">
        <f>IF((DiscreteStatsTable[[#This Row],[RepsRequested]]&gt;1),DiscreteStatsTable[[#This Row],[HalfWidth]],DiscreteStatsTable[[#This Row],[BatchMeansHalfWidth]])</f>
        <v>0</v>
      </c>
      <c r="X587" s="5" cm="1">
        <f t="array" ref="X587">COUNT(IF((DiscreteStatsTable[GroupByKey]=DiscreteStatsTable[[#This Row],[GroupByKey]]),(DiscreteStatsTable[GroupByKey]=DiscreteStatsTable[[#This Row],[GroupByKey]])*DiscreteStatsTable[Replication]))</f>
        <v>19</v>
      </c>
      <c r="Y587" s="5">
        <f>IF(DiscreteStatsTable[[#This Row],[RepsRequested]]=DiscreteStatsTable[[#This Row],[RepsWithStatObserved]],1,0)</f>
        <v>1</v>
      </c>
    </row>
    <row r="588" spans="1:25" x14ac:dyDescent="0.25">
      <c r="A588" t="s">
        <v>67</v>
      </c>
      <c r="B588" t="s">
        <v>69</v>
      </c>
      <c r="C588">
        <v>6</v>
      </c>
      <c r="D588" t="s">
        <v>127</v>
      </c>
      <c r="E588" t="s">
        <v>77</v>
      </c>
      <c r="F588" t="s">
        <v>72</v>
      </c>
      <c r="G588">
        <v>0</v>
      </c>
      <c r="H588">
        <v>2E+20</v>
      </c>
      <c r="I588">
        <v>0</v>
      </c>
      <c r="J588">
        <v>0</v>
      </c>
      <c r="K588">
        <v>3</v>
      </c>
      <c r="L58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compartida)relojWait TimeEntity</v>
      </c>
      <c r="M588" s="5" cm="1">
        <f t="array" ref="M588">MAX(IF((ProjectInfoTable[ProjectName]=DiscreteStatsTable[[#This Row],[ProjectName]]),(ProjectInfoTable[ProjectName]=DiscreteStatsTable[[#This Row],[ProjectName]])*ProjectInfoTable[NumberOfReplications]))</f>
        <v>19</v>
      </c>
      <c r="N588" s="5" cm="1">
        <f t="array" ref="N588">IFERROR(AVERAGE(IF((DiscreteStatsTable[GroupByKey]=DiscreteStatsTable[[#This Row],[GroupByKey]]),(DiscreteStatsTable[GroupByKey]=DiscreteStatsTable[[#This Row],[GroupByKey]])*DiscreteStatsTable[Average])),0)</f>
        <v>0</v>
      </c>
      <c r="O588" s="5" cm="1">
        <f t="array" ref="O588">IFERROR(_xlfn.STDEV.S(IF((DiscreteStatsTable[GroupByKey]=DiscreteStatsTable[[#This Row],[GroupByKey]]),(DiscreteStatsTable[GroupByKey]=DiscreteStatsTable[[#This Row],[GroupByKey]])*DiscreteStatsTable[Average])),0)</f>
        <v>0</v>
      </c>
      <c r="P588" s="5" cm="1">
        <f t="array" ref="P588">MAX(IF((ProjectInfoTable[ProjectName]=DiscreteStatsTable[[#This Row],[ProjectName]]),(ProjectInfoTable[ProjectName]=DiscreteStatsTable[[#This Row],[ProjectName]])*ProjectInfoTable[ConfidenceInterval]))</f>
        <v>0.95</v>
      </c>
      <c r="Q588" s="5">
        <f>IF(AND(DiscreteStatsTable[[#This Row],[RepsWithStatObserved]]=1,Y588=0),200000000000000000000,IFERROR(_xlfn.T.INV.2T(1 -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8" s="5" cm="1">
        <f t="array" ref="R588">MIN(IF((DiscreteStatsTable[GroupByKey]=DiscreteStatsTable[[#This Row],[GroupByKey]]),(DiscreteStatsTable[GroupByKey]=DiscreteStatsTable[[#This Row],[GroupByKey]])*DiscreteStatsTable[Average]))</f>
        <v>0</v>
      </c>
      <c r="S588" s="5" cm="1">
        <f t="array" ref="S588">MAX(IF((DiscreteStatsTable[GroupByKey]=DiscreteStatsTable[[#This Row],[GroupByKey]]),(DiscreteStatsTable[GroupByKey]=DiscreteStatsTable[[#This Row],[GroupByKey]])*DiscreteStatsTable[Average]))</f>
        <v>0</v>
      </c>
      <c r="T588" s="5" cm="1">
        <f t="array" ref="T588">MIN(IF((DiscreteStatsTable[GroupByKey]=DiscreteStatsTable[[#This Row],[GroupByKey]]),(DiscreteStatsTable[GroupByKey]=DiscreteStatsTable[[#This Row],[GroupByKey]])*DiscreteStatsTable[Minimum]))</f>
        <v>0</v>
      </c>
      <c r="U588" s="5" cm="1">
        <f t="array" ref="U588">MAX(IF((DiscreteStatsTable[GroupByKey]=DiscreteStatsTable[[#This Row],[GroupByKey]]),(DiscreteStatsTable[GroupByKey]=DiscreteStatsTable[[#This Row],[GroupByKey]])*DiscreteStatsTable[Maximum]))</f>
        <v>0</v>
      </c>
      <c r="V588" s="5" cm="1">
        <f t="array" ref="V588">IFERROR(AVERAGE(IF((DiscreteStatsTable[GroupByKey]=DiscreteStatsTable[[#This Row],[GroupByKey]]),(DiscreteStatsTable[GroupByKey]=DiscreteStatsTable[[#This Row],[GroupByKey]])*DiscreteStatsTable[NumberObservations])),0)</f>
        <v>3</v>
      </c>
      <c r="W588" s="5">
        <f>IF((DiscreteStatsTable[[#This Row],[RepsRequested]]&gt;1),DiscreteStatsTable[[#This Row],[HalfWidth]],DiscreteStatsTable[[#This Row],[BatchMeansHalfWidth]])</f>
        <v>0</v>
      </c>
      <c r="X588" s="5" cm="1">
        <f t="array" ref="X588">COUNT(IF((DiscreteStatsTable[GroupByKey]=DiscreteStatsTable[[#This Row],[GroupByKey]]),(DiscreteStatsTable[GroupByKey]=DiscreteStatsTable[[#This Row],[GroupByKey]])*DiscreteStatsTable[Replication]))</f>
        <v>19</v>
      </c>
      <c r="Y588" s="5">
        <f>IF(DiscreteStatsTable[[#This Row],[RepsRequested]]=DiscreteStatsTable[[#This Row],[RepsWithStatObserved]],1,0)</f>
        <v>1</v>
      </c>
    </row>
    <row r="589" spans="1:25" x14ac:dyDescent="0.25">
      <c r="A589" t="s">
        <v>67</v>
      </c>
      <c r="B589" t="s">
        <v>69</v>
      </c>
      <c r="C589">
        <v>7</v>
      </c>
      <c r="D589" t="s">
        <v>127</v>
      </c>
      <c r="E589" t="s">
        <v>71</v>
      </c>
      <c r="F589" t="s">
        <v>72</v>
      </c>
      <c r="G589">
        <v>0</v>
      </c>
      <c r="H589">
        <v>2E+20</v>
      </c>
      <c r="I589">
        <v>0</v>
      </c>
      <c r="J589">
        <v>0</v>
      </c>
      <c r="K589">
        <v>3</v>
      </c>
      <c r="L58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compartida)relojNVA TimeEntity</v>
      </c>
      <c r="M589" s="5" cm="1">
        <f t="array" ref="M589">MAX(IF((ProjectInfoTable[ProjectName]=DiscreteStatsTable[[#This Row],[ProjectName]]),(ProjectInfoTable[ProjectName]=DiscreteStatsTable[[#This Row],[ProjectName]])*ProjectInfoTable[NumberOfReplications]))</f>
        <v>19</v>
      </c>
      <c r="N589" s="5" cm="1">
        <f t="array" ref="N589">IFERROR(AVERAGE(IF((DiscreteStatsTable[GroupByKey]=DiscreteStatsTable[[#This Row],[GroupByKey]]),(DiscreteStatsTable[GroupByKey]=DiscreteStatsTable[[#This Row],[GroupByKey]])*DiscreteStatsTable[Average])),0)</f>
        <v>0</v>
      </c>
      <c r="O589" s="5" cm="1">
        <f t="array" ref="O589">IFERROR(_xlfn.STDEV.S(IF((DiscreteStatsTable[GroupByKey]=DiscreteStatsTable[[#This Row],[GroupByKey]]),(DiscreteStatsTable[GroupByKey]=DiscreteStatsTable[[#This Row],[GroupByKey]])*DiscreteStatsTable[Average])),0)</f>
        <v>0</v>
      </c>
      <c r="P589" s="5" cm="1">
        <f t="array" ref="P589">MAX(IF((ProjectInfoTable[ProjectName]=DiscreteStatsTable[[#This Row],[ProjectName]]),(ProjectInfoTable[ProjectName]=DiscreteStatsTable[[#This Row],[ProjectName]])*ProjectInfoTable[ConfidenceInterval]))</f>
        <v>0.95</v>
      </c>
      <c r="Q589" s="5">
        <f>IF(AND(DiscreteStatsTable[[#This Row],[RepsWithStatObserved]]=1,Y589=0),200000000000000000000,IFERROR(_xlfn.T.INV.2T(1 -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9" s="5" cm="1">
        <f t="array" ref="R589">MIN(IF((DiscreteStatsTable[GroupByKey]=DiscreteStatsTable[[#This Row],[GroupByKey]]),(DiscreteStatsTable[GroupByKey]=DiscreteStatsTable[[#This Row],[GroupByKey]])*DiscreteStatsTable[Average]))</f>
        <v>0</v>
      </c>
      <c r="S589" s="5" cm="1">
        <f t="array" ref="S589">MAX(IF((DiscreteStatsTable[GroupByKey]=DiscreteStatsTable[[#This Row],[GroupByKey]]),(DiscreteStatsTable[GroupByKey]=DiscreteStatsTable[[#This Row],[GroupByKey]])*DiscreteStatsTable[Average]))</f>
        <v>0</v>
      </c>
      <c r="T589" s="5" cm="1">
        <f t="array" ref="T589">MIN(IF((DiscreteStatsTable[GroupByKey]=DiscreteStatsTable[[#This Row],[GroupByKey]]),(DiscreteStatsTable[GroupByKey]=DiscreteStatsTable[[#This Row],[GroupByKey]])*DiscreteStatsTable[Minimum]))</f>
        <v>0</v>
      </c>
      <c r="U589" s="5" cm="1">
        <f t="array" ref="U589">MAX(IF((DiscreteStatsTable[GroupByKey]=DiscreteStatsTable[[#This Row],[GroupByKey]]),(DiscreteStatsTable[GroupByKey]=DiscreteStatsTable[[#This Row],[GroupByKey]])*DiscreteStatsTable[Maximum]))</f>
        <v>0</v>
      </c>
      <c r="V589" s="5" cm="1">
        <f t="array" ref="V589">IFERROR(AVERAGE(IF((DiscreteStatsTable[GroupByKey]=DiscreteStatsTable[[#This Row],[GroupByKey]]),(DiscreteStatsTable[GroupByKey]=DiscreteStatsTable[[#This Row],[GroupByKey]])*DiscreteStatsTable[NumberObservations])),0)</f>
        <v>3</v>
      </c>
      <c r="W589" s="5">
        <f>IF((DiscreteStatsTable[[#This Row],[RepsRequested]]&gt;1),DiscreteStatsTable[[#This Row],[HalfWidth]],DiscreteStatsTable[[#This Row],[BatchMeansHalfWidth]])</f>
        <v>0</v>
      </c>
      <c r="X589" s="5" cm="1">
        <f t="array" ref="X589">COUNT(IF((DiscreteStatsTable[GroupByKey]=DiscreteStatsTable[[#This Row],[GroupByKey]]),(DiscreteStatsTable[GroupByKey]=DiscreteStatsTable[[#This Row],[GroupByKey]])*DiscreteStatsTable[Replication]))</f>
        <v>19</v>
      </c>
      <c r="Y589" s="5">
        <f>IF(DiscreteStatsTable[[#This Row],[RepsRequested]]=DiscreteStatsTable[[#This Row],[RepsWithStatObserved]],1,0)</f>
        <v>1</v>
      </c>
    </row>
    <row r="590" spans="1:25" x14ac:dyDescent="0.25">
      <c r="A590" t="s">
        <v>67</v>
      </c>
      <c r="B590" t="s">
        <v>69</v>
      </c>
      <c r="C590">
        <v>7</v>
      </c>
      <c r="D590" t="s">
        <v>127</v>
      </c>
      <c r="E590" t="s">
        <v>73</v>
      </c>
      <c r="F590" t="s">
        <v>72</v>
      </c>
      <c r="G590">
        <v>0</v>
      </c>
      <c r="H590">
        <v>2E+20</v>
      </c>
      <c r="I590">
        <v>0</v>
      </c>
      <c r="J590">
        <v>0</v>
      </c>
      <c r="K590">
        <v>3</v>
      </c>
      <c r="L59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compartida)relojOther TimeEntity</v>
      </c>
      <c r="M590" s="5" cm="1">
        <f t="array" ref="M590">MAX(IF((ProjectInfoTable[ProjectName]=DiscreteStatsTable[[#This Row],[ProjectName]]),(ProjectInfoTable[ProjectName]=DiscreteStatsTable[[#This Row],[ProjectName]])*ProjectInfoTable[NumberOfReplications]))</f>
        <v>19</v>
      </c>
      <c r="N590" s="5" cm="1">
        <f t="array" ref="N590">IFERROR(AVERAGE(IF((DiscreteStatsTable[GroupByKey]=DiscreteStatsTable[[#This Row],[GroupByKey]]),(DiscreteStatsTable[GroupByKey]=DiscreteStatsTable[[#This Row],[GroupByKey]])*DiscreteStatsTable[Average])),0)</f>
        <v>0</v>
      </c>
      <c r="O590" s="5" cm="1">
        <f t="array" ref="O590">IFERROR(_xlfn.STDEV.S(IF((DiscreteStatsTable[GroupByKey]=DiscreteStatsTable[[#This Row],[GroupByKey]]),(DiscreteStatsTable[GroupByKey]=DiscreteStatsTable[[#This Row],[GroupByKey]])*DiscreteStatsTable[Average])),0)</f>
        <v>0</v>
      </c>
      <c r="P590" s="5" cm="1">
        <f t="array" ref="P590">MAX(IF((ProjectInfoTable[ProjectName]=DiscreteStatsTable[[#This Row],[ProjectName]]),(ProjectInfoTable[ProjectName]=DiscreteStatsTable[[#This Row],[ProjectName]])*ProjectInfoTable[ConfidenceInterval]))</f>
        <v>0.95</v>
      </c>
      <c r="Q590" s="5">
        <f>IF(AND(DiscreteStatsTable[[#This Row],[RepsWithStatObserved]]=1,Y590=0),200000000000000000000,IFERROR(_xlfn.T.INV.2T(1 -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0" s="5" cm="1">
        <f t="array" ref="R590">MIN(IF((DiscreteStatsTable[GroupByKey]=DiscreteStatsTable[[#This Row],[GroupByKey]]),(DiscreteStatsTable[GroupByKey]=DiscreteStatsTable[[#This Row],[GroupByKey]])*DiscreteStatsTable[Average]))</f>
        <v>0</v>
      </c>
      <c r="S590" s="5" cm="1">
        <f t="array" ref="S590">MAX(IF((DiscreteStatsTable[GroupByKey]=DiscreteStatsTable[[#This Row],[GroupByKey]]),(DiscreteStatsTable[GroupByKey]=DiscreteStatsTable[[#This Row],[GroupByKey]])*DiscreteStatsTable[Average]))</f>
        <v>0</v>
      </c>
      <c r="T590" s="5" cm="1">
        <f t="array" ref="T590">MIN(IF((DiscreteStatsTable[GroupByKey]=DiscreteStatsTable[[#This Row],[GroupByKey]]),(DiscreteStatsTable[GroupByKey]=DiscreteStatsTable[[#This Row],[GroupByKey]])*DiscreteStatsTable[Minimum]))</f>
        <v>0</v>
      </c>
      <c r="U590" s="5" cm="1">
        <f t="array" ref="U590">MAX(IF((DiscreteStatsTable[GroupByKey]=DiscreteStatsTable[[#This Row],[GroupByKey]]),(DiscreteStatsTable[GroupByKey]=DiscreteStatsTable[[#This Row],[GroupByKey]])*DiscreteStatsTable[Maximum]))</f>
        <v>0</v>
      </c>
      <c r="V590" s="5" cm="1">
        <f t="array" ref="V590">IFERROR(AVERAGE(IF((DiscreteStatsTable[GroupByKey]=DiscreteStatsTable[[#This Row],[GroupByKey]]),(DiscreteStatsTable[GroupByKey]=DiscreteStatsTable[[#This Row],[GroupByKey]])*DiscreteStatsTable[NumberObservations])),0)</f>
        <v>3</v>
      </c>
      <c r="W590" s="5">
        <f>IF((DiscreteStatsTable[[#This Row],[RepsRequested]]&gt;1),DiscreteStatsTable[[#This Row],[HalfWidth]],DiscreteStatsTable[[#This Row],[BatchMeansHalfWidth]])</f>
        <v>0</v>
      </c>
      <c r="X590" s="5" cm="1">
        <f t="array" ref="X590">COUNT(IF((DiscreteStatsTable[GroupByKey]=DiscreteStatsTable[[#This Row],[GroupByKey]]),(DiscreteStatsTable[GroupByKey]=DiscreteStatsTable[[#This Row],[GroupByKey]])*DiscreteStatsTable[Replication]))</f>
        <v>19</v>
      </c>
      <c r="Y590" s="5">
        <f>IF(DiscreteStatsTable[[#This Row],[RepsRequested]]=DiscreteStatsTable[[#This Row],[RepsWithStatObserved]],1,0)</f>
        <v>1</v>
      </c>
    </row>
    <row r="591" spans="1:25" x14ac:dyDescent="0.25">
      <c r="A591" t="s">
        <v>67</v>
      </c>
      <c r="B591" t="s">
        <v>69</v>
      </c>
      <c r="C591">
        <v>7</v>
      </c>
      <c r="D591" t="s">
        <v>127</v>
      </c>
      <c r="E591" t="s">
        <v>74</v>
      </c>
      <c r="F591" t="s">
        <v>72</v>
      </c>
      <c r="G591">
        <v>0</v>
      </c>
      <c r="H591">
        <v>2E+20</v>
      </c>
      <c r="I591">
        <v>0</v>
      </c>
      <c r="J591">
        <v>0</v>
      </c>
      <c r="K591">
        <v>3</v>
      </c>
      <c r="L59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compartida)relojTotal TimeEntity</v>
      </c>
      <c r="M591" s="5" cm="1">
        <f t="array" ref="M591">MAX(IF((ProjectInfoTable[ProjectName]=DiscreteStatsTable[[#This Row],[ProjectName]]),(ProjectInfoTable[ProjectName]=DiscreteStatsTable[[#This Row],[ProjectName]])*ProjectInfoTable[NumberOfReplications]))</f>
        <v>19</v>
      </c>
      <c r="N591" s="5" cm="1">
        <f t="array" ref="N591">IFERROR(AVERAGE(IF((DiscreteStatsTable[GroupByKey]=DiscreteStatsTable[[#This Row],[GroupByKey]]),(DiscreteStatsTable[GroupByKey]=DiscreteStatsTable[[#This Row],[GroupByKey]])*DiscreteStatsTable[Average])),0)</f>
        <v>0</v>
      </c>
      <c r="O591" s="5" cm="1">
        <f t="array" ref="O591">IFERROR(_xlfn.STDEV.S(IF((DiscreteStatsTable[GroupByKey]=DiscreteStatsTable[[#This Row],[GroupByKey]]),(DiscreteStatsTable[GroupByKey]=DiscreteStatsTable[[#This Row],[GroupByKey]])*DiscreteStatsTable[Average])),0)</f>
        <v>0</v>
      </c>
      <c r="P591" s="5" cm="1">
        <f t="array" ref="P591">MAX(IF((ProjectInfoTable[ProjectName]=DiscreteStatsTable[[#This Row],[ProjectName]]),(ProjectInfoTable[ProjectName]=DiscreteStatsTable[[#This Row],[ProjectName]])*ProjectInfoTable[ConfidenceInterval]))</f>
        <v>0.95</v>
      </c>
      <c r="Q591" s="5">
        <f>IF(AND(DiscreteStatsTable[[#This Row],[RepsWithStatObserved]]=1,Y591=0),200000000000000000000,IFERROR(_xlfn.T.INV.2T(1 -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1" s="5" cm="1">
        <f t="array" ref="R591">MIN(IF((DiscreteStatsTable[GroupByKey]=DiscreteStatsTable[[#This Row],[GroupByKey]]),(DiscreteStatsTable[GroupByKey]=DiscreteStatsTable[[#This Row],[GroupByKey]])*DiscreteStatsTable[Average]))</f>
        <v>0</v>
      </c>
      <c r="S591" s="5" cm="1">
        <f t="array" ref="S591">MAX(IF((DiscreteStatsTable[GroupByKey]=DiscreteStatsTable[[#This Row],[GroupByKey]]),(DiscreteStatsTable[GroupByKey]=DiscreteStatsTable[[#This Row],[GroupByKey]])*DiscreteStatsTable[Average]))</f>
        <v>0</v>
      </c>
      <c r="T591" s="5" cm="1">
        <f t="array" ref="T591">MIN(IF((DiscreteStatsTable[GroupByKey]=DiscreteStatsTable[[#This Row],[GroupByKey]]),(DiscreteStatsTable[GroupByKey]=DiscreteStatsTable[[#This Row],[GroupByKey]])*DiscreteStatsTable[Minimum]))</f>
        <v>0</v>
      </c>
      <c r="U591" s="5" cm="1">
        <f t="array" ref="U591">MAX(IF((DiscreteStatsTable[GroupByKey]=DiscreteStatsTable[[#This Row],[GroupByKey]]),(DiscreteStatsTable[GroupByKey]=DiscreteStatsTable[[#This Row],[GroupByKey]])*DiscreteStatsTable[Maximum]))</f>
        <v>0</v>
      </c>
      <c r="V591" s="5" cm="1">
        <f t="array" ref="V591">IFERROR(AVERAGE(IF((DiscreteStatsTable[GroupByKey]=DiscreteStatsTable[[#This Row],[GroupByKey]]),(DiscreteStatsTable[GroupByKey]=DiscreteStatsTable[[#This Row],[GroupByKey]])*DiscreteStatsTable[NumberObservations])),0)</f>
        <v>3</v>
      </c>
      <c r="W591" s="5">
        <f>IF((DiscreteStatsTable[[#This Row],[RepsRequested]]&gt;1),DiscreteStatsTable[[#This Row],[HalfWidth]],DiscreteStatsTable[[#This Row],[BatchMeansHalfWidth]])</f>
        <v>0</v>
      </c>
      <c r="X591" s="5" cm="1">
        <f t="array" ref="X591">COUNT(IF((DiscreteStatsTable[GroupByKey]=DiscreteStatsTable[[#This Row],[GroupByKey]]),(DiscreteStatsTable[GroupByKey]=DiscreteStatsTable[[#This Row],[GroupByKey]])*DiscreteStatsTable[Replication]))</f>
        <v>19</v>
      </c>
      <c r="Y591" s="5">
        <f>IF(DiscreteStatsTable[[#This Row],[RepsRequested]]=DiscreteStatsTable[[#This Row],[RepsWithStatObserved]],1,0)</f>
        <v>1</v>
      </c>
    </row>
    <row r="592" spans="1:25" x14ac:dyDescent="0.25">
      <c r="A592" t="s">
        <v>67</v>
      </c>
      <c r="B592" t="s">
        <v>69</v>
      </c>
      <c r="C592">
        <v>7</v>
      </c>
      <c r="D592" t="s">
        <v>127</v>
      </c>
      <c r="E592" t="s">
        <v>75</v>
      </c>
      <c r="F592" t="s">
        <v>72</v>
      </c>
      <c r="G592">
        <v>0</v>
      </c>
      <c r="H592">
        <v>2E+20</v>
      </c>
      <c r="I592">
        <v>0</v>
      </c>
      <c r="J592">
        <v>0</v>
      </c>
      <c r="K592">
        <v>3</v>
      </c>
      <c r="L59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compartida)relojTransfer TimeEntity</v>
      </c>
      <c r="M592" s="5" cm="1">
        <f t="array" ref="M592">MAX(IF((ProjectInfoTable[ProjectName]=DiscreteStatsTable[[#This Row],[ProjectName]]),(ProjectInfoTable[ProjectName]=DiscreteStatsTable[[#This Row],[ProjectName]])*ProjectInfoTable[NumberOfReplications]))</f>
        <v>19</v>
      </c>
      <c r="N592" s="5" cm="1">
        <f t="array" ref="N592">IFERROR(AVERAGE(IF((DiscreteStatsTable[GroupByKey]=DiscreteStatsTable[[#This Row],[GroupByKey]]),(DiscreteStatsTable[GroupByKey]=DiscreteStatsTable[[#This Row],[GroupByKey]])*DiscreteStatsTable[Average])),0)</f>
        <v>0</v>
      </c>
      <c r="O592" s="5" cm="1">
        <f t="array" ref="O592">IFERROR(_xlfn.STDEV.S(IF((DiscreteStatsTable[GroupByKey]=DiscreteStatsTable[[#This Row],[GroupByKey]]),(DiscreteStatsTable[GroupByKey]=DiscreteStatsTable[[#This Row],[GroupByKey]])*DiscreteStatsTable[Average])),0)</f>
        <v>0</v>
      </c>
      <c r="P592" s="5" cm="1">
        <f t="array" ref="P592">MAX(IF((ProjectInfoTable[ProjectName]=DiscreteStatsTable[[#This Row],[ProjectName]]),(ProjectInfoTable[ProjectName]=DiscreteStatsTable[[#This Row],[ProjectName]])*ProjectInfoTable[ConfidenceInterval]))</f>
        <v>0.95</v>
      </c>
      <c r="Q592" s="5">
        <f>IF(AND(DiscreteStatsTable[[#This Row],[RepsWithStatObserved]]=1,Y592=0),200000000000000000000,IFERROR(_xlfn.T.INV.2T(1 -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2" s="5" cm="1">
        <f t="array" ref="R592">MIN(IF((DiscreteStatsTable[GroupByKey]=DiscreteStatsTable[[#This Row],[GroupByKey]]),(DiscreteStatsTable[GroupByKey]=DiscreteStatsTable[[#This Row],[GroupByKey]])*DiscreteStatsTable[Average]))</f>
        <v>0</v>
      </c>
      <c r="S592" s="5" cm="1">
        <f t="array" ref="S592">MAX(IF((DiscreteStatsTable[GroupByKey]=DiscreteStatsTable[[#This Row],[GroupByKey]]),(DiscreteStatsTable[GroupByKey]=DiscreteStatsTable[[#This Row],[GroupByKey]])*DiscreteStatsTable[Average]))</f>
        <v>0</v>
      </c>
      <c r="T592" s="5" cm="1">
        <f t="array" ref="T592">MIN(IF((DiscreteStatsTable[GroupByKey]=DiscreteStatsTable[[#This Row],[GroupByKey]]),(DiscreteStatsTable[GroupByKey]=DiscreteStatsTable[[#This Row],[GroupByKey]])*DiscreteStatsTable[Minimum]))</f>
        <v>0</v>
      </c>
      <c r="U592" s="5" cm="1">
        <f t="array" ref="U592">MAX(IF((DiscreteStatsTable[GroupByKey]=DiscreteStatsTable[[#This Row],[GroupByKey]]),(DiscreteStatsTable[GroupByKey]=DiscreteStatsTable[[#This Row],[GroupByKey]])*DiscreteStatsTable[Maximum]))</f>
        <v>0</v>
      </c>
      <c r="V592" s="5" cm="1">
        <f t="array" ref="V592">IFERROR(AVERAGE(IF((DiscreteStatsTable[GroupByKey]=DiscreteStatsTable[[#This Row],[GroupByKey]]),(DiscreteStatsTable[GroupByKey]=DiscreteStatsTable[[#This Row],[GroupByKey]])*DiscreteStatsTable[NumberObservations])),0)</f>
        <v>3</v>
      </c>
      <c r="W592" s="5">
        <f>IF((DiscreteStatsTable[[#This Row],[RepsRequested]]&gt;1),DiscreteStatsTable[[#This Row],[HalfWidth]],DiscreteStatsTable[[#This Row],[BatchMeansHalfWidth]])</f>
        <v>0</v>
      </c>
      <c r="X592" s="5" cm="1">
        <f t="array" ref="X592">COUNT(IF((DiscreteStatsTable[GroupByKey]=DiscreteStatsTable[[#This Row],[GroupByKey]]),(DiscreteStatsTable[GroupByKey]=DiscreteStatsTable[[#This Row],[GroupByKey]])*DiscreteStatsTable[Replication]))</f>
        <v>19</v>
      </c>
      <c r="Y592" s="5">
        <f>IF(DiscreteStatsTable[[#This Row],[RepsRequested]]=DiscreteStatsTable[[#This Row],[RepsWithStatObserved]],1,0)</f>
        <v>1</v>
      </c>
    </row>
    <row r="593" spans="1:25" x14ac:dyDescent="0.25">
      <c r="A593" t="s">
        <v>67</v>
      </c>
      <c r="B593" t="s">
        <v>69</v>
      </c>
      <c r="C593">
        <v>7</v>
      </c>
      <c r="D593" t="s">
        <v>127</v>
      </c>
      <c r="E593" t="s">
        <v>76</v>
      </c>
      <c r="F593" t="s">
        <v>72</v>
      </c>
      <c r="G593">
        <v>0</v>
      </c>
      <c r="H593">
        <v>2E+20</v>
      </c>
      <c r="I593">
        <v>0</v>
      </c>
      <c r="J593">
        <v>0</v>
      </c>
      <c r="K593">
        <v>3</v>
      </c>
      <c r="L59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compartida)relojVA TimeEntity</v>
      </c>
      <c r="M593" s="5" cm="1">
        <f t="array" ref="M593">MAX(IF((ProjectInfoTable[ProjectName]=DiscreteStatsTable[[#This Row],[ProjectName]]),(ProjectInfoTable[ProjectName]=DiscreteStatsTable[[#This Row],[ProjectName]])*ProjectInfoTable[NumberOfReplications]))</f>
        <v>19</v>
      </c>
      <c r="N593" s="5" cm="1">
        <f t="array" ref="N593">IFERROR(AVERAGE(IF((DiscreteStatsTable[GroupByKey]=DiscreteStatsTable[[#This Row],[GroupByKey]]),(DiscreteStatsTable[GroupByKey]=DiscreteStatsTable[[#This Row],[GroupByKey]])*DiscreteStatsTable[Average])),0)</f>
        <v>0</v>
      </c>
      <c r="O593" s="5" cm="1">
        <f t="array" ref="O593">IFERROR(_xlfn.STDEV.S(IF((DiscreteStatsTable[GroupByKey]=DiscreteStatsTable[[#This Row],[GroupByKey]]),(DiscreteStatsTable[GroupByKey]=DiscreteStatsTable[[#This Row],[GroupByKey]])*DiscreteStatsTable[Average])),0)</f>
        <v>0</v>
      </c>
      <c r="P593" s="5" cm="1">
        <f t="array" ref="P593">MAX(IF((ProjectInfoTable[ProjectName]=DiscreteStatsTable[[#This Row],[ProjectName]]),(ProjectInfoTable[ProjectName]=DiscreteStatsTable[[#This Row],[ProjectName]])*ProjectInfoTable[ConfidenceInterval]))</f>
        <v>0.95</v>
      </c>
      <c r="Q593" s="5">
        <f>IF(AND(DiscreteStatsTable[[#This Row],[RepsWithStatObserved]]=1,Y593=0),200000000000000000000,IFERROR(_xlfn.T.INV.2T(1 -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3" s="5" cm="1">
        <f t="array" ref="R593">MIN(IF((DiscreteStatsTable[GroupByKey]=DiscreteStatsTable[[#This Row],[GroupByKey]]),(DiscreteStatsTable[GroupByKey]=DiscreteStatsTable[[#This Row],[GroupByKey]])*DiscreteStatsTable[Average]))</f>
        <v>0</v>
      </c>
      <c r="S593" s="5" cm="1">
        <f t="array" ref="S593">MAX(IF((DiscreteStatsTable[GroupByKey]=DiscreteStatsTable[[#This Row],[GroupByKey]]),(DiscreteStatsTable[GroupByKey]=DiscreteStatsTable[[#This Row],[GroupByKey]])*DiscreteStatsTable[Average]))</f>
        <v>0</v>
      </c>
      <c r="T593" s="5" cm="1">
        <f t="array" ref="T593">MIN(IF((DiscreteStatsTable[GroupByKey]=DiscreteStatsTable[[#This Row],[GroupByKey]]),(DiscreteStatsTable[GroupByKey]=DiscreteStatsTable[[#This Row],[GroupByKey]])*DiscreteStatsTable[Minimum]))</f>
        <v>0</v>
      </c>
      <c r="U593" s="5" cm="1">
        <f t="array" ref="U593">MAX(IF((DiscreteStatsTable[GroupByKey]=DiscreteStatsTable[[#This Row],[GroupByKey]]),(DiscreteStatsTable[GroupByKey]=DiscreteStatsTable[[#This Row],[GroupByKey]])*DiscreteStatsTable[Maximum]))</f>
        <v>0</v>
      </c>
      <c r="V593" s="5" cm="1">
        <f t="array" ref="V593">IFERROR(AVERAGE(IF((DiscreteStatsTable[GroupByKey]=DiscreteStatsTable[[#This Row],[GroupByKey]]),(DiscreteStatsTable[GroupByKey]=DiscreteStatsTable[[#This Row],[GroupByKey]])*DiscreteStatsTable[NumberObservations])),0)</f>
        <v>3</v>
      </c>
      <c r="W593" s="5">
        <f>IF((DiscreteStatsTable[[#This Row],[RepsRequested]]&gt;1),DiscreteStatsTable[[#This Row],[HalfWidth]],DiscreteStatsTable[[#This Row],[BatchMeansHalfWidth]])</f>
        <v>0</v>
      </c>
      <c r="X593" s="5" cm="1">
        <f t="array" ref="X593">COUNT(IF((DiscreteStatsTable[GroupByKey]=DiscreteStatsTable[[#This Row],[GroupByKey]]),(DiscreteStatsTable[GroupByKey]=DiscreteStatsTable[[#This Row],[GroupByKey]])*DiscreteStatsTable[Replication]))</f>
        <v>19</v>
      </c>
      <c r="Y593" s="5">
        <f>IF(DiscreteStatsTable[[#This Row],[RepsRequested]]=DiscreteStatsTable[[#This Row],[RepsWithStatObserved]],1,0)</f>
        <v>1</v>
      </c>
    </row>
    <row r="594" spans="1:25" x14ac:dyDescent="0.25">
      <c r="A594" t="s">
        <v>67</v>
      </c>
      <c r="B594" t="s">
        <v>69</v>
      </c>
      <c r="C594">
        <v>7</v>
      </c>
      <c r="D594" t="s">
        <v>127</v>
      </c>
      <c r="E594" t="s">
        <v>77</v>
      </c>
      <c r="F594" t="s">
        <v>72</v>
      </c>
      <c r="G594">
        <v>0</v>
      </c>
      <c r="H594">
        <v>2E+20</v>
      </c>
      <c r="I594">
        <v>0</v>
      </c>
      <c r="J594">
        <v>0</v>
      </c>
      <c r="K594">
        <v>3</v>
      </c>
      <c r="L59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compartida)relojWait TimeEntity</v>
      </c>
      <c r="M594" s="5" cm="1">
        <f t="array" ref="M594">MAX(IF((ProjectInfoTable[ProjectName]=DiscreteStatsTable[[#This Row],[ProjectName]]),(ProjectInfoTable[ProjectName]=DiscreteStatsTable[[#This Row],[ProjectName]])*ProjectInfoTable[NumberOfReplications]))</f>
        <v>19</v>
      </c>
      <c r="N594" s="5" cm="1">
        <f t="array" ref="N594">IFERROR(AVERAGE(IF((DiscreteStatsTable[GroupByKey]=DiscreteStatsTable[[#This Row],[GroupByKey]]),(DiscreteStatsTable[GroupByKey]=DiscreteStatsTable[[#This Row],[GroupByKey]])*DiscreteStatsTable[Average])),0)</f>
        <v>0</v>
      </c>
      <c r="O594" s="5" cm="1">
        <f t="array" ref="O594">IFERROR(_xlfn.STDEV.S(IF((DiscreteStatsTable[GroupByKey]=DiscreteStatsTable[[#This Row],[GroupByKey]]),(DiscreteStatsTable[GroupByKey]=DiscreteStatsTable[[#This Row],[GroupByKey]])*DiscreteStatsTable[Average])),0)</f>
        <v>0</v>
      </c>
      <c r="P594" s="5" cm="1">
        <f t="array" ref="P594">MAX(IF((ProjectInfoTable[ProjectName]=DiscreteStatsTable[[#This Row],[ProjectName]]),(ProjectInfoTable[ProjectName]=DiscreteStatsTable[[#This Row],[ProjectName]])*ProjectInfoTable[ConfidenceInterval]))</f>
        <v>0.95</v>
      </c>
      <c r="Q594" s="5">
        <f>IF(AND(DiscreteStatsTable[[#This Row],[RepsWithStatObserved]]=1,Y594=0),200000000000000000000,IFERROR(_xlfn.T.INV.2T(1 -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4" s="5" cm="1">
        <f t="array" ref="R594">MIN(IF((DiscreteStatsTable[GroupByKey]=DiscreteStatsTable[[#This Row],[GroupByKey]]),(DiscreteStatsTable[GroupByKey]=DiscreteStatsTable[[#This Row],[GroupByKey]])*DiscreteStatsTable[Average]))</f>
        <v>0</v>
      </c>
      <c r="S594" s="5" cm="1">
        <f t="array" ref="S594">MAX(IF((DiscreteStatsTable[GroupByKey]=DiscreteStatsTable[[#This Row],[GroupByKey]]),(DiscreteStatsTable[GroupByKey]=DiscreteStatsTable[[#This Row],[GroupByKey]])*DiscreteStatsTable[Average]))</f>
        <v>0</v>
      </c>
      <c r="T594" s="5" cm="1">
        <f t="array" ref="T594">MIN(IF((DiscreteStatsTable[GroupByKey]=DiscreteStatsTable[[#This Row],[GroupByKey]]),(DiscreteStatsTable[GroupByKey]=DiscreteStatsTable[[#This Row],[GroupByKey]])*DiscreteStatsTable[Minimum]))</f>
        <v>0</v>
      </c>
      <c r="U594" s="5" cm="1">
        <f t="array" ref="U594">MAX(IF((DiscreteStatsTable[GroupByKey]=DiscreteStatsTable[[#This Row],[GroupByKey]]),(DiscreteStatsTable[GroupByKey]=DiscreteStatsTable[[#This Row],[GroupByKey]])*DiscreteStatsTable[Maximum]))</f>
        <v>0</v>
      </c>
      <c r="V594" s="5" cm="1">
        <f t="array" ref="V594">IFERROR(AVERAGE(IF((DiscreteStatsTable[GroupByKey]=DiscreteStatsTable[[#This Row],[GroupByKey]]),(DiscreteStatsTable[GroupByKey]=DiscreteStatsTable[[#This Row],[GroupByKey]])*DiscreteStatsTable[NumberObservations])),0)</f>
        <v>3</v>
      </c>
      <c r="W594" s="5">
        <f>IF((DiscreteStatsTable[[#This Row],[RepsRequested]]&gt;1),DiscreteStatsTable[[#This Row],[HalfWidth]],DiscreteStatsTable[[#This Row],[BatchMeansHalfWidth]])</f>
        <v>0</v>
      </c>
      <c r="X594" s="5" cm="1">
        <f t="array" ref="X594">COUNT(IF((DiscreteStatsTable[GroupByKey]=DiscreteStatsTable[[#This Row],[GroupByKey]]),(DiscreteStatsTable[GroupByKey]=DiscreteStatsTable[[#This Row],[GroupByKey]])*DiscreteStatsTable[Replication]))</f>
        <v>19</v>
      </c>
      <c r="Y594" s="5">
        <f>IF(DiscreteStatsTable[[#This Row],[RepsRequested]]=DiscreteStatsTable[[#This Row],[RepsWithStatObserved]],1,0)</f>
        <v>1</v>
      </c>
    </row>
    <row r="595" spans="1:25" x14ac:dyDescent="0.25">
      <c r="A595" t="s">
        <v>67</v>
      </c>
      <c r="B595" t="s">
        <v>69</v>
      </c>
      <c r="C595">
        <v>8</v>
      </c>
      <c r="D595" t="s">
        <v>127</v>
      </c>
      <c r="E595" t="s">
        <v>71</v>
      </c>
      <c r="F595" t="s">
        <v>72</v>
      </c>
      <c r="G595">
        <v>0</v>
      </c>
      <c r="H595">
        <v>2E+20</v>
      </c>
      <c r="I595">
        <v>0</v>
      </c>
      <c r="J595">
        <v>0</v>
      </c>
      <c r="K595">
        <v>3</v>
      </c>
      <c r="L59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compartida)relojNVA TimeEntity</v>
      </c>
      <c r="M595" s="5" cm="1">
        <f t="array" ref="M595">MAX(IF((ProjectInfoTable[ProjectName]=DiscreteStatsTable[[#This Row],[ProjectName]]),(ProjectInfoTable[ProjectName]=DiscreteStatsTable[[#This Row],[ProjectName]])*ProjectInfoTable[NumberOfReplications]))</f>
        <v>19</v>
      </c>
      <c r="N595" s="5" cm="1">
        <f t="array" ref="N595">IFERROR(AVERAGE(IF((DiscreteStatsTable[GroupByKey]=DiscreteStatsTable[[#This Row],[GroupByKey]]),(DiscreteStatsTable[GroupByKey]=DiscreteStatsTable[[#This Row],[GroupByKey]])*DiscreteStatsTable[Average])),0)</f>
        <v>0</v>
      </c>
      <c r="O595" s="5" cm="1">
        <f t="array" ref="O595">IFERROR(_xlfn.STDEV.S(IF((DiscreteStatsTable[GroupByKey]=DiscreteStatsTable[[#This Row],[GroupByKey]]),(DiscreteStatsTable[GroupByKey]=DiscreteStatsTable[[#This Row],[GroupByKey]])*DiscreteStatsTable[Average])),0)</f>
        <v>0</v>
      </c>
      <c r="P595" s="5" cm="1">
        <f t="array" ref="P595">MAX(IF((ProjectInfoTable[ProjectName]=DiscreteStatsTable[[#This Row],[ProjectName]]),(ProjectInfoTable[ProjectName]=DiscreteStatsTable[[#This Row],[ProjectName]])*ProjectInfoTable[ConfidenceInterval]))</f>
        <v>0.95</v>
      </c>
      <c r="Q595" s="5">
        <f>IF(AND(DiscreteStatsTable[[#This Row],[RepsWithStatObserved]]=1,Y595=0),200000000000000000000,IFERROR(_xlfn.T.INV.2T(1 -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5" s="5" cm="1">
        <f t="array" ref="R595">MIN(IF((DiscreteStatsTable[GroupByKey]=DiscreteStatsTable[[#This Row],[GroupByKey]]),(DiscreteStatsTable[GroupByKey]=DiscreteStatsTable[[#This Row],[GroupByKey]])*DiscreteStatsTable[Average]))</f>
        <v>0</v>
      </c>
      <c r="S595" s="5" cm="1">
        <f t="array" ref="S595">MAX(IF((DiscreteStatsTable[GroupByKey]=DiscreteStatsTable[[#This Row],[GroupByKey]]),(DiscreteStatsTable[GroupByKey]=DiscreteStatsTable[[#This Row],[GroupByKey]])*DiscreteStatsTable[Average]))</f>
        <v>0</v>
      </c>
      <c r="T595" s="5" cm="1">
        <f t="array" ref="T595">MIN(IF((DiscreteStatsTable[GroupByKey]=DiscreteStatsTable[[#This Row],[GroupByKey]]),(DiscreteStatsTable[GroupByKey]=DiscreteStatsTable[[#This Row],[GroupByKey]])*DiscreteStatsTable[Minimum]))</f>
        <v>0</v>
      </c>
      <c r="U595" s="5" cm="1">
        <f t="array" ref="U595">MAX(IF((DiscreteStatsTable[GroupByKey]=DiscreteStatsTable[[#This Row],[GroupByKey]]),(DiscreteStatsTable[GroupByKey]=DiscreteStatsTable[[#This Row],[GroupByKey]])*DiscreteStatsTable[Maximum]))</f>
        <v>0</v>
      </c>
      <c r="V595" s="5" cm="1">
        <f t="array" ref="V595">IFERROR(AVERAGE(IF((DiscreteStatsTable[GroupByKey]=DiscreteStatsTable[[#This Row],[GroupByKey]]),(DiscreteStatsTable[GroupByKey]=DiscreteStatsTable[[#This Row],[GroupByKey]])*DiscreteStatsTable[NumberObservations])),0)</f>
        <v>3</v>
      </c>
      <c r="W595" s="5">
        <f>IF((DiscreteStatsTable[[#This Row],[RepsRequested]]&gt;1),DiscreteStatsTable[[#This Row],[HalfWidth]],DiscreteStatsTable[[#This Row],[BatchMeansHalfWidth]])</f>
        <v>0</v>
      </c>
      <c r="X595" s="5" cm="1">
        <f t="array" ref="X595">COUNT(IF((DiscreteStatsTable[GroupByKey]=DiscreteStatsTable[[#This Row],[GroupByKey]]),(DiscreteStatsTable[GroupByKey]=DiscreteStatsTable[[#This Row],[GroupByKey]])*DiscreteStatsTable[Replication]))</f>
        <v>19</v>
      </c>
      <c r="Y595" s="5">
        <f>IF(DiscreteStatsTable[[#This Row],[RepsRequested]]=DiscreteStatsTable[[#This Row],[RepsWithStatObserved]],1,0)</f>
        <v>1</v>
      </c>
    </row>
    <row r="596" spans="1:25" x14ac:dyDescent="0.25">
      <c r="A596" t="s">
        <v>67</v>
      </c>
      <c r="B596" t="s">
        <v>69</v>
      </c>
      <c r="C596">
        <v>8</v>
      </c>
      <c r="D596" t="s">
        <v>127</v>
      </c>
      <c r="E596" t="s">
        <v>73</v>
      </c>
      <c r="F596" t="s">
        <v>72</v>
      </c>
      <c r="G596">
        <v>0</v>
      </c>
      <c r="H596">
        <v>2E+20</v>
      </c>
      <c r="I596">
        <v>0</v>
      </c>
      <c r="J596">
        <v>0</v>
      </c>
      <c r="K596">
        <v>3</v>
      </c>
      <c r="L59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compartida)relojOther TimeEntity</v>
      </c>
      <c r="M596" s="5" cm="1">
        <f t="array" ref="M596">MAX(IF((ProjectInfoTable[ProjectName]=DiscreteStatsTable[[#This Row],[ProjectName]]),(ProjectInfoTable[ProjectName]=DiscreteStatsTable[[#This Row],[ProjectName]])*ProjectInfoTable[NumberOfReplications]))</f>
        <v>19</v>
      </c>
      <c r="N596" s="5" cm="1">
        <f t="array" ref="N596">IFERROR(AVERAGE(IF((DiscreteStatsTable[GroupByKey]=DiscreteStatsTable[[#This Row],[GroupByKey]]),(DiscreteStatsTable[GroupByKey]=DiscreteStatsTable[[#This Row],[GroupByKey]])*DiscreteStatsTable[Average])),0)</f>
        <v>0</v>
      </c>
      <c r="O596" s="5" cm="1">
        <f t="array" ref="O596">IFERROR(_xlfn.STDEV.S(IF((DiscreteStatsTable[GroupByKey]=DiscreteStatsTable[[#This Row],[GroupByKey]]),(DiscreteStatsTable[GroupByKey]=DiscreteStatsTable[[#This Row],[GroupByKey]])*DiscreteStatsTable[Average])),0)</f>
        <v>0</v>
      </c>
      <c r="P596" s="5" cm="1">
        <f t="array" ref="P596">MAX(IF((ProjectInfoTable[ProjectName]=DiscreteStatsTable[[#This Row],[ProjectName]]),(ProjectInfoTable[ProjectName]=DiscreteStatsTable[[#This Row],[ProjectName]])*ProjectInfoTable[ConfidenceInterval]))</f>
        <v>0.95</v>
      </c>
      <c r="Q596" s="5">
        <f>IF(AND(DiscreteStatsTable[[#This Row],[RepsWithStatObserved]]=1,Y596=0),200000000000000000000,IFERROR(_xlfn.T.INV.2T(1 -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6" s="5" cm="1">
        <f t="array" ref="R596">MIN(IF((DiscreteStatsTable[GroupByKey]=DiscreteStatsTable[[#This Row],[GroupByKey]]),(DiscreteStatsTable[GroupByKey]=DiscreteStatsTable[[#This Row],[GroupByKey]])*DiscreteStatsTable[Average]))</f>
        <v>0</v>
      </c>
      <c r="S596" s="5" cm="1">
        <f t="array" ref="S596">MAX(IF((DiscreteStatsTable[GroupByKey]=DiscreteStatsTable[[#This Row],[GroupByKey]]),(DiscreteStatsTable[GroupByKey]=DiscreteStatsTable[[#This Row],[GroupByKey]])*DiscreteStatsTable[Average]))</f>
        <v>0</v>
      </c>
      <c r="T596" s="5" cm="1">
        <f t="array" ref="T596">MIN(IF((DiscreteStatsTable[GroupByKey]=DiscreteStatsTable[[#This Row],[GroupByKey]]),(DiscreteStatsTable[GroupByKey]=DiscreteStatsTable[[#This Row],[GroupByKey]])*DiscreteStatsTable[Minimum]))</f>
        <v>0</v>
      </c>
      <c r="U596" s="5" cm="1">
        <f t="array" ref="U596">MAX(IF((DiscreteStatsTable[GroupByKey]=DiscreteStatsTable[[#This Row],[GroupByKey]]),(DiscreteStatsTable[GroupByKey]=DiscreteStatsTable[[#This Row],[GroupByKey]])*DiscreteStatsTable[Maximum]))</f>
        <v>0</v>
      </c>
      <c r="V596" s="5" cm="1">
        <f t="array" ref="V596">IFERROR(AVERAGE(IF((DiscreteStatsTable[GroupByKey]=DiscreteStatsTable[[#This Row],[GroupByKey]]),(DiscreteStatsTable[GroupByKey]=DiscreteStatsTable[[#This Row],[GroupByKey]])*DiscreteStatsTable[NumberObservations])),0)</f>
        <v>3</v>
      </c>
      <c r="W596" s="5">
        <f>IF((DiscreteStatsTable[[#This Row],[RepsRequested]]&gt;1),DiscreteStatsTable[[#This Row],[HalfWidth]],DiscreteStatsTable[[#This Row],[BatchMeansHalfWidth]])</f>
        <v>0</v>
      </c>
      <c r="X596" s="5" cm="1">
        <f t="array" ref="X596">COUNT(IF((DiscreteStatsTable[GroupByKey]=DiscreteStatsTable[[#This Row],[GroupByKey]]),(DiscreteStatsTable[GroupByKey]=DiscreteStatsTable[[#This Row],[GroupByKey]])*DiscreteStatsTable[Replication]))</f>
        <v>19</v>
      </c>
      <c r="Y596" s="5">
        <f>IF(DiscreteStatsTable[[#This Row],[RepsRequested]]=DiscreteStatsTable[[#This Row],[RepsWithStatObserved]],1,0)</f>
        <v>1</v>
      </c>
    </row>
    <row r="597" spans="1:25" x14ac:dyDescent="0.25">
      <c r="A597" t="s">
        <v>67</v>
      </c>
      <c r="B597" t="s">
        <v>69</v>
      </c>
      <c r="C597">
        <v>8</v>
      </c>
      <c r="D597" t="s">
        <v>127</v>
      </c>
      <c r="E597" t="s">
        <v>74</v>
      </c>
      <c r="F597" t="s">
        <v>72</v>
      </c>
      <c r="G597">
        <v>0</v>
      </c>
      <c r="H597">
        <v>2E+20</v>
      </c>
      <c r="I597">
        <v>0</v>
      </c>
      <c r="J597">
        <v>0</v>
      </c>
      <c r="K597">
        <v>3</v>
      </c>
      <c r="L59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compartida)relojTotal TimeEntity</v>
      </c>
      <c r="M597" s="5" cm="1">
        <f t="array" ref="M597">MAX(IF((ProjectInfoTable[ProjectName]=DiscreteStatsTable[[#This Row],[ProjectName]]),(ProjectInfoTable[ProjectName]=DiscreteStatsTable[[#This Row],[ProjectName]])*ProjectInfoTable[NumberOfReplications]))</f>
        <v>19</v>
      </c>
      <c r="N597" s="5" cm="1">
        <f t="array" ref="N597">IFERROR(AVERAGE(IF((DiscreteStatsTable[GroupByKey]=DiscreteStatsTable[[#This Row],[GroupByKey]]),(DiscreteStatsTable[GroupByKey]=DiscreteStatsTable[[#This Row],[GroupByKey]])*DiscreteStatsTable[Average])),0)</f>
        <v>0</v>
      </c>
      <c r="O597" s="5" cm="1">
        <f t="array" ref="O597">IFERROR(_xlfn.STDEV.S(IF((DiscreteStatsTable[GroupByKey]=DiscreteStatsTable[[#This Row],[GroupByKey]]),(DiscreteStatsTable[GroupByKey]=DiscreteStatsTable[[#This Row],[GroupByKey]])*DiscreteStatsTable[Average])),0)</f>
        <v>0</v>
      </c>
      <c r="P597" s="5" cm="1">
        <f t="array" ref="P597">MAX(IF((ProjectInfoTable[ProjectName]=DiscreteStatsTable[[#This Row],[ProjectName]]),(ProjectInfoTable[ProjectName]=DiscreteStatsTable[[#This Row],[ProjectName]])*ProjectInfoTable[ConfidenceInterval]))</f>
        <v>0.95</v>
      </c>
      <c r="Q597" s="5">
        <f>IF(AND(DiscreteStatsTable[[#This Row],[RepsWithStatObserved]]=1,Y597=0),200000000000000000000,IFERROR(_xlfn.T.INV.2T(1 -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7" s="5" cm="1">
        <f t="array" ref="R597">MIN(IF((DiscreteStatsTable[GroupByKey]=DiscreteStatsTable[[#This Row],[GroupByKey]]),(DiscreteStatsTable[GroupByKey]=DiscreteStatsTable[[#This Row],[GroupByKey]])*DiscreteStatsTable[Average]))</f>
        <v>0</v>
      </c>
      <c r="S597" s="5" cm="1">
        <f t="array" ref="S597">MAX(IF((DiscreteStatsTable[GroupByKey]=DiscreteStatsTable[[#This Row],[GroupByKey]]),(DiscreteStatsTable[GroupByKey]=DiscreteStatsTable[[#This Row],[GroupByKey]])*DiscreteStatsTable[Average]))</f>
        <v>0</v>
      </c>
      <c r="T597" s="5" cm="1">
        <f t="array" ref="T597">MIN(IF((DiscreteStatsTable[GroupByKey]=DiscreteStatsTable[[#This Row],[GroupByKey]]),(DiscreteStatsTable[GroupByKey]=DiscreteStatsTable[[#This Row],[GroupByKey]])*DiscreteStatsTable[Minimum]))</f>
        <v>0</v>
      </c>
      <c r="U597" s="5" cm="1">
        <f t="array" ref="U597">MAX(IF((DiscreteStatsTable[GroupByKey]=DiscreteStatsTable[[#This Row],[GroupByKey]]),(DiscreteStatsTable[GroupByKey]=DiscreteStatsTable[[#This Row],[GroupByKey]])*DiscreteStatsTable[Maximum]))</f>
        <v>0</v>
      </c>
      <c r="V597" s="5" cm="1">
        <f t="array" ref="V597">IFERROR(AVERAGE(IF((DiscreteStatsTable[GroupByKey]=DiscreteStatsTable[[#This Row],[GroupByKey]]),(DiscreteStatsTable[GroupByKey]=DiscreteStatsTable[[#This Row],[GroupByKey]])*DiscreteStatsTable[NumberObservations])),0)</f>
        <v>3</v>
      </c>
      <c r="W597" s="5">
        <f>IF((DiscreteStatsTable[[#This Row],[RepsRequested]]&gt;1),DiscreteStatsTable[[#This Row],[HalfWidth]],DiscreteStatsTable[[#This Row],[BatchMeansHalfWidth]])</f>
        <v>0</v>
      </c>
      <c r="X597" s="5" cm="1">
        <f t="array" ref="X597">COUNT(IF((DiscreteStatsTable[GroupByKey]=DiscreteStatsTable[[#This Row],[GroupByKey]]),(DiscreteStatsTable[GroupByKey]=DiscreteStatsTable[[#This Row],[GroupByKey]])*DiscreteStatsTable[Replication]))</f>
        <v>19</v>
      </c>
      <c r="Y597" s="5">
        <f>IF(DiscreteStatsTable[[#This Row],[RepsRequested]]=DiscreteStatsTable[[#This Row],[RepsWithStatObserved]],1,0)</f>
        <v>1</v>
      </c>
    </row>
    <row r="598" spans="1:25" x14ac:dyDescent="0.25">
      <c r="A598" t="s">
        <v>67</v>
      </c>
      <c r="B598" t="s">
        <v>69</v>
      </c>
      <c r="C598">
        <v>8</v>
      </c>
      <c r="D598" t="s">
        <v>127</v>
      </c>
      <c r="E598" t="s">
        <v>75</v>
      </c>
      <c r="F598" t="s">
        <v>72</v>
      </c>
      <c r="G598">
        <v>0</v>
      </c>
      <c r="H598">
        <v>2E+20</v>
      </c>
      <c r="I598">
        <v>0</v>
      </c>
      <c r="J598">
        <v>0</v>
      </c>
      <c r="K598">
        <v>3</v>
      </c>
      <c r="L59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compartida)relojTransfer TimeEntity</v>
      </c>
      <c r="M598" s="5" cm="1">
        <f t="array" ref="M598">MAX(IF((ProjectInfoTable[ProjectName]=DiscreteStatsTable[[#This Row],[ProjectName]]),(ProjectInfoTable[ProjectName]=DiscreteStatsTable[[#This Row],[ProjectName]])*ProjectInfoTable[NumberOfReplications]))</f>
        <v>19</v>
      </c>
      <c r="N598" s="5" cm="1">
        <f t="array" ref="N598">IFERROR(AVERAGE(IF((DiscreteStatsTable[GroupByKey]=DiscreteStatsTable[[#This Row],[GroupByKey]]),(DiscreteStatsTable[GroupByKey]=DiscreteStatsTable[[#This Row],[GroupByKey]])*DiscreteStatsTable[Average])),0)</f>
        <v>0</v>
      </c>
      <c r="O598" s="5" cm="1">
        <f t="array" ref="O598">IFERROR(_xlfn.STDEV.S(IF((DiscreteStatsTable[GroupByKey]=DiscreteStatsTable[[#This Row],[GroupByKey]]),(DiscreteStatsTable[GroupByKey]=DiscreteStatsTable[[#This Row],[GroupByKey]])*DiscreteStatsTable[Average])),0)</f>
        <v>0</v>
      </c>
      <c r="P598" s="5" cm="1">
        <f t="array" ref="P598">MAX(IF((ProjectInfoTable[ProjectName]=DiscreteStatsTable[[#This Row],[ProjectName]]),(ProjectInfoTable[ProjectName]=DiscreteStatsTable[[#This Row],[ProjectName]])*ProjectInfoTable[ConfidenceInterval]))</f>
        <v>0.95</v>
      </c>
      <c r="Q598" s="5">
        <f>IF(AND(DiscreteStatsTable[[#This Row],[RepsWithStatObserved]]=1,Y598=0),200000000000000000000,IFERROR(_xlfn.T.INV.2T(1 -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8" s="5" cm="1">
        <f t="array" ref="R598">MIN(IF((DiscreteStatsTable[GroupByKey]=DiscreteStatsTable[[#This Row],[GroupByKey]]),(DiscreteStatsTable[GroupByKey]=DiscreteStatsTable[[#This Row],[GroupByKey]])*DiscreteStatsTable[Average]))</f>
        <v>0</v>
      </c>
      <c r="S598" s="5" cm="1">
        <f t="array" ref="S598">MAX(IF((DiscreteStatsTable[GroupByKey]=DiscreteStatsTable[[#This Row],[GroupByKey]]),(DiscreteStatsTable[GroupByKey]=DiscreteStatsTable[[#This Row],[GroupByKey]])*DiscreteStatsTable[Average]))</f>
        <v>0</v>
      </c>
      <c r="T598" s="5" cm="1">
        <f t="array" ref="T598">MIN(IF((DiscreteStatsTable[GroupByKey]=DiscreteStatsTable[[#This Row],[GroupByKey]]),(DiscreteStatsTable[GroupByKey]=DiscreteStatsTable[[#This Row],[GroupByKey]])*DiscreteStatsTable[Minimum]))</f>
        <v>0</v>
      </c>
      <c r="U598" s="5" cm="1">
        <f t="array" ref="U598">MAX(IF((DiscreteStatsTable[GroupByKey]=DiscreteStatsTable[[#This Row],[GroupByKey]]),(DiscreteStatsTable[GroupByKey]=DiscreteStatsTable[[#This Row],[GroupByKey]])*DiscreteStatsTable[Maximum]))</f>
        <v>0</v>
      </c>
      <c r="V598" s="5" cm="1">
        <f t="array" ref="V598">IFERROR(AVERAGE(IF((DiscreteStatsTable[GroupByKey]=DiscreteStatsTable[[#This Row],[GroupByKey]]),(DiscreteStatsTable[GroupByKey]=DiscreteStatsTable[[#This Row],[GroupByKey]])*DiscreteStatsTable[NumberObservations])),0)</f>
        <v>3</v>
      </c>
      <c r="W598" s="5">
        <f>IF((DiscreteStatsTable[[#This Row],[RepsRequested]]&gt;1),DiscreteStatsTable[[#This Row],[HalfWidth]],DiscreteStatsTable[[#This Row],[BatchMeansHalfWidth]])</f>
        <v>0</v>
      </c>
      <c r="X598" s="5" cm="1">
        <f t="array" ref="X598">COUNT(IF((DiscreteStatsTable[GroupByKey]=DiscreteStatsTable[[#This Row],[GroupByKey]]),(DiscreteStatsTable[GroupByKey]=DiscreteStatsTable[[#This Row],[GroupByKey]])*DiscreteStatsTable[Replication]))</f>
        <v>19</v>
      </c>
      <c r="Y598" s="5">
        <f>IF(DiscreteStatsTable[[#This Row],[RepsRequested]]=DiscreteStatsTable[[#This Row],[RepsWithStatObserved]],1,0)</f>
        <v>1</v>
      </c>
    </row>
    <row r="599" spans="1:25" x14ac:dyDescent="0.25">
      <c r="A599" t="s">
        <v>67</v>
      </c>
      <c r="B599" t="s">
        <v>69</v>
      </c>
      <c r="C599">
        <v>8</v>
      </c>
      <c r="D599" t="s">
        <v>127</v>
      </c>
      <c r="E599" t="s">
        <v>76</v>
      </c>
      <c r="F599" t="s">
        <v>72</v>
      </c>
      <c r="G599">
        <v>0</v>
      </c>
      <c r="H599">
        <v>2E+20</v>
      </c>
      <c r="I599">
        <v>0</v>
      </c>
      <c r="J599">
        <v>0</v>
      </c>
      <c r="K599">
        <v>3</v>
      </c>
      <c r="L59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compartida)relojVA TimeEntity</v>
      </c>
      <c r="M599" s="5" cm="1">
        <f t="array" ref="M599">MAX(IF((ProjectInfoTable[ProjectName]=DiscreteStatsTable[[#This Row],[ProjectName]]),(ProjectInfoTable[ProjectName]=DiscreteStatsTable[[#This Row],[ProjectName]])*ProjectInfoTable[NumberOfReplications]))</f>
        <v>19</v>
      </c>
      <c r="N599" s="5" cm="1">
        <f t="array" ref="N599">IFERROR(AVERAGE(IF((DiscreteStatsTable[GroupByKey]=DiscreteStatsTable[[#This Row],[GroupByKey]]),(DiscreteStatsTable[GroupByKey]=DiscreteStatsTable[[#This Row],[GroupByKey]])*DiscreteStatsTable[Average])),0)</f>
        <v>0</v>
      </c>
      <c r="O599" s="5" cm="1">
        <f t="array" ref="O599">IFERROR(_xlfn.STDEV.S(IF((DiscreteStatsTable[GroupByKey]=DiscreteStatsTable[[#This Row],[GroupByKey]]),(DiscreteStatsTable[GroupByKey]=DiscreteStatsTable[[#This Row],[GroupByKey]])*DiscreteStatsTable[Average])),0)</f>
        <v>0</v>
      </c>
      <c r="P599" s="5" cm="1">
        <f t="array" ref="P599">MAX(IF((ProjectInfoTable[ProjectName]=DiscreteStatsTable[[#This Row],[ProjectName]]),(ProjectInfoTable[ProjectName]=DiscreteStatsTable[[#This Row],[ProjectName]])*ProjectInfoTable[ConfidenceInterval]))</f>
        <v>0.95</v>
      </c>
      <c r="Q599" s="5">
        <f>IF(AND(DiscreteStatsTable[[#This Row],[RepsWithStatObserved]]=1,Y599=0),200000000000000000000,IFERROR(_xlfn.T.INV.2T(1 -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9" s="5" cm="1">
        <f t="array" ref="R599">MIN(IF((DiscreteStatsTable[GroupByKey]=DiscreteStatsTable[[#This Row],[GroupByKey]]),(DiscreteStatsTable[GroupByKey]=DiscreteStatsTable[[#This Row],[GroupByKey]])*DiscreteStatsTable[Average]))</f>
        <v>0</v>
      </c>
      <c r="S599" s="5" cm="1">
        <f t="array" ref="S599">MAX(IF((DiscreteStatsTable[GroupByKey]=DiscreteStatsTable[[#This Row],[GroupByKey]]),(DiscreteStatsTable[GroupByKey]=DiscreteStatsTable[[#This Row],[GroupByKey]])*DiscreteStatsTable[Average]))</f>
        <v>0</v>
      </c>
      <c r="T599" s="5" cm="1">
        <f t="array" ref="T599">MIN(IF((DiscreteStatsTable[GroupByKey]=DiscreteStatsTable[[#This Row],[GroupByKey]]),(DiscreteStatsTable[GroupByKey]=DiscreteStatsTable[[#This Row],[GroupByKey]])*DiscreteStatsTable[Minimum]))</f>
        <v>0</v>
      </c>
      <c r="U599" s="5" cm="1">
        <f t="array" ref="U599">MAX(IF((DiscreteStatsTable[GroupByKey]=DiscreteStatsTable[[#This Row],[GroupByKey]]),(DiscreteStatsTable[GroupByKey]=DiscreteStatsTable[[#This Row],[GroupByKey]])*DiscreteStatsTable[Maximum]))</f>
        <v>0</v>
      </c>
      <c r="V599" s="5" cm="1">
        <f t="array" ref="V599">IFERROR(AVERAGE(IF((DiscreteStatsTable[GroupByKey]=DiscreteStatsTable[[#This Row],[GroupByKey]]),(DiscreteStatsTable[GroupByKey]=DiscreteStatsTable[[#This Row],[GroupByKey]])*DiscreteStatsTable[NumberObservations])),0)</f>
        <v>3</v>
      </c>
      <c r="W599" s="5">
        <f>IF((DiscreteStatsTable[[#This Row],[RepsRequested]]&gt;1),DiscreteStatsTable[[#This Row],[HalfWidth]],DiscreteStatsTable[[#This Row],[BatchMeansHalfWidth]])</f>
        <v>0</v>
      </c>
      <c r="X599" s="5" cm="1">
        <f t="array" ref="X599">COUNT(IF((DiscreteStatsTable[GroupByKey]=DiscreteStatsTable[[#This Row],[GroupByKey]]),(DiscreteStatsTable[GroupByKey]=DiscreteStatsTable[[#This Row],[GroupByKey]])*DiscreteStatsTable[Replication]))</f>
        <v>19</v>
      </c>
      <c r="Y599" s="5">
        <f>IF(DiscreteStatsTable[[#This Row],[RepsRequested]]=DiscreteStatsTable[[#This Row],[RepsWithStatObserved]],1,0)</f>
        <v>1</v>
      </c>
    </row>
    <row r="600" spans="1:25" x14ac:dyDescent="0.25">
      <c r="A600" t="s">
        <v>67</v>
      </c>
      <c r="B600" t="s">
        <v>69</v>
      </c>
      <c r="C600">
        <v>8</v>
      </c>
      <c r="D600" t="s">
        <v>127</v>
      </c>
      <c r="E600" t="s">
        <v>77</v>
      </c>
      <c r="F600" t="s">
        <v>72</v>
      </c>
      <c r="G600">
        <v>0</v>
      </c>
      <c r="H600">
        <v>2E+20</v>
      </c>
      <c r="I600">
        <v>0</v>
      </c>
      <c r="J600">
        <v>0</v>
      </c>
      <c r="K600">
        <v>3</v>
      </c>
      <c r="L60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compartida)relojWait TimeEntity</v>
      </c>
      <c r="M600" s="5" cm="1">
        <f t="array" ref="M600">MAX(IF((ProjectInfoTable[ProjectName]=DiscreteStatsTable[[#This Row],[ProjectName]]),(ProjectInfoTable[ProjectName]=DiscreteStatsTable[[#This Row],[ProjectName]])*ProjectInfoTable[NumberOfReplications]))</f>
        <v>19</v>
      </c>
      <c r="N600" s="5" cm="1">
        <f t="array" ref="N600">IFERROR(AVERAGE(IF((DiscreteStatsTable[GroupByKey]=DiscreteStatsTable[[#This Row],[GroupByKey]]),(DiscreteStatsTable[GroupByKey]=DiscreteStatsTable[[#This Row],[GroupByKey]])*DiscreteStatsTable[Average])),0)</f>
        <v>0</v>
      </c>
      <c r="O600" s="5" cm="1">
        <f t="array" ref="O600">IFERROR(_xlfn.STDEV.S(IF((DiscreteStatsTable[GroupByKey]=DiscreteStatsTable[[#This Row],[GroupByKey]]),(DiscreteStatsTable[GroupByKey]=DiscreteStatsTable[[#This Row],[GroupByKey]])*DiscreteStatsTable[Average])),0)</f>
        <v>0</v>
      </c>
      <c r="P600" s="5" cm="1">
        <f t="array" ref="P600">MAX(IF((ProjectInfoTable[ProjectName]=DiscreteStatsTable[[#This Row],[ProjectName]]),(ProjectInfoTable[ProjectName]=DiscreteStatsTable[[#This Row],[ProjectName]])*ProjectInfoTable[ConfidenceInterval]))</f>
        <v>0.95</v>
      </c>
      <c r="Q600" s="5">
        <f>IF(AND(DiscreteStatsTable[[#This Row],[RepsWithStatObserved]]=1,Y600=0),200000000000000000000,IFERROR(_xlfn.T.INV.2T(1 -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0" s="5" cm="1">
        <f t="array" ref="R600">MIN(IF((DiscreteStatsTable[GroupByKey]=DiscreteStatsTable[[#This Row],[GroupByKey]]),(DiscreteStatsTable[GroupByKey]=DiscreteStatsTable[[#This Row],[GroupByKey]])*DiscreteStatsTable[Average]))</f>
        <v>0</v>
      </c>
      <c r="S600" s="5" cm="1">
        <f t="array" ref="S600">MAX(IF((DiscreteStatsTable[GroupByKey]=DiscreteStatsTable[[#This Row],[GroupByKey]]),(DiscreteStatsTable[GroupByKey]=DiscreteStatsTable[[#This Row],[GroupByKey]])*DiscreteStatsTable[Average]))</f>
        <v>0</v>
      </c>
      <c r="T600" s="5" cm="1">
        <f t="array" ref="T600">MIN(IF((DiscreteStatsTable[GroupByKey]=DiscreteStatsTable[[#This Row],[GroupByKey]]),(DiscreteStatsTable[GroupByKey]=DiscreteStatsTable[[#This Row],[GroupByKey]])*DiscreteStatsTable[Minimum]))</f>
        <v>0</v>
      </c>
      <c r="U600" s="5" cm="1">
        <f t="array" ref="U600">MAX(IF((DiscreteStatsTable[GroupByKey]=DiscreteStatsTable[[#This Row],[GroupByKey]]),(DiscreteStatsTable[GroupByKey]=DiscreteStatsTable[[#This Row],[GroupByKey]])*DiscreteStatsTable[Maximum]))</f>
        <v>0</v>
      </c>
      <c r="V600" s="5" cm="1">
        <f t="array" ref="V600">IFERROR(AVERAGE(IF((DiscreteStatsTable[GroupByKey]=DiscreteStatsTable[[#This Row],[GroupByKey]]),(DiscreteStatsTable[GroupByKey]=DiscreteStatsTable[[#This Row],[GroupByKey]])*DiscreteStatsTable[NumberObservations])),0)</f>
        <v>3</v>
      </c>
      <c r="W600" s="5">
        <f>IF((DiscreteStatsTable[[#This Row],[RepsRequested]]&gt;1),DiscreteStatsTable[[#This Row],[HalfWidth]],DiscreteStatsTable[[#This Row],[BatchMeansHalfWidth]])</f>
        <v>0</v>
      </c>
      <c r="X600" s="5" cm="1">
        <f t="array" ref="X600">COUNT(IF((DiscreteStatsTable[GroupByKey]=DiscreteStatsTable[[#This Row],[GroupByKey]]),(DiscreteStatsTable[GroupByKey]=DiscreteStatsTable[[#This Row],[GroupByKey]])*DiscreteStatsTable[Replication]))</f>
        <v>19</v>
      </c>
      <c r="Y600" s="5">
        <f>IF(DiscreteStatsTable[[#This Row],[RepsRequested]]=DiscreteStatsTable[[#This Row],[RepsWithStatObserved]],1,0)</f>
        <v>1</v>
      </c>
    </row>
    <row r="601" spans="1:25" x14ac:dyDescent="0.25">
      <c r="A601" t="s">
        <v>67</v>
      </c>
      <c r="B601" t="s">
        <v>69</v>
      </c>
      <c r="C601">
        <v>9</v>
      </c>
      <c r="D601" t="s">
        <v>127</v>
      </c>
      <c r="E601" t="s">
        <v>71</v>
      </c>
      <c r="F601" t="s">
        <v>72</v>
      </c>
      <c r="G601">
        <v>0</v>
      </c>
      <c r="H601">
        <v>2E+20</v>
      </c>
      <c r="I601">
        <v>0</v>
      </c>
      <c r="J601">
        <v>0</v>
      </c>
      <c r="K601">
        <v>3</v>
      </c>
      <c r="L60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compartida)relojNVA TimeEntity</v>
      </c>
      <c r="M601" s="5" cm="1">
        <f t="array" ref="M601">MAX(IF((ProjectInfoTable[ProjectName]=DiscreteStatsTable[[#This Row],[ProjectName]]),(ProjectInfoTable[ProjectName]=DiscreteStatsTable[[#This Row],[ProjectName]])*ProjectInfoTable[NumberOfReplications]))</f>
        <v>19</v>
      </c>
      <c r="N601" s="5" cm="1">
        <f t="array" ref="N601">IFERROR(AVERAGE(IF((DiscreteStatsTable[GroupByKey]=DiscreteStatsTable[[#This Row],[GroupByKey]]),(DiscreteStatsTable[GroupByKey]=DiscreteStatsTable[[#This Row],[GroupByKey]])*DiscreteStatsTable[Average])),0)</f>
        <v>0</v>
      </c>
      <c r="O601" s="5" cm="1">
        <f t="array" ref="O601">IFERROR(_xlfn.STDEV.S(IF((DiscreteStatsTable[GroupByKey]=DiscreteStatsTable[[#This Row],[GroupByKey]]),(DiscreteStatsTable[GroupByKey]=DiscreteStatsTable[[#This Row],[GroupByKey]])*DiscreteStatsTable[Average])),0)</f>
        <v>0</v>
      </c>
      <c r="P601" s="5" cm="1">
        <f t="array" ref="P601">MAX(IF((ProjectInfoTable[ProjectName]=DiscreteStatsTable[[#This Row],[ProjectName]]),(ProjectInfoTable[ProjectName]=DiscreteStatsTable[[#This Row],[ProjectName]])*ProjectInfoTable[ConfidenceInterval]))</f>
        <v>0.95</v>
      </c>
      <c r="Q601" s="5">
        <f>IF(AND(DiscreteStatsTable[[#This Row],[RepsWithStatObserved]]=1,Y601=0),200000000000000000000,IFERROR(_xlfn.T.INV.2T(1 -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1" s="5" cm="1">
        <f t="array" ref="R601">MIN(IF((DiscreteStatsTable[GroupByKey]=DiscreteStatsTable[[#This Row],[GroupByKey]]),(DiscreteStatsTable[GroupByKey]=DiscreteStatsTable[[#This Row],[GroupByKey]])*DiscreteStatsTable[Average]))</f>
        <v>0</v>
      </c>
      <c r="S601" s="5" cm="1">
        <f t="array" ref="S601">MAX(IF((DiscreteStatsTable[GroupByKey]=DiscreteStatsTable[[#This Row],[GroupByKey]]),(DiscreteStatsTable[GroupByKey]=DiscreteStatsTable[[#This Row],[GroupByKey]])*DiscreteStatsTable[Average]))</f>
        <v>0</v>
      </c>
      <c r="T601" s="5" cm="1">
        <f t="array" ref="T601">MIN(IF((DiscreteStatsTable[GroupByKey]=DiscreteStatsTable[[#This Row],[GroupByKey]]),(DiscreteStatsTable[GroupByKey]=DiscreteStatsTable[[#This Row],[GroupByKey]])*DiscreteStatsTable[Minimum]))</f>
        <v>0</v>
      </c>
      <c r="U601" s="5" cm="1">
        <f t="array" ref="U601">MAX(IF((DiscreteStatsTable[GroupByKey]=DiscreteStatsTable[[#This Row],[GroupByKey]]),(DiscreteStatsTable[GroupByKey]=DiscreteStatsTable[[#This Row],[GroupByKey]])*DiscreteStatsTable[Maximum]))</f>
        <v>0</v>
      </c>
      <c r="V601" s="5" cm="1">
        <f t="array" ref="V601">IFERROR(AVERAGE(IF((DiscreteStatsTable[GroupByKey]=DiscreteStatsTable[[#This Row],[GroupByKey]]),(DiscreteStatsTable[GroupByKey]=DiscreteStatsTable[[#This Row],[GroupByKey]])*DiscreteStatsTable[NumberObservations])),0)</f>
        <v>3</v>
      </c>
      <c r="W601" s="5">
        <f>IF((DiscreteStatsTable[[#This Row],[RepsRequested]]&gt;1),DiscreteStatsTable[[#This Row],[HalfWidth]],DiscreteStatsTable[[#This Row],[BatchMeansHalfWidth]])</f>
        <v>0</v>
      </c>
      <c r="X601" s="5" cm="1">
        <f t="array" ref="X601">COUNT(IF((DiscreteStatsTable[GroupByKey]=DiscreteStatsTable[[#This Row],[GroupByKey]]),(DiscreteStatsTable[GroupByKey]=DiscreteStatsTable[[#This Row],[GroupByKey]])*DiscreteStatsTable[Replication]))</f>
        <v>19</v>
      </c>
      <c r="Y601" s="5">
        <f>IF(DiscreteStatsTable[[#This Row],[RepsRequested]]=DiscreteStatsTable[[#This Row],[RepsWithStatObserved]],1,0)</f>
        <v>1</v>
      </c>
    </row>
    <row r="602" spans="1:25" x14ac:dyDescent="0.25">
      <c r="A602" t="s">
        <v>67</v>
      </c>
      <c r="B602" t="s">
        <v>69</v>
      </c>
      <c r="C602">
        <v>9</v>
      </c>
      <c r="D602" t="s">
        <v>127</v>
      </c>
      <c r="E602" t="s">
        <v>73</v>
      </c>
      <c r="F602" t="s">
        <v>72</v>
      </c>
      <c r="G602">
        <v>0</v>
      </c>
      <c r="H602">
        <v>2E+20</v>
      </c>
      <c r="I602">
        <v>0</v>
      </c>
      <c r="J602">
        <v>0</v>
      </c>
      <c r="K602">
        <v>3</v>
      </c>
      <c r="L60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compartida)relojOther TimeEntity</v>
      </c>
      <c r="M602" s="5" cm="1">
        <f t="array" ref="M602">MAX(IF((ProjectInfoTable[ProjectName]=DiscreteStatsTable[[#This Row],[ProjectName]]),(ProjectInfoTable[ProjectName]=DiscreteStatsTable[[#This Row],[ProjectName]])*ProjectInfoTable[NumberOfReplications]))</f>
        <v>19</v>
      </c>
      <c r="N602" s="5" cm="1">
        <f t="array" ref="N602">IFERROR(AVERAGE(IF((DiscreteStatsTable[GroupByKey]=DiscreteStatsTable[[#This Row],[GroupByKey]]),(DiscreteStatsTable[GroupByKey]=DiscreteStatsTable[[#This Row],[GroupByKey]])*DiscreteStatsTable[Average])),0)</f>
        <v>0</v>
      </c>
      <c r="O602" s="5" cm="1">
        <f t="array" ref="O602">IFERROR(_xlfn.STDEV.S(IF((DiscreteStatsTable[GroupByKey]=DiscreteStatsTable[[#This Row],[GroupByKey]]),(DiscreteStatsTable[GroupByKey]=DiscreteStatsTable[[#This Row],[GroupByKey]])*DiscreteStatsTable[Average])),0)</f>
        <v>0</v>
      </c>
      <c r="P602" s="5" cm="1">
        <f t="array" ref="P602">MAX(IF((ProjectInfoTable[ProjectName]=DiscreteStatsTable[[#This Row],[ProjectName]]),(ProjectInfoTable[ProjectName]=DiscreteStatsTable[[#This Row],[ProjectName]])*ProjectInfoTable[ConfidenceInterval]))</f>
        <v>0.95</v>
      </c>
      <c r="Q602" s="5">
        <f>IF(AND(DiscreteStatsTable[[#This Row],[RepsWithStatObserved]]=1,Y602=0),200000000000000000000,IFERROR(_xlfn.T.INV.2T(1 -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2" s="5" cm="1">
        <f t="array" ref="R602">MIN(IF((DiscreteStatsTable[GroupByKey]=DiscreteStatsTable[[#This Row],[GroupByKey]]),(DiscreteStatsTable[GroupByKey]=DiscreteStatsTable[[#This Row],[GroupByKey]])*DiscreteStatsTable[Average]))</f>
        <v>0</v>
      </c>
      <c r="S602" s="5" cm="1">
        <f t="array" ref="S602">MAX(IF((DiscreteStatsTable[GroupByKey]=DiscreteStatsTable[[#This Row],[GroupByKey]]),(DiscreteStatsTable[GroupByKey]=DiscreteStatsTable[[#This Row],[GroupByKey]])*DiscreteStatsTable[Average]))</f>
        <v>0</v>
      </c>
      <c r="T602" s="5" cm="1">
        <f t="array" ref="T602">MIN(IF((DiscreteStatsTable[GroupByKey]=DiscreteStatsTable[[#This Row],[GroupByKey]]),(DiscreteStatsTable[GroupByKey]=DiscreteStatsTable[[#This Row],[GroupByKey]])*DiscreteStatsTable[Minimum]))</f>
        <v>0</v>
      </c>
      <c r="U602" s="5" cm="1">
        <f t="array" ref="U602">MAX(IF((DiscreteStatsTable[GroupByKey]=DiscreteStatsTable[[#This Row],[GroupByKey]]),(DiscreteStatsTable[GroupByKey]=DiscreteStatsTable[[#This Row],[GroupByKey]])*DiscreteStatsTable[Maximum]))</f>
        <v>0</v>
      </c>
      <c r="V602" s="5" cm="1">
        <f t="array" ref="V602">IFERROR(AVERAGE(IF((DiscreteStatsTable[GroupByKey]=DiscreteStatsTable[[#This Row],[GroupByKey]]),(DiscreteStatsTable[GroupByKey]=DiscreteStatsTable[[#This Row],[GroupByKey]])*DiscreteStatsTable[NumberObservations])),0)</f>
        <v>3</v>
      </c>
      <c r="W602" s="5">
        <f>IF((DiscreteStatsTable[[#This Row],[RepsRequested]]&gt;1),DiscreteStatsTable[[#This Row],[HalfWidth]],DiscreteStatsTable[[#This Row],[BatchMeansHalfWidth]])</f>
        <v>0</v>
      </c>
      <c r="X602" s="5" cm="1">
        <f t="array" ref="X602">COUNT(IF((DiscreteStatsTable[GroupByKey]=DiscreteStatsTable[[#This Row],[GroupByKey]]),(DiscreteStatsTable[GroupByKey]=DiscreteStatsTable[[#This Row],[GroupByKey]])*DiscreteStatsTable[Replication]))</f>
        <v>19</v>
      </c>
      <c r="Y602" s="5">
        <f>IF(DiscreteStatsTable[[#This Row],[RepsRequested]]=DiscreteStatsTable[[#This Row],[RepsWithStatObserved]],1,0)</f>
        <v>1</v>
      </c>
    </row>
    <row r="603" spans="1:25" x14ac:dyDescent="0.25">
      <c r="A603" t="s">
        <v>67</v>
      </c>
      <c r="B603" t="s">
        <v>69</v>
      </c>
      <c r="C603">
        <v>9</v>
      </c>
      <c r="D603" t="s">
        <v>127</v>
      </c>
      <c r="E603" t="s">
        <v>74</v>
      </c>
      <c r="F603" t="s">
        <v>72</v>
      </c>
      <c r="G603">
        <v>0</v>
      </c>
      <c r="H603">
        <v>2E+20</v>
      </c>
      <c r="I603">
        <v>0</v>
      </c>
      <c r="J603">
        <v>0</v>
      </c>
      <c r="K603">
        <v>3</v>
      </c>
      <c r="L60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compartida)relojTotal TimeEntity</v>
      </c>
      <c r="M603" s="5" cm="1">
        <f t="array" ref="M603">MAX(IF((ProjectInfoTable[ProjectName]=DiscreteStatsTable[[#This Row],[ProjectName]]),(ProjectInfoTable[ProjectName]=DiscreteStatsTable[[#This Row],[ProjectName]])*ProjectInfoTable[NumberOfReplications]))</f>
        <v>19</v>
      </c>
      <c r="N603" s="5" cm="1">
        <f t="array" ref="N603">IFERROR(AVERAGE(IF((DiscreteStatsTable[GroupByKey]=DiscreteStatsTable[[#This Row],[GroupByKey]]),(DiscreteStatsTable[GroupByKey]=DiscreteStatsTable[[#This Row],[GroupByKey]])*DiscreteStatsTable[Average])),0)</f>
        <v>0</v>
      </c>
      <c r="O603" s="5" cm="1">
        <f t="array" ref="O603">IFERROR(_xlfn.STDEV.S(IF((DiscreteStatsTable[GroupByKey]=DiscreteStatsTable[[#This Row],[GroupByKey]]),(DiscreteStatsTable[GroupByKey]=DiscreteStatsTable[[#This Row],[GroupByKey]])*DiscreteStatsTable[Average])),0)</f>
        <v>0</v>
      </c>
      <c r="P603" s="5" cm="1">
        <f t="array" ref="P603">MAX(IF((ProjectInfoTable[ProjectName]=DiscreteStatsTable[[#This Row],[ProjectName]]),(ProjectInfoTable[ProjectName]=DiscreteStatsTable[[#This Row],[ProjectName]])*ProjectInfoTable[ConfidenceInterval]))</f>
        <v>0.95</v>
      </c>
      <c r="Q603" s="5">
        <f>IF(AND(DiscreteStatsTable[[#This Row],[RepsWithStatObserved]]=1,Y603=0),200000000000000000000,IFERROR(_xlfn.T.INV.2T(1 -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3" s="5" cm="1">
        <f t="array" ref="R603">MIN(IF((DiscreteStatsTable[GroupByKey]=DiscreteStatsTable[[#This Row],[GroupByKey]]),(DiscreteStatsTable[GroupByKey]=DiscreteStatsTable[[#This Row],[GroupByKey]])*DiscreteStatsTable[Average]))</f>
        <v>0</v>
      </c>
      <c r="S603" s="5" cm="1">
        <f t="array" ref="S603">MAX(IF((DiscreteStatsTable[GroupByKey]=DiscreteStatsTable[[#This Row],[GroupByKey]]),(DiscreteStatsTable[GroupByKey]=DiscreteStatsTable[[#This Row],[GroupByKey]])*DiscreteStatsTable[Average]))</f>
        <v>0</v>
      </c>
      <c r="T603" s="5" cm="1">
        <f t="array" ref="T603">MIN(IF((DiscreteStatsTable[GroupByKey]=DiscreteStatsTable[[#This Row],[GroupByKey]]),(DiscreteStatsTable[GroupByKey]=DiscreteStatsTable[[#This Row],[GroupByKey]])*DiscreteStatsTable[Minimum]))</f>
        <v>0</v>
      </c>
      <c r="U603" s="5" cm="1">
        <f t="array" ref="U603">MAX(IF((DiscreteStatsTable[GroupByKey]=DiscreteStatsTable[[#This Row],[GroupByKey]]),(DiscreteStatsTable[GroupByKey]=DiscreteStatsTable[[#This Row],[GroupByKey]])*DiscreteStatsTable[Maximum]))</f>
        <v>0</v>
      </c>
      <c r="V603" s="5" cm="1">
        <f t="array" ref="V603">IFERROR(AVERAGE(IF((DiscreteStatsTable[GroupByKey]=DiscreteStatsTable[[#This Row],[GroupByKey]]),(DiscreteStatsTable[GroupByKey]=DiscreteStatsTable[[#This Row],[GroupByKey]])*DiscreteStatsTable[NumberObservations])),0)</f>
        <v>3</v>
      </c>
      <c r="W603" s="5">
        <f>IF((DiscreteStatsTable[[#This Row],[RepsRequested]]&gt;1),DiscreteStatsTable[[#This Row],[HalfWidth]],DiscreteStatsTable[[#This Row],[BatchMeansHalfWidth]])</f>
        <v>0</v>
      </c>
      <c r="X603" s="5" cm="1">
        <f t="array" ref="X603">COUNT(IF((DiscreteStatsTable[GroupByKey]=DiscreteStatsTable[[#This Row],[GroupByKey]]),(DiscreteStatsTable[GroupByKey]=DiscreteStatsTable[[#This Row],[GroupByKey]])*DiscreteStatsTable[Replication]))</f>
        <v>19</v>
      </c>
      <c r="Y603" s="5">
        <f>IF(DiscreteStatsTable[[#This Row],[RepsRequested]]=DiscreteStatsTable[[#This Row],[RepsWithStatObserved]],1,0)</f>
        <v>1</v>
      </c>
    </row>
    <row r="604" spans="1:25" x14ac:dyDescent="0.25">
      <c r="A604" t="s">
        <v>67</v>
      </c>
      <c r="B604" t="s">
        <v>69</v>
      </c>
      <c r="C604">
        <v>9</v>
      </c>
      <c r="D604" t="s">
        <v>127</v>
      </c>
      <c r="E604" t="s">
        <v>75</v>
      </c>
      <c r="F604" t="s">
        <v>72</v>
      </c>
      <c r="G604">
        <v>0</v>
      </c>
      <c r="H604">
        <v>2E+20</v>
      </c>
      <c r="I604">
        <v>0</v>
      </c>
      <c r="J604">
        <v>0</v>
      </c>
      <c r="K604">
        <v>3</v>
      </c>
      <c r="L60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compartida)relojTransfer TimeEntity</v>
      </c>
      <c r="M604" s="5" cm="1">
        <f t="array" ref="M604">MAX(IF((ProjectInfoTable[ProjectName]=DiscreteStatsTable[[#This Row],[ProjectName]]),(ProjectInfoTable[ProjectName]=DiscreteStatsTable[[#This Row],[ProjectName]])*ProjectInfoTable[NumberOfReplications]))</f>
        <v>19</v>
      </c>
      <c r="N604" s="5" cm="1">
        <f t="array" ref="N604">IFERROR(AVERAGE(IF((DiscreteStatsTable[GroupByKey]=DiscreteStatsTable[[#This Row],[GroupByKey]]),(DiscreteStatsTable[GroupByKey]=DiscreteStatsTable[[#This Row],[GroupByKey]])*DiscreteStatsTable[Average])),0)</f>
        <v>0</v>
      </c>
      <c r="O604" s="5" cm="1">
        <f t="array" ref="O604">IFERROR(_xlfn.STDEV.S(IF((DiscreteStatsTable[GroupByKey]=DiscreteStatsTable[[#This Row],[GroupByKey]]),(DiscreteStatsTable[GroupByKey]=DiscreteStatsTable[[#This Row],[GroupByKey]])*DiscreteStatsTable[Average])),0)</f>
        <v>0</v>
      </c>
      <c r="P604" s="5" cm="1">
        <f t="array" ref="P604">MAX(IF((ProjectInfoTable[ProjectName]=DiscreteStatsTable[[#This Row],[ProjectName]]),(ProjectInfoTable[ProjectName]=DiscreteStatsTable[[#This Row],[ProjectName]])*ProjectInfoTable[ConfidenceInterval]))</f>
        <v>0.95</v>
      </c>
      <c r="Q604" s="5">
        <f>IF(AND(DiscreteStatsTable[[#This Row],[RepsWithStatObserved]]=1,Y604=0),200000000000000000000,IFERROR(_xlfn.T.INV.2T(1 -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4" s="5" cm="1">
        <f t="array" ref="R604">MIN(IF((DiscreteStatsTable[GroupByKey]=DiscreteStatsTable[[#This Row],[GroupByKey]]),(DiscreteStatsTable[GroupByKey]=DiscreteStatsTable[[#This Row],[GroupByKey]])*DiscreteStatsTable[Average]))</f>
        <v>0</v>
      </c>
      <c r="S604" s="5" cm="1">
        <f t="array" ref="S604">MAX(IF((DiscreteStatsTable[GroupByKey]=DiscreteStatsTable[[#This Row],[GroupByKey]]),(DiscreteStatsTable[GroupByKey]=DiscreteStatsTable[[#This Row],[GroupByKey]])*DiscreteStatsTable[Average]))</f>
        <v>0</v>
      </c>
      <c r="T604" s="5" cm="1">
        <f t="array" ref="T604">MIN(IF((DiscreteStatsTable[GroupByKey]=DiscreteStatsTable[[#This Row],[GroupByKey]]),(DiscreteStatsTable[GroupByKey]=DiscreteStatsTable[[#This Row],[GroupByKey]])*DiscreteStatsTable[Minimum]))</f>
        <v>0</v>
      </c>
      <c r="U604" s="5" cm="1">
        <f t="array" ref="U604">MAX(IF((DiscreteStatsTable[GroupByKey]=DiscreteStatsTable[[#This Row],[GroupByKey]]),(DiscreteStatsTable[GroupByKey]=DiscreteStatsTable[[#This Row],[GroupByKey]])*DiscreteStatsTable[Maximum]))</f>
        <v>0</v>
      </c>
      <c r="V604" s="5" cm="1">
        <f t="array" ref="V604">IFERROR(AVERAGE(IF((DiscreteStatsTable[GroupByKey]=DiscreteStatsTable[[#This Row],[GroupByKey]]),(DiscreteStatsTable[GroupByKey]=DiscreteStatsTable[[#This Row],[GroupByKey]])*DiscreteStatsTable[NumberObservations])),0)</f>
        <v>3</v>
      </c>
      <c r="W604" s="5">
        <f>IF((DiscreteStatsTable[[#This Row],[RepsRequested]]&gt;1),DiscreteStatsTable[[#This Row],[HalfWidth]],DiscreteStatsTable[[#This Row],[BatchMeansHalfWidth]])</f>
        <v>0</v>
      </c>
      <c r="X604" s="5" cm="1">
        <f t="array" ref="X604">COUNT(IF((DiscreteStatsTable[GroupByKey]=DiscreteStatsTable[[#This Row],[GroupByKey]]),(DiscreteStatsTable[GroupByKey]=DiscreteStatsTable[[#This Row],[GroupByKey]])*DiscreteStatsTable[Replication]))</f>
        <v>19</v>
      </c>
      <c r="Y604" s="5">
        <f>IF(DiscreteStatsTable[[#This Row],[RepsRequested]]=DiscreteStatsTable[[#This Row],[RepsWithStatObserved]],1,0)</f>
        <v>1</v>
      </c>
    </row>
    <row r="605" spans="1:25" x14ac:dyDescent="0.25">
      <c r="A605" t="s">
        <v>67</v>
      </c>
      <c r="B605" t="s">
        <v>69</v>
      </c>
      <c r="C605">
        <v>9</v>
      </c>
      <c r="D605" t="s">
        <v>127</v>
      </c>
      <c r="E605" t="s">
        <v>76</v>
      </c>
      <c r="F605" t="s">
        <v>72</v>
      </c>
      <c r="G605">
        <v>0</v>
      </c>
      <c r="H605">
        <v>2E+20</v>
      </c>
      <c r="I605">
        <v>0</v>
      </c>
      <c r="J605">
        <v>0</v>
      </c>
      <c r="K605">
        <v>3</v>
      </c>
      <c r="L60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compartida)relojVA TimeEntity</v>
      </c>
      <c r="M605" s="5" cm="1">
        <f t="array" ref="M605">MAX(IF((ProjectInfoTable[ProjectName]=DiscreteStatsTable[[#This Row],[ProjectName]]),(ProjectInfoTable[ProjectName]=DiscreteStatsTable[[#This Row],[ProjectName]])*ProjectInfoTable[NumberOfReplications]))</f>
        <v>19</v>
      </c>
      <c r="N605" s="5" cm="1">
        <f t="array" ref="N605">IFERROR(AVERAGE(IF((DiscreteStatsTable[GroupByKey]=DiscreteStatsTable[[#This Row],[GroupByKey]]),(DiscreteStatsTable[GroupByKey]=DiscreteStatsTable[[#This Row],[GroupByKey]])*DiscreteStatsTable[Average])),0)</f>
        <v>0</v>
      </c>
      <c r="O605" s="5" cm="1">
        <f t="array" ref="O605">IFERROR(_xlfn.STDEV.S(IF((DiscreteStatsTable[GroupByKey]=DiscreteStatsTable[[#This Row],[GroupByKey]]),(DiscreteStatsTable[GroupByKey]=DiscreteStatsTable[[#This Row],[GroupByKey]])*DiscreteStatsTable[Average])),0)</f>
        <v>0</v>
      </c>
      <c r="P605" s="5" cm="1">
        <f t="array" ref="P605">MAX(IF((ProjectInfoTable[ProjectName]=DiscreteStatsTable[[#This Row],[ProjectName]]),(ProjectInfoTable[ProjectName]=DiscreteStatsTable[[#This Row],[ProjectName]])*ProjectInfoTable[ConfidenceInterval]))</f>
        <v>0.95</v>
      </c>
      <c r="Q605" s="5">
        <f>IF(AND(DiscreteStatsTable[[#This Row],[RepsWithStatObserved]]=1,Y605=0),200000000000000000000,IFERROR(_xlfn.T.INV.2T(1 -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5" s="5" cm="1">
        <f t="array" ref="R605">MIN(IF((DiscreteStatsTable[GroupByKey]=DiscreteStatsTable[[#This Row],[GroupByKey]]),(DiscreteStatsTable[GroupByKey]=DiscreteStatsTable[[#This Row],[GroupByKey]])*DiscreteStatsTable[Average]))</f>
        <v>0</v>
      </c>
      <c r="S605" s="5" cm="1">
        <f t="array" ref="S605">MAX(IF((DiscreteStatsTable[GroupByKey]=DiscreteStatsTable[[#This Row],[GroupByKey]]),(DiscreteStatsTable[GroupByKey]=DiscreteStatsTable[[#This Row],[GroupByKey]])*DiscreteStatsTable[Average]))</f>
        <v>0</v>
      </c>
      <c r="T605" s="5" cm="1">
        <f t="array" ref="T605">MIN(IF((DiscreteStatsTable[GroupByKey]=DiscreteStatsTable[[#This Row],[GroupByKey]]),(DiscreteStatsTable[GroupByKey]=DiscreteStatsTable[[#This Row],[GroupByKey]])*DiscreteStatsTable[Minimum]))</f>
        <v>0</v>
      </c>
      <c r="U605" s="5" cm="1">
        <f t="array" ref="U605">MAX(IF((DiscreteStatsTable[GroupByKey]=DiscreteStatsTable[[#This Row],[GroupByKey]]),(DiscreteStatsTable[GroupByKey]=DiscreteStatsTable[[#This Row],[GroupByKey]])*DiscreteStatsTable[Maximum]))</f>
        <v>0</v>
      </c>
      <c r="V605" s="5" cm="1">
        <f t="array" ref="V605">IFERROR(AVERAGE(IF((DiscreteStatsTable[GroupByKey]=DiscreteStatsTable[[#This Row],[GroupByKey]]),(DiscreteStatsTable[GroupByKey]=DiscreteStatsTable[[#This Row],[GroupByKey]])*DiscreteStatsTable[NumberObservations])),0)</f>
        <v>3</v>
      </c>
      <c r="W605" s="5">
        <f>IF((DiscreteStatsTable[[#This Row],[RepsRequested]]&gt;1),DiscreteStatsTable[[#This Row],[HalfWidth]],DiscreteStatsTable[[#This Row],[BatchMeansHalfWidth]])</f>
        <v>0</v>
      </c>
      <c r="X605" s="5" cm="1">
        <f t="array" ref="X605">COUNT(IF((DiscreteStatsTable[GroupByKey]=DiscreteStatsTable[[#This Row],[GroupByKey]]),(DiscreteStatsTable[GroupByKey]=DiscreteStatsTable[[#This Row],[GroupByKey]])*DiscreteStatsTable[Replication]))</f>
        <v>19</v>
      </c>
      <c r="Y605" s="5">
        <f>IF(DiscreteStatsTable[[#This Row],[RepsRequested]]=DiscreteStatsTable[[#This Row],[RepsWithStatObserved]],1,0)</f>
        <v>1</v>
      </c>
    </row>
    <row r="606" spans="1:25" x14ac:dyDescent="0.25">
      <c r="A606" t="s">
        <v>67</v>
      </c>
      <c r="B606" t="s">
        <v>69</v>
      </c>
      <c r="C606">
        <v>9</v>
      </c>
      <c r="D606" t="s">
        <v>127</v>
      </c>
      <c r="E606" t="s">
        <v>77</v>
      </c>
      <c r="F606" t="s">
        <v>72</v>
      </c>
      <c r="G606">
        <v>0</v>
      </c>
      <c r="H606">
        <v>2E+20</v>
      </c>
      <c r="I606">
        <v>0</v>
      </c>
      <c r="J606">
        <v>0</v>
      </c>
      <c r="K606">
        <v>3</v>
      </c>
      <c r="L60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compartida)relojWait TimeEntity</v>
      </c>
      <c r="M606" s="5" cm="1">
        <f t="array" ref="M606">MAX(IF((ProjectInfoTable[ProjectName]=DiscreteStatsTable[[#This Row],[ProjectName]]),(ProjectInfoTable[ProjectName]=DiscreteStatsTable[[#This Row],[ProjectName]])*ProjectInfoTable[NumberOfReplications]))</f>
        <v>19</v>
      </c>
      <c r="N606" s="5" cm="1">
        <f t="array" ref="N606">IFERROR(AVERAGE(IF((DiscreteStatsTable[GroupByKey]=DiscreteStatsTable[[#This Row],[GroupByKey]]),(DiscreteStatsTable[GroupByKey]=DiscreteStatsTable[[#This Row],[GroupByKey]])*DiscreteStatsTable[Average])),0)</f>
        <v>0</v>
      </c>
      <c r="O606" s="5" cm="1">
        <f t="array" ref="O606">IFERROR(_xlfn.STDEV.S(IF((DiscreteStatsTable[GroupByKey]=DiscreteStatsTable[[#This Row],[GroupByKey]]),(DiscreteStatsTable[GroupByKey]=DiscreteStatsTable[[#This Row],[GroupByKey]])*DiscreteStatsTable[Average])),0)</f>
        <v>0</v>
      </c>
      <c r="P606" s="5" cm="1">
        <f t="array" ref="P606">MAX(IF((ProjectInfoTable[ProjectName]=DiscreteStatsTable[[#This Row],[ProjectName]]),(ProjectInfoTable[ProjectName]=DiscreteStatsTable[[#This Row],[ProjectName]])*ProjectInfoTable[ConfidenceInterval]))</f>
        <v>0.95</v>
      </c>
      <c r="Q606" s="5">
        <f>IF(AND(DiscreteStatsTable[[#This Row],[RepsWithStatObserved]]=1,Y606=0),200000000000000000000,IFERROR(_xlfn.T.INV.2T(1 -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6" s="5" cm="1">
        <f t="array" ref="R606">MIN(IF((DiscreteStatsTable[GroupByKey]=DiscreteStatsTable[[#This Row],[GroupByKey]]),(DiscreteStatsTable[GroupByKey]=DiscreteStatsTable[[#This Row],[GroupByKey]])*DiscreteStatsTable[Average]))</f>
        <v>0</v>
      </c>
      <c r="S606" s="5" cm="1">
        <f t="array" ref="S606">MAX(IF((DiscreteStatsTable[GroupByKey]=DiscreteStatsTable[[#This Row],[GroupByKey]]),(DiscreteStatsTable[GroupByKey]=DiscreteStatsTable[[#This Row],[GroupByKey]])*DiscreteStatsTable[Average]))</f>
        <v>0</v>
      </c>
      <c r="T606" s="5" cm="1">
        <f t="array" ref="T606">MIN(IF((DiscreteStatsTable[GroupByKey]=DiscreteStatsTable[[#This Row],[GroupByKey]]),(DiscreteStatsTable[GroupByKey]=DiscreteStatsTable[[#This Row],[GroupByKey]])*DiscreteStatsTable[Minimum]))</f>
        <v>0</v>
      </c>
      <c r="U606" s="5" cm="1">
        <f t="array" ref="U606">MAX(IF((DiscreteStatsTable[GroupByKey]=DiscreteStatsTable[[#This Row],[GroupByKey]]),(DiscreteStatsTable[GroupByKey]=DiscreteStatsTable[[#This Row],[GroupByKey]])*DiscreteStatsTable[Maximum]))</f>
        <v>0</v>
      </c>
      <c r="V606" s="5" cm="1">
        <f t="array" ref="V606">IFERROR(AVERAGE(IF((DiscreteStatsTable[GroupByKey]=DiscreteStatsTable[[#This Row],[GroupByKey]]),(DiscreteStatsTable[GroupByKey]=DiscreteStatsTable[[#This Row],[GroupByKey]])*DiscreteStatsTable[NumberObservations])),0)</f>
        <v>3</v>
      </c>
      <c r="W606" s="5">
        <f>IF((DiscreteStatsTable[[#This Row],[RepsRequested]]&gt;1),DiscreteStatsTable[[#This Row],[HalfWidth]],DiscreteStatsTable[[#This Row],[BatchMeansHalfWidth]])</f>
        <v>0</v>
      </c>
      <c r="X606" s="5" cm="1">
        <f t="array" ref="X606">COUNT(IF((DiscreteStatsTable[GroupByKey]=DiscreteStatsTable[[#This Row],[GroupByKey]]),(DiscreteStatsTable[GroupByKey]=DiscreteStatsTable[[#This Row],[GroupByKey]])*DiscreteStatsTable[Replication]))</f>
        <v>19</v>
      </c>
      <c r="Y606" s="5">
        <f>IF(DiscreteStatsTable[[#This Row],[RepsRequested]]=DiscreteStatsTable[[#This Row],[RepsWithStatObserved]],1,0)</f>
        <v>1</v>
      </c>
    </row>
    <row r="607" spans="1:25" x14ac:dyDescent="0.25">
      <c r="A607" t="s">
        <v>67</v>
      </c>
      <c r="B607" t="s">
        <v>69</v>
      </c>
      <c r="C607">
        <v>10</v>
      </c>
      <c r="D607" t="s">
        <v>127</v>
      </c>
      <c r="E607" t="s">
        <v>71</v>
      </c>
      <c r="F607" t="s">
        <v>72</v>
      </c>
      <c r="G607">
        <v>0</v>
      </c>
      <c r="H607">
        <v>2E+20</v>
      </c>
      <c r="I607">
        <v>0</v>
      </c>
      <c r="J607">
        <v>0</v>
      </c>
      <c r="K607">
        <v>3</v>
      </c>
      <c r="L60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compartida)relojNVA TimeEntity</v>
      </c>
      <c r="M607" s="5" cm="1">
        <f t="array" ref="M607">MAX(IF((ProjectInfoTable[ProjectName]=DiscreteStatsTable[[#This Row],[ProjectName]]),(ProjectInfoTable[ProjectName]=DiscreteStatsTable[[#This Row],[ProjectName]])*ProjectInfoTable[NumberOfReplications]))</f>
        <v>19</v>
      </c>
      <c r="N607" s="5" cm="1">
        <f t="array" ref="N607">IFERROR(AVERAGE(IF((DiscreteStatsTable[GroupByKey]=DiscreteStatsTable[[#This Row],[GroupByKey]]),(DiscreteStatsTable[GroupByKey]=DiscreteStatsTable[[#This Row],[GroupByKey]])*DiscreteStatsTable[Average])),0)</f>
        <v>0</v>
      </c>
      <c r="O607" s="5" cm="1">
        <f t="array" ref="O607">IFERROR(_xlfn.STDEV.S(IF((DiscreteStatsTable[GroupByKey]=DiscreteStatsTable[[#This Row],[GroupByKey]]),(DiscreteStatsTable[GroupByKey]=DiscreteStatsTable[[#This Row],[GroupByKey]])*DiscreteStatsTable[Average])),0)</f>
        <v>0</v>
      </c>
      <c r="P607" s="5" cm="1">
        <f t="array" ref="P607">MAX(IF((ProjectInfoTable[ProjectName]=DiscreteStatsTable[[#This Row],[ProjectName]]),(ProjectInfoTable[ProjectName]=DiscreteStatsTable[[#This Row],[ProjectName]])*ProjectInfoTable[ConfidenceInterval]))</f>
        <v>0.95</v>
      </c>
      <c r="Q607" s="5">
        <f>IF(AND(DiscreteStatsTable[[#This Row],[RepsWithStatObserved]]=1,Y607=0),200000000000000000000,IFERROR(_xlfn.T.INV.2T(1 -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7" s="5" cm="1">
        <f t="array" ref="R607">MIN(IF((DiscreteStatsTable[GroupByKey]=DiscreteStatsTable[[#This Row],[GroupByKey]]),(DiscreteStatsTable[GroupByKey]=DiscreteStatsTable[[#This Row],[GroupByKey]])*DiscreteStatsTable[Average]))</f>
        <v>0</v>
      </c>
      <c r="S607" s="5" cm="1">
        <f t="array" ref="S607">MAX(IF((DiscreteStatsTable[GroupByKey]=DiscreteStatsTable[[#This Row],[GroupByKey]]),(DiscreteStatsTable[GroupByKey]=DiscreteStatsTable[[#This Row],[GroupByKey]])*DiscreteStatsTable[Average]))</f>
        <v>0</v>
      </c>
      <c r="T607" s="5" cm="1">
        <f t="array" ref="T607">MIN(IF((DiscreteStatsTable[GroupByKey]=DiscreteStatsTable[[#This Row],[GroupByKey]]),(DiscreteStatsTable[GroupByKey]=DiscreteStatsTable[[#This Row],[GroupByKey]])*DiscreteStatsTable[Minimum]))</f>
        <v>0</v>
      </c>
      <c r="U607" s="5" cm="1">
        <f t="array" ref="U607">MAX(IF((DiscreteStatsTable[GroupByKey]=DiscreteStatsTable[[#This Row],[GroupByKey]]),(DiscreteStatsTable[GroupByKey]=DiscreteStatsTable[[#This Row],[GroupByKey]])*DiscreteStatsTable[Maximum]))</f>
        <v>0</v>
      </c>
      <c r="V607" s="5" cm="1">
        <f t="array" ref="V607">IFERROR(AVERAGE(IF((DiscreteStatsTable[GroupByKey]=DiscreteStatsTable[[#This Row],[GroupByKey]]),(DiscreteStatsTable[GroupByKey]=DiscreteStatsTable[[#This Row],[GroupByKey]])*DiscreteStatsTable[NumberObservations])),0)</f>
        <v>3</v>
      </c>
      <c r="W607" s="5">
        <f>IF((DiscreteStatsTable[[#This Row],[RepsRequested]]&gt;1),DiscreteStatsTable[[#This Row],[HalfWidth]],DiscreteStatsTable[[#This Row],[BatchMeansHalfWidth]])</f>
        <v>0</v>
      </c>
      <c r="X607" s="5" cm="1">
        <f t="array" ref="X607">COUNT(IF((DiscreteStatsTable[GroupByKey]=DiscreteStatsTable[[#This Row],[GroupByKey]]),(DiscreteStatsTable[GroupByKey]=DiscreteStatsTable[[#This Row],[GroupByKey]])*DiscreteStatsTable[Replication]))</f>
        <v>19</v>
      </c>
      <c r="Y607" s="5">
        <f>IF(DiscreteStatsTable[[#This Row],[RepsRequested]]=DiscreteStatsTable[[#This Row],[RepsWithStatObserved]],1,0)</f>
        <v>1</v>
      </c>
    </row>
    <row r="608" spans="1:25" x14ac:dyDescent="0.25">
      <c r="A608" t="s">
        <v>67</v>
      </c>
      <c r="B608" t="s">
        <v>69</v>
      </c>
      <c r="C608">
        <v>10</v>
      </c>
      <c r="D608" t="s">
        <v>127</v>
      </c>
      <c r="E608" t="s">
        <v>73</v>
      </c>
      <c r="F608" t="s">
        <v>72</v>
      </c>
      <c r="G608">
        <v>0</v>
      </c>
      <c r="H608">
        <v>2E+20</v>
      </c>
      <c r="I608">
        <v>0</v>
      </c>
      <c r="J608">
        <v>0</v>
      </c>
      <c r="K608">
        <v>3</v>
      </c>
      <c r="L60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compartida)relojOther TimeEntity</v>
      </c>
      <c r="M608" s="5" cm="1">
        <f t="array" ref="M608">MAX(IF((ProjectInfoTable[ProjectName]=DiscreteStatsTable[[#This Row],[ProjectName]]),(ProjectInfoTable[ProjectName]=DiscreteStatsTable[[#This Row],[ProjectName]])*ProjectInfoTable[NumberOfReplications]))</f>
        <v>19</v>
      </c>
      <c r="N608" s="5" cm="1">
        <f t="array" ref="N608">IFERROR(AVERAGE(IF((DiscreteStatsTable[GroupByKey]=DiscreteStatsTable[[#This Row],[GroupByKey]]),(DiscreteStatsTable[GroupByKey]=DiscreteStatsTable[[#This Row],[GroupByKey]])*DiscreteStatsTable[Average])),0)</f>
        <v>0</v>
      </c>
      <c r="O608" s="5" cm="1">
        <f t="array" ref="O608">IFERROR(_xlfn.STDEV.S(IF((DiscreteStatsTable[GroupByKey]=DiscreteStatsTable[[#This Row],[GroupByKey]]),(DiscreteStatsTable[GroupByKey]=DiscreteStatsTable[[#This Row],[GroupByKey]])*DiscreteStatsTable[Average])),0)</f>
        <v>0</v>
      </c>
      <c r="P608" s="5" cm="1">
        <f t="array" ref="P608">MAX(IF((ProjectInfoTable[ProjectName]=DiscreteStatsTable[[#This Row],[ProjectName]]),(ProjectInfoTable[ProjectName]=DiscreteStatsTable[[#This Row],[ProjectName]])*ProjectInfoTable[ConfidenceInterval]))</f>
        <v>0.95</v>
      </c>
      <c r="Q608" s="5">
        <f>IF(AND(DiscreteStatsTable[[#This Row],[RepsWithStatObserved]]=1,Y608=0),200000000000000000000,IFERROR(_xlfn.T.INV.2T(1 -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8" s="5" cm="1">
        <f t="array" ref="R608">MIN(IF((DiscreteStatsTable[GroupByKey]=DiscreteStatsTable[[#This Row],[GroupByKey]]),(DiscreteStatsTable[GroupByKey]=DiscreteStatsTable[[#This Row],[GroupByKey]])*DiscreteStatsTable[Average]))</f>
        <v>0</v>
      </c>
      <c r="S608" s="5" cm="1">
        <f t="array" ref="S608">MAX(IF((DiscreteStatsTable[GroupByKey]=DiscreteStatsTable[[#This Row],[GroupByKey]]),(DiscreteStatsTable[GroupByKey]=DiscreteStatsTable[[#This Row],[GroupByKey]])*DiscreteStatsTable[Average]))</f>
        <v>0</v>
      </c>
      <c r="T608" s="5" cm="1">
        <f t="array" ref="T608">MIN(IF((DiscreteStatsTable[GroupByKey]=DiscreteStatsTable[[#This Row],[GroupByKey]]),(DiscreteStatsTable[GroupByKey]=DiscreteStatsTable[[#This Row],[GroupByKey]])*DiscreteStatsTable[Minimum]))</f>
        <v>0</v>
      </c>
      <c r="U608" s="5" cm="1">
        <f t="array" ref="U608">MAX(IF((DiscreteStatsTable[GroupByKey]=DiscreteStatsTable[[#This Row],[GroupByKey]]),(DiscreteStatsTable[GroupByKey]=DiscreteStatsTable[[#This Row],[GroupByKey]])*DiscreteStatsTable[Maximum]))</f>
        <v>0</v>
      </c>
      <c r="V608" s="5" cm="1">
        <f t="array" ref="V608">IFERROR(AVERAGE(IF((DiscreteStatsTable[GroupByKey]=DiscreteStatsTable[[#This Row],[GroupByKey]]),(DiscreteStatsTable[GroupByKey]=DiscreteStatsTable[[#This Row],[GroupByKey]])*DiscreteStatsTable[NumberObservations])),0)</f>
        <v>3</v>
      </c>
      <c r="W608" s="5">
        <f>IF((DiscreteStatsTable[[#This Row],[RepsRequested]]&gt;1),DiscreteStatsTable[[#This Row],[HalfWidth]],DiscreteStatsTable[[#This Row],[BatchMeansHalfWidth]])</f>
        <v>0</v>
      </c>
      <c r="X608" s="5" cm="1">
        <f t="array" ref="X608">COUNT(IF((DiscreteStatsTable[GroupByKey]=DiscreteStatsTable[[#This Row],[GroupByKey]]),(DiscreteStatsTable[GroupByKey]=DiscreteStatsTable[[#This Row],[GroupByKey]])*DiscreteStatsTable[Replication]))</f>
        <v>19</v>
      </c>
      <c r="Y608" s="5">
        <f>IF(DiscreteStatsTable[[#This Row],[RepsRequested]]=DiscreteStatsTable[[#This Row],[RepsWithStatObserved]],1,0)</f>
        <v>1</v>
      </c>
    </row>
    <row r="609" spans="1:25" x14ac:dyDescent="0.25">
      <c r="A609" t="s">
        <v>67</v>
      </c>
      <c r="B609" t="s">
        <v>69</v>
      </c>
      <c r="C609">
        <v>10</v>
      </c>
      <c r="D609" t="s">
        <v>127</v>
      </c>
      <c r="E609" t="s">
        <v>74</v>
      </c>
      <c r="F609" t="s">
        <v>72</v>
      </c>
      <c r="G609">
        <v>0</v>
      </c>
      <c r="H609">
        <v>2E+20</v>
      </c>
      <c r="I609">
        <v>0</v>
      </c>
      <c r="J609">
        <v>0</v>
      </c>
      <c r="K609">
        <v>3</v>
      </c>
      <c r="L60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compartida)relojTotal TimeEntity</v>
      </c>
      <c r="M609" s="5" cm="1">
        <f t="array" ref="M609">MAX(IF((ProjectInfoTable[ProjectName]=DiscreteStatsTable[[#This Row],[ProjectName]]),(ProjectInfoTable[ProjectName]=DiscreteStatsTable[[#This Row],[ProjectName]])*ProjectInfoTable[NumberOfReplications]))</f>
        <v>19</v>
      </c>
      <c r="N609" s="5" cm="1">
        <f t="array" ref="N609">IFERROR(AVERAGE(IF((DiscreteStatsTable[GroupByKey]=DiscreteStatsTable[[#This Row],[GroupByKey]]),(DiscreteStatsTable[GroupByKey]=DiscreteStatsTable[[#This Row],[GroupByKey]])*DiscreteStatsTable[Average])),0)</f>
        <v>0</v>
      </c>
      <c r="O609" s="5" cm="1">
        <f t="array" ref="O609">IFERROR(_xlfn.STDEV.S(IF((DiscreteStatsTable[GroupByKey]=DiscreteStatsTable[[#This Row],[GroupByKey]]),(DiscreteStatsTable[GroupByKey]=DiscreteStatsTable[[#This Row],[GroupByKey]])*DiscreteStatsTable[Average])),0)</f>
        <v>0</v>
      </c>
      <c r="P609" s="5" cm="1">
        <f t="array" ref="P609">MAX(IF((ProjectInfoTable[ProjectName]=DiscreteStatsTable[[#This Row],[ProjectName]]),(ProjectInfoTable[ProjectName]=DiscreteStatsTable[[#This Row],[ProjectName]])*ProjectInfoTable[ConfidenceInterval]))</f>
        <v>0.95</v>
      </c>
      <c r="Q609" s="5">
        <f>IF(AND(DiscreteStatsTable[[#This Row],[RepsWithStatObserved]]=1,Y609=0),200000000000000000000,IFERROR(_xlfn.T.INV.2T(1 -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9" s="5" cm="1">
        <f t="array" ref="R609">MIN(IF((DiscreteStatsTable[GroupByKey]=DiscreteStatsTable[[#This Row],[GroupByKey]]),(DiscreteStatsTable[GroupByKey]=DiscreteStatsTable[[#This Row],[GroupByKey]])*DiscreteStatsTable[Average]))</f>
        <v>0</v>
      </c>
      <c r="S609" s="5" cm="1">
        <f t="array" ref="S609">MAX(IF((DiscreteStatsTable[GroupByKey]=DiscreteStatsTable[[#This Row],[GroupByKey]]),(DiscreteStatsTable[GroupByKey]=DiscreteStatsTable[[#This Row],[GroupByKey]])*DiscreteStatsTable[Average]))</f>
        <v>0</v>
      </c>
      <c r="T609" s="5" cm="1">
        <f t="array" ref="T609">MIN(IF((DiscreteStatsTable[GroupByKey]=DiscreteStatsTable[[#This Row],[GroupByKey]]),(DiscreteStatsTable[GroupByKey]=DiscreteStatsTable[[#This Row],[GroupByKey]])*DiscreteStatsTable[Minimum]))</f>
        <v>0</v>
      </c>
      <c r="U609" s="5" cm="1">
        <f t="array" ref="U609">MAX(IF((DiscreteStatsTable[GroupByKey]=DiscreteStatsTable[[#This Row],[GroupByKey]]),(DiscreteStatsTable[GroupByKey]=DiscreteStatsTable[[#This Row],[GroupByKey]])*DiscreteStatsTable[Maximum]))</f>
        <v>0</v>
      </c>
      <c r="V609" s="5" cm="1">
        <f t="array" ref="V609">IFERROR(AVERAGE(IF((DiscreteStatsTable[GroupByKey]=DiscreteStatsTable[[#This Row],[GroupByKey]]),(DiscreteStatsTable[GroupByKey]=DiscreteStatsTable[[#This Row],[GroupByKey]])*DiscreteStatsTable[NumberObservations])),0)</f>
        <v>3</v>
      </c>
      <c r="W609" s="5">
        <f>IF((DiscreteStatsTable[[#This Row],[RepsRequested]]&gt;1),DiscreteStatsTable[[#This Row],[HalfWidth]],DiscreteStatsTable[[#This Row],[BatchMeansHalfWidth]])</f>
        <v>0</v>
      </c>
      <c r="X609" s="5" cm="1">
        <f t="array" ref="X609">COUNT(IF((DiscreteStatsTable[GroupByKey]=DiscreteStatsTable[[#This Row],[GroupByKey]]),(DiscreteStatsTable[GroupByKey]=DiscreteStatsTable[[#This Row],[GroupByKey]])*DiscreteStatsTable[Replication]))</f>
        <v>19</v>
      </c>
      <c r="Y609" s="5">
        <f>IF(DiscreteStatsTable[[#This Row],[RepsRequested]]=DiscreteStatsTable[[#This Row],[RepsWithStatObserved]],1,0)</f>
        <v>1</v>
      </c>
    </row>
    <row r="610" spans="1:25" x14ac:dyDescent="0.25">
      <c r="A610" t="s">
        <v>67</v>
      </c>
      <c r="B610" t="s">
        <v>69</v>
      </c>
      <c r="C610">
        <v>10</v>
      </c>
      <c r="D610" t="s">
        <v>127</v>
      </c>
      <c r="E610" t="s">
        <v>75</v>
      </c>
      <c r="F610" t="s">
        <v>72</v>
      </c>
      <c r="G610">
        <v>0</v>
      </c>
      <c r="H610">
        <v>2E+20</v>
      </c>
      <c r="I610">
        <v>0</v>
      </c>
      <c r="J610">
        <v>0</v>
      </c>
      <c r="K610">
        <v>3</v>
      </c>
      <c r="L61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compartida)relojTransfer TimeEntity</v>
      </c>
      <c r="M610" s="5" cm="1">
        <f t="array" ref="M610">MAX(IF((ProjectInfoTable[ProjectName]=DiscreteStatsTable[[#This Row],[ProjectName]]),(ProjectInfoTable[ProjectName]=DiscreteStatsTable[[#This Row],[ProjectName]])*ProjectInfoTable[NumberOfReplications]))</f>
        <v>19</v>
      </c>
      <c r="N610" s="5" cm="1">
        <f t="array" ref="N610">IFERROR(AVERAGE(IF((DiscreteStatsTable[GroupByKey]=DiscreteStatsTable[[#This Row],[GroupByKey]]),(DiscreteStatsTable[GroupByKey]=DiscreteStatsTable[[#This Row],[GroupByKey]])*DiscreteStatsTable[Average])),0)</f>
        <v>0</v>
      </c>
      <c r="O610" s="5" cm="1">
        <f t="array" ref="O610">IFERROR(_xlfn.STDEV.S(IF((DiscreteStatsTable[GroupByKey]=DiscreteStatsTable[[#This Row],[GroupByKey]]),(DiscreteStatsTable[GroupByKey]=DiscreteStatsTable[[#This Row],[GroupByKey]])*DiscreteStatsTable[Average])),0)</f>
        <v>0</v>
      </c>
      <c r="P610" s="5" cm="1">
        <f t="array" ref="P610">MAX(IF((ProjectInfoTable[ProjectName]=DiscreteStatsTable[[#This Row],[ProjectName]]),(ProjectInfoTable[ProjectName]=DiscreteStatsTable[[#This Row],[ProjectName]])*ProjectInfoTable[ConfidenceInterval]))</f>
        <v>0.95</v>
      </c>
      <c r="Q610" s="5">
        <f>IF(AND(DiscreteStatsTable[[#This Row],[RepsWithStatObserved]]=1,Y610=0),200000000000000000000,IFERROR(_xlfn.T.INV.2T(1 -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0" s="5" cm="1">
        <f t="array" ref="R610">MIN(IF((DiscreteStatsTable[GroupByKey]=DiscreteStatsTable[[#This Row],[GroupByKey]]),(DiscreteStatsTable[GroupByKey]=DiscreteStatsTable[[#This Row],[GroupByKey]])*DiscreteStatsTable[Average]))</f>
        <v>0</v>
      </c>
      <c r="S610" s="5" cm="1">
        <f t="array" ref="S610">MAX(IF((DiscreteStatsTable[GroupByKey]=DiscreteStatsTable[[#This Row],[GroupByKey]]),(DiscreteStatsTable[GroupByKey]=DiscreteStatsTable[[#This Row],[GroupByKey]])*DiscreteStatsTable[Average]))</f>
        <v>0</v>
      </c>
      <c r="T610" s="5" cm="1">
        <f t="array" ref="T610">MIN(IF((DiscreteStatsTable[GroupByKey]=DiscreteStatsTable[[#This Row],[GroupByKey]]),(DiscreteStatsTable[GroupByKey]=DiscreteStatsTable[[#This Row],[GroupByKey]])*DiscreteStatsTable[Minimum]))</f>
        <v>0</v>
      </c>
      <c r="U610" s="5" cm="1">
        <f t="array" ref="U610">MAX(IF((DiscreteStatsTable[GroupByKey]=DiscreteStatsTable[[#This Row],[GroupByKey]]),(DiscreteStatsTable[GroupByKey]=DiscreteStatsTable[[#This Row],[GroupByKey]])*DiscreteStatsTable[Maximum]))</f>
        <v>0</v>
      </c>
      <c r="V610" s="5" cm="1">
        <f t="array" ref="V610">IFERROR(AVERAGE(IF((DiscreteStatsTable[GroupByKey]=DiscreteStatsTable[[#This Row],[GroupByKey]]),(DiscreteStatsTable[GroupByKey]=DiscreteStatsTable[[#This Row],[GroupByKey]])*DiscreteStatsTable[NumberObservations])),0)</f>
        <v>3</v>
      </c>
      <c r="W610" s="5">
        <f>IF((DiscreteStatsTable[[#This Row],[RepsRequested]]&gt;1),DiscreteStatsTable[[#This Row],[HalfWidth]],DiscreteStatsTable[[#This Row],[BatchMeansHalfWidth]])</f>
        <v>0</v>
      </c>
      <c r="X610" s="5" cm="1">
        <f t="array" ref="X610">COUNT(IF((DiscreteStatsTable[GroupByKey]=DiscreteStatsTable[[#This Row],[GroupByKey]]),(DiscreteStatsTable[GroupByKey]=DiscreteStatsTable[[#This Row],[GroupByKey]])*DiscreteStatsTable[Replication]))</f>
        <v>19</v>
      </c>
      <c r="Y610" s="5">
        <f>IF(DiscreteStatsTable[[#This Row],[RepsRequested]]=DiscreteStatsTable[[#This Row],[RepsWithStatObserved]],1,0)</f>
        <v>1</v>
      </c>
    </row>
    <row r="611" spans="1:25" x14ac:dyDescent="0.25">
      <c r="A611" t="s">
        <v>67</v>
      </c>
      <c r="B611" t="s">
        <v>69</v>
      </c>
      <c r="C611">
        <v>10</v>
      </c>
      <c r="D611" t="s">
        <v>127</v>
      </c>
      <c r="E611" t="s">
        <v>76</v>
      </c>
      <c r="F611" t="s">
        <v>72</v>
      </c>
      <c r="G611">
        <v>0</v>
      </c>
      <c r="H611">
        <v>2E+20</v>
      </c>
      <c r="I611">
        <v>0</v>
      </c>
      <c r="J611">
        <v>0</v>
      </c>
      <c r="K611">
        <v>3</v>
      </c>
      <c r="L61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compartida)relojVA TimeEntity</v>
      </c>
      <c r="M611" s="5" cm="1">
        <f t="array" ref="M611">MAX(IF((ProjectInfoTable[ProjectName]=DiscreteStatsTable[[#This Row],[ProjectName]]),(ProjectInfoTable[ProjectName]=DiscreteStatsTable[[#This Row],[ProjectName]])*ProjectInfoTable[NumberOfReplications]))</f>
        <v>19</v>
      </c>
      <c r="N611" s="5" cm="1">
        <f t="array" ref="N611">IFERROR(AVERAGE(IF((DiscreteStatsTable[GroupByKey]=DiscreteStatsTable[[#This Row],[GroupByKey]]),(DiscreteStatsTable[GroupByKey]=DiscreteStatsTable[[#This Row],[GroupByKey]])*DiscreteStatsTable[Average])),0)</f>
        <v>0</v>
      </c>
      <c r="O611" s="5" cm="1">
        <f t="array" ref="O611">IFERROR(_xlfn.STDEV.S(IF((DiscreteStatsTable[GroupByKey]=DiscreteStatsTable[[#This Row],[GroupByKey]]),(DiscreteStatsTable[GroupByKey]=DiscreteStatsTable[[#This Row],[GroupByKey]])*DiscreteStatsTable[Average])),0)</f>
        <v>0</v>
      </c>
      <c r="P611" s="5" cm="1">
        <f t="array" ref="P611">MAX(IF((ProjectInfoTable[ProjectName]=DiscreteStatsTable[[#This Row],[ProjectName]]),(ProjectInfoTable[ProjectName]=DiscreteStatsTable[[#This Row],[ProjectName]])*ProjectInfoTable[ConfidenceInterval]))</f>
        <v>0.95</v>
      </c>
      <c r="Q611" s="5">
        <f>IF(AND(DiscreteStatsTable[[#This Row],[RepsWithStatObserved]]=1,Y611=0),200000000000000000000,IFERROR(_xlfn.T.INV.2T(1 -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1" s="5" cm="1">
        <f t="array" ref="R611">MIN(IF((DiscreteStatsTable[GroupByKey]=DiscreteStatsTable[[#This Row],[GroupByKey]]),(DiscreteStatsTable[GroupByKey]=DiscreteStatsTable[[#This Row],[GroupByKey]])*DiscreteStatsTable[Average]))</f>
        <v>0</v>
      </c>
      <c r="S611" s="5" cm="1">
        <f t="array" ref="S611">MAX(IF((DiscreteStatsTable[GroupByKey]=DiscreteStatsTable[[#This Row],[GroupByKey]]),(DiscreteStatsTable[GroupByKey]=DiscreteStatsTable[[#This Row],[GroupByKey]])*DiscreteStatsTable[Average]))</f>
        <v>0</v>
      </c>
      <c r="T611" s="5" cm="1">
        <f t="array" ref="T611">MIN(IF((DiscreteStatsTable[GroupByKey]=DiscreteStatsTable[[#This Row],[GroupByKey]]),(DiscreteStatsTable[GroupByKey]=DiscreteStatsTable[[#This Row],[GroupByKey]])*DiscreteStatsTable[Minimum]))</f>
        <v>0</v>
      </c>
      <c r="U611" s="5" cm="1">
        <f t="array" ref="U611">MAX(IF((DiscreteStatsTable[GroupByKey]=DiscreteStatsTable[[#This Row],[GroupByKey]]),(DiscreteStatsTable[GroupByKey]=DiscreteStatsTable[[#This Row],[GroupByKey]])*DiscreteStatsTable[Maximum]))</f>
        <v>0</v>
      </c>
      <c r="V611" s="5" cm="1">
        <f t="array" ref="V611">IFERROR(AVERAGE(IF((DiscreteStatsTable[GroupByKey]=DiscreteStatsTable[[#This Row],[GroupByKey]]),(DiscreteStatsTable[GroupByKey]=DiscreteStatsTable[[#This Row],[GroupByKey]])*DiscreteStatsTable[NumberObservations])),0)</f>
        <v>3</v>
      </c>
      <c r="W611" s="5">
        <f>IF((DiscreteStatsTable[[#This Row],[RepsRequested]]&gt;1),DiscreteStatsTable[[#This Row],[HalfWidth]],DiscreteStatsTable[[#This Row],[BatchMeansHalfWidth]])</f>
        <v>0</v>
      </c>
      <c r="X611" s="5" cm="1">
        <f t="array" ref="X611">COUNT(IF((DiscreteStatsTable[GroupByKey]=DiscreteStatsTable[[#This Row],[GroupByKey]]),(DiscreteStatsTable[GroupByKey]=DiscreteStatsTable[[#This Row],[GroupByKey]])*DiscreteStatsTable[Replication]))</f>
        <v>19</v>
      </c>
      <c r="Y611" s="5">
        <f>IF(DiscreteStatsTable[[#This Row],[RepsRequested]]=DiscreteStatsTable[[#This Row],[RepsWithStatObserved]],1,0)</f>
        <v>1</v>
      </c>
    </row>
    <row r="612" spans="1:25" x14ac:dyDescent="0.25">
      <c r="A612" t="s">
        <v>67</v>
      </c>
      <c r="B612" t="s">
        <v>69</v>
      </c>
      <c r="C612">
        <v>10</v>
      </c>
      <c r="D612" t="s">
        <v>127</v>
      </c>
      <c r="E612" t="s">
        <v>77</v>
      </c>
      <c r="F612" t="s">
        <v>72</v>
      </c>
      <c r="G612">
        <v>0</v>
      </c>
      <c r="H612">
        <v>2E+20</v>
      </c>
      <c r="I612">
        <v>0</v>
      </c>
      <c r="J612">
        <v>0</v>
      </c>
      <c r="K612">
        <v>3</v>
      </c>
      <c r="L61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compartida)relojWait TimeEntity</v>
      </c>
      <c r="M612" s="5" cm="1">
        <f t="array" ref="M612">MAX(IF((ProjectInfoTable[ProjectName]=DiscreteStatsTable[[#This Row],[ProjectName]]),(ProjectInfoTable[ProjectName]=DiscreteStatsTable[[#This Row],[ProjectName]])*ProjectInfoTable[NumberOfReplications]))</f>
        <v>19</v>
      </c>
      <c r="N612" s="5" cm="1">
        <f t="array" ref="N612">IFERROR(AVERAGE(IF((DiscreteStatsTable[GroupByKey]=DiscreteStatsTable[[#This Row],[GroupByKey]]),(DiscreteStatsTable[GroupByKey]=DiscreteStatsTable[[#This Row],[GroupByKey]])*DiscreteStatsTable[Average])),0)</f>
        <v>0</v>
      </c>
      <c r="O612" s="5" cm="1">
        <f t="array" ref="O612">IFERROR(_xlfn.STDEV.S(IF((DiscreteStatsTable[GroupByKey]=DiscreteStatsTable[[#This Row],[GroupByKey]]),(DiscreteStatsTable[GroupByKey]=DiscreteStatsTable[[#This Row],[GroupByKey]])*DiscreteStatsTable[Average])),0)</f>
        <v>0</v>
      </c>
      <c r="P612" s="5" cm="1">
        <f t="array" ref="P612">MAX(IF((ProjectInfoTable[ProjectName]=DiscreteStatsTable[[#This Row],[ProjectName]]),(ProjectInfoTable[ProjectName]=DiscreteStatsTable[[#This Row],[ProjectName]])*ProjectInfoTable[ConfidenceInterval]))</f>
        <v>0.95</v>
      </c>
      <c r="Q612" s="5">
        <f>IF(AND(DiscreteStatsTable[[#This Row],[RepsWithStatObserved]]=1,Y612=0),200000000000000000000,IFERROR(_xlfn.T.INV.2T(1 -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2" s="5" cm="1">
        <f t="array" ref="R612">MIN(IF((DiscreteStatsTable[GroupByKey]=DiscreteStatsTable[[#This Row],[GroupByKey]]),(DiscreteStatsTable[GroupByKey]=DiscreteStatsTable[[#This Row],[GroupByKey]])*DiscreteStatsTable[Average]))</f>
        <v>0</v>
      </c>
      <c r="S612" s="5" cm="1">
        <f t="array" ref="S612">MAX(IF((DiscreteStatsTable[GroupByKey]=DiscreteStatsTable[[#This Row],[GroupByKey]]),(DiscreteStatsTable[GroupByKey]=DiscreteStatsTable[[#This Row],[GroupByKey]])*DiscreteStatsTable[Average]))</f>
        <v>0</v>
      </c>
      <c r="T612" s="5" cm="1">
        <f t="array" ref="T612">MIN(IF((DiscreteStatsTable[GroupByKey]=DiscreteStatsTable[[#This Row],[GroupByKey]]),(DiscreteStatsTable[GroupByKey]=DiscreteStatsTable[[#This Row],[GroupByKey]])*DiscreteStatsTable[Minimum]))</f>
        <v>0</v>
      </c>
      <c r="U612" s="5" cm="1">
        <f t="array" ref="U612">MAX(IF((DiscreteStatsTable[GroupByKey]=DiscreteStatsTable[[#This Row],[GroupByKey]]),(DiscreteStatsTable[GroupByKey]=DiscreteStatsTable[[#This Row],[GroupByKey]])*DiscreteStatsTable[Maximum]))</f>
        <v>0</v>
      </c>
      <c r="V612" s="5" cm="1">
        <f t="array" ref="V612">IFERROR(AVERAGE(IF((DiscreteStatsTable[GroupByKey]=DiscreteStatsTable[[#This Row],[GroupByKey]]),(DiscreteStatsTable[GroupByKey]=DiscreteStatsTable[[#This Row],[GroupByKey]])*DiscreteStatsTable[NumberObservations])),0)</f>
        <v>3</v>
      </c>
      <c r="W612" s="5">
        <f>IF((DiscreteStatsTable[[#This Row],[RepsRequested]]&gt;1),DiscreteStatsTable[[#This Row],[HalfWidth]],DiscreteStatsTable[[#This Row],[BatchMeansHalfWidth]])</f>
        <v>0</v>
      </c>
      <c r="X612" s="5" cm="1">
        <f t="array" ref="X612">COUNT(IF((DiscreteStatsTable[GroupByKey]=DiscreteStatsTable[[#This Row],[GroupByKey]]),(DiscreteStatsTable[GroupByKey]=DiscreteStatsTable[[#This Row],[GroupByKey]])*DiscreteStatsTable[Replication]))</f>
        <v>19</v>
      </c>
      <c r="Y612" s="5">
        <f>IF(DiscreteStatsTable[[#This Row],[RepsRequested]]=DiscreteStatsTable[[#This Row],[RepsWithStatObserved]],1,0)</f>
        <v>1</v>
      </c>
    </row>
    <row r="613" spans="1:25" x14ac:dyDescent="0.25">
      <c r="A613" t="s">
        <v>67</v>
      </c>
      <c r="B613" t="s">
        <v>69</v>
      </c>
      <c r="C613">
        <v>11</v>
      </c>
      <c r="D613" t="s">
        <v>127</v>
      </c>
      <c r="E613" t="s">
        <v>71</v>
      </c>
      <c r="F613" t="s">
        <v>72</v>
      </c>
      <c r="G613">
        <v>0</v>
      </c>
      <c r="H613">
        <v>2E+20</v>
      </c>
      <c r="I613">
        <v>0</v>
      </c>
      <c r="J613">
        <v>0</v>
      </c>
      <c r="K613">
        <v>3</v>
      </c>
      <c r="L61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compartida)relojNVA TimeEntity</v>
      </c>
      <c r="M613" s="5" cm="1">
        <f t="array" ref="M613">MAX(IF((ProjectInfoTable[ProjectName]=DiscreteStatsTable[[#This Row],[ProjectName]]),(ProjectInfoTable[ProjectName]=DiscreteStatsTable[[#This Row],[ProjectName]])*ProjectInfoTable[NumberOfReplications]))</f>
        <v>19</v>
      </c>
      <c r="N613" s="5" cm="1">
        <f t="array" ref="N613">IFERROR(AVERAGE(IF((DiscreteStatsTable[GroupByKey]=DiscreteStatsTable[[#This Row],[GroupByKey]]),(DiscreteStatsTable[GroupByKey]=DiscreteStatsTable[[#This Row],[GroupByKey]])*DiscreteStatsTable[Average])),0)</f>
        <v>0</v>
      </c>
      <c r="O613" s="5" cm="1">
        <f t="array" ref="O613">IFERROR(_xlfn.STDEV.S(IF((DiscreteStatsTable[GroupByKey]=DiscreteStatsTable[[#This Row],[GroupByKey]]),(DiscreteStatsTable[GroupByKey]=DiscreteStatsTable[[#This Row],[GroupByKey]])*DiscreteStatsTable[Average])),0)</f>
        <v>0</v>
      </c>
      <c r="P613" s="5" cm="1">
        <f t="array" ref="P613">MAX(IF((ProjectInfoTable[ProjectName]=DiscreteStatsTable[[#This Row],[ProjectName]]),(ProjectInfoTable[ProjectName]=DiscreteStatsTable[[#This Row],[ProjectName]])*ProjectInfoTable[ConfidenceInterval]))</f>
        <v>0.95</v>
      </c>
      <c r="Q613" s="5">
        <f>IF(AND(DiscreteStatsTable[[#This Row],[RepsWithStatObserved]]=1,Y613=0),200000000000000000000,IFERROR(_xlfn.T.INV.2T(1 -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3" s="5" cm="1">
        <f t="array" ref="R613">MIN(IF((DiscreteStatsTable[GroupByKey]=DiscreteStatsTable[[#This Row],[GroupByKey]]),(DiscreteStatsTable[GroupByKey]=DiscreteStatsTable[[#This Row],[GroupByKey]])*DiscreteStatsTable[Average]))</f>
        <v>0</v>
      </c>
      <c r="S613" s="5" cm="1">
        <f t="array" ref="S613">MAX(IF((DiscreteStatsTable[GroupByKey]=DiscreteStatsTable[[#This Row],[GroupByKey]]),(DiscreteStatsTable[GroupByKey]=DiscreteStatsTable[[#This Row],[GroupByKey]])*DiscreteStatsTable[Average]))</f>
        <v>0</v>
      </c>
      <c r="T613" s="5" cm="1">
        <f t="array" ref="T613">MIN(IF((DiscreteStatsTable[GroupByKey]=DiscreteStatsTable[[#This Row],[GroupByKey]]),(DiscreteStatsTable[GroupByKey]=DiscreteStatsTable[[#This Row],[GroupByKey]])*DiscreteStatsTable[Minimum]))</f>
        <v>0</v>
      </c>
      <c r="U613" s="5" cm="1">
        <f t="array" ref="U613">MAX(IF((DiscreteStatsTable[GroupByKey]=DiscreteStatsTable[[#This Row],[GroupByKey]]),(DiscreteStatsTable[GroupByKey]=DiscreteStatsTable[[#This Row],[GroupByKey]])*DiscreteStatsTable[Maximum]))</f>
        <v>0</v>
      </c>
      <c r="V613" s="5" cm="1">
        <f t="array" ref="V613">IFERROR(AVERAGE(IF((DiscreteStatsTable[GroupByKey]=DiscreteStatsTable[[#This Row],[GroupByKey]]),(DiscreteStatsTable[GroupByKey]=DiscreteStatsTable[[#This Row],[GroupByKey]])*DiscreteStatsTable[NumberObservations])),0)</f>
        <v>3</v>
      </c>
      <c r="W613" s="5">
        <f>IF((DiscreteStatsTable[[#This Row],[RepsRequested]]&gt;1),DiscreteStatsTable[[#This Row],[HalfWidth]],DiscreteStatsTable[[#This Row],[BatchMeansHalfWidth]])</f>
        <v>0</v>
      </c>
      <c r="X613" s="5" cm="1">
        <f t="array" ref="X613">COUNT(IF((DiscreteStatsTable[GroupByKey]=DiscreteStatsTable[[#This Row],[GroupByKey]]),(DiscreteStatsTable[GroupByKey]=DiscreteStatsTable[[#This Row],[GroupByKey]])*DiscreteStatsTable[Replication]))</f>
        <v>19</v>
      </c>
      <c r="Y613" s="5">
        <f>IF(DiscreteStatsTable[[#This Row],[RepsRequested]]=DiscreteStatsTable[[#This Row],[RepsWithStatObserved]],1,0)</f>
        <v>1</v>
      </c>
    </row>
    <row r="614" spans="1:25" x14ac:dyDescent="0.25">
      <c r="A614" t="s">
        <v>67</v>
      </c>
      <c r="B614" t="s">
        <v>69</v>
      </c>
      <c r="C614">
        <v>11</v>
      </c>
      <c r="D614" t="s">
        <v>127</v>
      </c>
      <c r="E614" t="s">
        <v>73</v>
      </c>
      <c r="F614" t="s">
        <v>72</v>
      </c>
      <c r="G614">
        <v>0</v>
      </c>
      <c r="H614">
        <v>2E+20</v>
      </c>
      <c r="I614">
        <v>0</v>
      </c>
      <c r="J614">
        <v>0</v>
      </c>
      <c r="K614">
        <v>3</v>
      </c>
      <c r="L61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compartida)relojOther TimeEntity</v>
      </c>
      <c r="M614" s="5" cm="1">
        <f t="array" ref="M614">MAX(IF((ProjectInfoTable[ProjectName]=DiscreteStatsTable[[#This Row],[ProjectName]]),(ProjectInfoTable[ProjectName]=DiscreteStatsTable[[#This Row],[ProjectName]])*ProjectInfoTable[NumberOfReplications]))</f>
        <v>19</v>
      </c>
      <c r="N614" s="5" cm="1">
        <f t="array" ref="N614">IFERROR(AVERAGE(IF((DiscreteStatsTable[GroupByKey]=DiscreteStatsTable[[#This Row],[GroupByKey]]),(DiscreteStatsTable[GroupByKey]=DiscreteStatsTable[[#This Row],[GroupByKey]])*DiscreteStatsTable[Average])),0)</f>
        <v>0</v>
      </c>
      <c r="O614" s="5" cm="1">
        <f t="array" ref="O614">IFERROR(_xlfn.STDEV.S(IF((DiscreteStatsTable[GroupByKey]=DiscreteStatsTable[[#This Row],[GroupByKey]]),(DiscreteStatsTable[GroupByKey]=DiscreteStatsTable[[#This Row],[GroupByKey]])*DiscreteStatsTable[Average])),0)</f>
        <v>0</v>
      </c>
      <c r="P614" s="5" cm="1">
        <f t="array" ref="P614">MAX(IF((ProjectInfoTable[ProjectName]=DiscreteStatsTable[[#This Row],[ProjectName]]),(ProjectInfoTable[ProjectName]=DiscreteStatsTable[[#This Row],[ProjectName]])*ProjectInfoTable[ConfidenceInterval]))</f>
        <v>0.95</v>
      </c>
      <c r="Q614" s="5">
        <f>IF(AND(DiscreteStatsTable[[#This Row],[RepsWithStatObserved]]=1,Y614=0),200000000000000000000,IFERROR(_xlfn.T.INV.2T(1 -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4" s="5" cm="1">
        <f t="array" ref="R614">MIN(IF((DiscreteStatsTable[GroupByKey]=DiscreteStatsTable[[#This Row],[GroupByKey]]),(DiscreteStatsTable[GroupByKey]=DiscreteStatsTable[[#This Row],[GroupByKey]])*DiscreteStatsTable[Average]))</f>
        <v>0</v>
      </c>
      <c r="S614" s="5" cm="1">
        <f t="array" ref="S614">MAX(IF((DiscreteStatsTable[GroupByKey]=DiscreteStatsTable[[#This Row],[GroupByKey]]),(DiscreteStatsTable[GroupByKey]=DiscreteStatsTable[[#This Row],[GroupByKey]])*DiscreteStatsTable[Average]))</f>
        <v>0</v>
      </c>
      <c r="T614" s="5" cm="1">
        <f t="array" ref="T614">MIN(IF((DiscreteStatsTable[GroupByKey]=DiscreteStatsTable[[#This Row],[GroupByKey]]),(DiscreteStatsTable[GroupByKey]=DiscreteStatsTable[[#This Row],[GroupByKey]])*DiscreteStatsTable[Minimum]))</f>
        <v>0</v>
      </c>
      <c r="U614" s="5" cm="1">
        <f t="array" ref="U614">MAX(IF((DiscreteStatsTable[GroupByKey]=DiscreteStatsTable[[#This Row],[GroupByKey]]),(DiscreteStatsTable[GroupByKey]=DiscreteStatsTable[[#This Row],[GroupByKey]])*DiscreteStatsTable[Maximum]))</f>
        <v>0</v>
      </c>
      <c r="V614" s="5" cm="1">
        <f t="array" ref="V614">IFERROR(AVERAGE(IF((DiscreteStatsTable[GroupByKey]=DiscreteStatsTable[[#This Row],[GroupByKey]]),(DiscreteStatsTable[GroupByKey]=DiscreteStatsTable[[#This Row],[GroupByKey]])*DiscreteStatsTable[NumberObservations])),0)</f>
        <v>3</v>
      </c>
      <c r="W614" s="5">
        <f>IF((DiscreteStatsTable[[#This Row],[RepsRequested]]&gt;1),DiscreteStatsTable[[#This Row],[HalfWidth]],DiscreteStatsTable[[#This Row],[BatchMeansHalfWidth]])</f>
        <v>0</v>
      </c>
      <c r="X614" s="5" cm="1">
        <f t="array" ref="X614">COUNT(IF((DiscreteStatsTable[GroupByKey]=DiscreteStatsTable[[#This Row],[GroupByKey]]),(DiscreteStatsTable[GroupByKey]=DiscreteStatsTable[[#This Row],[GroupByKey]])*DiscreteStatsTable[Replication]))</f>
        <v>19</v>
      </c>
      <c r="Y614" s="5">
        <f>IF(DiscreteStatsTable[[#This Row],[RepsRequested]]=DiscreteStatsTable[[#This Row],[RepsWithStatObserved]],1,0)</f>
        <v>1</v>
      </c>
    </row>
    <row r="615" spans="1:25" x14ac:dyDescent="0.25">
      <c r="A615" t="s">
        <v>67</v>
      </c>
      <c r="B615" t="s">
        <v>69</v>
      </c>
      <c r="C615">
        <v>11</v>
      </c>
      <c r="D615" t="s">
        <v>127</v>
      </c>
      <c r="E615" t="s">
        <v>74</v>
      </c>
      <c r="F615" t="s">
        <v>72</v>
      </c>
      <c r="G615">
        <v>0</v>
      </c>
      <c r="H615">
        <v>2E+20</v>
      </c>
      <c r="I615">
        <v>0</v>
      </c>
      <c r="J615">
        <v>0</v>
      </c>
      <c r="K615">
        <v>3</v>
      </c>
      <c r="L61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compartida)relojTotal TimeEntity</v>
      </c>
      <c r="M615" s="5" cm="1">
        <f t="array" ref="M615">MAX(IF((ProjectInfoTable[ProjectName]=DiscreteStatsTable[[#This Row],[ProjectName]]),(ProjectInfoTable[ProjectName]=DiscreteStatsTable[[#This Row],[ProjectName]])*ProjectInfoTable[NumberOfReplications]))</f>
        <v>19</v>
      </c>
      <c r="N615" s="5" cm="1">
        <f t="array" ref="N615">IFERROR(AVERAGE(IF((DiscreteStatsTable[GroupByKey]=DiscreteStatsTable[[#This Row],[GroupByKey]]),(DiscreteStatsTable[GroupByKey]=DiscreteStatsTable[[#This Row],[GroupByKey]])*DiscreteStatsTable[Average])),0)</f>
        <v>0</v>
      </c>
      <c r="O615" s="5" cm="1">
        <f t="array" ref="O615">IFERROR(_xlfn.STDEV.S(IF((DiscreteStatsTable[GroupByKey]=DiscreteStatsTable[[#This Row],[GroupByKey]]),(DiscreteStatsTable[GroupByKey]=DiscreteStatsTable[[#This Row],[GroupByKey]])*DiscreteStatsTable[Average])),0)</f>
        <v>0</v>
      </c>
      <c r="P615" s="5" cm="1">
        <f t="array" ref="P615">MAX(IF((ProjectInfoTable[ProjectName]=DiscreteStatsTable[[#This Row],[ProjectName]]),(ProjectInfoTable[ProjectName]=DiscreteStatsTable[[#This Row],[ProjectName]])*ProjectInfoTable[ConfidenceInterval]))</f>
        <v>0.95</v>
      </c>
      <c r="Q615" s="5">
        <f>IF(AND(DiscreteStatsTable[[#This Row],[RepsWithStatObserved]]=1,Y615=0),200000000000000000000,IFERROR(_xlfn.T.INV.2T(1 -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5" s="5" cm="1">
        <f t="array" ref="R615">MIN(IF((DiscreteStatsTable[GroupByKey]=DiscreteStatsTable[[#This Row],[GroupByKey]]),(DiscreteStatsTable[GroupByKey]=DiscreteStatsTable[[#This Row],[GroupByKey]])*DiscreteStatsTable[Average]))</f>
        <v>0</v>
      </c>
      <c r="S615" s="5" cm="1">
        <f t="array" ref="S615">MAX(IF((DiscreteStatsTable[GroupByKey]=DiscreteStatsTable[[#This Row],[GroupByKey]]),(DiscreteStatsTable[GroupByKey]=DiscreteStatsTable[[#This Row],[GroupByKey]])*DiscreteStatsTable[Average]))</f>
        <v>0</v>
      </c>
      <c r="T615" s="5" cm="1">
        <f t="array" ref="T615">MIN(IF((DiscreteStatsTable[GroupByKey]=DiscreteStatsTable[[#This Row],[GroupByKey]]),(DiscreteStatsTable[GroupByKey]=DiscreteStatsTable[[#This Row],[GroupByKey]])*DiscreteStatsTable[Minimum]))</f>
        <v>0</v>
      </c>
      <c r="U615" s="5" cm="1">
        <f t="array" ref="U615">MAX(IF((DiscreteStatsTable[GroupByKey]=DiscreteStatsTable[[#This Row],[GroupByKey]]),(DiscreteStatsTable[GroupByKey]=DiscreteStatsTable[[#This Row],[GroupByKey]])*DiscreteStatsTable[Maximum]))</f>
        <v>0</v>
      </c>
      <c r="V615" s="5" cm="1">
        <f t="array" ref="V615">IFERROR(AVERAGE(IF((DiscreteStatsTable[GroupByKey]=DiscreteStatsTable[[#This Row],[GroupByKey]]),(DiscreteStatsTable[GroupByKey]=DiscreteStatsTable[[#This Row],[GroupByKey]])*DiscreteStatsTable[NumberObservations])),0)</f>
        <v>3</v>
      </c>
      <c r="W615" s="5">
        <f>IF((DiscreteStatsTable[[#This Row],[RepsRequested]]&gt;1),DiscreteStatsTable[[#This Row],[HalfWidth]],DiscreteStatsTable[[#This Row],[BatchMeansHalfWidth]])</f>
        <v>0</v>
      </c>
      <c r="X615" s="5" cm="1">
        <f t="array" ref="X615">COUNT(IF((DiscreteStatsTable[GroupByKey]=DiscreteStatsTable[[#This Row],[GroupByKey]]),(DiscreteStatsTable[GroupByKey]=DiscreteStatsTable[[#This Row],[GroupByKey]])*DiscreteStatsTable[Replication]))</f>
        <v>19</v>
      </c>
      <c r="Y615" s="5">
        <f>IF(DiscreteStatsTable[[#This Row],[RepsRequested]]=DiscreteStatsTable[[#This Row],[RepsWithStatObserved]],1,0)</f>
        <v>1</v>
      </c>
    </row>
    <row r="616" spans="1:25" x14ac:dyDescent="0.25">
      <c r="A616" t="s">
        <v>67</v>
      </c>
      <c r="B616" t="s">
        <v>69</v>
      </c>
      <c r="C616">
        <v>11</v>
      </c>
      <c r="D616" t="s">
        <v>127</v>
      </c>
      <c r="E616" t="s">
        <v>75</v>
      </c>
      <c r="F616" t="s">
        <v>72</v>
      </c>
      <c r="G616">
        <v>0</v>
      </c>
      <c r="H616">
        <v>2E+20</v>
      </c>
      <c r="I616">
        <v>0</v>
      </c>
      <c r="J616">
        <v>0</v>
      </c>
      <c r="K616">
        <v>3</v>
      </c>
      <c r="L61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compartida)relojTransfer TimeEntity</v>
      </c>
      <c r="M616" s="5" cm="1">
        <f t="array" ref="M616">MAX(IF((ProjectInfoTable[ProjectName]=DiscreteStatsTable[[#This Row],[ProjectName]]),(ProjectInfoTable[ProjectName]=DiscreteStatsTable[[#This Row],[ProjectName]])*ProjectInfoTable[NumberOfReplications]))</f>
        <v>19</v>
      </c>
      <c r="N616" s="5" cm="1">
        <f t="array" ref="N616">IFERROR(AVERAGE(IF((DiscreteStatsTable[GroupByKey]=DiscreteStatsTable[[#This Row],[GroupByKey]]),(DiscreteStatsTable[GroupByKey]=DiscreteStatsTable[[#This Row],[GroupByKey]])*DiscreteStatsTable[Average])),0)</f>
        <v>0</v>
      </c>
      <c r="O616" s="5" cm="1">
        <f t="array" ref="O616">IFERROR(_xlfn.STDEV.S(IF((DiscreteStatsTable[GroupByKey]=DiscreteStatsTable[[#This Row],[GroupByKey]]),(DiscreteStatsTable[GroupByKey]=DiscreteStatsTable[[#This Row],[GroupByKey]])*DiscreteStatsTable[Average])),0)</f>
        <v>0</v>
      </c>
      <c r="P616" s="5" cm="1">
        <f t="array" ref="P616">MAX(IF((ProjectInfoTable[ProjectName]=DiscreteStatsTable[[#This Row],[ProjectName]]),(ProjectInfoTable[ProjectName]=DiscreteStatsTable[[#This Row],[ProjectName]])*ProjectInfoTable[ConfidenceInterval]))</f>
        <v>0.95</v>
      </c>
      <c r="Q616" s="5">
        <f>IF(AND(DiscreteStatsTable[[#This Row],[RepsWithStatObserved]]=1,Y616=0),200000000000000000000,IFERROR(_xlfn.T.INV.2T(1 -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6" s="5" cm="1">
        <f t="array" ref="R616">MIN(IF((DiscreteStatsTable[GroupByKey]=DiscreteStatsTable[[#This Row],[GroupByKey]]),(DiscreteStatsTable[GroupByKey]=DiscreteStatsTable[[#This Row],[GroupByKey]])*DiscreteStatsTable[Average]))</f>
        <v>0</v>
      </c>
      <c r="S616" s="5" cm="1">
        <f t="array" ref="S616">MAX(IF((DiscreteStatsTable[GroupByKey]=DiscreteStatsTable[[#This Row],[GroupByKey]]),(DiscreteStatsTable[GroupByKey]=DiscreteStatsTable[[#This Row],[GroupByKey]])*DiscreteStatsTable[Average]))</f>
        <v>0</v>
      </c>
      <c r="T616" s="5" cm="1">
        <f t="array" ref="T616">MIN(IF((DiscreteStatsTable[GroupByKey]=DiscreteStatsTable[[#This Row],[GroupByKey]]),(DiscreteStatsTable[GroupByKey]=DiscreteStatsTable[[#This Row],[GroupByKey]])*DiscreteStatsTable[Minimum]))</f>
        <v>0</v>
      </c>
      <c r="U616" s="5" cm="1">
        <f t="array" ref="U616">MAX(IF((DiscreteStatsTable[GroupByKey]=DiscreteStatsTable[[#This Row],[GroupByKey]]),(DiscreteStatsTable[GroupByKey]=DiscreteStatsTable[[#This Row],[GroupByKey]])*DiscreteStatsTable[Maximum]))</f>
        <v>0</v>
      </c>
      <c r="V616" s="5" cm="1">
        <f t="array" ref="V616">IFERROR(AVERAGE(IF((DiscreteStatsTable[GroupByKey]=DiscreteStatsTable[[#This Row],[GroupByKey]]),(DiscreteStatsTable[GroupByKey]=DiscreteStatsTable[[#This Row],[GroupByKey]])*DiscreteStatsTable[NumberObservations])),0)</f>
        <v>3</v>
      </c>
      <c r="W616" s="5">
        <f>IF((DiscreteStatsTable[[#This Row],[RepsRequested]]&gt;1),DiscreteStatsTable[[#This Row],[HalfWidth]],DiscreteStatsTable[[#This Row],[BatchMeansHalfWidth]])</f>
        <v>0</v>
      </c>
      <c r="X616" s="5" cm="1">
        <f t="array" ref="X616">COUNT(IF((DiscreteStatsTable[GroupByKey]=DiscreteStatsTable[[#This Row],[GroupByKey]]),(DiscreteStatsTable[GroupByKey]=DiscreteStatsTable[[#This Row],[GroupByKey]])*DiscreteStatsTable[Replication]))</f>
        <v>19</v>
      </c>
      <c r="Y616" s="5">
        <f>IF(DiscreteStatsTable[[#This Row],[RepsRequested]]=DiscreteStatsTable[[#This Row],[RepsWithStatObserved]],1,0)</f>
        <v>1</v>
      </c>
    </row>
    <row r="617" spans="1:25" x14ac:dyDescent="0.25">
      <c r="A617" t="s">
        <v>67</v>
      </c>
      <c r="B617" t="s">
        <v>69</v>
      </c>
      <c r="C617">
        <v>11</v>
      </c>
      <c r="D617" t="s">
        <v>127</v>
      </c>
      <c r="E617" t="s">
        <v>76</v>
      </c>
      <c r="F617" t="s">
        <v>72</v>
      </c>
      <c r="G617">
        <v>0</v>
      </c>
      <c r="H617">
        <v>2E+20</v>
      </c>
      <c r="I617">
        <v>0</v>
      </c>
      <c r="J617">
        <v>0</v>
      </c>
      <c r="K617">
        <v>3</v>
      </c>
      <c r="L61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compartida)relojVA TimeEntity</v>
      </c>
      <c r="M617" s="5" cm="1">
        <f t="array" ref="M617">MAX(IF((ProjectInfoTable[ProjectName]=DiscreteStatsTable[[#This Row],[ProjectName]]),(ProjectInfoTable[ProjectName]=DiscreteStatsTable[[#This Row],[ProjectName]])*ProjectInfoTable[NumberOfReplications]))</f>
        <v>19</v>
      </c>
      <c r="N617" s="5" cm="1">
        <f t="array" ref="N617">IFERROR(AVERAGE(IF((DiscreteStatsTable[GroupByKey]=DiscreteStatsTable[[#This Row],[GroupByKey]]),(DiscreteStatsTable[GroupByKey]=DiscreteStatsTable[[#This Row],[GroupByKey]])*DiscreteStatsTable[Average])),0)</f>
        <v>0</v>
      </c>
      <c r="O617" s="5" cm="1">
        <f t="array" ref="O617">IFERROR(_xlfn.STDEV.S(IF((DiscreteStatsTable[GroupByKey]=DiscreteStatsTable[[#This Row],[GroupByKey]]),(DiscreteStatsTable[GroupByKey]=DiscreteStatsTable[[#This Row],[GroupByKey]])*DiscreteStatsTable[Average])),0)</f>
        <v>0</v>
      </c>
      <c r="P617" s="5" cm="1">
        <f t="array" ref="P617">MAX(IF((ProjectInfoTable[ProjectName]=DiscreteStatsTable[[#This Row],[ProjectName]]),(ProjectInfoTable[ProjectName]=DiscreteStatsTable[[#This Row],[ProjectName]])*ProjectInfoTable[ConfidenceInterval]))</f>
        <v>0.95</v>
      </c>
      <c r="Q617" s="5">
        <f>IF(AND(DiscreteStatsTable[[#This Row],[RepsWithStatObserved]]=1,Y617=0),200000000000000000000,IFERROR(_xlfn.T.INV.2T(1 -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7" s="5" cm="1">
        <f t="array" ref="R617">MIN(IF((DiscreteStatsTable[GroupByKey]=DiscreteStatsTable[[#This Row],[GroupByKey]]),(DiscreteStatsTable[GroupByKey]=DiscreteStatsTable[[#This Row],[GroupByKey]])*DiscreteStatsTable[Average]))</f>
        <v>0</v>
      </c>
      <c r="S617" s="5" cm="1">
        <f t="array" ref="S617">MAX(IF((DiscreteStatsTable[GroupByKey]=DiscreteStatsTable[[#This Row],[GroupByKey]]),(DiscreteStatsTable[GroupByKey]=DiscreteStatsTable[[#This Row],[GroupByKey]])*DiscreteStatsTable[Average]))</f>
        <v>0</v>
      </c>
      <c r="T617" s="5" cm="1">
        <f t="array" ref="T617">MIN(IF((DiscreteStatsTable[GroupByKey]=DiscreteStatsTable[[#This Row],[GroupByKey]]),(DiscreteStatsTable[GroupByKey]=DiscreteStatsTable[[#This Row],[GroupByKey]])*DiscreteStatsTable[Minimum]))</f>
        <v>0</v>
      </c>
      <c r="U617" s="5" cm="1">
        <f t="array" ref="U617">MAX(IF((DiscreteStatsTable[GroupByKey]=DiscreteStatsTable[[#This Row],[GroupByKey]]),(DiscreteStatsTable[GroupByKey]=DiscreteStatsTable[[#This Row],[GroupByKey]])*DiscreteStatsTable[Maximum]))</f>
        <v>0</v>
      </c>
      <c r="V617" s="5" cm="1">
        <f t="array" ref="V617">IFERROR(AVERAGE(IF((DiscreteStatsTable[GroupByKey]=DiscreteStatsTable[[#This Row],[GroupByKey]]),(DiscreteStatsTable[GroupByKey]=DiscreteStatsTable[[#This Row],[GroupByKey]])*DiscreteStatsTable[NumberObservations])),0)</f>
        <v>3</v>
      </c>
      <c r="W617" s="5">
        <f>IF((DiscreteStatsTable[[#This Row],[RepsRequested]]&gt;1),DiscreteStatsTable[[#This Row],[HalfWidth]],DiscreteStatsTable[[#This Row],[BatchMeansHalfWidth]])</f>
        <v>0</v>
      </c>
      <c r="X617" s="5" cm="1">
        <f t="array" ref="X617">COUNT(IF((DiscreteStatsTable[GroupByKey]=DiscreteStatsTable[[#This Row],[GroupByKey]]),(DiscreteStatsTable[GroupByKey]=DiscreteStatsTable[[#This Row],[GroupByKey]])*DiscreteStatsTable[Replication]))</f>
        <v>19</v>
      </c>
      <c r="Y617" s="5">
        <f>IF(DiscreteStatsTable[[#This Row],[RepsRequested]]=DiscreteStatsTable[[#This Row],[RepsWithStatObserved]],1,0)</f>
        <v>1</v>
      </c>
    </row>
    <row r="618" spans="1:25" x14ac:dyDescent="0.25">
      <c r="A618" t="s">
        <v>67</v>
      </c>
      <c r="B618" t="s">
        <v>69</v>
      </c>
      <c r="C618">
        <v>11</v>
      </c>
      <c r="D618" t="s">
        <v>127</v>
      </c>
      <c r="E618" t="s">
        <v>77</v>
      </c>
      <c r="F618" t="s">
        <v>72</v>
      </c>
      <c r="G618">
        <v>0</v>
      </c>
      <c r="H618">
        <v>2E+20</v>
      </c>
      <c r="I618">
        <v>0</v>
      </c>
      <c r="J618">
        <v>0</v>
      </c>
      <c r="K618">
        <v>3</v>
      </c>
      <c r="L61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compartida)relojWait TimeEntity</v>
      </c>
      <c r="M618" s="5" cm="1">
        <f t="array" ref="M618">MAX(IF((ProjectInfoTable[ProjectName]=DiscreteStatsTable[[#This Row],[ProjectName]]),(ProjectInfoTable[ProjectName]=DiscreteStatsTable[[#This Row],[ProjectName]])*ProjectInfoTable[NumberOfReplications]))</f>
        <v>19</v>
      </c>
      <c r="N618" s="5" cm="1">
        <f t="array" ref="N618">IFERROR(AVERAGE(IF((DiscreteStatsTable[GroupByKey]=DiscreteStatsTable[[#This Row],[GroupByKey]]),(DiscreteStatsTable[GroupByKey]=DiscreteStatsTable[[#This Row],[GroupByKey]])*DiscreteStatsTable[Average])),0)</f>
        <v>0</v>
      </c>
      <c r="O618" s="5" cm="1">
        <f t="array" ref="O618">IFERROR(_xlfn.STDEV.S(IF((DiscreteStatsTable[GroupByKey]=DiscreteStatsTable[[#This Row],[GroupByKey]]),(DiscreteStatsTable[GroupByKey]=DiscreteStatsTable[[#This Row],[GroupByKey]])*DiscreteStatsTable[Average])),0)</f>
        <v>0</v>
      </c>
      <c r="P618" s="5" cm="1">
        <f t="array" ref="P618">MAX(IF((ProjectInfoTable[ProjectName]=DiscreteStatsTable[[#This Row],[ProjectName]]),(ProjectInfoTable[ProjectName]=DiscreteStatsTable[[#This Row],[ProjectName]])*ProjectInfoTable[ConfidenceInterval]))</f>
        <v>0.95</v>
      </c>
      <c r="Q618" s="5">
        <f>IF(AND(DiscreteStatsTable[[#This Row],[RepsWithStatObserved]]=1,Y618=0),200000000000000000000,IFERROR(_xlfn.T.INV.2T(1 -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8" s="5" cm="1">
        <f t="array" ref="R618">MIN(IF((DiscreteStatsTable[GroupByKey]=DiscreteStatsTable[[#This Row],[GroupByKey]]),(DiscreteStatsTable[GroupByKey]=DiscreteStatsTable[[#This Row],[GroupByKey]])*DiscreteStatsTable[Average]))</f>
        <v>0</v>
      </c>
      <c r="S618" s="5" cm="1">
        <f t="array" ref="S618">MAX(IF((DiscreteStatsTable[GroupByKey]=DiscreteStatsTable[[#This Row],[GroupByKey]]),(DiscreteStatsTable[GroupByKey]=DiscreteStatsTable[[#This Row],[GroupByKey]])*DiscreteStatsTable[Average]))</f>
        <v>0</v>
      </c>
      <c r="T618" s="5" cm="1">
        <f t="array" ref="T618">MIN(IF((DiscreteStatsTable[GroupByKey]=DiscreteStatsTable[[#This Row],[GroupByKey]]),(DiscreteStatsTable[GroupByKey]=DiscreteStatsTable[[#This Row],[GroupByKey]])*DiscreteStatsTable[Minimum]))</f>
        <v>0</v>
      </c>
      <c r="U618" s="5" cm="1">
        <f t="array" ref="U618">MAX(IF((DiscreteStatsTable[GroupByKey]=DiscreteStatsTable[[#This Row],[GroupByKey]]),(DiscreteStatsTable[GroupByKey]=DiscreteStatsTable[[#This Row],[GroupByKey]])*DiscreteStatsTable[Maximum]))</f>
        <v>0</v>
      </c>
      <c r="V618" s="5" cm="1">
        <f t="array" ref="V618">IFERROR(AVERAGE(IF((DiscreteStatsTable[GroupByKey]=DiscreteStatsTable[[#This Row],[GroupByKey]]),(DiscreteStatsTable[GroupByKey]=DiscreteStatsTable[[#This Row],[GroupByKey]])*DiscreteStatsTable[NumberObservations])),0)</f>
        <v>3</v>
      </c>
      <c r="W618" s="5">
        <f>IF((DiscreteStatsTable[[#This Row],[RepsRequested]]&gt;1),DiscreteStatsTable[[#This Row],[HalfWidth]],DiscreteStatsTable[[#This Row],[BatchMeansHalfWidth]])</f>
        <v>0</v>
      </c>
      <c r="X618" s="5" cm="1">
        <f t="array" ref="X618">COUNT(IF((DiscreteStatsTable[GroupByKey]=DiscreteStatsTable[[#This Row],[GroupByKey]]),(DiscreteStatsTable[GroupByKey]=DiscreteStatsTable[[#This Row],[GroupByKey]])*DiscreteStatsTable[Replication]))</f>
        <v>19</v>
      </c>
      <c r="Y618" s="5">
        <f>IF(DiscreteStatsTable[[#This Row],[RepsRequested]]=DiscreteStatsTable[[#This Row],[RepsWithStatObserved]],1,0)</f>
        <v>1</v>
      </c>
    </row>
    <row r="619" spans="1:25" x14ac:dyDescent="0.25">
      <c r="A619" t="s">
        <v>67</v>
      </c>
      <c r="B619" t="s">
        <v>69</v>
      </c>
      <c r="C619">
        <v>12</v>
      </c>
      <c r="D619" t="s">
        <v>127</v>
      </c>
      <c r="E619" t="s">
        <v>71</v>
      </c>
      <c r="F619" t="s">
        <v>72</v>
      </c>
      <c r="G619">
        <v>0</v>
      </c>
      <c r="H619">
        <v>2E+20</v>
      </c>
      <c r="I619">
        <v>0</v>
      </c>
      <c r="J619">
        <v>0</v>
      </c>
      <c r="K619">
        <v>3</v>
      </c>
      <c r="L61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compartida)relojNVA TimeEntity</v>
      </c>
      <c r="M619" s="5" cm="1">
        <f t="array" ref="M619">MAX(IF((ProjectInfoTable[ProjectName]=DiscreteStatsTable[[#This Row],[ProjectName]]),(ProjectInfoTable[ProjectName]=DiscreteStatsTable[[#This Row],[ProjectName]])*ProjectInfoTable[NumberOfReplications]))</f>
        <v>19</v>
      </c>
      <c r="N619" s="5" cm="1">
        <f t="array" ref="N619">IFERROR(AVERAGE(IF((DiscreteStatsTable[GroupByKey]=DiscreteStatsTable[[#This Row],[GroupByKey]]),(DiscreteStatsTable[GroupByKey]=DiscreteStatsTable[[#This Row],[GroupByKey]])*DiscreteStatsTable[Average])),0)</f>
        <v>0</v>
      </c>
      <c r="O619" s="5" cm="1">
        <f t="array" ref="O619">IFERROR(_xlfn.STDEV.S(IF((DiscreteStatsTable[GroupByKey]=DiscreteStatsTable[[#This Row],[GroupByKey]]),(DiscreteStatsTable[GroupByKey]=DiscreteStatsTable[[#This Row],[GroupByKey]])*DiscreteStatsTable[Average])),0)</f>
        <v>0</v>
      </c>
      <c r="P619" s="5" cm="1">
        <f t="array" ref="P619">MAX(IF((ProjectInfoTable[ProjectName]=DiscreteStatsTable[[#This Row],[ProjectName]]),(ProjectInfoTable[ProjectName]=DiscreteStatsTable[[#This Row],[ProjectName]])*ProjectInfoTable[ConfidenceInterval]))</f>
        <v>0.95</v>
      </c>
      <c r="Q619" s="5">
        <f>IF(AND(DiscreteStatsTable[[#This Row],[RepsWithStatObserved]]=1,Y619=0),200000000000000000000,IFERROR(_xlfn.T.INV.2T(1 -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9" s="5" cm="1">
        <f t="array" ref="R619">MIN(IF((DiscreteStatsTable[GroupByKey]=DiscreteStatsTable[[#This Row],[GroupByKey]]),(DiscreteStatsTable[GroupByKey]=DiscreteStatsTable[[#This Row],[GroupByKey]])*DiscreteStatsTable[Average]))</f>
        <v>0</v>
      </c>
      <c r="S619" s="5" cm="1">
        <f t="array" ref="S619">MAX(IF((DiscreteStatsTable[GroupByKey]=DiscreteStatsTable[[#This Row],[GroupByKey]]),(DiscreteStatsTable[GroupByKey]=DiscreteStatsTable[[#This Row],[GroupByKey]])*DiscreteStatsTable[Average]))</f>
        <v>0</v>
      </c>
      <c r="T619" s="5" cm="1">
        <f t="array" ref="T619">MIN(IF((DiscreteStatsTable[GroupByKey]=DiscreteStatsTable[[#This Row],[GroupByKey]]),(DiscreteStatsTable[GroupByKey]=DiscreteStatsTable[[#This Row],[GroupByKey]])*DiscreteStatsTable[Minimum]))</f>
        <v>0</v>
      </c>
      <c r="U619" s="5" cm="1">
        <f t="array" ref="U619">MAX(IF((DiscreteStatsTable[GroupByKey]=DiscreteStatsTable[[#This Row],[GroupByKey]]),(DiscreteStatsTable[GroupByKey]=DiscreteStatsTable[[#This Row],[GroupByKey]])*DiscreteStatsTable[Maximum]))</f>
        <v>0</v>
      </c>
      <c r="V619" s="5" cm="1">
        <f t="array" ref="V619">IFERROR(AVERAGE(IF((DiscreteStatsTable[GroupByKey]=DiscreteStatsTable[[#This Row],[GroupByKey]]),(DiscreteStatsTable[GroupByKey]=DiscreteStatsTable[[#This Row],[GroupByKey]])*DiscreteStatsTable[NumberObservations])),0)</f>
        <v>3</v>
      </c>
      <c r="W619" s="5">
        <f>IF((DiscreteStatsTable[[#This Row],[RepsRequested]]&gt;1),DiscreteStatsTable[[#This Row],[HalfWidth]],DiscreteStatsTable[[#This Row],[BatchMeansHalfWidth]])</f>
        <v>0</v>
      </c>
      <c r="X619" s="5" cm="1">
        <f t="array" ref="X619">COUNT(IF((DiscreteStatsTable[GroupByKey]=DiscreteStatsTable[[#This Row],[GroupByKey]]),(DiscreteStatsTable[GroupByKey]=DiscreteStatsTable[[#This Row],[GroupByKey]])*DiscreteStatsTable[Replication]))</f>
        <v>19</v>
      </c>
      <c r="Y619" s="5">
        <f>IF(DiscreteStatsTable[[#This Row],[RepsRequested]]=DiscreteStatsTable[[#This Row],[RepsWithStatObserved]],1,0)</f>
        <v>1</v>
      </c>
    </row>
    <row r="620" spans="1:25" x14ac:dyDescent="0.25">
      <c r="A620" t="s">
        <v>67</v>
      </c>
      <c r="B620" t="s">
        <v>69</v>
      </c>
      <c r="C620">
        <v>12</v>
      </c>
      <c r="D620" t="s">
        <v>127</v>
      </c>
      <c r="E620" t="s">
        <v>73</v>
      </c>
      <c r="F620" t="s">
        <v>72</v>
      </c>
      <c r="G620">
        <v>0</v>
      </c>
      <c r="H620">
        <v>2E+20</v>
      </c>
      <c r="I620">
        <v>0</v>
      </c>
      <c r="J620">
        <v>0</v>
      </c>
      <c r="K620">
        <v>3</v>
      </c>
      <c r="L62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compartida)relojOther TimeEntity</v>
      </c>
      <c r="M620" s="5" cm="1">
        <f t="array" ref="M620">MAX(IF((ProjectInfoTable[ProjectName]=DiscreteStatsTable[[#This Row],[ProjectName]]),(ProjectInfoTable[ProjectName]=DiscreteStatsTable[[#This Row],[ProjectName]])*ProjectInfoTable[NumberOfReplications]))</f>
        <v>19</v>
      </c>
      <c r="N620" s="5" cm="1">
        <f t="array" ref="N620">IFERROR(AVERAGE(IF((DiscreteStatsTable[GroupByKey]=DiscreteStatsTable[[#This Row],[GroupByKey]]),(DiscreteStatsTable[GroupByKey]=DiscreteStatsTable[[#This Row],[GroupByKey]])*DiscreteStatsTable[Average])),0)</f>
        <v>0</v>
      </c>
      <c r="O620" s="5" cm="1">
        <f t="array" ref="O620">IFERROR(_xlfn.STDEV.S(IF((DiscreteStatsTable[GroupByKey]=DiscreteStatsTable[[#This Row],[GroupByKey]]),(DiscreteStatsTable[GroupByKey]=DiscreteStatsTable[[#This Row],[GroupByKey]])*DiscreteStatsTable[Average])),0)</f>
        <v>0</v>
      </c>
      <c r="P620" s="5" cm="1">
        <f t="array" ref="P620">MAX(IF((ProjectInfoTable[ProjectName]=DiscreteStatsTable[[#This Row],[ProjectName]]),(ProjectInfoTable[ProjectName]=DiscreteStatsTable[[#This Row],[ProjectName]])*ProjectInfoTable[ConfidenceInterval]))</f>
        <v>0.95</v>
      </c>
      <c r="Q620" s="5">
        <f>IF(AND(DiscreteStatsTable[[#This Row],[RepsWithStatObserved]]=1,Y620=0),200000000000000000000,IFERROR(_xlfn.T.INV.2T(1 -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0" s="5" cm="1">
        <f t="array" ref="R620">MIN(IF((DiscreteStatsTable[GroupByKey]=DiscreteStatsTable[[#This Row],[GroupByKey]]),(DiscreteStatsTable[GroupByKey]=DiscreteStatsTable[[#This Row],[GroupByKey]])*DiscreteStatsTable[Average]))</f>
        <v>0</v>
      </c>
      <c r="S620" s="5" cm="1">
        <f t="array" ref="S620">MAX(IF((DiscreteStatsTable[GroupByKey]=DiscreteStatsTable[[#This Row],[GroupByKey]]),(DiscreteStatsTable[GroupByKey]=DiscreteStatsTable[[#This Row],[GroupByKey]])*DiscreteStatsTable[Average]))</f>
        <v>0</v>
      </c>
      <c r="T620" s="5" cm="1">
        <f t="array" ref="T620">MIN(IF((DiscreteStatsTable[GroupByKey]=DiscreteStatsTable[[#This Row],[GroupByKey]]),(DiscreteStatsTable[GroupByKey]=DiscreteStatsTable[[#This Row],[GroupByKey]])*DiscreteStatsTable[Minimum]))</f>
        <v>0</v>
      </c>
      <c r="U620" s="5" cm="1">
        <f t="array" ref="U620">MAX(IF((DiscreteStatsTable[GroupByKey]=DiscreteStatsTable[[#This Row],[GroupByKey]]),(DiscreteStatsTable[GroupByKey]=DiscreteStatsTable[[#This Row],[GroupByKey]])*DiscreteStatsTable[Maximum]))</f>
        <v>0</v>
      </c>
      <c r="V620" s="5" cm="1">
        <f t="array" ref="V620">IFERROR(AVERAGE(IF((DiscreteStatsTable[GroupByKey]=DiscreteStatsTable[[#This Row],[GroupByKey]]),(DiscreteStatsTable[GroupByKey]=DiscreteStatsTable[[#This Row],[GroupByKey]])*DiscreteStatsTable[NumberObservations])),0)</f>
        <v>3</v>
      </c>
      <c r="W620" s="5">
        <f>IF((DiscreteStatsTable[[#This Row],[RepsRequested]]&gt;1),DiscreteStatsTable[[#This Row],[HalfWidth]],DiscreteStatsTable[[#This Row],[BatchMeansHalfWidth]])</f>
        <v>0</v>
      </c>
      <c r="X620" s="5" cm="1">
        <f t="array" ref="X620">COUNT(IF((DiscreteStatsTable[GroupByKey]=DiscreteStatsTable[[#This Row],[GroupByKey]]),(DiscreteStatsTable[GroupByKey]=DiscreteStatsTable[[#This Row],[GroupByKey]])*DiscreteStatsTable[Replication]))</f>
        <v>19</v>
      </c>
      <c r="Y620" s="5">
        <f>IF(DiscreteStatsTable[[#This Row],[RepsRequested]]=DiscreteStatsTable[[#This Row],[RepsWithStatObserved]],1,0)</f>
        <v>1</v>
      </c>
    </row>
    <row r="621" spans="1:25" x14ac:dyDescent="0.25">
      <c r="A621" t="s">
        <v>67</v>
      </c>
      <c r="B621" t="s">
        <v>69</v>
      </c>
      <c r="C621">
        <v>12</v>
      </c>
      <c r="D621" t="s">
        <v>127</v>
      </c>
      <c r="E621" t="s">
        <v>74</v>
      </c>
      <c r="F621" t="s">
        <v>72</v>
      </c>
      <c r="G621">
        <v>0</v>
      </c>
      <c r="H621">
        <v>2E+20</v>
      </c>
      <c r="I621">
        <v>0</v>
      </c>
      <c r="J621">
        <v>0</v>
      </c>
      <c r="K621">
        <v>3</v>
      </c>
      <c r="L62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compartida)relojTotal TimeEntity</v>
      </c>
      <c r="M621" s="5" cm="1">
        <f t="array" ref="M621">MAX(IF((ProjectInfoTable[ProjectName]=DiscreteStatsTable[[#This Row],[ProjectName]]),(ProjectInfoTable[ProjectName]=DiscreteStatsTable[[#This Row],[ProjectName]])*ProjectInfoTable[NumberOfReplications]))</f>
        <v>19</v>
      </c>
      <c r="N621" s="5" cm="1">
        <f t="array" ref="N621">IFERROR(AVERAGE(IF((DiscreteStatsTable[GroupByKey]=DiscreteStatsTable[[#This Row],[GroupByKey]]),(DiscreteStatsTable[GroupByKey]=DiscreteStatsTable[[#This Row],[GroupByKey]])*DiscreteStatsTable[Average])),0)</f>
        <v>0</v>
      </c>
      <c r="O621" s="5" cm="1">
        <f t="array" ref="O621">IFERROR(_xlfn.STDEV.S(IF((DiscreteStatsTable[GroupByKey]=DiscreteStatsTable[[#This Row],[GroupByKey]]),(DiscreteStatsTable[GroupByKey]=DiscreteStatsTable[[#This Row],[GroupByKey]])*DiscreteStatsTable[Average])),0)</f>
        <v>0</v>
      </c>
      <c r="P621" s="5" cm="1">
        <f t="array" ref="P621">MAX(IF((ProjectInfoTable[ProjectName]=DiscreteStatsTable[[#This Row],[ProjectName]]),(ProjectInfoTable[ProjectName]=DiscreteStatsTable[[#This Row],[ProjectName]])*ProjectInfoTable[ConfidenceInterval]))</f>
        <v>0.95</v>
      </c>
      <c r="Q621" s="5">
        <f>IF(AND(DiscreteStatsTable[[#This Row],[RepsWithStatObserved]]=1,Y621=0),200000000000000000000,IFERROR(_xlfn.T.INV.2T(1 -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1" s="5" cm="1">
        <f t="array" ref="R621">MIN(IF((DiscreteStatsTable[GroupByKey]=DiscreteStatsTable[[#This Row],[GroupByKey]]),(DiscreteStatsTable[GroupByKey]=DiscreteStatsTable[[#This Row],[GroupByKey]])*DiscreteStatsTable[Average]))</f>
        <v>0</v>
      </c>
      <c r="S621" s="5" cm="1">
        <f t="array" ref="S621">MAX(IF((DiscreteStatsTable[GroupByKey]=DiscreteStatsTable[[#This Row],[GroupByKey]]),(DiscreteStatsTable[GroupByKey]=DiscreteStatsTable[[#This Row],[GroupByKey]])*DiscreteStatsTable[Average]))</f>
        <v>0</v>
      </c>
      <c r="T621" s="5" cm="1">
        <f t="array" ref="T621">MIN(IF((DiscreteStatsTable[GroupByKey]=DiscreteStatsTable[[#This Row],[GroupByKey]]),(DiscreteStatsTable[GroupByKey]=DiscreteStatsTable[[#This Row],[GroupByKey]])*DiscreteStatsTable[Minimum]))</f>
        <v>0</v>
      </c>
      <c r="U621" s="5" cm="1">
        <f t="array" ref="U621">MAX(IF((DiscreteStatsTable[GroupByKey]=DiscreteStatsTable[[#This Row],[GroupByKey]]),(DiscreteStatsTable[GroupByKey]=DiscreteStatsTable[[#This Row],[GroupByKey]])*DiscreteStatsTable[Maximum]))</f>
        <v>0</v>
      </c>
      <c r="V621" s="5" cm="1">
        <f t="array" ref="V621">IFERROR(AVERAGE(IF((DiscreteStatsTable[GroupByKey]=DiscreteStatsTable[[#This Row],[GroupByKey]]),(DiscreteStatsTable[GroupByKey]=DiscreteStatsTable[[#This Row],[GroupByKey]])*DiscreteStatsTable[NumberObservations])),0)</f>
        <v>3</v>
      </c>
      <c r="W621" s="5">
        <f>IF((DiscreteStatsTable[[#This Row],[RepsRequested]]&gt;1),DiscreteStatsTable[[#This Row],[HalfWidth]],DiscreteStatsTable[[#This Row],[BatchMeansHalfWidth]])</f>
        <v>0</v>
      </c>
      <c r="X621" s="5" cm="1">
        <f t="array" ref="X621">COUNT(IF((DiscreteStatsTable[GroupByKey]=DiscreteStatsTable[[#This Row],[GroupByKey]]),(DiscreteStatsTable[GroupByKey]=DiscreteStatsTable[[#This Row],[GroupByKey]])*DiscreteStatsTable[Replication]))</f>
        <v>19</v>
      </c>
      <c r="Y621" s="5">
        <f>IF(DiscreteStatsTable[[#This Row],[RepsRequested]]=DiscreteStatsTable[[#This Row],[RepsWithStatObserved]],1,0)</f>
        <v>1</v>
      </c>
    </row>
    <row r="622" spans="1:25" x14ac:dyDescent="0.25">
      <c r="A622" t="s">
        <v>67</v>
      </c>
      <c r="B622" t="s">
        <v>69</v>
      </c>
      <c r="C622">
        <v>12</v>
      </c>
      <c r="D622" t="s">
        <v>127</v>
      </c>
      <c r="E622" t="s">
        <v>75</v>
      </c>
      <c r="F622" t="s">
        <v>72</v>
      </c>
      <c r="G622">
        <v>0</v>
      </c>
      <c r="H622">
        <v>2E+20</v>
      </c>
      <c r="I622">
        <v>0</v>
      </c>
      <c r="J622">
        <v>0</v>
      </c>
      <c r="K622">
        <v>3</v>
      </c>
      <c r="L62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compartida)relojTransfer TimeEntity</v>
      </c>
      <c r="M622" s="5" cm="1">
        <f t="array" ref="M622">MAX(IF((ProjectInfoTable[ProjectName]=DiscreteStatsTable[[#This Row],[ProjectName]]),(ProjectInfoTable[ProjectName]=DiscreteStatsTable[[#This Row],[ProjectName]])*ProjectInfoTable[NumberOfReplications]))</f>
        <v>19</v>
      </c>
      <c r="N622" s="5" cm="1">
        <f t="array" ref="N622">IFERROR(AVERAGE(IF((DiscreteStatsTable[GroupByKey]=DiscreteStatsTable[[#This Row],[GroupByKey]]),(DiscreteStatsTable[GroupByKey]=DiscreteStatsTable[[#This Row],[GroupByKey]])*DiscreteStatsTable[Average])),0)</f>
        <v>0</v>
      </c>
      <c r="O622" s="5" cm="1">
        <f t="array" ref="O622">IFERROR(_xlfn.STDEV.S(IF((DiscreteStatsTable[GroupByKey]=DiscreteStatsTable[[#This Row],[GroupByKey]]),(DiscreteStatsTable[GroupByKey]=DiscreteStatsTable[[#This Row],[GroupByKey]])*DiscreteStatsTable[Average])),0)</f>
        <v>0</v>
      </c>
      <c r="P622" s="5" cm="1">
        <f t="array" ref="P622">MAX(IF((ProjectInfoTable[ProjectName]=DiscreteStatsTable[[#This Row],[ProjectName]]),(ProjectInfoTable[ProjectName]=DiscreteStatsTable[[#This Row],[ProjectName]])*ProjectInfoTable[ConfidenceInterval]))</f>
        <v>0.95</v>
      </c>
      <c r="Q622" s="5">
        <f>IF(AND(DiscreteStatsTable[[#This Row],[RepsWithStatObserved]]=1,Y622=0),200000000000000000000,IFERROR(_xlfn.T.INV.2T(1 -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2" s="5" cm="1">
        <f t="array" ref="R622">MIN(IF((DiscreteStatsTable[GroupByKey]=DiscreteStatsTable[[#This Row],[GroupByKey]]),(DiscreteStatsTable[GroupByKey]=DiscreteStatsTable[[#This Row],[GroupByKey]])*DiscreteStatsTable[Average]))</f>
        <v>0</v>
      </c>
      <c r="S622" s="5" cm="1">
        <f t="array" ref="S622">MAX(IF((DiscreteStatsTable[GroupByKey]=DiscreteStatsTable[[#This Row],[GroupByKey]]),(DiscreteStatsTable[GroupByKey]=DiscreteStatsTable[[#This Row],[GroupByKey]])*DiscreteStatsTable[Average]))</f>
        <v>0</v>
      </c>
      <c r="T622" s="5" cm="1">
        <f t="array" ref="T622">MIN(IF((DiscreteStatsTable[GroupByKey]=DiscreteStatsTable[[#This Row],[GroupByKey]]),(DiscreteStatsTable[GroupByKey]=DiscreteStatsTable[[#This Row],[GroupByKey]])*DiscreteStatsTable[Minimum]))</f>
        <v>0</v>
      </c>
      <c r="U622" s="5" cm="1">
        <f t="array" ref="U622">MAX(IF((DiscreteStatsTable[GroupByKey]=DiscreteStatsTable[[#This Row],[GroupByKey]]),(DiscreteStatsTable[GroupByKey]=DiscreteStatsTable[[#This Row],[GroupByKey]])*DiscreteStatsTable[Maximum]))</f>
        <v>0</v>
      </c>
      <c r="V622" s="5" cm="1">
        <f t="array" ref="V622">IFERROR(AVERAGE(IF((DiscreteStatsTable[GroupByKey]=DiscreteStatsTable[[#This Row],[GroupByKey]]),(DiscreteStatsTable[GroupByKey]=DiscreteStatsTable[[#This Row],[GroupByKey]])*DiscreteStatsTable[NumberObservations])),0)</f>
        <v>3</v>
      </c>
      <c r="W622" s="5">
        <f>IF((DiscreteStatsTable[[#This Row],[RepsRequested]]&gt;1),DiscreteStatsTable[[#This Row],[HalfWidth]],DiscreteStatsTable[[#This Row],[BatchMeansHalfWidth]])</f>
        <v>0</v>
      </c>
      <c r="X622" s="5" cm="1">
        <f t="array" ref="X622">COUNT(IF((DiscreteStatsTable[GroupByKey]=DiscreteStatsTable[[#This Row],[GroupByKey]]),(DiscreteStatsTable[GroupByKey]=DiscreteStatsTable[[#This Row],[GroupByKey]])*DiscreteStatsTable[Replication]))</f>
        <v>19</v>
      </c>
      <c r="Y622" s="5">
        <f>IF(DiscreteStatsTable[[#This Row],[RepsRequested]]=DiscreteStatsTable[[#This Row],[RepsWithStatObserved]],1,0)</f>
        <v>1</v>
      </c>
    </row>
    <row r="623" spans="1:25" x14ac:dyDescent="0.25">
      <c r="A623" t="s">
        <v>67</v>
      </c>
      <c r="B623" t="s">
        <v>69</v>
      </c>
      <c r="C623">
        <v>12</v>
      </c>
      <c r="D623" t="s">
        <v>127</v>
      </c>
      <c r="E623" t="s">
        <v>76</v>
      </c>
      <c r="F623" t="s">
        <v>72</v>
      </c>
      <c r="G623">
        <v>0</v>
      </c>
      <c r="H623">
        <v>2E+20</v>
      </c>
      <c r="I623">
        <v>0</v>
      </c>
      <c r="J623">
        <v>0</v>
      </c>
      <c r="K623">
        <v>3</v>
      </c>
      <c r="L62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compartida)relojVA TimeEntity</v>
      </c>
      <c r="M623" s="5" cm="1">
        <f t="array" ref="M623">MAX(IF((ProjectInfoTable[ProjectName]=DiscreteStatsTable[[#This Row],[ProjectName]]),(ProjectInfoTable[ProjectName]=DiscreteStatsTable[[#This Row],[ProjectName]])*ProjectInfoTable[NumberOfReplications]))</f>
        <v>19</v>
      </c>
      <c r="N623" s="5" cm="1">
        <f t="array" ref="N623">IFERROR(AVERAGE(IF((DiscreteStatsTable[GroupByKey]=DiscreteStatsTable[[#This Row],[GroupByKey]]),(DiscreteStatsTable[GroupByKey]=DiscreteStatsTable[[#This Row],[GroupByKey]])*DiscreteStatsTable[Average])),0)</f>
        <v>0</v>
      </c>
      <c r="O623" s="5" cm="1">
        <f t="array" ref="O623">IFERROR(_xlfn.STDEV.S(IF((DiscreteStatsTable[GroupByKey]=DiscreteStatsTable[[#This Row],[GroupByKey]]),(DiscreteStatsTable[GroupByKey]=DiscreteStatsTable[[#This Row],[GroupByKey]])*DiscreteStatsTable[Average])),0)</f>
        <v>0</v>
      </c>
      <c r="P623" s="5" cm="1">
        <f t="array" ref="P623">MAX(IF((ProjectInfoTable[ProjectName]=DiscreteStatsTable[[#This Row],[ProjectName]]),(ProjectInfoTable[ProjectName]=DiscreteStatsTable[[#This Row],[ProjectName]])*ProjectInfoTable[ConfidenceInterval]))</f>
        <v>0.95</v>
      </c>
      <c r="Q623" s="5">
        <f>IF(AND(DiscreteStatsTable[[#This Row],[RepsWithStatObserved]]=1,Y623=0),200000000000000000000,IFERROR(_xlfn.T.INV.2T(1 -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3" s="5" cm="1">
        <f t="array" ref="R623">MIN(IF((DiscreteStatsTable[GroupByKey]=DiscreteStatsTable[[#This Row],[GroupByKey]]),(DiscreteStatsTable[GroupByKey]=DiscreteStatsTable[[#This Row],[GroupByKey]])*DiscreteStatsTable[Average]))</f>
        <v>0</v>
      </c>
      <c r="S623" s="5" cm="1">
        <f t="array" ref="S623">MAX(IF((DiscreteStatsTable[GroupByKey]=DiscreteStatsTable[[#This Row],[GroupByKey]]),(DiscreteStatsTable[GroupByKey]=DiscreteStatsTable[[#This Row],[GroupByKey]])*DiscreteStatsTable[Average]))</f>
        <v>0</v>
      </c>
      <c r="T623" s="5" cm="1">
        <f t="array" ref="T623">MIN(IF((DiscreteStatsTable[GroupByKey]=DiscreteStatsTable[[#This Row],[GroupByKey]]),(DiscreteStatsTable[GroupByKey]=DiscreteStatsTable[[#This Row],[GroupByKey]])*DiscreteStatsTable[Minimum]))</f>
        <v>0</v>
      </c>
      <c r="U623" s="5" cm="1">
        <f t="array" ref="U623">MAX(IF((DiscreteStatsTable[GroupByKey]=DiscreteStatsTable[[#This Row],[GroupByKey]]),(DiscreteStatsTable[GroupByKey]=DiscreteStatsTable[[#This Row],[GroupByKey]])*DiscreteStatsTable[Maximum]))</f>
        <v>0</v>
      </c>
      <c r="V623" s="5" cm="1">
        <f t="array" ref="V623">IFERROR(AVERAGE(IF((DiscreteStatsTable[GroupByKey]=DiscreteStatsTable[[#This Row],[GroupByKey]]),(DiscreteStatsTable[GroupByKey]=DiscreteStatsTable[[#This Row],[GroupByKey]])*DiscreteStatsTable[NumberObservations])),0)</f>
        <v>3</v>
      </c>
      <c r="W623" s="5">
        <f>IF((DiscreteStatsTable[[#This Row],[RepsRequested]]&gt;1),DiscreteStatsTable[[#This Row],[HalfWidth]],DiscreteStatsTable[[#This Row],[BatchMeansHalfWidth]])</f>
        <v>0</v>
      </c>
      <c r="X623" s="5" cm="1">
        <f t="array" ref="X623">COUNT(IF((DiscreteStatsTable[GroupByKey]=DiscreteStatsTable[[#This Row],[GroupByKey]]),(DiscreteStatsTable[GroupByKey]=DiscreteStatsTable[[#This Row],[GroupByKey]])*DiscreteStatsTable[Replication]))</f>
        <v>19</v>
      </c>
      <c r="Y623" s="5">
        <f>IF(DiscreteStatsTable[[#This Row],[RepsRequested]]=DiscreteStatsTable[[#This Row],[RepsWithStatObserved]],1,0)</f>
        <v>1</v>
      </c>
    </row>
    <row r="624" spans="1:25" x14ac:dyDescent="0.25">
      <c r="A624" t="s">
        <v>67</v>
      </c>
      <c r="B624" t="s">
        <v>69</v>
      </c>
      <c r="C624">
        <v>12</v>
      </c>
      <c r="D624" t="s">
        <v>127</v>
      </c>
      <c r="E624" t="s">
        <v>77</v>
      </c>
      <c r="F624" t="s">
        <v>72</v>
      </c>
      <c r="G624">
        <v>0</v>
      </c>
      <c r="H624">
        <v>2E+20</v>
      </c>
      <c r="I624">
        <v>0</v>
      </c>
      <c r="J624">
        <v>0</v>
      </c>
      <c r="K624">
        <v>3</v>
      </c>
      <c r="L62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compartida)relojWait TimeEntity</v>
      </c>
      <c r="M624" s="5" cm="1">
        <f t="array" ref="M624">MAX(IF((ProjectInfoTable[ProjectName]=DiscreteStatsTable[[#This Row],[ProjectName]]),(ProjectInfoTable[ProjectName]=DiscreteStatsTable[[#This Row],[ProjectName]])*ProjectInfoTable[NumberOfReplications]))</f>
        <v>19</v>
      </c>
      <c r="N624" s="5" cm="1">
        <f t="array" ref="N624">IFERROR(AVERAGE(IF((DiscreteStatsTable[GroupByKey]=DiscreteStatsTable[[#This Row],[GroupByKey]]),(DiscreteStatsTable[GroupByKey]=DiscreteStatsTable[[#This Row],[GroupByKey]])*DiscreteStatsTable[Average])),0)</f>
        <v>0</v>
      </c>
      <c r="O624" s="5" cm="1">
        <f t="array" ref="O624">IFERROR(_xlfn.STDEV.S(IF((DiscreteStatsTable[GroupByKey]=DiscreteStatsTable[[#This Row],[GroupByKey]]),(DiscreteStatsTable[GroupByKey]=DiscreteStatsTable[[#This Row],[GroupByKey]])*DiscreteStatsTable[Average])),0)</f>
        <v>0</v>
      </c>
      <c r="P624" s="5" cm="1">
        <f t="array" ref="P624">MAX(IF((ProjectInfoTable[ProjectName]=DiscreteStatsTable[[#This Row],[ProjectName]]),(ProjectInfoTable[ProjectName]=DiscreteStatsTable[[#This Row],[ProjectName]])*ProjectInfoTable[ConfidenceInterval]))</f>
        <v>0.95</v>
      </c>
      <c r="Q624" s="5">
        <f>IF(AND(DiscreteStatsTable[[#This Row],[RepsWithStatObserved]]=1,Y624=0),200000000000000000000,IFERROR(_xlfn.T.INV.2T(1 -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4" s="5" cm="1">
        <f t="array" ref="R624">MIN(IF((DiscreteStatsTable[GroupByKey]=DiscreteStatsTable[[#This Row],[GroupByKey]]),(DiscreteStatsTable[GroupByKey]=DiscreteStatsTable[[#This Row],[GroupByKey]])*DiscreteStatsTable[Average]))</f>
        <v>0</v>
      </c>
      <c r="S624" s="5" cm="1">
        <f t="array" ref="S624">MAX(IF((DiscreteStatsTable[GroupByKey]=DiscreteStatsTable[[#This Row],[GroupByKey]]),(DiscreteStatsTable[GroupByKey]=DiscreteStatsTable[[#This Row],[GroupByKey]])*DiscreteStatsTable[Average]))</f>
        <v>0</v>
      </c>
      <c r="T624" s="5" cm="1">
        <f t="array" ref="T624">MIN(IF((DiscreteStatsTable[GroupByKey]=DiscreteStatsTable[[#This Row],[GroupByKey]]),(DiscreteStatsTable[GroupByKey]=DiscreteStatsTable[[#This Row],[GroupByKey]])*DiscreteStatsTable[Minimum]))</f>
        <v>0</v>
      </c>
      <c r="U624" s="5" cm="1">
        <f t="array" ref="U624">MAX(IF((DiscreteStatsTable[GroupByKey]=DiscreteStatsTable[[#This Row],[GroupByKey]]),(DiscreteStatsTable[GroupByKey]=DiscreteStatsTable[[#This Row],[GroupByKey]])*DiscreteStatsTable[Maximum]))</f>
        <v>0</v>
      </c>
      <c r="V624" s="5" cm="1">
        <f t="array" ref="V624">IFERROR(AVERAGE(IF((DiscreteStatsTable[GroupByKey]=DiscreteStatsTable[[#This Row],[GroupByKey]]),(DiscreteStatsTable[GroupByKey]=DiscreteStatsTable[[#This Row],[GroupByKey]])*DiscreteStatsTable[NumberObservations])),0)</f>
        <v>3</v>
      </c>
      <c r="W624" s="5">
        <f>IF((DiscreteStatsTable[[#This Row],[RepsRequested]]&gt;1),DiscreteStatsTable[[#This Row],[HalfWidth]],DiscreteStatsTable[[#This Row],[BatchMeansHalfWidth]])</f>
        <v>0</v>
      </c>
      <c r="X624" s="5" cm="1">
        <f t="array" ref="X624">COUNT(IF((DiscreteStatsTable[GroupByKey]=DiscreteStatsTable[[#This Row],[GroupByKey]]),(DiscreteStatsTable[GroupByKey]=DiscreteStatsTable[[#This Row],[GroupByKey]])*DiscreteStatsTable[Replication]))</f>
        <v>19</v>
      </c>
      <c r="Y624" s="5">
        <f>IF(DiscreteStatsTable[[#This Row],[RepsRequested]]=DiscreteStatsTable[[#This Row],[RepsWithStatObserved]],1,0)</f>
        <v>1</v>
      </c>
    </row>
    <row r="625" spans="1:25" x14ac:dyDescent="0.25">
      <c r="A625" t="s">
        <v>67</v>
      </c>
      <c r="B625" t="s">
        <v>69</v>
      </c>
      <c r="C625">
        <v>13</v>
      </c>
      <c r="D625" t="s">
        <v>127</v>
      </c>
      <c r="E625" t="s">
        <v>71</v>
      </c>
      <c r="F625" t="s">
        <v>72</v>
      </c>
      <c r="G625">
        <v>0</v>
      </c>
      <c r="H625">
        <v>2E+20</v>
      </c>
      <c r="I625">
        <v>0</v>
      </c>
      <c r="J625">
        <v>0</v>
      </c>
      <c r="K625">
        <v>3</v>
      </c>
      <c r="L62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compartida)relojNVA TimeEntity</v>
      </c>
      <c r="M625" s="5" cm="1">
        <f t="array" ref="M625">MAX(IF((ProjectInfoTable[ProjectName]=DiscreteStatsTable[[#This Row],[ProjectName]]),(ProjectInfoTable[ProjectName]=DiscreteStatsTable[[#This Row],[ProjectName]])*ProjectInfoTable[NumberOfReplications]))</f>
        <v>19</v>
      </c>
      <c r="N625" s="5" cm="1">
        <f t="array" ref="N625">IFERROR(AVERAGE(IF((DiscreteStatsTable[GroupByKey]=DiscreteStatsTable[[#This Row],[GroupByKey]]),(DiscreteStatsTable[GroupByKey]=DiscreteStatsTable[[#This Row],[GroupByKey]])*DiscreteStatsTable[Average])),0)</f>
        <v>0</v>
      </c>
      <c r="O625" s="5" cm="1">
        <f t="array" ref="O625">IFERROR(_xlfn.STDEV.S(IF((DiscreteStatsTable[GroupByKey]=DiscreteStatsTable[[#This Row],[GroupByKey]]),(DiscreteStatsTable[GroupByKey]=DiscreteStatsTable[[#This Row],[GroupByKey]])*DiscreteStatsTable[Average])),0)</f>
        <v>0</v>
      </c>
      <c r="P625" s="5" cm="1">
        <f t="array" ref="P625">MAX(IF((ProjectInfoTable[ProjectName]=DiscreteStatsTable[[#This Row],[ProjectName]]),(ProjectInfoTable[ProjectName]=DiscreteStatsTable[[#This Row],[ProjectName]])*ProjectInfoTable[ConfidenceInterval]))</f>
        <v>0.95</v>
      </c>
      <c r="Q625" s="5">
        <f>IF(AND(DiscreteStatsTable[[#This Row],[RepsWithStatObserved]]=1,Y625=0),200000000000000000000,IFERROR(_xlfn.T.INV.2T(1 -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5" s="5" cm="1">
        <f t="array" ref="R625">MIN(IF((DiscreteStatsTable[GroupByKey]=DiscreteStatsTable[[#This Row],[GroupByKey]]),(DiscreteStatsTable[GroupByKey]=DiscreteStatsTable[[#This Row],[GroupByKey]])*DiscreteStatsTable[Average]))</f>
        <v>0</v>
      </c>
      <c r="S625" s="5" cm="1">
        <f t="array" ref="S625">MAX(IF((DiscreteStatsTable[GroupByKey]=DiscreteStatsTable[[#This Row],[GroupByKey]]),(DiscreteStatsTable[GroupByKey]=DiscreteStatsTable[[#This Row],[GroupByKey]])*DiscreteStatsTable[Average]))</f>
        <v>0</v>
      </c>
      <c r="T625" s="5" cm="1">
        <f t="array" ref="T625">MIN(IF((DiscreteStatsTable[GroupByKey]=DiscreteStatsTable[[#This Row],[GroupByKey]]),(DiscreteStatsTable[GroupByKey]=DiscreteStatsTable[[#This Row],[GroupByKey]])*DiscreteStatsTable[Minimum]))</f>
        <v>0</v>
      </c>
      <c r="U625" s="5" cm="1">
        <f t="array" ref="U625">MAX(IF((DiscreteStatsTable[GroupByKey]=DiscreteStatsTable[[#This Row],[GroupByKey]]),(DiscreteStatsTable[GroupByKey]=DiscreteStatsTable[[#This Row],[GroupByKey]])*DiscreteStatsTable[Maximum]))</f>
        <v>0</v>
      </c>
      <c r="V625" s="5" cm="1">
        <f t="array" ref="V625">IFERROR(AVERAGE(IF((DiscreteStatsTable[GroupByKey]=DiscreteStatsTable[[#This Row],[GroupByKey]]),(DiscreteStatsTable[GroupByKey]=DiscreteStatsTable[[#This Row],[GroupByKey]])*DiscreteStatsTable[NumberObservations])),0)</f>
        <v>3</v>
      </c>
      <c r="W625" s="5">
        <f>IF((DiscreteStatsTable[[#This Row],[RepsRequested]]&gt;1),DiscreteStatsTable[[#This Row],[HalfWidth]],DiscreteStatsTable[[#This Row],[BatchMeansHalfWidth]])</f>
        <v>0</v>
      </c>
      <c r="X625" s="5" cm="1">
        <f t="array" ref="X625">COUNT(IF((DiscreteStatsTable[GroupByKey]=DiscreteStatsTable[[#This Row],[GroupByKey]]),(DiscreteStatsTable[GroupByKey]=DiscreteStatsTable[[#This Row],[GroupByKey]])*DiscreteStatsTable[Replication]))</f>
        <v>19</v>
      </c>
      <c r="Y625" s="5">
        <f>IF(DiscreteStatsTable[[#This Row],[RepsRequested]]=DiscreteStatsTable[[#This Row],[RepsWithStatObserved]],1,0)</f>
        <v>1</v>
      </c>
    </row>
    <row r="626" spans="1:25" x14ac:dyDescent="0.25">
      <c r="A626" t="s">
        <v>67</v>
      </c>
      <c r="B626" t="s">
        <v>69</v>
      </c>
      <c r="C626">
        <v>13</v>
      </c>
      <c r="D626" t="s">
        <v>127</v>
      </c>
      <c r="E626" t="s">
        <v>73</v>
      </c>
      <c r="F626" t="s">
        <v>72</v>
      </c>
      <c r="G626">
        <v>0</v>
      </c>
      <c r="H626">
        <v>2E+20</v>
      </c>
      <c r="I626">
        <v>0</v>
      </c>
      <c r="J626">
        <v>0</v>
      </c>
      <c r="K626">
        <v>3</v>
      </c>
      <c r="L62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compartida)relojOther TimeEntity</v>
      </c>
      <c r="M626" s="5" cm="1">
        <f t="array" ref="M626">MAX(IF((ProjectInfoTable[ProjectName]=DiscreteStatsTable[[#This Row],[ProjectName]]),(ProjectInfoTable[ProjectName]=DiscreteStatsTable[[#This Row],[ProjectName]])*ProjectInfoTable[NumberOfReplications]))</f>
        <v>19</v>
      </c>
      <c r="N626" s="5" cm="1">
        <f t="array" ref="N626">IFERROR(AVERAGE(IF((DiscreteStatsTable[GroupByKey]=DiscreteStatsTable[[#This Row],[GroupByKey]]),(DiscreteStatsTable[GroupByKey]=DiscreteStatsTable[[#This Row],[GroupByKey]])*DiscreteStatsTable[Average])),0)</f>
        <v>0</v>
      </c>
      <c r="O626" s="5" cm="1">
        <f t="array" ref="O626">IFERROR(_xlfn.STDEV.S(IF((DiscreteStatsTable[GroupByKey]=DiscreteStatsTable[[#This Row],[GroupByKey]]),(DiscreteStatsTable[GroupByKey]=DiscreteStatsTable[[#This Row],[GroupByKey]])*DiscreteStatsTable[Average])),0)</f>
        <v>0</v>
      </c>
      <c r="P626" s="5" cm="1">
        <f t="array" ref="P626">MAX(IF((ProjectInfoTable[ProjectName]=DiscreteStatsTable[[#This Row],[ProjectName]]),(ProjectInfoTable[ProjectName]=DiscreteStatsTable[[#This Row],[ProjectName]])*ProjectInfoTable[ConfidenceInterval]))</f>
        <v>0.95</v>
      </c>
      <c r="Q626" s="5">
        <f>IF(AND(DiscreteStatsTable[[#This Row],[RepsWithStatObserved]]=1,Y626=0),200000000000000000000,IFERROR(_xlfn.T.INV.2T(1 -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6" s="5" cm="1">
        <f t="array" ref="R626">MIN(IF((DiscreteStatsTable[GroupByKey]=DiscreteStatsTable[[#This Row],[GroupByKey]]),(DiscreteStatsTable[GroupByKey]=DiscreteStatsTable[[#This Row],[GroupByKey]])*DiscreteStatsTable[Average]))</f>
        <v>0</v>
      </c>
      <c r="S626" s="5" cm="1">
        <f t="array" ref="S626">MAX(IF((DiscreteStatsTable[GroupByKey]=DiscreteStatsTable[[#This Row],[GroupByKey]]),(DiscreteStatsTable[GroupByKey]=DiscreteStatsTable[[#This Row],[GroupByKey]])*DiscreteStatsTable[Average]))</f>
        <v>0</v>
      </c>
      <c r="T626" s="5" cm="1">
        <f t="array" ref="T626">MIN(IF((DiscreteStatsTable[GroupByKey]=DiscreteStatsTable[[#This Row],[GroupByKey]]),(DiscreteStatsTable[GroupByKey]=DiscreteStatsTable[[#This Row],[GroupByKey]])*DiscreteStatsTable[Minimum]))</f>
        <v>0</v>
      </c>
      <c r="U626" s="5" cm="1">
        <f t="array" ref="U626">MAX(IF((DiscreteStatsTable[GroupByKey]=DiscreteStatsTable[[#This Row],[GroupByKey]]),(DiscreteStatsTable[GroupByKey]=DiscreteStatsTable[[#This Row],[GroupByKey]])*DiscreteStatsTable[Maximum]))</f>
        <v>0</v>
      </c>
      <c r="V626" s="5" cm="1">
        <f t="array" ref="V626">IFERROR(AVERAGE(IF((DiscreteStatsTable[GroupByKey]=DiscreteStatsTable[[#This Row],[GroupByKey]]),(DiscreteStatsTable[GroupByKey]=DiscreteStatsTable[[#This Row],[GroupByKey]])*DiscreteStatsTable[NumberObservations])),0)</f>
        <v>3</v>
      </c>
      <c r="W626" s="5">
        <f>IF((DiscreteStatsTable[[#This Row],[RepsRequested]]&gt;1),DiscreteStatsTable[[#This Row],[HalfWidth]],DiscreteStatsTable[[#This Row],[BatchMeansHalfWidth]])</f>
        <v>0</v>
      </c>
      <c r="X626" s="5" cm="1">
        <f t="array" ref="X626">COUNT(IF((DiscreteStatsTable[GroupByKey]=DiscreteStatsTable[[#This Row],[GroupByKey]]),(DiscreteStatsTable[GroupByKey]=DiscreteStatsTable[[#This Row],[GroupByKey]])*DiscreteStatsTable[Replication]))</f>
        <v>19</v>
      </c>
      <c r="Y626" s="5">
        <f>IF(DiscreteStatsTable[[#This Row],[RepsRequested]]=DiscreteStatsTable[[#This Row],[RepsWithStatObserved]],1,0)</f>
        <v>1</v>
      </c>
    </row>
    <row r="627" spans="1:25" x14ac:dyDescent="0.25">
      <c r="A627" t="s">
        <v>67</v>
      </c>
      <c r="B627" t="s">
        <v>69</v>
      </c>
      <c r="C627">
        <v>13</v>
      </c>
      <c r="D627" t="s">
        <v>127</v>
      </c>
      <c r="E627" t="s">
        <v>74</v>
      </c>
      <c r="F627" t="s">
        <v>72</v>
      </c>
      <c r="G627">
        <v>0</v>
      </c>
      <c r="H627">
        <v>2E+20</v>
      </c>
      <c r="I627">
        <v>0</v>
      </c>
      <c r="J627">
        <v>0</v>
      </c>
      <c r="K627">
        <v>3</v>
      </c>
      <c r="L62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compartida)relojTotal TimeEntity</v>
      </c>
      <c r="M627" s="5" cm="1">
        <f t="array" ref="M627">MAX(IF((ProjectInfoTable[ProjectName]=DiscreteStatsTable[[#This Row],[ProjectName]]),(ProjectInfoTable[ProjectName]=DiscreteStatsTable[[#This Row],[ProjectName]])*ProjectInfoTable[NumberOfReplications]))</f>
        <v>19</v>
      </c>
      <c r="N627" s="5" cm="1">
        <f t="array" ref="N627">IFERROR(AVERAGE(IF((DiscreteStatsTable[GroupByKey]=DiscreteStatsTable[[#This Row],[GroupByKey]]),(DiscreteStatsTable[GroupByKey]=DiscreteStatsTable[[#This Row],[GroupByKey]])*DiscreteStatsTable[Average])),0)</f>
        <v>0</v>
      </c>
      <c r="O627" s="5" cm="1">
        <f t="array" ref="O627">IFERROR(_xlfn.STDEV.S(IF((DiscreteStatsTable[GroupByKey]=DiscreteStatsTable[[#This Row],[GroupByKey]]),(DiscreteStatsTable[GroupByKey]=DiscreteStatsTable[[#This Row],[GroupByKey]])*DiscreteStatsTable[Average])),0)</f>
        <v>0</v>
      </c>
      <c r="P627" s="5" cm="1">
        <f t="array" ref="P627">MAX(IF((ProjectInfoTable[ProjectName]=DiscreteStatsTable[[#This Row],[ProjectName]]),(ProjectInfoTable[ProjectName]=DiscreteStatsTable[[#This Row],[ProjectName]])*ProjectInfoTable[ConfidenceInterval]))</f>
        <v>0.95</v>
      </c>
      <c r="Q627" s="5">
        <f>IF(AND(DiscreteStatsTable[[#This Row],[RepsWithStatObserved]]=1,Y627=0),200000000000000000000,IFERROR(_xlfn.T.INV.2T(1 -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7" s="5" cm="1">
        <f t="array" ref="R627">MIN(IF((DiscreteStatsTable[GroupByKey]=DiscreteStatsTable[[#This Row],[GroupByKey]]),(DiscreteStatsTable[GroupByKey]=DiscreteStatsTable[[#This Row],[GroupByKey]])*DiscreteStatsTable[Average]))</f>
        <v>0</v>
      </c>
      <c r="S627" s="5" cm="1">
        <f t="array" ref="S627">MAX(IF((DiscreteStatsTable[GroupByKey]=DiscreteStatsTable[[#This Row],[GroupByKey]]),(DiscreteStatsTable[GroupByKey]=DiscreteStatsTable[[#This Row],[GroupByKey]])*DiscreteStatsTable[Average]))</f>
        <v>0</v>
      </c>
      <c r="T627" s="5" cm="1">
        <f t="array" ref="T627">MIN(IF((DiscreteStatsTable[GroupByKey]=DiscreteStatsTable[[#This Row],[GroupByKey]]),(DiscreteStatsTable[GroupByKey]=DiscreteStatsTable[[#This Row],[GroupByKey]])*DiscreteStatsTable[Minimum]))</f>
        <v>0</v>
      </c>
      <c r="U627" s="5" cm="1">
        <f t="array" ref="U627">MAX(IF((DiscreteStatsTable[GroupByKey]=DiscreteStatsTable[[#This Row],[GroupByKey]]),(DiscreteStatsTable[GroupByKey]=DiscreteStatsTable[[#This Row],[GroupByKey]])*DiscreteStatsTable[Maximum]))</f>
        <v>0</v>
      </c>
      <c r="V627" s="5" cm="1">
        <f t="array" ref="V627">IFERROR(AVERAGE(IF((DiscreteStatsTable[GroupByKey]=DiscreteStatsTable[[#This Row],[GroupByKey]]),(DiscreteStatsTable[GroupByKey]=DiscreteStatsTable[[#This Row],[GroupByKey]])*DiscreteStatsTable[NumberObservations])),0)</f>
        <v>3</v>
      </c>
      <c r="W627" s="5">
        <f>IF((DiscreteStatsTable[[#This Row],[RepsRequested]]&gt;1),DiscreteStatsTable[[#This Row],[HalfWidth]],DiscreteStatsTable[[#This Row],[BatchMeansHalfWidth]])</f>
        <v>0</v>
      </c>
      <c r="X627" s="5" cm="1">
        <f t="array" ref="X627">COUNT(IF((DiscreteStatsTable[GroupByKey]=DiscreteStatsTable[[#This Row],[GroupByKey]]),(DiscreteStatsTable[GroupByKey]=DiscreteStatsTable[[#This Row],[GroupByKey]])*DiscreteStatsTable[Replication]))</f>
        <v>19</v>
      </c>
      <c r="Y627" s="5">
        <f>IF(DiscreteStatsTable[[#This Row],[RepsRequested]]=DiscreteStatsTable[[#This Row],[RepsWithStatObserved]],1,0)</f>
        <v>1</v>
      </c>
    </row>
    <row r="628" spans="1:25" x14ac:dyDescent="0.25">
      <c r="A628" t="s">
        <v>67</v>
      </c>
      <c r="B628" t="s">
        <v>69</v>
      </c>
      <c r="C628">
        <v>13</v>
      </c>
      <c r="D628" t="s">
        <v>127</v>
      </c>
      <c r="E628" t="s">
        <v>75</v>
      </c>
      <c r="F628" t="s">
        <v>72</v>
      </c>
      <c r="G628">
        <v>0</v>
      </c>
      <c r="H628">
        <v>2E+20</v>
      </c>
      <c r="I628">
        <v>0</v>
      </c>
      <c r="J628">
        <v>0</v>
      </c>
      <c r="K628">
        <v>3</v>
      </c>
      <c r="L62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compartida)relojTransfer TimeEntity</v>
      </c>
      <c r="M628" s="5" cm="1">
        <f t="array" ref="M628">MAX(IF((ProjectInfoTable[ProjectName]=DiscreteStatsTable[[#This Row],[ProjectName]]),(ProjectInfoTable[ProjectName]=DiscreteStatsTable[[#This Row],[ProjectName]])*ProjectInfoTable[NumberOfReplications]))</f>
        <v>19</v>
      </c>
      <c r="N628" s="5" cm="1">
        <f t="array" ref="N628">IFERROR(AVERAGE(IF((DiscreteStatsTable[GroupByKey]=DiscreteStatsTable[[#This Row],[GroupByKey]]),(DiscreteStatsTable[GroupByKey]=DiscreteStatsTable[[#This Row],[GroupByKey]])*DiscreteStatsTable[Average])),0)</f>
        <v>0</v>
      </c>
      <c r="O628" s="5" cm="1">
        <f t="array" ref="O628">IFERROR(_xlfn.STDEV.S(IF((DiscreteStatsTable[GroupByKey]=DiscreteStatsTable[[#This Row],[GroupByKey]]),(DiscreteStatsTable[GroupByKey]=DiscreteStatsTable[[#This Row],[GroupByKey]])*DiscreteStatsTable[Average])),0)</f>
        <v>0</v>
      </c>
      <c r="P628" s="5" cm="1">
        <f t="array" ref="P628">MAX(IF((ProjectInfoTable[ProjectName]=DiscreteStatsTable[[#This Row],[ProjectName]]),(ProjectInfoTable[ProjectName]=DiscreteStatsTable[[#This Row],[ProjectName]])*ProjectInfoTable[ConfidenceInterval]))</f>
        <v>0.95</v>
      </c>
      <c r="Q628" s="5">
        <f>IF(AND(DiscreteStatsTable[[#This Row],[RepsWithStatObserved]]=1,Y628=0),200000000000000000000,IFERROR(_xlfn.T.INV.2T(1 -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8" s="5" cm="1">
        <f t="array" ref="R628">MIN(IF((DiscreteStatsTable[GroupByKey]=DiscreteStatsTable[[#This Row],[GroupByKey]]),(DiscreteStatsTable[GroupByKey]=DiscreteStatsTable[[#This Row],[GroupByKey]])*DiscreteStatsTable[Average]))</f>
        <v>0</v>
      </c>
      <c r="S628" s="5" cm="1">
        <f t="array" ref="S628">MAX(IF((DiscreteStatsTable[GroupByKey]=DiscreteStatsTable[[#This Row],[GroupByKey]]),(DiscreteStatsTable[GroupByKey]=DiscreteStatsTable[[#This Row],[GroupByKey]])*DiscreteStatsTable[Average]))</f>
        <v>0</v>
      </c>
      <c r="T628" s="5" cm="1">
        <f t="array" ref="T628">MIN(IF((DiscreteStatsTable[GroupByKey]=DiscreteStatsTable[[#This Row],[GroupByKey]]),(DiscreteStatsTable[GroupByKey]=DiscreteStatsTable[[#This Row],[GroupByKey]])*DiscreteStatsTable[Minimum]))</f>
        <v>0</v>
      </c>
      <c r="U628" s="5" cm="1">
        <f t="array" ref="U628">MAX(IF((DiscreteStatsTable[GroupByKey]=DiscreteStatsTable[[#This Row],[GroupByKey]]),(DiscreteStatsTable[GroupByKey]=DiscreteStatsTable[[#This Row],[GroupByKey]])*DiscreteStatsTable[Maximum]))</f>
        <v>0</v>
      </c>
      <c r="V628" s="5" cm="1">
        <f t="array" ref="V628">IFERROR(AVERAGE(IF((DiscreteStatsTable[GroupByKey]=DiscreteStatsTable[[#This Row],[GroupByKey]]),(DiscreteStatsTable[GroupByKey]=DiscreteStatsTable[[#This Row],[GroupByKey]])*DiscreteStatsTable[NumberObservations])),0)</f>
        <v>3</v>
      </c>
      <c r="W628" s="5">
        <f>IF((DiscreteStatsTable[[#This Row],[RepsRequested]]&gt;1),DiscreteStatsTable[[#This Row],[HalfWidth]],DiscreteStatsTable[[#This Row],[BatchMeansHalfWidth]])</f>
        <v>0</v>
      </c>
      <c r="X628" s="5" cm="1">
        <f t="array" ref="X628">COUNT(IF((DiscreteStatsTable[GroupByKey]=DiscreteStatsTable[[#This Row],[GroupByKey]]),(DiscreteStatsTable[GroupByKey]=DiscreteStatsTable[[#This Row],[GroupByKey]])*DiscreteStatsTable[Replication]))</f>
        <v>19</v>
      </c>
      <c r="Y628" s="5">
        <f>IF(DiscreteStatsTable[[#This Row],[RepsRequested]]=DiscreteStatsTable[[#This Row],[RepsWithStatObserved]],1,0)</f>
        <v>1</v>
      </c>
    </row>
    <row r="629" spans="1:25" x14ac:dyDescent="0.25">
      <c r="A629" t="s">
        <v>67</v>
      </c>
      <c r="B629" t="s">
        <v>69</v>
      </c>
      <c r="C629">
        <v>13</v>
      </c>
      <c r="D629" t="s">
        <v>127</v>
      </c>
      <c r="E629" t="s">
        <v>76</v>
      </c>
      <c r="F629" t="s">
        <v>72</v>
      </c>
      <c r="G629">
        <v>0</v>
      </c>
      <c r="H629">
        <v>2E+20</v>
      </c>
      <c r="I629">
        <v>0</v>
      </c>
      <c r="J629">
        <v>0</v>
      </c>
      <c r="K629">
        <v>3</v>
      </c>
      <c r="L62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compartida)relojVA TimeEntity</v>
      </c>
      <c r="M629" s="5" cm="1">
        <f t="array" ref="M629">MAX(IF((ProjectInfoTable[ProjectName]=DiscreteStatsTable[[#This Row],[ProjectName]]),(ProjectInfoTable[ProjectName]=DiscreteStatsTable[[#This Row],[ProjectName]])*ProjectInfoTable[NumberOfReplications]))</f>
        <v>19</v>
      </c>
      <c r="N629" s="5" cm="1">
        <f t="array" ref="N629">IFERROR(AVERAGE(IF((DiscreteStatsTable[GroupByKey]=DiscreteStatsTable[[#This Row],[GroupByKey]]),(DiscreteStatsTable[GroupByKey]=DiscreteStatsTable[[#This Row],[GroupByKey]])*DiscreteStatsTable[Average])),0)</f>
        <v>0</v>
      </c>
      <c r="O629" s="5" cm="1">
        <f t="array" ref="O629">IFERROR(_xlfn.STDEV.S(IF((DiscreteStatsTable[GroupByKey]=DiscreteStatsTable[[#This Row],[GroupByKey]]),(DiscreteStatsTable[GroupByKey]=DiscreteStatsTable[[#This Row],[GroupByKey]])*DiscreteStatsTable[Average])),0)</f>
        <v>0</v>
      </c>
      <c r="P629" s="5" cm="1">
        <f t="array" ref="P629">MAX(IF((ProjectInfoTable[ProjectName]=DiscreteStatsTable[[#This Row],[ProjectName]]),(ProjectInfoTable[ProjectName]=DiscreteStatsTable[[#This Row],[ProjectName]])*ProjectInfoTable[ConfidenceInterval]))</f>
        <v>0.95</v>
      </c>
      <c r="Q629" s="5">
        <f>IF(AND(DiscreteStatsTable[[#This Row],[RepsWithStatObserved]]=1,Y629=0),200000000000000000000,IFERROR(_xlfn.T.INV.2T(1 -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9" s="5" cm="1">
        <f t="array" ref="R629">MIN(IF((DiscreteStatsTable[GroupByKey]=DiscreteStatsTable[[#This Row],[GroupByKey]]),(DiscreteStatsTable[GroupByKey]=DiscreteStatsTable[[#This Row],[GroupByKey]])*DiscreteStatsTable[Average]))</f>
        <v>0</v>
      </c>
      <c r="S629" s="5" cm="1">
        <f t="array" ref="S629">MAX(IF((DiscreteStatsTable[GroupByKey]=DiscreteStatsTable[[#This Row],[GroupByKey]]),(DiscreteStatsTable[GroupByKey]=DiscreteStatsTable[[#This Row],[GroupByKey]])*DiscreteStatsTable[Average]))</f>
        <v>0</v>
      </c>
      <c r="T629" s="5" cm="1">
        <f t="array" ref="T629">MIN(IF((DiscreteStatsTable[GroupByKey]=DiscreteStatsTable[[#This Row],[GroupByKey]]),(DiscreteStatsTable[GroupByKey]=DiscreteStatsTable[[#This Row],[GroupByKey]])*DiscreteStatsTable[Minimum]))</f>
        <v>0</v>
      </c>
      <c r="U629" s="5" cm="1">
        <f t="array" ref="U629">MAX(IF((DiscreteStatsTable[GroupByKey]=DiscreteStatsTable[[#This Row],[GroupByKey]]),(DiscreteStatsTable[GroupByKey]=DiscreteStatsTable[[#This Row],[GroupByKey]])*DiscreteStatsTable[Maximum]))</f>
        <v>0</v>
      </c>
      <c r="V629" s="5" cm="1">
        <f t="array" ref="V629">IFERROR(AVERAGE(IF((DiscreteStatsTable[GroupByKey]=DiscreteStatsTable[[#This Row],[GroupByKey]]),(DiscreteStatsTable[GroupByKey]=DiscreteStatsTable[[#This Row],[GroupByKey]])*DiscreteStatsTable[NumberObservations])),0)</f>
        <v>3</v>
      </c>
      <c r="W629" s="5">
        <f>IF((DiscreteStatsTable[[#This Row],[RepsRequested]]&gt;1),DiscreteStatsTable[[#This Row],[HalfWidth]],DiscreteStatsTable[[#This Row],[BatchMeansHalfWidth]])</f>
        <v>0</v>
      </c>
      <c r="X629" s="5" cm="1">
        <f t="array" ref="X629">COUNT(IF((DiscreteStatsTable[GroupByKey]=DiscreteStatsTable[[#This Row],[GroupByKey]]),(DiscreteStatsTable[GroupByKey]=DiscreteStatsTable[[#This Row],[GroupByKey]])*DiscreteStatsTable[Replication]))</f>
        <v>19</v>
      </c>
      <c r="Y629" s="5">
        <f>IF(DiscreteStatsTable[[#This Row],[RepsRequested]]=DiscreteStatsTable[[#This Row],[RepsWithStatObserved]],1,0)</f>
        <v>1</v>
      </c>
    </row>
    <row r="630" spans="1:25" x14ac:dyDescent="0.25">
      <c r="A630" t="s">
        <v>67</v>
      </c>
      <c r="B630" t="s">
        <v>69</v>
      </c>
      <c r="C630">
        <v>13</v>
      </c>
      <c r="D630" t="s">
        <v>127</v>
      </c>
      <c r="E630" t="s">
        <v>77</v>
      </c>
      <c r="F630" t="s">
        <v>72</v>
      </c>
      <c r="G630">
        <v>0</v>
      </c>
      <c r="H630">
        <v>2E+20</v>
      </c>
      <c r="I630">
        <v>0</v>
      </c>
      <c r="J630">
        <v>0</v>
      </c>
      <c r="K630">
        <v>3</v>
      </c>
      <c r="L63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compartida)relojWait TimeEntity</v>
      </c>
      <c r="M630" s="5" cm="1">
        <f t="array" ref="M630">MAX(IF((ProjectInfoTable[ProjectName]=DiscreteStatsTable[[#This Row],[ProjectName]]),(ProjectInfoTable[ProjectName]=DiscreteStatsTable[[#This Row],[ProjectName]])*ProjectInfoTable[NumberOfReplications]))</f>
        <v>19</v>
      </c>
      <c r="N630" s="5" cm="1">
        <f t="array" ref="N630">IFERROR(AVERAGE(IF((DiscreteStatsTable[GroupByKey]=DiscreteStatsTable[[#This Row],[GroupByKey]]),(DiscreteStatsTable[GroupByKey]=DiscreteStatsTable[[#This Row],[GroupByKey]])*DiscreteStatsTable[Average])),0)</f>
        <v>0</v>
      </c>
      <c r="O630" s="5" cm="1">
        <f t="array" ref="O630">IFERROR(_xlfn.STDEV.S(IF((DiscreteStatsTable[GroupByKey]=DiscreteStatsTable[[#This Row],[GroupByKey]]),(DiscreteStatsTable[GroupByKey]=DiscreteStatsTable[[#This Row],[GroupByKey]])*DiscreteStatsTable[Average])),0)</f>
        <v>0</v>
      </c>
      <c r="P630" s="5" cm="1">
        <f t="array" ref="P630">MAX(IF((ProjectInfoTable[ProjectName]=DiscreteStatsTable[[#This Row],[ProjectName]]),(ProjectInfoTable[ProjectName]=DiscreteStatsTable[[#This Row],[ProjectName]])*ProjectInfoTable[ConfidenceInterval]))</f>
        <v>0.95</v>
      </c>
      <c r="Q630" s="5">
        <f>IF(AND(DiscreteStatsTable[[#This Row],[RepsWithStatObserved]]=1,Y630=0),200000000000000000000,IFERROR(_xlfn.T.INV.2T(1 -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0" s="5" cm="1">
        <f t="array" ref="R630">MIN(IF((DiscreteStatsTable[GroupByKey]=DiscreteStatsTable[[#This Row],[GroupByKey]]),(DiscreteStatsTable[GroupByKey]=DiscreteStatsTable[[#This Row],[GroupByKey]])*DiscreteStatsTable[Average]))</f>
        <v>0</v>
      </c>
      <c r="S630" s="5" cm="1">
        <f t="array" ref="S630">MAX(IF((DiscreteStatsTable[GroupByKey]=DiscreteStatsTable[[#This Row],[GroupByKey]]),(DiscreteStatsTable[GroupByKey]=DiscreteStatsTable[[#This Row],[GroupByKey]])*DiscreteStatsTable[Average]))</f>
        <v>0</v>
      </c>
      <c r="T630" s="5" cm="1">
        <f t="array" ref="T630">MIN(IF((DiscreteStatsTable[GroupByKey]=DiscreteStatsTable[[#This Row],[GroupByKey]]),(DiscreteStatsTable[GroupByKey]=DiscreteStatsTable[[#This Row],[GroupByKey]])*DiscreteStatsTable[Minimum]))</f>
        <v>0</v>
      </c>
      <c r="U630" s="5" cm="1">
        <f t="array" ref="U630">MAX(IF((DiscreteStatsTable[GroupByKey]=DiscreteStatsTable[[#This Row],[GroupByKey]]),(DiscreteStatsTable[GroupByKey]=DiscreteStatsTable[[#This Row],[GroupByKey]])*DiscreteStatsTable[Maximum]))</f>
        <v>0</v>
      </c>
      <c r="V630" s="5" cm="1">
        <f t="array" ref="V630">IFERROR(AVERAGE(IF((DiscreteStatsTable[GroupByKey]=DiscreteStatsTable[[#This Row],[GroupByKey]]),(DiscreteStatsTable[GroupByKey]=DiscreteStatsTable[[#This Row],[GroupByKey]])*DiscreteStatsTable[NumberObservations])),0)</f>
        <v>3</v>
      </c>
      <c r="W630" s="5">
        <f>IF((DiscreteStatsTable[[#This Row],[RepsRequested]]&gt;1),DiscreteStatsTable[[#This Row],[HalfWidth]],DiscreteStatsTable[[#This Row],[BatchMeansHalfWidth]])</f>
        <v>0</v>
      </c>
      <c r="X630" s="5" cm="1">
        <f t="array" ref="X630">COUNT(IF((DiscreteStatsTable[GroupByKey]=DiscreteStatsTable[[#This Row],[GroupByKey]]),(DiscreteStatsTable[GroupByKey]=DiscreteStatsTable[[#This Row],[GroupByKey]])*DiscreteStatsTable[Replication]))</f>
        <v>19</v>
      </c>
      <c r="Y630" s="5">
        <f>IF(DiscreteStatsTable[[#This Row],[RepsRequested]]=DiscreteStatsTable[[#This Row],[RepsWithStatObserved]],1,0)</f>
        <v>1</v>
      </c>
    </row>
    <row r="631" spans="1:25" x14ac:dyDescent="0.25">
      <c r="A631" t="s">
        <v>67</v>
      </c>
      <c r="B631" t="s">
        <v>69</v>
      </c>
      <c r="C631">
        <v>14</v>
      </c>
      <c r="D631" t="s">
        <v>127</v>
      </c>
      <c r="E631" t="s">
        <v>71</v>
      </c>
      <c r="F631" t="s">
        <v>72</v>
      </c>
      <c r="G631">
        <v>0</v>
      </c>
      <c r="H631">
        <v>2E+20</v>
      </c>
      <c r="I631">
        <v>0</v>
      </c>
      <c r="J631">
        <v>0</v>
      </c>
      <c r="K631">
        <v>3</v>
      </c>
      <c r="L63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compartida)relojNVA TimeEntity</v>
      </c>
      <c r="M631" s="5" cm="1">
        <f t="array" ref="M631">MAX(IF((ProjectInfoTable[ProjectName]=DiscreteStatsTable[[#This Row],[ProjectName]]),(ProjectInfoTable[ProjectName]=DiscreteStatsTable[[#This Row],[ProjectName]])*ProjectInfoTable[NumberOfReplications]))</f>
        <v>19</v>
      </c>
      <c r="N631" s="5" cm="1">
        <f t="array" ref="N631">IFERROR(AVERAGE(IF((DiscreteStatsTable[GroupByKey]=DiscreteStatsTable[[#This Row],[GroupByKey]]),(DiscreteStatsTable[GroupByKey]=DiscreteStatsTable[[#This Row],[GroupByKey]])*DiscreteStatsTable[Average])),0)</f>
        <v>0</v>
      </c>
      <c r="O631" s="5" cm="1">
        <f t="array" ref="O631">IFERROR(_xlfn.STDEV.S(IF((DiscreteStatsTable[GroupByKey]=DiscreteStatsTable[[#This Row],[GroupByKey]]),(DiscreteStatsTable[GroupByKey]=DiscreteStatsTable[[#This Row],[GroupByKey]])*DiscreteStatsTable[Average])),0)</f>
        <v>0</v>
      </c>
      <c r="P631" s="5" cm="1">
        <f t="array" ref="P631">MAX(IF((ProjectInfoTable[ProjectName]=DiscreteStatsTable[[#This Row],[ProjectName]]),(ProjectInfoTable[ProjectName]=DiscreteStatsTable[[#This Row],[ProjectName]])*ProjectInfoTable[ConfidenceInterval]))</f>
        <v>0.95</v>
      </c>
      <c r="Q631" s="5">
        <f>IF(AND(DiscreteStatsTable[[#This Row],[RepsWithStatObserved]]=1,Y631=0),200000000000000000000,IFERROR(_xlfn.T.INV.2T(1 -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1" s="5" cm="1">
        <f t="array" ref="R631">MIN(IF((DiscreteStatsTable[GroupByKey]=DiscreteStatsTable[[#This Row],[GroupByKey]]),(DiscreteStatsTable[GroupByKey]=DiscreteStatsTable[[#This Row],[GroupByKey]])*DiscreteStatsTable[Average]))</f>
        <v>0</v>
      </c>
      <c r="S631" s="5" cm="1">
        <f t="array" ref="S631">MAX(IF((DiscreteStatsTable[GroupByKey]=DiscreteStatsTable[[#This Row],[GroupByKey]]),(DiscreteStatsTable[GroupByKey]=DiscreteStatsTable[[#This Row],[GroupByKey]])*DiscreteStatsTable[Average]))</f>
        <v>0</v>
      </c>
      <c r="T631" s="5" cm="1">
        <f t="array" ref="T631">MIN(IF((DiscreteStatsTable[GroupByKey]=DiscreteStatsTable[[#This Row],[GroupByKey]]),(DiscreteStatsTable[GroupByKey]=DiscreteStatsTable[[#This Row],[GroupByKey]])*DiscreteStatsTable[Minimum]))</f>
        <v>0</v>
      </c>
      <c r="U631" s="5" cm="1">
        <f t="array" ref="U631">MAX(IF((DiscreteStatsTable[GroupByKey]=DiscreteStatsTable[[#This Row],[GroupByKey]]),(DiscreteStatsTable[GroupByKey]=DiscreteStatsTable[[#This Row],[GroupByKey]])*DiscreteStatsTable[Maximum]))</f>
        <v>0</v>
      </c>
      <c r="V631" s="5" cm="1">
        <f t="array" ref="V631">IFERROR(AVERAGE(IF((DiscreteStatsTable[GroupByKey]=DiscreteStatsTable[[#This Row],[GroupByKey]]),(DiscreteStatsTable[GroupByKey]=DiscreteStatsTable[[#This Row],[GroupByKey]])*DiscreteStatsTable[NumberObservations])),0)</f>
        <v>3</v>
      </c>
      <c r="W631" s="5">
        <f>IF((DiscreteStatsTable[[#This Row],[RepsRequested]]&gt;1),DiscreteStatsTable[[#This Row],[HalfWidth]],DiscreteStatsTable[[#This Row],[BatchMeansHalfWidth]])</f>
        <v>0</v>
      </c>
      <c r="X631" s="5" cm="1">
        <f t="array" ref="X631">COUNT(IF((DiscreteStatsTable[GroupByKey]=DiscreteStatsTable[[#This Row],[GroupByKey]]),(DiscreteStatsTable[GroupByKey]=DiscreteStatsTable[[#This Row],[GroupByKey]])*DiscreteStatsTable[Replication]))</f>
        <v>19</v>
      </c>
      <c r="Y631" s="5">
        <f>IF(DiscreteStatsTable[[#This Row],[RepsRequested]]=DiscreteStatsTable[[#This Row],[RepsWithStatObserved]],1,0)</f>
        <v>1</v>
      </c>
    </row>
    <row r="632" spans="1:25" x14ac:dyDescent="0.25">
      <c r="A632" t="s">
        <v>67</v>
      </c>
      <c r="B632" t="s">
        <v>69</v>
      </c>
      <c r="C632">
        <v>14</v>
      </c>
      <c r="D632" t="s">
        <v>127</v>
      </c>
      <c r="E632" t="s">
        <v>73</v>
      </c>
      <c r="F632" t="s">
        <v>72</v>
      </c>
      <c r="G632">
        <v>0</v>
      </c>
      <c r="H632">
        <v>2E+20</v>
      </c>
      <c r="I632">
        <v>0</v>
      </c>
      <c r="J632">
        <v>0</v>
      </c>
      <c r="K632">
        <v>3</v>
      </c>
      <c r="L63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compartida)relojOther TimeEntity</v>
      </c>
      <c r="M632" s="5" cm="1">
        <f t="array" ref="M632">MAX(IF((ProjectInfoTable[ProjectName]=DiscreteStatsTable[[#This Row],[ProjectName]]),(ProjectInfoTable[ProjectName]=DiscreteStatsTable[[#This Row],[ProjectName]])*ProjectInfoTable[NumberOfReplications]))</f>
        <v>19</v>
      </c>
      <c r="N632" s="5" cm="1">
        <f t="array" ref="N632">IFERROR(AVERAGE(IF((DiscreteStatsTable[GroupByKey]=DiscreteStatsTable[[#This Row],[GroupByKey]]),(DiscreteStatsTable[GroupByKey]=DiscreteStatsTable[[#This Row],[GroupByKey]])*DiscreteStatsTable[Average])),0)</f>
        <v>0</v>
      </c>
      <c r="O632" s="5" cm="1">
        <f t="array" ref="O632">IFERROR(_xlfn.STDEV.S(IF((DiscreteStatsTable[GroupByKey]=DiscreteStatsTable[[#This Row],[GroupByKey]]),(DiscreteStatsTable[GroupByKey]=DiscreteStatsTable[[#This Row],[GroupByKey]])*DiscreteStatsTable[Average])),0)</f>
        <v>0</v>
      </c>
      <c r="P632" s="5" cm="1">
        <f t="array" ref="P632">MAX(IF((ProjectInfoTable[ProjectName]=DiscreteStatsTable[[#This Row],[ProjectName]]),(ProjectInfoTable[ProjectName]=DiscreteStatsTable[[#This Row],[ProjectName]])*ProjectInfoTable[ConfidenceInterval]))</f>
        <v>0.95</v>
      </c>
      <c r="Q632" s="5">
        <f>IF(AND(DiscreteStatsTable[[#This Row],[RepsWithStatObserved]]=1,Y632=0),200000000000000000000,IFERROR(_xlfn.T.INV.2T(1 -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2" s="5" cm="1">
        <f t="array" ref="R632">MIN(IF((DiscreteStatsTable[GroupByKey]=DiscreteStatsTable[[#This Row],[GroupByKey]]),(DiscreteStatsTable[GroupByKey]=DiscreteStatsTable[[#This Row],[GroupByKey]])*DiscreteStatsTable[Average]))</f>
        <v>0</v>
      </c>
      <c r="S632" s="5" cm="1">
        <f t="array" ref="S632">MAX(IF((DiscreteStatsTable[GroupByKey]=DiscreteStatsTable[[#This Row],[GroupByKey]]),(DiscreteStatsTable[GroupByKey]=DiscreteStatsTable[[#This Row],[GroupByKey]])*DiscreteStatsTable[Average]))</f>
        <v>0</v>
      </c>
      <c r="T632" s="5" cm="1">
        <f t="array" ref="T632">MIN(IF((DiscreteStatsTable[GroupByKey]=DiscreteStatsTable[[#This Row],[GroupByKey]]),(DiscreteStatsTable[GroupByKey]=DiscreteStatsTable[[#This Row],[GroupByKey]])*DiscreteStatsTable[Minimum]))</f>
        <v>0</v>
      </c>
      <c r="U632" s="5" cm="1">
        <f t="array" ref="U632">MAX(IF((DiscreteStatsTable[GroupByKey]=DiscreteStatsTable[[#This Row],[GroupByKey]]),(DiscreteStatsTable[GroupByKey]=DiscreteStatsTable[[#This Row],[GroupByKey]])*DiscreteStatsTable[Maximum]))</f>
        <v>0</v>
      </c>
      <c r="V632" s="5" cm="1">
        <f t="array" ref="V632">IFERROR(AVERAGE(IF((DiscreteStatsTable[GroupByKey]=DiscreteStatsTable[[#This Row],[GroupByKey]]),(DiscreteStatsTable[GroupByKey]=DiscreteStatsTable[[#This Row],[GroupByKey]])*DiscreteStatsTable[NumberObservations])),0)</f>
        <v>3</v>
      </c>
      <c r="W632" s="5">
        <f>IF((DiscreteStatsTable[[#This Row],[RepsRequested]]&gt;1),DiscreteStatsTable[[#This Row],[HalfWidth]],DiscreteStatsTable[[#This Row],[BatchMeansHalfWidth]])</f>
        <v>0</v>
      </c>
      <c r="X632" s="5" cm="1">
        <f t="array" ref="X632">COUNT(IF((DiscreteStatsTable[GroupByKey]=DiscreteStatsTable[[#This Row],[GroupByKey]]),(DiscreteStatsTable[GroupByKey]=DiscreteStatsTable[[#This Row],[GroupByKey]])*DiscreteStatsTable[Replication]))</f>
        <v>19</v>
      </c>
      <c r="Y632" s="5">
        <f>IF(DiscreteStatsTable[[#This Row],[RepsRequested]]=DiscreteStatsTable[[#This Row],[RepsWithStatObserved]],1,0)</f>
        <v>1</v>
      </c>
    </row>
    <row r="633" spans="1:25" x14ac:dyDescent="0.25">
      <c r="A633" t="s">
        <v>67</v>
      </c>
      <c r="B633" t="s">
        <v>69</v>
      </c>
      <c r="C633">
        <v>14</v>
      </c>
      <c r="D633" t="s">
        <v>127</v>
      </c>
      <c r="E633" t="s">
        <v>74</v>
      </c>
      <c r="F633" t="s">
        <v>72</v>
      </c>
      <c r="G633">
        <v>0</v>
      </c>
      <c r="H633">
        <v>2E+20</v>
      </c>
      <c r="I633">
        <v>0</v>
      </c>
      <c r="J633">
        <v>0</v>
      </c>
      <c r="K633">
        <v>3</v>
      </c>
      <c r="L63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compartida)relojTotal TimeEntity</v>
      </c>
      <c r="M633" s="5" cm="1">
        <f t="array" ref="M633">MAX(IF((ProjectInfoTable[ProjectName]=DiscreteStatsTable[[#This Row],[ProjectName]]),(ProjectInfoTable[ProjectName]=DiscreteStatsTable[[#This Row],[ProjectName]])*ProjectInfoTable[NumberOfReplications]))</f>
        <v>19</v>
      </c>
      <c r="N633" s="5" cm="1">
        <f t="array" ref="N633">IFERROR(AVERAGE(IF((DiscreteStatsTable[GroupByKey]=DiscreteStatsTable[[#This Row],[GroupByKey]]),(DiscreteStatsTable[GroupByKey]=DiscreteStatsTable[[#This Row],[GroupByKey]])*DiscreteStatsTable[Average])),0)</f>
        <v>0</v>
      </c>
      <c r="O633" s="5" cm="1">
        <f t="array" ref="O633">IFERROR(_xlfn.STDEV.S(IF((DiscreteStatsTable[GroupByKey]=DiscreteStatsTable[[#This Row],[GroupByKey]]),(DiscreteStatsTable[GroupByKey]=DiscreteStatsTable[[#This Row],[GroupByKey]])*DiscreteStatsTable[Average])),0)</f>
        <v>0</v>
      </c>
      <c r="P633" s="5" cm="1">
        <f t="array" ref="P633">MAX(IF((ProjectInfoTable[ProjectName]=DiscreteStatsTable[[#This Row],[ProjectName]]),(ProjectInfoTable[ProjectName]=DiscreteStatsTable[[#This Row],[ProjectName]])*ProjectInfoTable[ConfidenceInterval]))</f>
        <v>0.95</v>
      </c>
      <c r="Q633" s="5">
        <f>IF(AND(DiscreteStatsTable[[#This Row],[RepsWithStatObserved]]=1,Y633=0),200000000000000000000,IFERROR(_xlfn.T.INV.2T(1 -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3" s="5" cm="1">
        <f t="array" ref="R633">MIN(IF((DiscreteStatsTable[GroupByKey]=DiscreteStatsTable[[#This Row],[GroupByKey]]),(DiscreteStatsTable[GroupByKey]=DiscreteStatsTable[[#This Row],[GroupByKey]])*DiscreteStatsTable[Average]))</f>
        <v>0</v>
      </c>
      <c r="S633" s="5" cm="1">
        <f t="array" ref="S633">MAX(IF((DiscreteStatsTable[GroupByKey]=DiscreteStatsTable[[#This Row],[GroupByKey]]),(DiscreteStatsTable[GroupByKey]=DiscreteStatsTable[[#This Row],[GroupByKey]])*DiscreteStatsTable[Average]))</f>
        <v>0</v>
      </c>
      <c r="T633" s="5" cm="1">
        <f t="array" ref="T633">MIN(IF((DiscreteStatsTable[GroupByKey]=DiscreteStatsTable[[#This Row],[GroupByKey]]),(DiscreteStatsTable[GroupByKey]=DiscreteStatsTable[[#This Row],[GroupByKey]])*DiscreteStatsTable[Minimum]))</f>
        <v>0</v>
      </c>
      <c r="U633" s="5" cm="1">
        <f t="array" ref="U633">MAX(IF((DiscreteStatsTable[GroupByKey]=DiscreteStatsTable[[#This Row],[GroupByKey]]),(DiscreteStatsTable[GroupByKey]=DiscreteStatsTable[[#This Row],[GroupByKey]])*DiscreteStatsTable[Maximum]))</f>
        <v>0</v>
      </c>
      <c r="V633" s="5" cm="1">
        <f t="array" ref="V633">IFERROR(AVERAGE(IF((DiscreteStatsTable[GroupByKey]=DiscreteStatsTable[[#This Row],[GroupByKey]]),(DiscreteStatsTable[GroupByKey]=DiscreteStatsTable[[#This Row],[GroupByKey]])*DiscreteStatsTable[NumberObservations])),0)</f>
        <v>3</v>
      </c>
      <c r="W633" s="5">
        <f>IF((DiscreteStatsTable[[#This Row],[RepsRequested]]&gt;1),DiscreteStatsTable[[#This Row],[HalfWidth]],DiscreteStatsTable[[#This Row],[BatchMeansHalfWidth]])</f>
        <v>0</v>
      </c>
      <c r="X633" s="5" cm="1">
        <f t="array" ref="X633">COUNT(IF((DiscreteStatsTable[GroupByKey]=DiscreteStatsTable[[#This Row],[GroupByKey]]),(DiscreteStatsTable[GroupByKey]=DiscreteStatsTable[[#This Row],[GroupByKey]])*DiscreteStatsTable[Replication]))</f>
        <v>19</v>
      </c>
      <c r="Y633" s="5">
        <f>IF(DiscreteStatsTable[[#This Row],[RepsRequested]]=DiscreteStatsTable[[#This Row],[RepsWithStatObserved]],1,0)</f>
        <v>1</v>
      </c>
    </row>
    <row r="634" spans="1:25" x14ac:dyDescent="0.25">
      <c r="A634" t="s">
        <v>67</v>
      </c>
      <c r="B634" t="s">
        <v>69</v>
      </c>
      <c r="C634">
        <v>14</v>
      </c>
      <c r="D634" t="s">
        <v>127</v>
      </c>
      <c r="E634" t="s">
        <v>75</v>
      </c>
      <c r="F634" t="s">
        <v>72</v>
      </c>
      <c r="G634">
        <v>0</v>
      </c>
      <c r="H634">
        <v>2E+20</v>
      </c>
      <c r="I634">
        <v>0</v>
      </c>
      <c r="J634">
        <v>0</v>
      </c>
      <c r="K634">
        <v>3</v>
      </c>
      <c r="L63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compartida)relojTransfer TimeEntity</v>
      </c>
      <c r="M634" s="5" cm="1">
        <f t="array" ref="M634">MAX(IF((ProjectInfoTable[ProjectName]=DiscreteStatsTable[[#This Row],[ProjectName]]),(ProjectInfoTable[ProjectName]=DiscreteStatsTable[[#This Row],[ProjectName]])*ProjectInfoTable[NumberOfReplications]))</f>
        <v>19</v>
      </c>
      <c r="N634" s="5" cm="1">
        <f t="array" ref="N634">IFERROR(AVERAGE(IF((DiscreteStatsTable[GroupByKey]=DiscreteStatsTable[[#This Row],[GroupByKey]]),(DiscreteStatsTable[GroupByKey]=DiscreteStatsTable[[#This Row],[GroupByKey]])*DiscreteStatsTable[Average])),0)</f>
        <v>0</v>
      </c>
      <c r="O634" s="5" cm="1">
        <f t="array" ref="O634">IFERROR(_xlfn.STDEV.S(IF((DiscreteStatsTable[GroupByKey]=DiscreteStatsTable[[#This Row],[GroupByKey]]),(DiscreteStatsTable[GroupByKey]=DiscreteStatsTable[[#This Row],[GroupByKey]])*DiscreteStatsTable[Average])),0)</f>
        <v>0</v>
      </c>
      <c r="P634" s="5" cm="1">
        <f t="array" ref="P634">MAX(IF((ProjectInfoTable[ProjectName]=DiscreteStatsTable[[#This Row],[ProjectName]]),(ProjectInfoTable[ProjectName]=DiscreteStatsTable[[#This Row],[ProjectName]])*ProjectInfoTable[ConfidenceInterval]))</f>
        <v>0.95</v>
      </c>
      <c r="Q634" s="5">
        <f>IF(AND(DiscreteStatsTable[[#This Row],[RepsWithStatObserved]]=1,Y634=0),200000000000000000000,IFERROR(_xlfn.T.INV.2T(1 -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4" s="5" cm="1">
        <f t="array" ref="R634">MIN(IF((DiscreteStatsTable[GroupByKey]=DiscreteStatsTable[[#This Row],[GroupByKey]]),(DiscreteStatsTable[GroupByKey]=DiscreteStatsTable[[#This Row],[GroupByKey]])*DiscreteStatsTable[Average]))</f>
        <v>0</v>
      </c>
      <c r="S634" s="5" cm="1">
        <f t="array" ref="S634">MAX(IF((DiscreteStatsTable[GroupByKey]=DiscreteStatsTable[[#This Row],[GroupByKey]]),(DiscreteStatsTable[GroupByKey]=DiscreteStatsTable[[#This Row],[GroupByKey]])*DiscreteStatsTable[Average]))</f>
        <v>0</v>
      </c>
      <c r="T634" s="5" cm="1">
        <f t="array" ref="T634">MIN(IF((DiscreteStatsTable[GroupByKey]=DiscreteStatsTable[[#This Row],[GroupByKey]]),(DiscreteStatsTable[GroupByKey]=DiscreteStatsTable[[#This Row],[GroupByKey]])*DiscreteStatsTable[Minimum]))</f>
        <v>0</v>
      </c>
      <c r="U634" s="5" cm="1">
        <f t="array" ref="U634">MAX(IF((DiscreteStatsTable[GroupByKey]=DiscreteStatsTable[[#This Row],[GroupByKey]]),(DiscreteStatsTable[GroupByKey]=DiscreteStatsTable[[#This Row],[GroupByKey]])*DiscreteStatsTable[Maximum]))</f>
        <v>0</v>
      </c>
      <c r="V634" s="5" cm="1">
        <f t="array" ref="V634">IFERROR(AVERAGE(IF((DiscreteStatsTable[GroupByKey]=DiscreteStatsTable[[#This Row],[GroupByKey]]),(DiscreteStatsTable[GroupByKey]=DiscreteStatsTable[[#This Row],[GroupByKey]])*DiscreteStatsTable[NumberObservations])),0)</f>
        <v>3</v>
      </c>
      <c r="W634" s="5">
        <f>IF((DiscreteStatsTable[[#This Row],[RepsRequested]]&gt;1),DiscreteStatsTable[[#This Row],[HalfWidth]],DiscreteStatsTable[[#This Row],[BatchMeansHalfWidth]])</f>
        <v>0</v>
      </c>
      <c r="X634" s="5" cm="1">
        <f t="array" ref="X634">COUNT(IF((DiscreteStatsTable[GroupByKey]=DiscreteStatsTable[[#This Row],[GroupByKey]]),(DiscreteStatsTable[GroupByKey]=DiscreteStatsTable[[#This Row],[GroupByKey]])*DiscreteStatsTable[Replication]))</f>
        <v>19</v>
      </c>
      <c r="Y634" s="5">
        <f>IF(DiscreteStatsTable[[#This Row],[RepsRequested]]=DiscreteStatsTable[[#This Row],[RepsWithStatObserved]],1,0)</f>
        <v>1</v>
      </c>
    </row>
    <row r="635" spans="1:25" x14ac:dyDescent="0.25">
      <c r="A635" t="s">
        <v>67</v>
      </c>
      <c r="B635" t="s">
        <v>69</v>
      </c>
      <c r="C635">
        <v>14</v>
      </c>
      <c r="D635" t="s">
        <v>127</v>
      </c>
      <c r="E635" t="s">
        <v>76</v>
      </c>
      <c r="F635" t="s">
        <v>72</v>
      </c>
      <c r="G635">
        <v>0</v>
      </c>
      <c r="H635">
        <v>2E+20</v>
      </c>
      <c r="I635">
        <v>0</v>
      </c>
      <c r="J635">
        <v>0</v>
      </c>
      <c r="K635">
        <v>3</v>
      </c>
      <c r="L63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compartida)relojVA TimeEntity</v>
      </c>
      <c r="M635" s="5" cm="1">
        <f t="array" ref="M635">MAX(IF((ProjectInfoTable[ProjectName]=DiscreteStatsTable[[#This Row],[ProjectName]]),(ProjectInfoTable[ProjectName]=DiscreteStatsTable[[#This Row],[ProjectName]])*ProjectInfoTable[NumberOfReplications]))</f>
        <v>19</v>
      </c>
      <c r="N635" s="5" cm="1">
        <f t="array" ref="N635">IFERROR(AVERAGE(IF((DiscreteStatsTable[GroupByKey]=DiscreteStatsTable[[#This Row],[GroupByKey]]),(DiscreteStatsTable[GroupByKey]=DiscreteStatsTable[[#This Row],[GroupByKey]])*DiscreteStatsTable[Average])),0)</f>
        <v>0</v>
      </c>
      <c r="O635" s="5" cm="1">
        <f t="array" ref="O635">IFERROR(_xlfn.STDEV.S(IF((DiscreteStatsTable[GroupByKey]=DiscreteStatsTable[[#This Row],[GroupByKey]]),(DiscreteStatsTable[GroupByKey]=DiscreteStatsTable[[#This Row],[GroupByKey]])*DiscreteStatsTable[Average])),0)</f>
        <v>0</v>
      </c>
      <c r="P635" s="5" cm="1">
        <f t="array" ref="P635">MAX(IF((ProjectInfoTable[ProjectName]=DiscreteStatsTable[[#This Row],[ProjectName]]),(ProjectInfoTable[ProjectName]=DiscreteStatsTable[[#This Row],[ProjectName]])*ProjectInfoTable[ConfidenceInterval]))</f>
        <v>0.95</v>
      </c>
      <c r="Q635" s="5">
        <f>IF(AND(DiscreteStatsTable[[#This Row],[RepsWithStatObserved]]=1,Y635=0),200000000000000000000,IFERROR(_xlfn.T.INV.2T(1 -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5" s="5" cm="1">
        <f t="array" ref="R635">MIN(IF((DiscreteStatsTable[GroupByKey]=DiscreteStatsTable[[#This Row],[GroupByKey]]),(DiscreteStatsTable[GroupByKey]=DiscreteStatsTable[[#This Row],[GroupByKey]])*DiscreteStatsTable[Average]))</f>
        <v>0</v>
      </c>
      <c r="S635" s="5" cm="1">
        <f t="array" ref="S635">MAX(IF((DiscreteStatsTable[GroupByKey]=DiscreteStatsTable[[#This Row],[GroupByKey]]),(DiscreteStatsTable[GroupByKey]=DiscreteStatsTable[[#This Row],[GroupByKey]])*DiscreteStatsTable[Average]))</f>
        <v>0</v>
      </c>
      <c r="T635" s="5" cm="1">
        <f t="array" ref="T635">MIN(IF((DiscreteStatsTable[GroupByKey]=DiscreteStatsTable[[#This Row],[GroupByKey]]),(DiscreteStatsTable[GroupByKey]=DiscreteStatsTable[[#This Row],[GroupByKey]])*DiscreteStatsTable[Minimum]))</f>
        <v>0</v>
      </c>
      <c r="U635" s="5" cm="1">
        <f t="array" ref="U635">MAX(IF((DiscreteStatsTable[GroupByKey]=DiscreteStatsTable[[#This Row],[GroupByKey]]),(DiscreteStatsTable[GroupByKey]=DiscreteStatsTable[[#This Row],[GroupByKey]])*DiscreteStatsTable[Maximum]))</f>
        <v>0</v>
      </c>
      <c r="V635" s="5" cm="1">
        <f t="array" ref="V635">IFERROR(AVERAGE(IF((DiscreteStatsTable[GroupByKey]=DiscreteStatsTable[[#This Row],[GroupByKey]]),(DiscreteStatsTable[GroupByKey]=DiscreteStatsTable[[#This Row],[GroupByKey]])*DiscreteStatsTable[NumberObservations])),0)</f>
        <v>3</v>
      </c>
      <c r="W635" s="5">
        <f>IF((DiscreteStatsTable[[#This Row],[RepsRequested]]&gt;1),DiscreteStatsTable[[#This Row],[HalfWidth]],DiscreteStatsTable[[#This Row],[BatchMeansHalfWidth]])</f>
        <v>0</v>
      </c>
      <c r="X635" s="5" cm="1">
        <f t="array" ref="X635">COUNT(IF((DiscreteStatsTable[GroupByKey]=DiscreteStatsTable[[#This Row],[GroupByKey]]),(DiscreteStatsTable[GroupByKey]=DiscreteStatsTable[[#This Row],[GroupByKey]])*DiscreteStatsTable[Replication]))</f>
        <v>19</v>
      </c>
      <c r="Y635" s="5">
        <f>IF(DiscreteStatsTable[[#This Row],[RepsRequested]]=DiscreteStatsTable[[#This Row],[RepsWithStatObserved]],1,0)</f>
        <v>1</v>
      </c>
    </row>
    <row r="636" spans="1:25" x14ac:dyDescent="0.25">
      <c r="A636" t="s">
        <v>67</v>
      </c>
      <c r="B636" t="s">
        <v>69</v>
      </c>
      <c r="C636">
        <v>14</v>
      </c>
      <c r="D636" t="s">
        <v>127</v>
      </c>
      <c r="E636" t="s">
        <v>77</v>
      </c>
      <c r="F636" t="s">
        <v>72</v>
      </c>
      <c r="G636">
        <v>0</v>
      </c>
      <c r="H636">
        <v>2E+20</v>
      </c>
      <c r="I636">
        <v>0</v>
      </c>
      <c r="J636">
        <v>0</v>
      </c>
      <c r="K636">
        <v>3</v>
      </c>
      <c r="L63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compartida)relojWait TimeEntity</v>
      </c>
      <c r="M636" s="5" cm="1">
        <f t="array" ref="M636">MAX(IF((ProjectInfoTable[ProjectName]=DiscreteStatsTable[[#This Row],[ProjectName]]),(ProjectInfoTable[ProjectName]=DiscreteStatsTable[[#This Row],[ProjectName]])*ProjectInfoTable[NumberOfReplications]))</f>
        <v>19</v>
      </c>
      <c r="N636" s="5" cm="1">
        <f t="array" ref="N636">IFERROR(AVERAGE(IF((DiscreteStatsTable[GroupByKey]=DiscreteStatsTable[[#This Row],[GroupByKey]]),(DiscreteStatsTable[GroupByKey]=DiscreteStatsTable[[#This Row],[GroupByKey]])*DiscreteStatsTable[Average])),0)</f>
        <v>0</v>
      </c>
      <c r="O636" s="5" cm="1">
        <f t="array" ref="O636">IFERROR(_xlfn.STDEV.S(IF((DiscreteStatsTable[GroupByKey]=DiscreteStatsTable[[#This Row],[GroupByKey]]),(DiscreteStatsTable[GroupByKey]=DiscreteStatsTable[[#This Row],[GroupByKey]])*DiscreteStatsTable[Average])),0)</f>
        <v>0</v>
      </c>
      <c r="P636" s="5" cm="1">
        <f t="array" ref="P636">MAX(IF((ProjectInfoTable[ProjectName]=DiscreteStatsTable[[#This Row],[ProjectName]]),(ProjectInfoTable[ProjectName]=DiscreteStatsTable[[#This Row],[ProjectName]])*ProjectInfoTable[ConfidenceInterval]))</f>
        <v>0.95</v>
      </c>
      <c r="Q636" s="5">
        <f>IF(AND(DiscreteStatsTable[[#This Row],[RepsWithStatObserved]]=1,Y636=0),200000000000000000000,IFERROR(_xlfn.T.INV.2T(1 -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6" s="5" cm="1">
        <f t="array" ref="R636">MIN(IF((DiscreteStatsTable[GroupByKey]=DiscreteStatsTable[[#This Row],[GroupByKey]]),(DiscreteStatsTable[GroupByKey]=DiscreteStatsTable[[#This Row],[GroupByKey]])*DiscreteStatsTable[Average]))</f>
        <v>0</v>
      </c>
      <c r="S636" s="5" cm="1">
        <f t="array" ref="S636">MAX(IF((DiscreteStatsTable[GroupByKey]=DiscreteStatsTable[[#This Row],[GroupByKey]]),(DiscreteStatsTable[GroupByKey]=DiscreteStatsTable[[#This Row],[GroupByKey]])*DiscreteStatsTable[Average]))</f>
        <v>0</v>
      </c>
      <c r="T636" s="5" cm="1">
        <f t="array" ref="T636">MIN(IF((DiscreteStatsTable[GroupByKey]=DiscreteStatsTable[[#This Row],[GroupByKey]]),(DiscreteStatsTable[GroupByKey]=DiscreteStatsTable[[#This Row],[GroupByKey]])*DiscreteStatsTable[Minimum]))</f>
        <v>0</v>
      </c>
      <c r="U636" s="5" cm="1">
        <f t="array" ref="U636">MAX(IF((DiscreteStatsTable[GroupByKey]=DiscreteStatsTable[[#This Row],[GroupByKey]]),(DiscreteStatsTable[GroupByKey]=DiscreteStatsTable[[#This Row],[GroupByKey]])*DiscreteStatsTable[Maximum]))</f>
        <v>0</v>
      </c>
      <c r="V636" s="5" cm="1">
        <f t="array" ref="V636">IFERROR(AVERAGE(IF((DiscreteStatsTable[GroupByKey]=DiscreteStatsTable[[#This Row],[GroupByKey]]),(DiscreteStatsTable[GroupByKey]=DiscreteStatsTable[[#This Row],[GroupByKey]])*DiscreteStatsTable[NumberObservations])),0)</f>
        <v>3</v>
      </c>
      <c r="W636" s="5">
        <f>IF((DiscreteStatsTable[[#This Row],[RepsRequested]]&gt;1),DiscreteStatsTable[[#This Row],[HalfWidth]],DiscreteStatsTable[[#This Row],[BatchMeansHalfWidth]])</f>
        <v>0</v>
      </c>
      <c r="X636" s="5" cm="1">
        <f t="array" ref="X636">COUNT(IF((DiscreteStatsTable[GroupByKey]=DiscreteStatsTable[[#This Row],[GroupByKey]]),(DiscreteStatsTable[GroupByKey]=DiscreteStatsTable[[#This Row],[GroupByKey]])*DiscreteStatsTable[Replication]))</f>
        <v>19</v>
      </c>
      <c r="Y636" s="5">
        <f>IF(DiscreteStatsTable[[#This Row],[RepsRequested]]=DiscreteStatsTable[[#This Row],[RepsWithStatObserved]],1,0)</f>
        <v>1</v>
      </c>
    </row>
    <row r="637" spans="1:25" x14ac:dyDescent="0.25">
      <c r="A637" t="s">
        <v>67</v>
      </c>
      <c r="B637" t="s">
        <v>69</v>
      </c>
      <c r="C637">
        <v>15</v>
      </c>
      <c r="D637" t="s">
        <v>127</v>
      </c>
      <c r="E637" t="s">
        <v>71</v>
      </c>
      <c r="F637" t="s">
        <v>72</v>
      </c>
      <c r="G637">
        <v>0</v>
      </c>
      <c r="H637">
        <v>2E+20</v>
      </c>
      <c r="I637">
        <v>0</v>
      </c>
      <c r="J637">
        <v>0</v>
      </c>
      <c r="K637">
        <v>3</v>
      </c>
      <c r="L63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compartida)relojNVA TimeEntity</v>
      </c>
      <c r="M637" s="5" cm="1">
        <f t="array" ref="M637">MAX(IF((ProjectInfoTable[ProjectName]=DiscreteStatsTable[[#This Row],[ProjectName]]),(ProjectInfoTable[ProjectName]=DiscreteStatsTable[[#This Row],[ProjectName]])*ProjectInfoTable[NumberOfReplications]))</f>
        <v>19</v>
      </c>
      <c r="N637" s="5" cm="1">
        <f t="array" ref="N637">IFERROR(AVERAGE(IF((DiscreteStatsTable[GroupByKey]=DiscreteStatsTable[[#This Row],[GroupByKey]]),(DiscreteStatsTable[GroupByKey]=DiscreteStatsTable[[#This Row],[GroupByKey]])*DiscreteStatsTable[Average])),0)</f>
        <v>0</v>
      </c>
      <c r="O637" s="5" cm="1">
        <f t="array" ref="O637">IFERROR(_xlfn.STDEV.S(IF((DiscreteStatsTable[GroupByKey]=DiscreteStatsTable[[#This Row],[GroupByKey]]),(DiscreteStatsTable[GroupByKey]=DiscreteStatsTable[[#This Row],[GroupByKey]])*DiscreteStatsTable[Average])),0)</f>
        <v>0</v>
      </c>
      <c r="P637" s="5" cm="1">
        <f t="array" ref="P637">MAX(IF((ProjectInfoTable[ProjectName]=DiscreteStatsTable[[#This Row],[ProjectName]]),(ProjectInfoTable[ProjectName]=DiscreteStatsTable[[#This Row],[ProjectName]])*ProjectInfoTable[ConfidenceInterval]))</f>
        <v>0.95</v>
      </c>
      <c r="Q637" s="5">
        <f>IF(AND(DiscreteStatsTable[[#This Row],[RepsWithStatObserved]]=1,Y637=0),200000000000000000000,IFERROR(_xlfn.T.INV.2T(1 -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7" s="5" cm="1">
        <f t="array" ref="R637">MIN(IF((DiscreteStatsTable[GroupByKey]=DiscreteStatsTable[[#This Row],[GroupByKey]]),(DiscreteStatsTable[GroupByKey]=DiscreteStatsTable[[#This Row],[GroupByKey]])*DiscreteStatsTable[Average]))</f>
        <v>0</v>
      </c>
      <c r="S637" s="5" cm="1">
        <f t="array" ref="S637">MAX(IF((DiscreteStatsTable[GroupByKey]=DiscreteStatsTable[[#This Row],[GroupByKey]]),(DiscreteStatsTable[GroupByKey]=DiscreteStatsTable[[#This Row],[GroupByKey]])*DiscreteStatsTable[Average]))</f>
        <v>0</v>
      </c>
      <c r="T637" s="5" cm="1">
        <f t="array" ref="T637">MIN(IF((DiscreteStatsTable[GroupByKey]=DiscreteStatsTable[[#This Row],[GroupByKey]]),(DiscreteStatsTable[GroupByKey]=DiscreteStatsTable[[#This Row],[GroupByKey]])*DiscreteStatsTable[Minimum]))</f>
        <v>0</v>
      </c>
      <c r="U637" s="5" cm="1">
        <f t="array" ref="U637">MAX(IF((DiscreteStatsTable[GroupByKey]=DiscreteStatsTable[[#This Row],[GroupByKey]]),(DiscreteStatsTable[GroupByKey]=DiscreteStatsTable[[#This Row],[GroupByKey]])*DiscreteStatsTable[Maximum]))</f>
        <v>0</v>
      </c>
      <c r="V637" s="5" cm="1">
        <f t="array" ref="V637">IFERROR(AVERAGE(IF((DiscreteStatsTable[GroupByKey]=DiscreteStatsTable[[#This Row],[GroupByKey]]),(DiscreteStatsTable[GroupByKey]=DiscreteStatsTable[[#This Row],[GroupByKey]])*DiscreteStatsTable[NumberObservations])),0)</f>
        <v>3</v>
      </c>
      <c r="W637" s="5">
        <f>IF((DiscreteStatsTable[[#This Row],[RepsRequested]]&gt;1),DiscreteStatsTable[[#This Row],[HalfWidth]],DiscreteStatsTable[[#This Row],[BatchMeansHalfWidth]])</f>
        <v>0</v>
      </c>
      <c r="X637" s="5" cm="1">
        <f t="array" ref="X637">COUNT(IF((DiscreteStatsTable[GroupByKey]=DiscreteStatsTable[[#This Row],[GroupByKey]]),(DiscreteStatsTable[GroupByKey]=DiscreteStatsTable[[#This Row],[GroupByKey]])*DiscreteStatsTable[Replication]))</f>
        <v>19</v>
      </c>
      <c r="Y637" s="5">
        <f>IF(DiscreteStatsTable[[#This Row],[RepsRequested]]=DiscreteStatsTable[[#This Row],[RepsWithStatObserved]],1,0)</f>
        <v>1</v>
      </c>
    </row>
    <row r="638" spans="1:25" x14ac:dyDescent="0.25">
      <c r="A638" t="s">
        <v>67</v>
      </c>
      <c r="B638" t="s">
        <v>69</v>
      </c>
      <c r="C638">
        <v>15</v>
      </c>
      <c r="D638" t="s">
        <v>127</v>
      </c>
      <c r="E638" t="s">
        <v>73</v>
      </c>
      <c r="F638" t="s">
        <v>72</v>
      </c>
      <c r="G638">
        <v>0</v>
      </c>
      <c r="H638">
        <v>2E+20</v>
      </c>
      <c r="I638">
        <v>0</v>
      </c>
      <c r="J638">
        <v>0</v>
      </c>
      <c r="K638">
        <v>3</v>
      </c>
      <c r="L63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compartida)relojOther TimeEntity</v>
      </c>
      <c r="M638" s="5" cm="1">
        <f t="array" ref="M638">MAX(IF((ProjectInfoTable[ProjectName]=DiscreteStatsTable[[#This Row],[ProjectName]]),(ProjectInfoTable[ProjectName]=DiscreteStatsTable[[#This Row],[ProjectName]])*ProjectInfoTable[NumberOfReplications]))</f>
        <v>19</v>
      </c>
      <c r="N638" s="5" cm="1">
        <f t="array" ref="N638">IFERROR(AVERAGE(IF((DiscreteStatsTable[GroupByKey]=DiscreteStatsTable[[#This Row],[GroupByKey]]),(DiscreteStatsTable[GroupByKey]=DiscreteStatsTable[[#This Row],[GroupByKey]])*DiscreteStatsTable[Average])),0)</f>
        <v>0</v>
      </c>
      <c r="O638" s="5" cm="1">
        <f t="array" ref="O638">IFERROR(_xlfn.STDEV.S(IF((DiscreteStatsTable[GroupByKey]=DiscreteStatsTable[[#This Row],[GroupByKey]]),(DiscreteStatsTable[GroupByKey]=DiscreteStatsTable[[#This Row],[GroupByKey]])*DiscreteStatsTable[Average])),0)</f>
        <v>0</v>
      </c>
      <c r="P638" s="5" cm="1">
        <f t="array" ref="P638">MAX(IF((ProjectInfoTable[ProjectName]=DiscreteStatsTable[[#This Row],[ProjectName]]),(ProjectInfoTable[ProjectName]=DiscreteStatsTable[[#This Row],[ProjectName]])*ProjectInfoTable[ConfidenceInterval]))</f>
        <v>0.95</v>
      </c>
      <c r="Q638" s="5">
        <f>IF(AND(DiscreteStatsTable[[#This Row],[RepsWithStatObserved]]=1,Y638=0),200000000000000000000,IFERROR(_xlfn.T.INV.2T(1 -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8" s="5" cm="1">
        <f t="array" ref="R638">MIN(IF((DiscreteStatsTable[GroupByKey]=DiscreteStatsTable[[#This Row],[GroupByKey]]),(DiscreteStatsTable[GroupByKey]=DiscreteStatsTable[[#This Row],[GroupByKey]])*DiscreteStatsTable[Average]))</f>
        <v>0</v>
      </c>
      <c r="S638" s="5" cm="1">
        <f t="array" ref="S638">MAX(IF((DiscreteStatsTable[GroupByKey]=DiscreteStatsTable[[#This Row],[GroupByKey]]),(DiscreteStatsTable[GroupByKey]=DiscreteStatsTable[[#This Row],[GroupByKey]])*DiscreteStatsTable[Average]))</f>
        <v>0</v>
      </c>
      <c r="T638" s="5" cm="1">
        <f t="array" ref="T638">MIN(IF((DiscreteStatsTable[GroupByKey]=DiscreteStatsTable[[#This Row],[GroupByKey]]),(DiscreteStatsTable[GroupByKey]=DiscreteStatsTable[[#This Row],[GroupByKey]])*DiscreteStatsTable[Minimum]))</f>
        <v>0</v>
      </c>
      <c r="U638" s="5" cm="1">
        <f t="array" ref="U638">MAX(IF((DiscreteStatsTable[GroupByKey]=DiscreteStatsTable[[#This Row],[GroupByKey]]),(DiscreteStatsTable[GroupByKey]=DiscreteStatsTable[[#This Row],[GroupByKey]])*DiscreteStatsTable[Maximum]))</f>
        <v>0</v>
      </c>
      <c r="V638" s="5" cm="1">
        <f t="array" ref="V638">IFERROR(AVERAGE(IF((DiscreteStatsTable[GroupByKey]=DiscreteStatsTable[[#This Row],[GroupByKey]]),(DiscreteStatsTable[GroupByKey]=DiscreteStatsTable[[#This Row],[GroupByKey]])*DiscreteStatsTable[NumberObservations])),0)</f>
        <v>3</v>
      </c>
      <c r="W638" s="5">
        <f>IF((DiscreteStatsTable[[#This Row],[RepsRequested]]&gt;1),DiscreteStatsTable[[#This Row],[HalfWidth]],DiscreteStatsTable[[#This Row],[BatchMeansHalfWidth]])</f>
        <v>0</v>
      </c>
      <c r="X638" s="5" cm="1">
        <f t="array" ref="X638">COUNT(IF((DiscreteStatsTable[GroupByKey]=DiscreteStatsTable[[#This Row],[GroupByKey]]),(DiscreteStatsTable[GroupByKey]=DiscreteStatsTable[[#This Row],[GroupByKey]])*DiscreteStatsTable[Replication]))</f>
        <v>19</v>
      </c>
      <c r="Y638" s="5">
        <f>IF(DiscreteStatsTable[[#This Row],[RepsRequested]]=DiscreteStatsTable[[#This Row],[RepsWithStatObserved]],1,0)</f>
        <v>1</v>
      </c>
    </row>
    <row r="639" spans="1:25" x14ac:dyDescent="0.25">
      <c r="A639" t="s">
        <v>67</v>
      </c>
      <c r="B639" t="s">
        <v>69</v>
      </c>
      <c r="C639">
        <v>15</v>
      </c>
      <c r="D639" t="s">
        <v>127</v>
      </c>
      <c r="E639" t="s">
        <v>74</v>
      </c>
      <c r="F639" t="s">
        <v>72</v>
      </c>
      <c r="G639">
        <v>0</v>
      </c>
      <c r="H639">
        <v>2E+20</v>
      </c>
      <c r="I639">
        <v>0</v>
      </c>
      <c r="J639">
        <v>0</v>
      </c>
      <c r="K639">
        <v>3</v>
      </c>
      <c r="L63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compartida)relojTotal TimeEntity</v>
      </c>
      <c r="M639" s="5" cm="1">
        <f t="array" ref="M639">MAX(IF((ProjectInfoTable[ProjectName]=DiscreteStatsTable[[#This Row],[ProjectName]]),(ProjectInfoTable[ProjectName]=DiscreteStatsTable[[#This Row],[ProjectName]])*ProjectInfoTable[NumberOfReplications]))</f>
        <v>19</v>
      </c>
      <c r="N639" s="5" cm="1">
        <f t="array" ref="N639">IFERROR(AVERAGE(IF((DiscreteStatsTable[GroupByKey]=DiscreteStatsTable[[#This Row],[GroupByKey]]),(DiscreteStatsTable[GroupByKey]=DiscreteStatsTable[[#This Row],[GroupByKey]])*DiscreteStatsTable[Average])),0)</f>
        <v>0</v>
      </c>
      <c r="O639" s="5" cm="1">
        <f t="array" ref="O639">IFERROR(_xlfn.STDEV.S(IF((DiscreteStatsTable[GroupByKey]=DiscreteStatsTable[[#This Row],[GroupByKey]]),(DiscreteStatsTable[GroupByKey]=DiscreteStatsTable[[#This Row],[GroupByKey]])*DiscreteStatsTable[Average])),0)</f>
        <v>0</v>
      </c>
      <c r="P639" s="5" cm="1">
        <f t="array" ref="P639">MAX(IF((ProjectInfoTable[ProjectName]=DiscreteStatsTable[[#This Row],[ProjectName]]),(ProjectInfoTable[ProjectName]=DiscreteStatsTable[[#This Row],[ProjectName]])*ProjectInfoTable[ConfidenceInterval]))</f>
        <v>0.95</v>
      </c>
      <c r="Q639" s="5">
        <f>IF(AND(DiscreteStatsTable[[#This Row],[RepsWithStatObserved]]=1,Y639=0),200000000000000000000,IFERROR(_xlfn.T.INV.2T(1 -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9" s="5" cm="1">
        <f t="array" ref="R639">MIN(IF((DiscreteStatsTable[GroupByKey]=DiscreteStatsTable[[#This Row],[GroupByKey]]),(DiscreteStatsTable[GroupByKey]=DiscreteStatsTable[[#This Row],[GroupByKey]])*DiscreteStatsTable[Average]))</f>
        <v>0</v>
      </c>
      <c r="S639" s="5" cm="1">
        <f t="array" ref="S639">MAX(IF((DiscreteStatsTable[GroupByKey]=DiscreteStatsTable[[#This Row],[GroupByKey]]),(DiscreteStatsTable[GroupByKey]=DiscreteStatsTable[[#This Row],[GroupByKey]])*DiscreteStatsTable[Average]))</f>
        <v>0</v>
      </c>
      <c r="T639" s="5" cm="1">
        <f t="array" ref="T639">MIN(IF((DiscreteStatsTable[GroupByKey]=DiscreteStatsTable[[#This Row],[GroupByKey]]),(DiscreteStatsTable[GroupByKey]=DiscreteStatsTable[[#This Row],[GroupByKey]])*DiscreteStatsTable[Minimum]))</f>
        <v>0</v>
      </c>
      <c r="U639" s="5" cm="1">
        <f t="array" ref="U639">MAX(IF((DiscreteStatsTable[GroupByKey]=DiscreteStatsTable[[#This Row],[GroupByKey]]),(DiscreteStatsTable[GroupByKey]=DiscreteStatsTable[[#This Row],[GroupByKey]])*DiscreteStatsTable[Maximum]))</f>
        <v>0</v>
      </c>
      <c r="V639" s="5" cm="1">
        <f t="array" ref="V639">IFERROR(AVERAGE(IF((DiscreteStatsTable[GroupByKey]=DiscreteStatsTable[[#This Row],[GroupByKey]]),(DiscreteStatsTable[GroupByKey]=DiscreteStatsTable[[#This Row],[GroupByKey]])*DiscreteStatsTable[NumberObservations])),0)</f>
        <v>3</v>
      </c>
      <c r="W639" s="5">
        <f>IF((DiscreteStatsTable[[#This Row],[RepsRequested]]&gt;1),DiscreteStatsTable[[#This Row],[HalfWidth]],DiscreteStatsTable[[#This Row],[BatchMeansHalfWidth]])</f>
        <v>0</v>
      </c>
      <c r="X639" s="5" cm="1">
        <f t="array" ref="X639">COUNT(IF((DiscreteStatsTable[GroupByKey]=DiscreteStatsTable[[#This Row],[GroupByKey]]),(DiscreteStatsTable[GroupByKey]=DiscreteStatsTable[[#This Row],[GroupByKey]])*DiscreteStatsTable[Replication]))</f>
        <v>19</v>
      </c>
      <c r="Y639" s="5">
        <f>IF(DiscreteStatsTable[[#This Row],[RepsRequested]]=DiscreteStatsTable[[#This Row],[RepsWithStatObserved]],1,0)</f>
        <v>1</v>
      </c>
    </row>
    <row r="640" spans="1:25" x14ac:dyDescent="0.25">
      <c r="A640" t="s">
        <v>67</v>
      </c>
      <c r="B640" t="s">
        <v>69</v>
      </c>
      <c r="C640">
        <v>15</v>
      </c>
      <c r="D640" t="s">
        <v>127</v>
      </c>
      <c r="E640" t="s">
        <v>75</v>
      </c>
      <c r="F640" t="s">
        <v>72</v>
      </c>
      <c r="G640">
        <v>0</v>
      </c>
      <c r="H640">
        <v>2E+20</v>
      </c>
      <c r="I640">
        <v>0</v>
      </c>
      <c r="J640">
        <v>0</v>
      </c>
      <c r="K640">
        <v>3</v>
      </c>
      <c r="L64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compartida)relojTransfer TimeEntity</v>
      </c>
      <c r="M640" s="5" cm="1">
        <f t="array" ref="M640">MAX(IF((ProjectInfoTable[ProjectName]=DiscreteStatsTable[[#This Row],[ProjectName]]),(ProjectInfoTable[ProjectName]=DiscreteStatsTable[[#This Row],[ProjectName]])*ProjectInfoTable[NumberOfReplications]))</f>
        <v>19</v>
      </c>
      <c r="N640" s="5" cm="1">
        <f t="array" ref="N640">IFERROR(AVERAGE(IF((DiscreteStatsTable[GroupByKey]=DiscreteStatsTable[[#This Row],[GroupByKey]]),(DiscreteStatsTable[GroupByKey]=DiscreteStatsTable[[#This Row],[GroupByKey]])*DiscreteStatsTable[Average])),0)</f>
        <v>0</v>
      </c>
      <c r="O640" s="5" cm="1">
        <f t="array" ref="O640">IFERROR(_xlfn.STDEV.S(IF((DiscreteStatsTable[GroupByKey]=DiscreteStatsTable[[#This Row],[GroupByKey]]),(DiscreteStatsTable[GroupByKey]=DiscreteStatsTable[[#This Row],[GroupByKey]])*DiscreteStatsTable[Average])),0)</f>
        <v>0</v>
      </c>
      <c r="P640" s="5" cm="1">
        <f t="array" ref="P640">MAX(IF((ProjectInfoTable[ProjectName]=DiscreteStatsTable[[#This Row],[ProjectName]]),(ProjectInfoTable[ProjectName]=DiscreteStatsTable[[#This Row],[ProjectName]])*ProjectInfoTable[ConfidenceInterval]))</f>
        <v>0.95</v>
      </c>
      <c r="Q640" s="5">
        <f>IF(AND(DiscreteStatsTable[[#This Row],[RepsWithStatObserved]]=1,Y640=0),200000000000000000000,IFERROR(_xlfn.T.INV.2T(1 -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0" s="5" cm="1">
        <f t="array" ref="R640">MIN(IF((DiscreteStatsTable[GroupByKey]=DiscreteStatsTable[[#This Row],[GroupByKey]]),(DiscreteStatsTable[GroupByKey]=DiscreteStatsTable[[#This Row],[GroupByKey]])*DiscreteStatsTable[Average]))</f>
        <v>0</v>
      </c>
      <c r="S640" s="5" cm="1">
        <f t="array" ref="S640">MAX(IF((DiscreteStatsTable[GroupByKey]=DiscreteStatsTable[[#This Row],[GroupByKey]]),(DiscreteStatsTable[GroupByKey]=DiscreteStatsTable[[#This Row],[GroupByKey]])*DiscreteStatsTable[Average]))</f>
        <v>0</v>
      </c>
      <c r="T640" s="5" cm="1">
        <f t="array" ref="T640">MIN(IF((DiscreteStatsTable[GroupByKey]=DiscreteStatsTable[[#This Row],[GroupByKey]]),(DiscreteStatsTable[GroupByKey]=DiscreteStatsTable[[#This Row],[GroupByKey]])*DiscreteStatsTable[Minimum]))</f>
        <v>0</v>
      </c>
      <c r="U640" s="5" cm="1">
        <f t="array" ref="U640">MAX(IF((DiscreteStatsTable[GroupByKey]=DiscreteStatsTable[[#This Row],[GroupByKey]]),(DiscreteStatsTable[GroupByKey]=DiscreteStatsTable[[#This Row],[GroupByKey]])*DiscreteStatsTable[Maximum]))</f>
        <v>0</v>
      </c>
      <c r="V640" s="5" cm="1">
        <f t="array" ref="V640">IFERROR(AVERAGE(IF((DiscreteStatsTable[GroupByKey]=DiscreteStatsTable[[#This Row],[GroupByKey]]),(DiscreteStatsTable[GroupByKey]=DiscreteStatsTable[[#This Row],[GroupByKey]])*DiscreteStatsTable[NumberObservations])),0)</f>
        <v>3</v>
      </c>
      <c r="W640" s="5">
        <f>IF((DiscreteStatsTable[[#This Row],[RepsRequested]]&gt;1),DiscreteStatsTable[[#This Row],[HalfWidth]],DiscreteStatsTable[[#This Row],[BatchMeansHalfWidth]])</f>
        <v>0</v>
      </c>
      <c r="X640" s="5" cm="1">
        <f t="array" ref="X640">COUNT(IF((DiscreteStatsTable[GroupByKey]=DiscreteStatsTable[[#This Row],[GroupByKey]]),(DiscreteStatsTable[GroupByKey]=DiscreteStatsTable[[#This Row],[GroupByKey]])*DiscreteStatsTable[Replication]))</f>
        <v>19</v>
      </c>
      <c r="Y640" s="5">
        <f>IF(DiscreteStatsTable[[#This Row],[RepsRequested]]=DiscreteStatsTable[[#This Row],[RepsWithStatObserved]],1,0)</f>
        <v>1</v>
      </c>
    </row>
    <row r="641" spans="1:25" x14ac:dyDescent="0.25">
      <c r="A641" t="s">
        <v>67</v>
      </c>
      <c r="B641" t="s">
        <v>69</v>
      </c>
      <c r="C641">
        <v>15</v>
      </c>
      <c r="D641" t="s">
        <v>127</v>
      </c>
      <c r="E641" t="s">
        <v>76</v>
      </c>
      <c r="F641" t="s">
        <v>72</v>
      </c>
      <c r="G641">
        <v>0</v>
      </c>
      <c r="H641">
        <v>2E+20</v>
      </c>
      <c r="I641">
        <v>0</v>
      </c>
      <c r="J641">
        <v>0</v>
      </c>
      <c r="K641">
        <v>3</v>
      </c>
      <c r="L64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compartida)relojVA TimeEntity</v>
      </c>
      <c r="M641" s="5" cm="1">
        <f t="array" ref="M641">MAX(IF((ProjectInfoTable[ProjectName]=DiscreteStatsTable[[#This Row],[ProjectName]]),(ProjectInfoTable[ProjectName]=DiscreteStatsTable[[#This Row],[ProjectName]])*ProjectInfoTable[NumberOfReplications]))</f>
        <v>19</v>
      </c>
      <c r="N641" s="5" cm="1">
        <f t="array" ref="N641">IFERROR(AVERAGE(IF((DiscreteStatsTable[GroupByKey]=DiscreteStatsTable[[#This Row],[GroupByKey]]),(DiscreteStatsTable[GroupByKey]=DiscreteStatsTable[[#This Row],[GroupByKey]])*DiscreteStatsTable[Average])),0)</f>
        <v>0</v>
      </c>
      <c r="O641" s="5" cm="1">
        <f t="array" ref="O641">IFERROR(_xlfn.STDEV.S(IF((DiscreteStatsTable[GroupByKey]=DiscreteStatsTable[[#This Row],[GroupByKey]]),(DiscreteStatsTable[GroupByKey]=DiscreteStatsTable[[#This Row],[GroupByKey]])*DiscreteStatsTable[Average])),0)</f>
        <v>0</v>
      </c>
      <c r="P641" s="5" cm="1">
        <f t="array" ref="P641">MAX(IF((ProjectInfoTable[ProjectName]=DiscreteStatsTable[[#This Row],[ProjectName]]),(ProjectInfoTable[ProjectName]=DiscreteStatsTable[[#This Row],[ProjectName]])*ProjectInfoTable[ConfidenceInterval]))</f>
        <v>0.95</v>
      </c>
      <c r="Q641" s="5">
        <f>IF(AND(DiscreteStatsTable[[#This Row],[RepsWithStatObserved]]=1,Y641=0),200000000000000000000,IFERROR(_xlfn.T.INV.2T(1 -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1" s="5" cm="1">
        <f t="array" ref="R641">MIN(IF((DiscreteStatsTable[GroupByKey]=DiscreteStatsTable[[#This Row],[GroupByKey]]),(DiscreteStatsTable[GroupByKey]=DiscreteStatsTable[[#This Row],[GroupByKey]])*DiscreteStatsTable[Average]))</f>
        <v>0</v>
      </c>
      <c r="S641" s="5" cm="1">
        <f t="array" ref="S641">MAX(IF((DiscreteStatsTable[GroupByKey]=DiscreteStatsTable[[#This Row],[GroupByKey]]),(DiscreteStatsTable[GroupByKey]=DiscreteStatsTable[[#This Row],[GroupByKey]])*DiscreteStatsTable[Average]))</f>
        <v>0</v>
      </c>
      <c r="T641" s="5" cm="1">
        <f t="array" ref="T641">MIN(IF((DiscreteStatsTable[GroupByKey]=DiscreteStatsTable[[#This Row],[GroupByKey]]),(DiscreteStatsTable[GroupByKey]=DiscreteStatsTable[[#This Row],[GroupByKey]])*DiscreteStatsTable[Minimum]))</f>
        <v>0</v>
      </c>
      <c r="U641" s="5" cm="1">
        <f t="array" ref="U641">MAX(IF((DiscreteStatsTable[GroupByKey]=DiscreteStatsTable[[#This Row],[GroupByKey]]),(DiscreteStatsTable[GroupByKey]=DiscreteStatsTable[[#This Row],[GroupByKey]])*DiscreteStatsTable[Maximum]))</f>
        <v>0</v>
      </c>
      <c r="V641" s="5" cm="1">
        <f t="array" ref="V641">IFERROR(AVERAGE(IF((DiscreteStatsTable[GroupByKey]=DiscreteStatsTable[[#This Row],[GroupByKey]]),(DiscreteStatsTable[GroupByKey]=DiscreteStatsTable[[#This Row],[GroupByKey]])*DiscreteStatsTable[NumberObservations])),0)</f>
        <v>3</v>
      </c>
      <c r="W641" s="5">
        <f>IF((DiscreteStatsTable[[#This Row],[RepsRequested]]&gt;1),DiscreteStatsTable[[#This Row],[HalfWidth]],DiscreteStatsTable[[#This Row],[BatchMeansHalfWidth]])</f>
        <v>0</v>
      </c>
      <c r="X641" s="5" cm="1">
        <f t="array" ref="X641">COUNT(IF((DiscreteStatsTable[GroupByKey]=DiscreteStatsTable[[#This Row],[GroupByKey]]),(DiscreteStatsTable[GroupByKey]=DiscreteStatsTable[[#This Row],[GroupByKey]])*DiscreteStatsTable[Replication]))</f>
        <v>19</v>
      </c>
      <c r="Y641" s="5">
        <f>IF(DiscreteStatsTable[[#This Row],[RepsRequested]]=DiscreteStatsTable[[#This Row],[RepsWithStatObserved]],1,0)</f>
        <v>1</v>
      </c>
    </row>
    <row r="642" spans="1:25" x14ac:dyDescent="0.25">
      <c r="A642" t="s">
        <v>67</v>
      </c>
      <c r="B642" t="s">
        <v>69</v>
      </c>
      <c r="C642">
        <v>15</v>
      </c>
      <c r="D642" t="s">
        <v>127</v>
      </c>
      <c r="E642" t="s">
        <v>77</v>
      </c>
      <c r="F642" t="s">
        <v>72</v>
      </c>
      <c r="G642">
        <v>0</v>
      </c>
      <c r="H642">
        <v>2E+20</v>
      </c>
      <c r="I642">
        <v>0</v>
      </c>
      <c r="J642">
        <v>0</v>
      </c>
      <c r="K642">
        <v>3</v>
      </c>
      <c r="L64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compartida)relojWait TimeEntity</v>
      </c>
      <c r="M642" s="5" cm="1">
        <f t="array" ref="M642">MAX(IF((ProjectInfoTable[ProjectName]=DiscreteStatsTable[[#This Row],[ProjectName]]),(ProjectInfoTable[ProjectName]=DiscreteStatsTable[[#This Row],[ProjectName]])*ProjectInfoTable[NumberOfReplications]))</f>
        <v>19</v>
      </c>
      <c r="N642" s="5" cm="1">
        <f t="array" ref="N642">IFERROR(AVERAGE(IF((DiscreteStatsTable[GroupByKey]=DiscreteStatsTable[[#This Row],[GroupByKey]]),(DiscreteStatsTable[GroupByKey]=DiscreteStatsTable[[#This Row],[GroupByKey]])*DiscreteStatsTable[Average])),0)</f>
        <v>0</v>
      </c>
      <c r="O642" s="5" cm="1">
        <f t="array" ref="O642">IFERROR(_xlfn.STDEV.S(IF((DiscreteStatsTable[GroupByKey]=DiscreteStatsTable[[#This Row],[GroupByKey]]),(DiscreteStatsTable[GroupByKey]=DiscreteStatsTable[[#This Row],[GroupByKey]])*DiscreteStatsTable[Average])),0)</f>
        <v>0</v>
      </c>
      <c r="P642" s="5" cm="1">
        <f t="array" ref="P642">MAX(IF((ProjectInfoTable[ProjectName]=DiscreteStatsTable[[#This Row],[ProjectName]]),(ProjectInfoTable[ProjectName]=DiscreteStatsTable[[#This Row],[ProjectName]])*ProjectInfoTable[ConfidenceInterval]))</f>
        <v>0.95</v>
      </c>
      <c r="Q642" s="5">
        <f>IF(AND(DiscreteStatsTable[[#This Row],[RepsWithStatObserved]]=1,Y642=0),200000000000000000000,IFERROR(_xlfn.T.INV.2T(1 -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2" s="5" cm="1">
        <f t="array" ref="R642">MIN(IF((DiscreteStatsTable[GroupByKey]=DiscreteStatsTable[[#This Row],[GroupByKey]]),(DiscreteStatsTable[GroupByKey]=DiscreteStatsTable[[#This Row],[GroupByKey]])*DiscreteStatsTable[Average]))</f>
        <v>0</v>
      </c>
      <c r="S642" s="5" cm="1">
        <f t="array" ref="S642">MAX(IF((DiscreteStatsTable[GroupByKey]=DiscreteStatsTable[[#This Row],[GroupByKey]]),(DiscreteStatsTable[GroupByKey]=DiscreteStatsTable[[#This Row],[GroupByKey]])*DiscreteStatsTable[Average]))</f>
        <v>0</v>
      </c>
      <c r="T642" s="5" cm="1">
        <f t="array" ref="T642">MIN(IF((DiscreteStatsTable[GroupByKey]=DiscreteStatsTable[[#This Row],[GroupByKey]]),(DiscreteStatsTable[GroupByKey]=DiscreteStatsTable[[#This Row],[GroupByKey]])*DiscreteStatsTable[Minimum]))</f>
        <v>0</v>
      </c>
      <c r="U642" s="5" cm="1">
        <f t="array" ref="U642">MAX(IF((DiscreteStatsTable[GroupByKey]=DiscreteStatsTable[[#This Row],[GroupByKey]]),(DiscreteStatsTable[GroupByKey]=DiscreteStatsTable[[#This Row],[GroupByKey]])*DiscreteStatsTable[Maximum]))</f>
        <v>0</v>
      </c>
      <c r="V642" s="5" cm="1">
        <f t="array" ref="V642">IFERROR(AVERAGE(IF((DiscreteStatsTable[GroupByKey]=DiscreteStatsTable[[#This Row],[GroupByKey]]),(DiscreteStatsTable[GroupByKey]=DiscreteStatsTable[[#This Row],[GroupByKey]])*DiscreteStatsTable[NumberObservations])),0)</f>
        <v>3</v>
      </c>
      <c r="W642" s="5">
        <f>IF((DiscreteStatsTable[[#This Row],[RepsRequested]]&gt;1),DiscreteStatsTable[[#This Row],[HalfWidth]],DiscreteStatsTable[[#This Row],[BatchMeansHalfWidth]])</f>
        <v>0</v>
      </c>
      <c r="X642" s="5" cm="1">
        <f t="array" ref="X642">COUNT(IF((DiscreteStatsTable[GroupByKey]=DiscreteStatsTable[[#This Row],[GroupByKey]]),(DiscreteStatsTable[GroupByKey]=DiscreteStatsTable[[#This Row],[GroupByKey]])*DiscreteStatsTable[Replication]))</f>
        <v>19</v>
      </c>
      <c r="Y642" s="5">
        <f>IF(DiscreteStatsTable[[#This Row],[RepsRequested]]=DiscreteStatsTable[[#This Row],[RepsWithStatObserved]],1,0)</f>
        <v>1</v>
      </c>
    </row>
    <row r="643" spans="1:25" x14ac:dyDescent="0.25">
      <c r="A643" t="s">
        <v>67</v>
      </c>
      <c r="B643" t="s">
        <v>69</v>
      </c>
      <c r="C643">
        <v>16</v>
      </c>
      <c r="D643" t="s">
        <v>127</v>
      </c>
      <c r="E643" t="s">
        <v>71</v>
      </c>
      <c r="F643" t="s">
        <v>72</v>
      </c>
      <c r="G643">
        <v>0</v>
      </c>
      <c r="H643">
        <v>2E+20</v>
      </c>
      <c r="I643">
        <v>0</v>
      </c>
      <c r="J643">
        <v>0</v>
      </c>
      <c r="K643">
        <v>3</v>
      </c>
      <c r="L64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compartida)relojNVA TimeEntity</v>
      </c>
      <c r="M643" s="5" cm="1">
        <f t="array" ref="M643">MAX(IF((ProjectInfoTable[ProjectName]=DiscreteStatsTable[[#This Row],[ProjectName]]),(ProjectInfoTable[ProjectName]=DiscreteStatsTable[[#This Row],[ProjectName]])*ProjectInfoTable[NumberOfReplications]))</f>
        <v>19</v>
      </c>
      <c r="N643" s="5" cm="1">
        <f t="array" ref="N643">IFERROR(AVERAGE(IF((DiscreteStatsTable[GroupByKey]=DiscreteStatsTable[[#This Row],[GroupByKey]]),(DiscreteStatsTable[GroupByKey]=DiscreteStatsTable[[#This Row],[GroupByKey]])*DiscreteStatsTable[Average])),0)</f>
        <v>0</v>
      </c>
      <c r="O643" s="5" cm="1">
        <f t="array" ref="O643">IFERROR(_xlfn.STDEV.S(IF((DiscreteStatsTable[GroupByKey]=DiscreteStatsTable[[#This Row],[GroupByKey]]),(DiscreteStatsTable[GroupByKey]=DiscreteStatsTable[[#This Row],[GroupByKey]])*DiscreteStatsTable[Average])),0)</f>
        <v>0</v>
      </c>
      <c r="P643" s="5" cm="1">
        <f t="array" ref="P643">MAX(IF((ProjectInfoTable[ProjectName]=DiscreteStatsTable[[#This Row],[ProjectName]]),(ProjectInfoTable[ProjectName]=DiscreteStatsTable[[#This Row],[ProjectName]])*ProjectInfoTable[ConfidenceInterval]))</f>
        <v>0.95</v>
      </c>
      <c r="Q643" s="5">
        <f>IF(AND(DiscreteStatsTable[[#This Row],[RepsWithStatObserved]]=1,Y643=0),200000000000000000000,IFERROR(_xlfn.T.INV.2T(1 -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3" s="5" cm="1">
        <f t="array" ref="R643">MIN(IF((DiscreteStatsTable[GroupByKey]=DiscreteStatsTable[[#This Row],[GroupByKey]]),(DiscreteStatsTable[GroupByKey]=DiscreteStatsTable[[#This Row],[GroupByKey]])*DiscreteStatsTable[Average]))</f>
        <v>0</v>
      </c>
      <c r="S643" s="5" cm="1">
        <f t="array" ref="S643">MAX(IF((DiscreteStatsTable[GroupByKey]=DiscreteStatsTable[[#This Row],[GroupByKey]]),(DiscreteStatsTable[GroupByKey]=DiscreteStatsTable[[#This Row],[GroupByKey]])*DiscreteStatsTable[Average]))</f>
        <v>0</v>
      </c>
      <c r="T643" s="5" cm="1">
        <f t="array" ref="T643">MIN(IF((DiscreteStatsTable[GroupByKey]=DiscreteStatsTable[[#This Row],[GroupByKey]]),(DiscreteStatsTable[GroupByKey]=DiscreteStatsTable[[#This Row],[GroupByKey]])*DiscreteStatsTable[Minimum]))</f>
        <v>0</v>
      </c>
      <c r="U643" s="5" cm="1">
        <f t="array" ref="U643">MAX(IF((DiscreteStatsTable[GroupByKey]=DiscreteStatsTable[[#This Row],[GroupByKey]]),(DiscreteStatsTable[GroupByKey]=DiscreteStatsTable[[#This Row],[GroupByKey]])*DiscreteStatsTable[Maximum]))</f>
        <v>0</v>
      </c>
      <c r="V643" s="5" cm="1">
        <f t="array" ref="V643">IFERROR(AVERAGE(IF((DiscreteStatsTable[GroupByKey]=DiscreteStatsTable[[#This Row],[GroupByKey]]),(DiscreteStatsTable[GroupByKey]=DiscreteStatsTable[[#This Row],[GroupByKey]])*DiscreteStatsTable[NumberObservations])),0)</f>
        <v>3</v>
      </c>
      <c r="W643" s="5">
        <f>IF((DiscreteStatsTable[[#This Row],[RepsRequested]]&gt;1),DiscreteStatsTable[[#This Row],[HalfWidth]],DiscreteStatsTable[[#This Row],[BatchMeansHalfWidth]])</f>
        <v>0</v>
      </c>
      <c r="X643" s="5" cm="1">
        <f t="array" ref="X643">COUNT(IF((DiscreteStatsTable[GroupByKey]=DiscreteStatsTable[[#This Row],[GroupByKey]]),(DiscreteStatsTable[GroupByKey]=DiscreteStatsTable[[#This Row],[GroupByKey]])*DiscreteStatsTable[Replication]))</f>
        <v>19</v>
      </c>
      <c r="Y643" s="5">
        <f>IF(DiscreteStatsTable[[#This Row],[RepsRequested]]=DiscreteStatsTable[[#This Row],[RepsWithStatObserved]],1,0)</f>
        <v>1</v>
      </c>
    </row>
    <row r="644" spans="1:25" x14ac:dyDescent="0.25">
      <c r="A644" t="s">
        <v>67</v>
      </c>
      <c r="B644" t="s">
        <v>69</v>
      </c>
      <c r="C644">
        <v>16</v>
      </c>
      <c r="D644" t="s">
        <v>127</v>
      </c>
      <c r="E644" t="s">
        <v>73</v>
      </c>
      <c r="F644" t="s">
        <v>72</v>
      </c>
      <c r="G644">
        <v>0</v>
      </c>
      <c r="H644">
        <v>2E+20</v>
      </c>
      <c r="I644">
        <v>0</v>
      </c>
      <c r="J644">
        <v>0</v>
      </c>
      <c r="K644">
        <v>3</v>
      </c>
      <c r="L64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compartida)relojOther TimeEntity</v>
      </c>
      <c r="M644" s="5" cm="1">
        <f t="array" ref="M644">MAX(IF((ProjectInfoTable[ProjectName]=DiscreteStatsTable[[#This Row],[ProjectName]]),(ProjectInfoTable[ProjectName]=DiscreteStatsTable[[#This Row],[ProjectName]])*ProjectInfoTable[NumberOfReplications]))</f>
        <v>19</v>
      </c>
      <c r="N644" s="5" cm="1">
        <f t="array" ref="N644">IFERROR(AVERAGE(IF((DiscreteStatsTable[GroupByKey]=DiscreteStatsTable[[#This Row],[GroupByKey]]),(DiscreteStatsTable[GroupByKey]=DiscreteStatsTable[[#This Row],[GroupByKey]])*DiscreteStatsTable[Average])),0)</f>
        <v>0</v>
      </c>
      <c r="O644" s="5" cm="1">
        <f t="array" ref="O644">IFERROR(_xlfn.STDEV.S(IF((DiscreteStatsTable[GroupByKey]=DiscreteStatsTable[[#This Row],[GroupByKey]]),(DiscreteStatsTable[GroupByKey]=DiscreteStatsTable[[#This Row],[GroupByKey]])*DiscreteStatsTable[Average])),0)</f>
        <v>0</v>
      </c>
      <c r="P644" s="5" cm="1">
        <f t="array" ref="P644">MAX(IF((ProjectInfoTable[ProjectName]=DiscreteStatsTable[[#This Row],[ProjectName]]),(ProjectInfoTable[ProjectName]=DiscreteStatsTable[[#This Row],[ProjectName]])*ProjectInfoTable[ConfidenceInterval]))</f>
        <v>0.95</v>
      </c>
      <c r="Q644" s="5">
        <f>IF(AND(DiscreteStatsTable[[#This Row],[RepsWithStatObserved]]=1,Y644=0),200000000000000000000,IFERROR(_xlfn.T.INV.2T(1 -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4" s="5" cm="1">
        <f t="array" ref="R644">MIN(IF((DiscreteStatsTable[GroupByKey]=DiscreteStatsTable[[#This Row],[GroupByKey]]),(DiscreteStatsTable[GroupByKey]=DiscreteStatsTable[[#This Row],[GroupByKey]])*DiscreteStatsTable[Average]))</f>
        <v>0</v>
      </c>
      <c r="S644" s="5" cm="1">
        <f t="array" ref="S644">MAX(IF((DiscreteStatsTable[GroupByKey]=DiscreteStatsTable[[#This Row],[GroupByKey]]),(DiscreteStatsTable[GroupByKey]=DiscreteStatsTable[[#This Row],[GroupByKey]])*DiscreteStatsTable[Average]))</f>
        <v>0</v>
      </c>
      <c r="T644" s="5" cm="1">
        <f t="array" ref="T644">MIN(IF((DiscreteStatsTable[GroupByKey]=DiscreteStatsTable[[#This Row],[GroupByKey]]),(DiscreteStatsTable[GroupByKey]=DiscreteStatsTable[[#This Row],[GroupByKey]])*DiscreteStatsTable[Minimum]))</f>
        <v>0</v>
      </c>
      <c r="U644" s="5" cm="1">
        <f t="array" ref="U644">MAX(IF((DiscreteStatsTable[GroupByKey]=DiscreteStatsTable[[#This Row],[GroupByKey]]),(DiscreteStatsTable[GroupByKey]=DiscreteStatsTable[[#This Row],[GroupByKey]])*DiscreteStatsTable[Maximum]))</f>
        <v>0</v>
      </c>
      <c r="V644" s="5" cm="1">
        <f t="array" ref="V644">IFERROR(AVERAGE(IF((DiscreteStatsTable[GroupByKey]=DiscreteStatsTable[[#This Row],[GroupByKey]]),(DiscreteStatsTable[GroupByKey]=DiscreteStatsTable[[#This Row],[GroupByKey]])*DiscreteStatsTable[NumberObservations])),0)</f>
        <v>3</v>
      </c>
      <c r="W644" s="5">
        <f>IF((DiscreteStatsTable[[#This Row],[RepsRequested]]&gt;1),DiscreteStatsTable[[#This Row],[HalfWidth]],DiscreteStatsTable[[#This Row],[BatchMeansHalfWidth]])</f>
        <v>0</v>
      </c>
      <c r="X644" s="5" cm="1">
        <f t="array" ref="X644">COUNT(IF((DiscreteStatsTable[GroupByKey]=DiscreteStatsTable[[#This Row],[GroupByKey]]),(DiscreteStatsTable[GroupByKey]=DiscreteStatsTable[[#This Row],[GroupByKey]])*DiscreteStatsTable[Replication]))</f>
        <v>19</v>
      </c>
      <c r="Y644" s="5">
        <f>IF(DiscreteStatsTable[[#This Row],[RepsRequested]]=DiscreteStatsTable[[#This Row],[RepsWithStatObserved]],1,0)</f>
        <v>1</v>
      </c>
    </row>
    <row r="645" spans="1:25" x14ac:dyDescent="0.25">
      <c r="A645" t="s">
        <v>67</v>
      </c>
      <c r="B645" t="s">
        <v>69</v>
      </c>
      <c r="C645">
        <v>16</v>
      </c>
      <c r="D645" t="s">
        <v>127</v>
      </c>
      <c r="E645" t="s">
        <v>74</v>
      </c>
      <c r="F645" t="s">
        <v>72</v>
      </c>
      <c r="G645">
        <v>0</v>
      </c>
      <c r="H645">
        <v>2E+20</v>
      </c>
      <c r="I645">
        <v>0</v>
      </c>
      <c r="J645">
        <v>0</v>
      </c>
      <c r="K645">
        <v>3</v>
      </c>
      <c r="L64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compartida)relojTotal TimeEntity</v>
      </c>
      <c r="M645" s="5" cm="1">
        <f t="array" ref="M645">MAX(IF((ProjectInfoTable[ProjectName]=DiscreteStatsTable[[#This Row],[ProjectName]]),(ProjectInfoTable[ProjectName]=DiscreteStatsTable[[#This Row],[ProjectName]])*ProjectInfoTable[NumberOfReplications]))</f>
        <v>19</v>
      </c>
      <c r="N645" s="5" cm="1">
        <f t="array" ref="N645">IFERROR(AVERAGE(IF((DiscreteStatsTable[GroupByKey]=DiscreteStatsTable[[#This Row],[GroupByKey]]),(DiscreteStatsTable[GroupByKey]=DiscreteStatsTable[[#This Row],[GroupByKey]])*DiscreteStatsTable[Average])),0)</f>
        <v>0</v>
      </c>
      <c r="O645" s="5" cm="1">
        <f t="array" ref="O645">IFERROR(_xlfn.STDEV.S(IF((DiscreteStatsTable[GroupByKey]=DiscreteStatsTable[[#This Row],[GroupByKey]]),(DiscreteStatsTable[GroupByKey]=DiscreteStatsTable[[#This Row],[GroupByKey]])*DiscreteStatsTable[Average])),0)</f>
        <v>0</v>
      </c>
      <c r="P645" s="5" cm="1">
        <f t="array" ref="P645">MAX(IF((ProjectInfoTable[ProjectName]=DiscreteStatsTable[[#This Row],[ProjectName]]),(ProjectInfoTable[ProjectName]=DiscreteStatsTable[[#This Row],[ProjectName]])*ProjectInfoTable[ConfidenceInterval]))</f>
        <v>0.95</v>
      </c>
      <c r="Q645" s="5">
        <f>IF(AND(DiscreteStatsTable[[#This Row],[RepsWithStatObserved]]=1,Y645=0),200000000000000000000,IFERROR(_xlfn.T.INV.2T(1 -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5" s="5" cm="1">
        <f t="array" ref="R645">MIN(IF((DiscreteStatsTable[GroupByKey]=DiscreteStatsTable[[#This Row],[GroupByKey]]),(DiscreteStatsTable[GroupByKey]=DiscreteStatsTable[[#This Row],[GroupByKey]])*DiscreteStatsTable[Average]))</f>
        <v>0</v>
      </c>
      <c r="S645" s="5" cm="1">
        <f t="array" ref="S645">MAX(IF((DiscreteStatsTable[GroupByKey]=DiscreteStatsTable[[#This Row],[GroupByKey]]),(DiscreteStatsTable[GroupByKey]=DiscreteStatsTable[[#This Row],[GroupByKey]])*DiscreteStatsTable[Average]))</f>
        <v>0</v>
      </c>
      <c r="T645" s="5" cm="1">
        <f t="array" ref="T645">MIN(IF((DiscreteStatsTable[GroupByKey]=DiscreteStatsTable[[#This Row],[GroupByKey]]),(DiscreteStatsTable[GroupByKey]=DiscreteStatsTable[[#This Row],[GroupByKey]])*DiscreteStatsTable[Minimum]))</f>
        <v>0</v>
      </c>
      <c r="U645" s="5" cm="1">
        <f t="array" ref="U645">MAX(IF((DiscreteStatsTable[GroupByKey]=DiscreteStatsTable[[#This Row],[GroupByKey]]),(DiscreteStatsTable[GroupByKey]=DiscreteStatsTable[[#This Row],[GroupByKey]])*DiscreteStatsTable[Maximum]))</f>
        <v>0</v>
      </c>
      <c r="V645" s="5" cm="1">
        <f t="array" ref="V645">IFERROR(AVERAGE(IF((DiscreteStatsTable[GroupByKey]=DiscreteStatsTable[[#This Row],[GroupByKey]]),(DiscreteStatsTable[GroupByKey]=DiscreteStatsTable[[#This Row],[GroupByKey]])*DiscreteStatsTable[NumberObservations])),0)</f>
        <v>3</v>
      </c>
      <c r="W645" s="5">
        <f>IF((DiscreteStatsTable[[#This Row],[RepsRequested]]&gt;1),DiscreteStatsTable[[#This Row],[HalfWidth]],DiscreteStatsTable[[#This Row],[BatchMeansHalfWidth]])</f>
        <v>0</v>
      </c>
      <c r="X645" s="5" cm="1">
        <f t="array" ref="X645">COUNT(IF((DiscreteStatsTable[GroupByKey]=DiscreteStatsTable[[#This Row],[GroupByKey]]),(DiscreteStatsTable[GroupByKey]=DiscreteStatsTable[[#This Row],[GroupByKey]])*DiscreteStatsTable[Replication]))</f>
        <v>19</v>
      </c>
      <c r="Y645" s="5">
        <f>IF(DiscreteStatsTable[[#This Row],[RepsRequested]]=DiscreteStatsTable[[#This Row],[RepsWithStatObserved]],1,0)</f>
        <v>1</v>
      </c>
    </row>
    <row r="646" spans="1:25" x14ac:dyDescent="0.25">
      <c r="A646" t="s">
        <v>67</v>
      </c>
      <c r="B646" t="s">
        <v>69</v>
      </c>
      <c r="C646">
        <v>16</v>
      </c>
      <c r="D646" t="s">
        <v>127</v>
      </c>
      <c r="E646" t="s">
        <v>75</v>
      </c>
      <c r="F646" t="s">
        <v>72</v>
      </c>
      <c r="G646">
        <v>0</v>
      </c>
      <c r="H646">
        <v>2E+20</v>
      </c>
      <c r="I646">
        <v>0</v>
      </c>
      <c r="J646">
        <v>0</v>
      </c>
      <c r="K646">
        <v>3</v>
      </c>
      <c r="L64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compartida)relojTransfer TimeEntity</v>
      </c>
      <c r="M646" s="5" cm="1">
        <f t="array" ref="M646">MAX(IF((ProjectInfoTable[ProjectName]=DiscreteStatsTable[[#This Row],[ProjectName]]),(ProjectInfoTable[ProjectName]=DiscreteStatsTable[[#This Row],[ProjectName]])*ProjectInfoTable[NumberOfReplications]))</f>
        <v>19</v>
      </c>
      <c r="N646" s="5" cm="1">
        <f t="array" ref="N646">IFERROR(AVERAGE(IF((DiscreteStatsTable[GroupByKey]=DiscreteStatsTable[[#This Row],[GroupByKey]]),(DiscreteStatsTable[GroupByKey]=DiscreteStatsTable[[#This Row],[GroupByKey]])*DiscreteStatsTable[Average])),0)</f>
        <v>0</v>
      </c>
      <c r="O646" s="5" cm="1">
        <f t="array" ref="O646">IFERROR(_xlfn.STDEV.S(IF((DiscreteStatsTable[GroupByKey]=DiscreteStatsTable[[#This Row],[GroupByKey]]),(DiscreteStatsTable[GroupByKey]=DiscreteStatsTable[[#This Row],[GroupByKey]])*DiscreteStatsTable[Average])),0)</f>
        <v>0</v>
      </c>
      <c r="P646" s="5" cm="1">
        <f t="array" ref="P646">MAX(IF((ProjectInfoTable[ProjectName]=DiscreteStatsTable[[#This Row],[ProjectName]]),(ProjectInfoTable[ProjectName]=DiscreteStatsTable[[#This Row],[ProjectName]])*ProjectInfoTable[ConfidenceInterval]))</f>
        <v>0.95</v>
      </c>
      <c r="Q646" s="5">
        <f>IF(AND(DiscreteStatsTable[[#This Row],[RepsWithStatObserved]]=1,Y646=0),200000000000000000000,IFERROR(_xlfn.T.INV.2T(1 -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6" s="5" cm="1">
        <f t="array" ref="R646">MIN(IF((DiscreteStatsTable[GroupByKey]=DiscreteStatsTable[[#This Row],[GroupByKey]]),(DiscreteStatsTable[GroupByKey]=DiscreteStatsTable[[#This Row],[GroupByKey]])*DiscreteStatsTable[Average]))</f>
        <v>0</v>
      </c>
      <c r="S646" s="5" cm="1">
        <f t="array" ref="S646">MAX(IF((DiscreteStatsTable[GroupByKey]=DiscreteStatsTable[[#This Row],[GroupByKey]]),(DiscreteStatsTable[GroupByKey]=DiscreteStatsTable[[#This Row],[GroupByKey]])*DiscreteStatsTable[Average]))</f>
        <v>0</v>
      </c>
      <c r="T646" s="5" cm="1">
        <f t="array" ref="T646">MIN(IF((DiscreteStatsTable[GroupByKey]=DiscreteStatsTable[[#This Row],[GroupByKey]]),(DiscreteStatsTable[GroupByKey]=DiscreteStatsTable[[#This Row],[GroupByKey]])*DiscreteStatsTable[Minimum]))</f>
        <v>0</v>
      </c>
      <c r="U646" s="5" cm="1">
        <f t="array" ref="U646">MAX(IF((DiscreteStatsTable[GroupByKey]=DiscreteStatsTable[[#This Row],[GroupByKey]]),(DiscreteStatsTable[GroupByKey]=DiscreteStatsTable[[#This Row],[GroupByKey]])*DiscreteStatsTable[Maximum]))</f>
        <v>0</v>
      </c>
      <c r="V646" s="5" cm="1">
        <f t="array" ref="V646">IFERROR(AVERAGE(IF((DiscreteStatsTable[GroupByKey]=DiscreteStatsTable[[#This Row],[GroupByKey]]),(DiscreteStatsTable[GroupByKey]=DiscreteStatsTable[[#This Row],[GroupByKey]])*DiscreteStatsTable[NumberObservations])),0)</f>
        <v>3</v>
      </c>
      <c r="W646" s="5">
        <f>IF((DiscreteStatsTable[[#This Row],[RepsRequested]]&gt;1),DiscreteStatsTable[[#This Row],[HalfWidth]],DiscreteStatsTable[[#This Row],[BatchMeansHalfWidth]])</f>
        <v>0</v>
      </c>
      <c r="X646" s="5" cm="1">
        <f t="array" ref="X646">COUNT(IF((DiscreteStatsTable[GroupByKey]=DiscreteStatsTable[[#This Row],[GroupByKey]]),(DiscreteStatsTable[GroupByKey]=DiscreteStatsTable[[#This Row],[GroupByKey]])*DiscreteStatsTable[Replication]))</f>
        <v>19</v>
      </c>
      <c r="Y646" s="5">
        <f>IF(DiscreteStatsTable[[#This Row],[RepsRequested]]=DiscreteStatsTable[[#This Row],[RepsWithStatObserved]],1,0)</f>
        <v>1</v>
      </c>
    </row>
    <row r="647" spans="1:25" x14ac:dyDescent="0.25">
      <c r="A647" t="s">
        <v>67</v>
      </c>
      <c r="B647" t="s">
        <v>69</v>
      </c>
      <c r="C647">
        <v>16</v>
      </c>
      <c r="D647" t="s">
        <v>127</v>
      </c>
      <c r="E647" t="s">
        <v>76</v>
      </c>
      <c r="F647" t="s">
        <v>72</v>
      </c>
      <c r="G647">
        <v>0</v>
      </c>
      <c r="H647">
        <v>2E+20</v>
      </c>
      <c r="I647">
        <v>0</v>
      </c>
      <c r="J647">
        <v>0</v>
      </c>
      <c r="K647">
        <v>3</v>
      </c>
      <c r="L64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compartida)relojVA TimeEntity</v>
      </c>
      <c r="M647" s="5" cm="1">
        <f t="array" ref="M647">MAX(IF((ProjectInfoTable[ProjectName]=DiscreteStatsTable[[#This Row],[ProjectName]]),(ProjectInfoTable[ProjectName]=DiscreteStatsTable[[#This Row],[ProjectName]])*ProjectInfoTable[NumberOfReplications]))</f>
        <v>19</v>
      </c>
      <c r="N647" s="5" cm="1">
        <f t="array" ref="N647">IFERROR(AVERAGE(IF((DiscreteStatsTable[GroupByKey]=DiscreteStatsTable[[#This Row],[GroupByKey]]),(DiscreteStatsTable[GroupByKey]=DiscreteStatsTable[[#This Row],[GroupByKey]])*DiscreteStatsTable[Average])),0)</f>
        <v>0</v>
      </c>
      <c r="O647" s="5" cm="1">
        <f t="array" ref="O647">IFERROR(_xlfn.STDEV.S(IF((DiscreteStatsTable[GroupByKey]=DiscreteStatsTable[[#This Row],[GroupByKey]]),(DiscreteStatsTable[GroupByKey]=DiscreteStatsTable[[#This Row],[GroupByKey]])*DiscreteStatsTable[Average])),0)</f>
        <v>0</v>
      </c>
      <c r="P647" s="5" cm="1">
        <f t="array" ref="P647">MAX(IF((ProjectInfoTable[ProjectName]=DiscreteStatsTable[[#This Row],[ProjectName]]),(ProjectInfoTable[ProjectName]=DiscreteStatsTable[[#This Row],[ProjectName]])*ProjectInfoTable[ConfidenceInterval]))</f>
        <v>0.95</v>
      </c>
      <c r="Q647" s="5">
        <f>IF(AND(DiscreteStatsTable[[#This Row],[RepsWithStatObserved]]=1,Y647=0),200000000000000000000,IFERROR(_xlfn.T.INV.2T(1 -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7" s="5" cm="1">
        <f t="array" ref="R647">MIN(IF((DiscreteStatsTable[GroupByKey]=DiscreteStatsTable[[#This Row],[GroupByKey]]),(DiscreteStatsTable[GroupByKey]=DiscreteStatsTable[[#This Row],[GroupByKey]])*DiscreteStatsTable[Average]))</f>
        <v>0</v>
      </c>
      <c r="S647" s="5" cm="1">
        <f t="array" ref="S647">MAX(IF((DiscreteStatsTable[GroupByKey]=DiscreteStatsTable[[#This Row],[GroupByKey]]),(DiscreteStatsTable[GroupByKey]=DiscreteStatsTable[[#This Row],[GroupByKey]])*DiscreteStatsTable[Average]))</f>
        <v>0</v>
      </c>
      <c r="T647" s="5" cm="1">
        <f t="array" ref="T647">MIN(IF((DiscreteStatsTable[GroupByKey]=DiscreteStatsTable[[#This Row],[GroupByKey]]),(DiscreteStatsTable[GroupByKey]=DiscreteStatsTable[[#This Row],[GroupByKey]])*DiscreteStatsTable[Minimum]))</f>
        <v>0</v>
      </c>
      <c r="U647" s="5" cm="1">
        <f t="array" ref="U647">MAX(IF((DiscreteStatsTable[GroupByKey]=DiscreteStatsTable[[#This Row],[GroupByKey]]),(DiscreteStatsTable[GroupByKey]=DiscreteStatsTable[[#This Row],[GroupByKey]])*DiscreteStatsTable[Maximum]))</f>
        <v>0</v>
      </c>
      <c r="V647" s="5" cm="1">
        <f t="array" ref="V647">IFERROR(AVERAGE(IF((DiscreteStatsTable[GroupByKey]=DiscreteStatsTable[[#This Row],[GroupByKey]]),(DiscreteStatsTable[GroupByKey]=DiscreteStatsTable[[#This Row],[GroupByKey]])*DiscreteStatsTable[NumberObservations])),0)</f>
        <v>3</v>
      </c>
      <c r="W647" s="5">
        <f>IF((DiscreteStatsTable[[#This Row],[RepsRequested]]&gt;1),DiscreteStatsTable[[#This Row],[HalfWidth]],DiscreteStatsTable[[#This Row],[BatchMeansHalfWidth]])</f>
        <v>0</v>
      </c>
      <c r="X647" s="5" cm="1">
        <f t="array" ref="X647">COUNT(IF((DiscreteStatsTable[GroupByKey]=DiscreteStatsTable[[#This Row],[GroupByKey]]),(DiscreteStatsTable[GroupByKey]=DiscreteStatsTable[[#This Row],[GroupByKey]])*DiscreteStatsTable[Replication]))</f>
        <v>19</v>
      </c>
      <c r="Y647" s="5">
        <f>IF(DiscreteStatsTable[[#This Row],[RepsRequested]]=DiscreteStatsTable[[#This Row],[RepsWithStatObserved]],1,0)</f>
        <v>1</v>
      </c>
    </row>
    <row r="648" spans="1:25" x14ac:dyDescent="0.25">
      <c r="A648" t="s">
        <v>67</v>
      </c>
      <c r="B648" t="s">
        <v>69</v>
      </c>
      <c r="C648">
        <v>16</v>
      </c>
      <c r="D648" t="s">
        <v>127</v>
      </c>
      <c r="E648" t="s">
        <v>77</v>
      </c>
      <c r="F648" t="s">
        <v>72</v>
      </c>
      <c r="G648">
        <v>0</v>
      </c>
      <c r="H648">
        <v>2E+20</v>
      </c>
      <c r="I648">
        <v>0</v>
      </c>
      <c r="J648">
        <v>0</v>
      </c>
      <c r="K648">
        <v>3</v>
      </c>
      <c r="L64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compartida)relojWait TimeEntity</v>
      </c>
      <c r="M648" s="5" cm="1">
        <f t="array" ref="M648">MAX(IF((ProjectInfoTable[ProjectName]=DiscreteStatsTable[[#This Row],[ProjectName]]),(ProjectInfoTable[ProjectName]=DiscreteStatsTable[[#This Row],[ProjectName]])*ProjectInfoTable[NumberOfReplications]))</f>
        <v>19</v>
      </c>
      <c r="N648" s="5" cm="1">
        <f t="array" ref="N648">IFERROR(AVERAGE(IF((DiscreteStatsTable[GroupByKey]=DiscreteStatsTable[[#This Row],[GroupByKey]]),(DiscreteStatsTable[GroupByKey]=DiscreteStatsTable[[#This Row],[GroupByKey]])*DiscreteStatsTable[Average])),0)</f>
        <v>0</v>
      </c>
      <c r="O648" s="5" cm="1">
        <f t="array" ref="O648">IFERROR(_xlfn.STDEV.S(IF((DiscreteStatsTable[GroupByKey]=DiscreteStatsTable[[#This Row],[GroupByKey]]),(DiscreteStatsTable[GroupByKey]=DiscreteStatsTable[[#This Row],[GroupByKey]])*DiscreteStatsTable[Average])),0)</f>
        <v>0</v>
      </c>
      <c r="P648" s="5" cm="1">
        <f t="array" ref="P648">MAX(IF((ProjectInfoTable[ProjectName]=DiscreteStatsTable[[#This Row],[ProjectName]]),(ProjectInfoTable[ProjectName]=DiscreteStatsTable[[#This Row],[ProjectName]])*ProjectInfoTable[ConfidenceInterval]))</f>
        <v>0.95</v>
      </c>
      <c r="Q648" s="5">
        <f>IF(AND(DiscreteStatsTable[[#This Row],[RepsWithStatObserved]]=1,Y648=0),200000000000000000000,IFERROR(_xlfn.T.INV.2T(1 -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8" s="5" cm="1">
        <f t="array" ref="R648">MIN(IF((DiscreteStatsTable[GroupByKey]=DiscreteStatsTable[[#This Row],[GroupByKey]]),(DiscreteStatsTable[GroupByKey]=DiscreteStatsTable[[#This Row],[GroupByKey]])*DiscreteStatsTable[Average]))</f>
        <v>0</v>
      </c>
      <c r="S648" s="5" cm="1">
        <f t="array" ref="S648">MAX(IF((DiscreteStatsTable[GroupByKey]=DiscreteStatsTable[[#This Row],[GroupByKey]]),(DiscreteStatsTable[GroupByKey]=DiscreteStatsTable[[#This Row],[GroupByKey]])*DiscreteStatsTable[Average]))</f>
        <v>0</v>
      </c>
      <c r="T648" s="5" cm="1">
        <f t="array" ref="T648">MIN(IF((DiscreteStatsTable[GroupByKey]=DiscreteStatsTable[[#This Row],[GroupByKey]]),(DiscreteStatsTable[GroupByKey]=DiscreteStatsTable[[#This Row],[GroupByKey]])*DiscreteStatsTable[Minimum]))</f>
        <v>0</v>
      </c>
      <c r="U648" s="5" cm="1">
        <f t="array" ref="U648">MAX(IF((DiscreteStatsTable[GroupByKey]=DiscreteStatsTable[[#This Row],[GroupByKey]]),(DiscreteStatsTable[GroupByKey]=DiscreteStatsTable[[#This Row],[GroupByKey]])*DiscreteStatsTable[Maximum]))</f>
        <v>0</v>
      </c>
      <c r="V648" s="5" cm="1">
        <f t="array" ref="V648">IFERROR(AVERAGE(IF((DiscreteStatsTable[GroupByKey]=DiscreteStatsTable[[#This Row],[GroupByKey]]),(DiscreteStatsTable[GroupByKey]=DiscreteStatsTable[[#This Row],[GroupByKey]])*DiscreteStatsTable[NumberObservations])),0)</f>
        <v>3</v>
      </c>
      <c r="W648" s="5">
        <f>IF((DiscreteStatsTable[[#This Row],[RepsRequested]]&gt;1),DiscreteStatsTable[[#This Row],[HalfWidth]],DiscreteStatsTable[[#This Row],[BatchMeansHalfWidth]])</f>
        <v>0</v>
      </c>
      <c r="X648" s="5" cm="1">
        <f t="array" ref="X648">COUNT(IF((DiscreteStatsTable[GroupByKey]=DiscreteStatsTable[[#This Row],[GroupByKey]]),(DiscreteStatsTable[GroupByKey]=DiscreteStatsTable[[#This Row],[GroupByKey]])*DiscreteStatsTable[Replication]))</f>
        <v>19</v>
      </c>
      <c r="Y648" s="5">
        <f>IF(DiscreteStatsTable[[#This Row],[RepsRequested]]=DiscreteStatsTable[[#This Row],[RepsWithStatObserved]],1,0)</f>
        <v>1</v>
      </c>
    </row>
    <row r="649" spans="1:25" x14ac:dyDescent="0.25">
      <c r="A649" t="s">
        <v>67</v>
      </c>
      <c r="B649" t="s">
        <v>69</v>
      </c>
      <c r="C649">
        <v>17</v>
      </c>
      <c r="D649" t="s">
        <v>127</v>
      </c>
      <c r="E649" t="s">
        <v>71</v>
      </c>
      <c r="F649" t="s">
        <v>72</v>
      </c>
      <c r="G649">
        <v>0</v>
      </c>
      <c r="H649">
        <v>2E+20</v>
      </c>
      <c r="I649">
        <v>0</v>
      </c>
      <c r="J649">
        <v>0</v>
      </c>
      <c r="K649">
        <v>3</v>
      </c>
      <c r="L64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compartida)relojNVA TimeEntity</v>
      </c>
      <c r="M649" s="5" cm="1">
        <f t="array" ref="M649">MAX(IF((ProjectInfoTable[ProjectName]=DiscreteStatsTable[[#This Row],[ProjectName]]),(ProjectInfoTable[ProjectName]=DiscreteStatsTable[[#This Row],[ProjectName]])*ProjectInfoTable[NumberOfReplications]))</f>
        <v>19</v>
      </c>
      <c r="N649" s="5" cm="1">
        <f t="array" ref="N649">IFERROR(AVERAGE(IF((DiscreteStatsTable[GroupByKey]=DiscreteStatsTable[[#This Row],[GroupByKey]]),(DiscreteStatsTable[GroupByKey]=DiscreteStatsTable[[#This Row],[GroupByKey]])*DiscreteStatsTable[Average])),0)</f>
        <v>0</v>
      </c>
      <c r="O649" s="5" cm="1">
        <f t="array" ref="O649">IFERROR(_xlfn.STDEV.S(IF((DiscreteStatsTable[GroupByKey]=DiscreteStatsTable[[#This Row],[GroupByKey]]),(DiscreteStatsTable[GroupByKey]=DiscreteStatsTable[[#This Row],[GroupByKey]])*DiscreteStatsTable[Average])),0)</f>
        <v>0</v>
      </c>
      <c r="P649" s="5" cm="1">
        <f t="array" ref="P649">MAX(IF((ProjectInfoTable[ProjectName]=DiscreteStatsTable[[#This Row],[ProjectName]]),(ProjectInfoTable[ProjectName]=DiscreteStatsTable[[#This Row],[ProjectName]])*ProjectInfoTable[ConfidenceInterval]))</f>
        <v>0.95</v>
      </c>
      <c r="Q649" s="5">
        <f>IF(AND(DiscreteStatsTable[[#This Row],[RepsWithStatObserved]]=1,Y649=0),200000000000000000000,IFERROR(_xlfn.T.INV.2T(1 -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9" s="5" cm="1">
        <f t="array" ref="R649">MIN(IF((DiscreteStatsTable[GroupByKey]=DiscreteStatsTable[[#This Row],[GroupByKey]]),(DiscreteStatsTable[GroupByKey]=DiscreteStatsTable[[#This Row],[GroupByKey]])*DiscreteStatsTable[Average]))</f>
        <v>0</v>
      </c>
      <c r="S649" s="5" cm="1">
        <f t="array" ref="S649">MAX(IF((DiscreteStatsTable[GroupByKey]=DiscreteStatsTable[[#This Row],[GroupByKey]]),(DiscreteStatsTable[GroupByKey]=DiscreteStatsTable[[#This Row],[GroupByKey]])*DiscreteStatsTable[Average]))</f>
        <v>0</v>
      </c>
      <c r="T649" s="5" cm="1">
        <f t="array" ref="T649">MIN(IF((DiscreteStatsTable[GroupByKey]=DiscreteStatsTable[[#This Row],[GroupByKey]]),(DiscreteStatsTable[GroupByKey]=DiscreteStatsTable[[#This Row],[GroupByKey]])*DiscreteStatsTable[Minimum]))</f>
        <v>0</v>
      </c>
      <c r="U649" s="5" cm="1">
        <f t="array" ref="U649">MAX(IF((DiscreteStatsTable[GroupByKey]=DiscreteStatsTable[[#This Row],[GroupByKey]]),(DiscreteStatsTable[GroupByKey]=DiscreteStatsTable[[#This Row],[GroupByKey]])*DiscreteStatsTable[Maximum]))</f>
        <v>0</v>
      </c>
      <c r="V649" s="5" cm="1">
        <f t="array" ref="V649">IFERROR(AVERAGE(IF((DiscreteStatsTable[GroupByKey]=DiscreteStatsTable[[#This Row],[GroupByKey]]),(DiscreteStatsTable[GroupByKey]=DiscreteStatsTable[[#This Row],[GroupByKey]])*DiscreteStatsTable[NumberObservations])),0)</f>
        <v>3</v>
      </c>
      <c r="W649" s="5">
        <f>IF((DiscreteStatsTable[[#This Row],[RepsRequested]]&gt;1),DiscreteStatsTable[[#This Row],[HalfWidth]],DiscreteStatsTable[[#This Row],[BatchMeansHalfWidth]])</f>
        <v>0</v>
      </c>
      <c r="X649" s="5" cm="1">
        <f t="array" ref="X649">COUNT(IF((DiscreteStatsTable[GroupByKey]=DiscreteStatsTable[[#This Row],[GroupByKey]]),(DiscreteStatsTable[GroupByKey]=DiscreteStatsTable[[#This Row],[GroupByKey]])*DiscreteStatsTable[Replication]))</f>
        <v>19</v>
      </c>
      <c r="Y649" s="5">
        <f>IF(DiscreteStatsTable[[#This Row],[RepsRequested]]=DiscreteStatsTable[[#This Row],[RepsWithStatObserved]],1,0)</f>
        <v>1</v>
      </c>
    </row>
    <row r="650" spans="1:25" x14ac:dyDescent="0.25">
      <c r="A650" t="s">
        <v>67</v>
      </c>
      <c r="B650" t="s">
        <v>69</v>
      </c>
      <c r="C650">
        <v>17</v>
      </c>
      <c r="D650" t="s">
        <v>127</v>
      </c>
      <c r="E650" t="s">
        <v>73</v>
      </c>
      <c r="F650" t="s">
        <v>72</v>
      </c>
      <c r="G650">
        <v>0</v>
      </c>
      <c r="H650">
        <v>2E+20</v>
      </c>
      <c r="I650">
        <v>0</v>
      </c>
      <c r="J650">
        <v>0</v>
      </c>
      <c r="K650">
        <v>3</v>
      </c>
      <c r="L65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compartida)relojOther TimeEntity</v>
      </c>
      <c r="M650" s="5" cm="1">
        <f t="array" ref="M650">MAX(IF((ProjectInfoTable[ProjectName]=DiscreteStatsTable[[#This Row],[ProjectName]]),(ProjectInfoTable[ProjectName]=DiscreteStatsTable[[#This Row],[ProjectName]])*ProjectInfoTable[NumberOfReplications]))</f>
        <v>19</v>
      </c>
      <c r="N650" s="5" cm="1">
        <f t="array" ref="N650">IFERROR(AVERAGE(IF((DiscreteStatsTable[GroupByKey]=DiscreteStatsTable[[#This Row],[GroupByKey]]),(DiscreteStatsTable[GroupByKey]=DiscreteStatsTable[[#This Row],[GroupByKey]])*DiscreteStatsTable[Average])),0)</f>
        <v>0</v>
      </c>
      <c r="O650" s="5" cm="1">
        <f t="array" ref="O650">IFERROR(_xlfn.STDEV.S(IF((DiscreteStatsTable[GroupByKey]=DiscreteStatsTable[[#This Row],[GroupByKey]]),(DiscreteStatsTable[GroupByKey]=DiscreteStatsTable[[#This Row],[GroupByKey]])*DiscreteStatsTable[Average])),0)</f>
        <v>0</v>
      </c>
      <c r="P650" s="5" cm="1">
        <f t="array" ref="P650">MAX(IF((ProjectInfoTable[ProjectName]=DiscreteStatsTable[[#This Row],[ProjectName]]),(ProjectInfoTable[ProjectName]=DiscreteStatsTable[[#This Row],[ProjectName]])*ProjectInfoTable[ConfidenceInterval]))</f>
        <v>0.95</v>
      </c>
      <c r="Q650" s="5">
        <f>IF(AND(DiscreteStatsTable[[#This Row],[RepsWithStatObserved]]=1,Y650=0),200000000000000000000,IFERROR(_xlfn.T.INV.2T(1 -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0" s="5" cm="1">
        <f t="array" ref="R650">MIN(IF((DiscreteStatsTable[GroupByKey]=DiscreteStatsTable[[#This Row],[GroupByKey]]),(DiscreteStatsTable[GroupByKey]=DiscreteStatsTable[[#This Row],[GroupByKey]])*DiscreteStatsTable[Average]))</f>
        <v>0</v>
      </c>
      <c r="S650" s="5" cm="1">
        <f t="array" ref="S650">MAX(IF((DiscreteStatsTable[GroupByKey]=DiscreteStatsTable[[#This Row],[GroupByKey]]),(DiscreteStatsTable[GroupByKey]=DiscreteStatsTable[[#This Row],[GroupByKey]])*DiscreteStatsTable[Average]))</f>
        <v>0</v>
      </c>
      <c r="T650" s="5" cm="1">
        <f t="array" ref="T650">MIN(IF((DiscreteStatsTable[GroupByKey]=DiscreteStatsTable[[#This Row],[GroupByKey]]),(DiscreteStatsTable[GroupByKey]=DiscreteStatsTable[[#This Row],[GroupByKey]])*DiscreteStatsTable[Minimum]))</f>
        <v>0</v>
      </c>
      <c r="U650" s="5" cm="1">
        <f t="array" ref="U650">MAX(IF((DiscreteStatsTable[GroupByKey]=DiscreteStatsTable[[#This Row],[GroupByKey]]),(DiscreteStatsTable[GroupByKey]=DiscreteStatsTable[[#This Row],[GroupByKey]])*DiscreteStatsTable[Maximum]))</f>
        <v>0</v>
      </c>
      <c r="V650" s="5" cm="1">
        <f t="array" ref="V650">IFERROR(AVERAGE(IF((DiscreteStatsTable[GroupByKey]=DiscreteStatsTable[[#This Row],[GroupByKey]]),(DiscreteStatsTable[GroupByKey]=DiscreteStatsTable[[#This Row],[GroupByKey]])*DiscreteStatsTable[NumberObservations])),0)</f>
        <v>3</v>
      </c>
      <c r="W650" s="5">
        <f>IF((DiscreteStatsTable[[#This Row],[RepsRequested]]&gt;1),DiscreteStatsTable[[#This Row],[HalfWidth]],DiscreteStatsTable[[#This Row],[BatchMeansHalfWidth]])</f>
        <v>0</v>
      </c>
      <c r="X650" s="5" cm="1">
        <f t="array" ref="X650">COUNT(IF((DiscreteStatsTable[GroupByKey]=DiscreteStatsTable[[#This Row],[GroupByKey]]),(DiscreteStatsTable[GroupByKey]=DiscreteStatsTable[[#This Row],[GroupByKey]])*DiscreteStatsTable[Replication]))</f>
        <v>19</v>
      </c>
      <c r="Y650" s="5">
        <f>IF(DiscreteStatsTable[[#This Row],[RepsRequested]]=DiscreteStatsTable[[#This Row],[RepsWithStatObserved]],1,0)</f>
        <v>1</v>
      </c>
    </row>
    <row r="651" spans="1:25" x14ac:dyDescent="0.25">
      <c r="A651" t="s">
        <v>67</v>
      </c>
      <c r="B651" t="s">
        <v>69</v>
      </c>
      <c r="C651">
        <v>17</v>
      </c>
      <c r="D651" t="s">
        <v>127</v>
      </c>
      <c r="E651" t="s">
        <v>74</v>
      </c>
      <c r="F651" t="s">
        <v>72</v>
      </c>
      <c r="G651">
        <v>0</v>
      </c>
      <c r="H651">
        <v>2E+20</v>
      </c>
      <c r="I651">
        <v>0</v>
      </c>
      <c r="J651">
        <v>0</v>
      </c>
      <c r="K651">
        <v>3</v>
      </c>
      <c r="L65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compartida)relojTotal TimeEntity</v>
      </c>
      <c r="M651" s="5" cm="1">
        <f t="array" ref="M651">MAX(IF((ProjectInfoTable[ProjectName]=DiscreteStatsTable[[#This Row],[ProjectName]]),(ProjectInfoTable[ProjectName]=DiscreteStatsTable[[#This Row],[ProjectName]])*ProjectInfoTable[NumberOfReplications]))</f>
        <v>19</v>
      </c>
      <c r="N651" s="5" cm="1">
        <f t="array" ref="N651">IFERROR(AVERAGE(IF((DiscreteStatsTable[GroupByKey]=DiscreteStatsTable[[#This Row],[GroupByKey]]),(DiscreteStatsTable[GroupByKey]=DiscreteStatsTable[[#This Row],[GroupByKey]])*DiscreteStatsTable[Average])),0)</f>
        <v>0</v>
      </c>
      <c r="O651" s="5" cm="1">
        <f t="array" ref="O651">IFERROR(_xlfn.STDEV.S(IF((DiscreteStatsTable[GroupByKey]=DiscreteStatsTable[[#This Row],[GroupByKey]]),(DiscreteStatsTable[GroupByKey]=DiscreteStatsTable[[#This Row],[GroupByKey]])*DiscreteStatsTable[Average])),0)</f>
        <v>0</v>
      </c>
      <c r="P651" s="5" cm="1">
        <f t="array" ref="P651">MAX(IF((ProjectInfoTable[ProjectName]=DiscreteStatsTable[[#This Row],[ProjectName]]),(ProjectInfoTable[ProjectName]=DiscreteStatsTable[[#This Row],[ProjectName]])*ProjectInfoTable[ConfidenceInterval]))</f>
        <v>0.95</v>
      </c>
      <c r="Q651" s="5">
        <f>IF(AND(DiscreteStatsTable[[#This Row],[RepsWithStatObserved]]=1,Y651=0),200000000000000000000,IFERROR(_xlfn.T.INV.2T(1 -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1" s="5" cm="1">
        <f t="array" ref="R651">MIN(IF((DiscreteStatsTable[GroupByKey]=DiscreteStatsTable[[#This Row],[GroupByKey]]),(DiscreteStatsTable[GroupByKey]=DiscreteStatsTable[[#This Row],[GroupByKey]])*DiscreteStatsTable[Average]))</f>
        <v>0</v>
      </c>
      <c r="S651" s="5" cm="1">
        <f t="array" ref="S651">MAX(IF((DiscreteStatsTable[GroupByKey]=DiscreteStatsTable[[#This Row],[GroupByKey]]),(DiscreteStatsTable[GroupByKey]=DiscreteStatsTable[[#This Row],[GroupByKey]])*DiscreteStatsTable[Average]))</f>
        <v>0</v>
      </c>
      <c r="T651" s="5" cm="1">
        <f t="array" ref="T651">MIN(IF((DiscreteStatsTable[GroupByKey]=DiscreteStatsTable[[#This Row],[GroupByKey]]),(DiscreteStatsTable[GroupByKey]=DiscreteStatsTable[[#This Row],[GroupByKey]])*DiscreteStatsTable[Minimum]))</f>
        <v>0</v>
      </c>
      <c r="U651" s="5" cm="1">
        <f t="array" ref="U651">MAX(IF((DiscreteStatsTable[GroupByKey]=DiscreteStatsTable[[#This Row],[GroupByKey]]),(DiscreteStatsTable[GroupByKey]=DiscreteStatsTable[[#This Row],[GroupByKey]])*DiscreteStatsTable[Maximum]))</f>
        <v>0</v>
      </c>
      <c r="V651" s="5" cm="1">
        <f t="array" ref="V651">IFERROR(AVERAGE(IF((DiscreteStatsTable[GroupByKey]=DiscreteStatsTable[[#This Row],[GroupByKey]]),(DiscreteStatsTable[GroupByKey]=DiscreteStatsTable[[#This Row],[GroupByKey]])*DiscreteStatsTable[NumberObservations])),0)</f>
        <v>3</v>
      </c>
      <c r="W651" s="5">
        <f>IF((DiscreteStatsTable[[#This Row],[RepsRequested]]&gt;1),DiscreteStatsTable[[#This Row],[HalfWidth]],DiscreteStatsTable[[#This Row],[BatchMeansHalfWidth]])</f>
        <v>0</v>
      </c>
      <c r="X651" s="5" cm="1">
        <f t="array" ref="X651">COUNT(IF((DiscreteStatsTable[GroupByKey]=DiscreteStatsTable[[#This Row],[GroupByKey]]),(DiscreteStatsTable[GroupByKey]=DiscreteStatsTable[[#This Row],[GroupByKey]])*DiscreteStatsTable[Replication]))</f>
        <v>19</v>
      </c>
      <c r="Y651" s="5">
        <f>IF(DiscreteStatsTable[[#This Row],[RepsRequested]]=DiscreteStatsTable[[#This Row],[RepsWithStatObserved]],1,0)</f>
        <v>1</v>
      </c>
    </row>
    <row r="652" spans="1:25" x14ac:dyDescent="0.25">
      <c r="A652" t="s">
        <v>67</v>
      </c>
      <c r="B652" t="s">
        <v>69</v>
      </c>
      <c r="C652">
        <v>17</v>
      </c>
      <c r="D652" t="s">
        <v>127</v>
      </c>
      <c r="E652" t="s">
        <v>75</v>
      </c>
      <c r="F652" t="s">
        <v>72</v>
      </c>
      <c r="G652">
        <v>0</v>
      </c>
      <c r="H652">
        <v>2E+20</v>
      </c>
      <c r="I652">
        <v>0</v>
      </c>
      <c r="J652">
        <v>0</v>
      </c>
      <c r="K652">
        <v>3</v>
      </c>
      <c r="L65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compartida)relojTransfer TimeEntity</v>
      </c>
      <c r="M652" s="5" cm="1">
        <f t="array" ref="M652">MAX(IF((ProjectInfoTable[ProjectName]=DiscreteStatsTable[[#This Row],[ProjectName]]),(ProjectInfoTable[ProjectName]=DiscreteStatsTable[[#This Row],[ProjectName]])*ProjectInfoTable[NumberOfReplications]))</f>
        <v>19</v>
      </c>
      <c r="N652" s="5" cm="1">
        <f t="array" ref="N652">IFERROR(AVERAGE(IF((DiscreteStatsTable[GroupByKey]=DiscreteStatsTable[[#This Row],[GroupByKey]]),(DiscreteStatsTable[GroupByKey]=DiscreteStatsTable[[#This Row],[GroupByKey]])*DiscreteStatsTable[Average])),0)</f>
        <v>0</v>
      </c>
      <c r="O652" s="5" cm="1">
        <f t="array" ref="O652">IFERROR(_xlfn.STDEV.S(IF((DiscreteStatsTable[GroupByKey]=DiscreteStatsTable[[#This Row],[GroupByKey]]),(DiscreteStatsTable[GroupByKey]=DiscreteStatsTable[[#This Row],[GroupByKey]])*DiscreteStatsTable[Average])),0)</f>
        <v>0</v>
      </c>
      <c r="P652" s="5" cm="1">
        <f t="array" ref="P652">MAX(IF((ProjectInfoTable[ProjectName]=DiscreteStatsTable[[#This Row],[ProjectName]]),(ProjectInfoTable[ProjectName]=DiscreteStatsTable[[#This Row],[ProjectName]])*ProjectInfoTable[ConfidenceInterval]))</f>
        <v>0.95</v>
      </c>
      <c r="Q652" s="5">
        <f>IF(AND(DiscreteStatsTable[[#This Row],[RepsWithStatObserved]]=1,Y652=0),200000000000000000000,IFERROR(_xlfn.T.INV.2T(1 -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2" s="5" cm="1">
        <f t="array" ref="R652">MIN(IF((DiscreteStatsTable[GroupByKey]=DiscreteStatsTable[[#This Row],[GroupByKey]]),(DiscreteStatsTable[GroupByKey]=DiscreteStatsTable[[#This Row],[GroupByKey]])*DiscreteStatsTable[Average]))</f>
        <v>0</v>
      </c>
      <c r="S652" s="5" cm="1">
        <f t="array" ref="S652">MAX(IF((DiscreteStatsTable[GroupByKey]=DiscreteStatsTable[[#This Row],[GroupByKey]]),(DiscreteStatsTable[GroupByKey]=DiscreteStatsTable[[#This Row],[GroupByKey]])*DiscreteStatsTable[Average]))</f>
        <v>0</v>
      </c>
      <c r="T652" s="5" cm="1">
        <f t="array" ref="T652">MIN(IF((DiscreteStatsTable[GroupByKey]=DiscreteStatsTable[[#This Row],[GroupByKey]]),(DiscreteStatsTable[GroupByKey]=DiscreteStatsTable[[#This Row],[GroupByKey]])*DiscreteStatsTable[Minimum]))</f>
        <v>0</v>
      </c>
      <c r="U652" s="5" cm="1">
        <f t="array" ref="U652">MAX(IF((DiscreteStatsTable[GroupByKey]=DiscreteStatsTable[[#This Row],[GroupByKey]]),(DiscreteStatsTable[GroupByKey]=DiscreteStatsTable[[#This Row],[GroupByKey]])*DiscreteStatsTable[Maximum]))</f>
        <v>0</v>
      </c>
      <c r="V652" s="5" cm="1">
        <f t="array" ref="V652">IFERROR(AVERAGE(IF((DiscreteStatsTable[GroupByKey]=DiscreteStatsTable[[#This Row],[GroupByKey]]),(DiscreteStatsTable[GroupByKey]=DiscreteStatsTable[[#This Row],[GroupByKey]])*DiscreteStatsTable[NumberObservations])),0)</f>
        <v>3</v>
      </c>
      <c r="W652" s="5">
        <f>IF((DiscreteStatsTable[[#This Row],[RepsRequested]]&gt;1),DiscreteStatsTable[[#This Row],[HalfWidth]],DiscreteStatsTable[[#This Row],[BatchMeansHalfWidth]])</f>
        <v>0</v>
      </c>
      <c r="X652" s="5" cm="1">
        <f t="array" ref="X652">COUNT(IF((DiscreteStatsTable[GroupByKey]=DiscreteStatsTable[[#This Row],[GroupByKey]]),(DiscreteStatsTable[GroupByKey]=DiscreteStatsTable[[#This Row],[GroupByKey]])*DiscreteStatsTable[Replication]))</f>
        <v>19</v>
      </c>
      <c r="Y652" s="5">
        <f>IF(DiscreteStatsTable[[#This Row],[RepsRequested]]=DiscreteStatsTable[[#This Row],[RepsWithStatObserved]],1,0)</f>
        <v>1</v>
      </c>
    </row>
    <row r="653" spans="1:25" x14ac:dyDescent="0.25">
      <c r="A653" t="s">
        <v>67</v>
      </c>
      <c r="B653" t="s">
        <v>69</v>
      </c>
      <c r="C653">
        <v>17</v>
      </c>
      <c r="D653" t="s">
        <v>127</v>
      </c>
      <c r="E653" t="s">
        <v>76</v>
      </c>
      <c r="F653" t="s">
        <v>72</v>
      </c>
      <c r="G653">
        <v>0</v>
      </c>
      <c r="H653">
        <v>2E+20</v>
      </c>
      <c r="I653">
        <v>0</v>
      </c>
      <c r="J653">
        <v>0</v>
      </c>
      <c r="K653">
        <v>3</v>
      </c>
      <c r="L65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compartida)relojVA TimeEntity</v>
      </c>
      <c r="M653" s="5" cm="1">
        <f t="array" ref="M653">MAX(IF((ProjectInfoTable[ProjectName]=DiscreteStatsTable[[#This Row],[ProjectName]]),(ProjectInfoTable[ProjectName]=DiscreteStatsTable[[#This Row],[ProjectName]])*ProjectInfoTable[NumberOfReplications]))</f>
        <v>19</v>
      </c>
      <c r="N653" s="5" cm="1">
        <f t="array" ref="N653">IFERROR(AVERAGE(IF((DiscreteStatsTable[GroupByKey]=DiscreteStatsTable[[#This Row],[GroupByKey]]),(DiscreteStatsTable[GroupByKey]=DiscreteStatsTable[[#This Row],[GroupByKey]])*DiscreteStatsTable[Average])),0)</f>
        <v>0</v>
      </c>
      <c r="O653" s="5" cm="1">
        <f t="array" ref="O653">IFERROR(_xlfn.STDEV.S(IF((DiscreteStatsTable[GroupByKey]=DiscreteStatsTable[[#This Row],[GroupByKey]]),(DiscreteStatsTable[GroupByKey]=DiscreteStatsTable[[#This Row],[GroupByKey]])*DiscreteStatsTable[Average])),0)</f>
        <v>0</v>
      </c>
      <c r="P653" s="5" cm="1">
        <f t="array" ref="P653">MAX(IF((ProjectInfoTable[ProjectName]=DiscreteStatsTable[[#This Row],[ProjectName]]),(ProjectInfoTable[ProjectName]=DiscreteStatsTable[[#This Row],[ProjectName]])*ProjectInfoTable[ConfidenceInterval]))</f>
        <v>0.95</v>
      </c>
      <c r="Q653" s="5">
        <f>IF(AND(DiscreteStatsTable[[#This Row],[RepsWithStatObserved]]=1,Y653=0),200000000000000000000,IFERROR(_xlfn.T.INV.2T(1 -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3" s="5" cm="1">
        <f t="array" ref="R653">MIN(IF((DiscreteStatsTable[GroupByKey]=DiscreteStatsTable[[#This Row],[GroupByKey]]),(DiscreteStatsTable[GroupByKey]=DiscreteStatsTable[[#This Row],[GroupByKey]])*DiscreteStatsTable[Average]))</f>
        <v>0</v>
      </c>
      <c r="S653" s="5" cm="1">
        <f t="array" ref="S653">MAX(IF((DiscreteStatsTable[GroupByKey]=DiscreteStatsTable[[#This Row],[GroupByKey]]),(DiscreteStatsTable[GroupByKey]=DiscreteStatsTable[[#This Row],[GroupByKey]])*DiscreteStatsTable[Average]))</f>
        <v>0</v>
      </c>
      <c r="T653" s="5" cm="1">
        <f t="array" ref="T653">MIN(IF((DiscreteStatsTable[GroupByKey]=DiscreteStatsTable[[#This Row],[GroupByKey]]),(DiscreteStatsTable[GroupByKey]=DiscreteStatsTable[[#This Row],[GroupByKey]])*DiscreteStatsTable[Minimum]))</f>
        <v>0</v>
      </c>
      <c r="U653" s="5" cm="1">
        <f t="array" ref="U653">MAX(IF((DiscreteStatsTable[GroupByKey]=DiscreteStatsTable[[#This Row],[GroupByKey]]),(DiscreteStatsTable[GroupByKey]=DiscreteStatsTable[[#This Row],[GroupByKey]])*DiscreteStatsTable[Maximum]))</f>
        <v>0</v>
      </c>
      <c r="V653" s="5" cm="1">
        <f t="array" ref="V653">IFERROR(AVERAGE(IF((DiscreteStatsTable[GroupByKey]=DiscreteStatsTable[[#This Row],[GroupByKey]]),(DiscreteStatsTable[GroupByKey]=DiscreteStatsTable[[#This Row],[GroupByKey]])*DiscreteStatsTable[NumberObservations])),0)</f>
        <v>3</v>
      </c>
      <c r="W653" s="5">
        <f>IF((DiscreteStatsTable[[#This Row],[RepsRequested]]&gt;1),DiscreteStatsTable[[#This Row],[HalfWidth]],DiscreteStatsTable[[#This Row],[BatchMeansHalfWidth]])</f>
        <v>0</v>
      </c>
      <c r="X653" s="5" cm="1">
        <f t="array" ref="X653">COUNT(IF((DiscreteStatsTable[GroupByKey]=DiscreteStatsTable[[#This Row],[GroupByKey]]),(DiscreteStatsTable[GroupByKey]=DiscreteStatsTable[[#This Row],[GroupByKey]])*DiscreteStatsTable[Replication]))</f>
        <v>19</v>
      </c>
      <c r="Y653" s="5">
        <f>IF(DiscreteStatsTable[[#This Row],[RepsRequested]]=DiscreteStatsTable[[#This Row],[RepsWithStatObserved]],1,0)</f>
        <v>1</v>
      </c>
    </row>
    <row r="654" spans="1:25" x14ac:dyDescent="0.25">
      <c r="A654" t="s">
        <v>67</v>
      </c>
      <c r="B654" t="s">
        <v>69</v>
      </c>
      <c r="C654">
        <v>17</v>
      </c>
      <c r="D654" t="s">
        <v>127</v>
      </c>
      <c r="E654" t="s">
        <v>77</v>
      </c>
      <c r="F654" t="s">
        <v>72</v>
      </c>
      <c r="G654">
        <v>0</v>
      </c>
      <c r="H654">
        <v>2E+20</v>
      </c>
      <c r="I654">
        <v>0</v>
      </c>
      <c r="J654">
        <v>0</v>
      </c>
      <c r="K654">
        <v>3</v>
      </c>
      <c r="L65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compartida)relojWait TimeEntity</v>
      </c>
      <c r="M654" s="5" cm="1">
        <f t="array" ref="M654">MAX(IF((ProjectInfoTable[ProjectName]=DiscreteStatsTable[[#This Row],[ProjectName]]),(ProjectInfoTable[ProjectName]=DiscreteStatsTable[[#This Row],[ProjectName]])*ProjectInfoTable[NumberOfReplications]))</f>
        <v>19</v>
      </c>
      <c r="N654" s="5" cm="1">
        <f t="array" ref="N654">IFERROR(AVERAGE(IF((DiscreteStatsTable[GroupByKey]=DiscreteStatsTable[[#This Row],[GroupByKey]]),(DiscreteStatsTable[GroupByKey]=DiscreteStatsTable[[#This Row],[GroupByKey]])*DiscreteStatsTable[Average])),0)</f>
        <v>0</v>
      </c>
      <c r="O654" s="5" cm="1">
        <f t="array" ref="O654">IFERROR(_xlfn.STDEV.S(IF((DiscreteStatsTable[GroupByKey]=DiscreteStatsTable[[#This Row],[GroupByKey]]),(DiscreteStatsTable[GroupByKey]=DiscreteStatsTable[[#This Row],[GroupByKey]])*DiscreteStatsTable[Average])),0)</f>
        <v>0</v>
      </c>
      <c r="P654" s="5" cm="1">
        <f t="array" ref="P654">MAX(IF((ProjectInfoTable[ProjectName]=DiscreteStatsTable[[#This Row],[ProjectName]]),(ProjectInfoTable[ProjectName]=DiscreteStatsTable[[#This Row],[ProjectName]])*ProjectInfoTable[ConfidenceInterval]))</f>
        <v>0.95</v>
      </c>
      <c r="Q654" s="5">
        <f>IF(AND(DiscreteStatsTable[[#This Row],[RepsWithStatObserved]]=1,Y654=0),200000000000000000000,IFERROR(_xlfn.T.INV.2T(1 -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4" s="5" cm="1">
        <f t="array" ref="R654">MIN(IF((DiscreteStatsTable[GroupByKey]=DiscreteStatsTable[[#This Row],[GroupByKey]]),(DiscreteStatsTable[GroupByKey]=DiscreteStatsTable[[#This Row],[GroupByKey]])*DiscreteStatsTable[Average]))</f>
        <v>0</v>
      </c>
      <c r="S654" s="5" cm="1">
        <f t="array" ref="S654">MAX(IF((DiscreteStatsTable[GroupByKey]=DiscreteStatsTable[[#This Row],[GroupByKey]]),(DiscreteStatsTable[GroupByKey]=DiscreteStatsTable[[#This Row],[GroupByKey]])*DiscreteStatsTable[Average]))</f>
        <v>0</v>
      </c>
      <c r="T654" s="5" cm="1">
        <f t="array" ref="T654">MIN(IF((DiscreteStatsTable[GroupByKey]=DiscreteStatsTable[[#This Row],[GroupByKey]]),(DiscreteStatsTable[GroupByKey]=DiscreteStatsTable[[#This Row],[GroupByKey]])*DiscreteStatsTable[Minimum]))</f>
        <v>0</v>
      </c>
      <c r="U654" s="5" cm="1">
        <f t="array" ref="U654">MAX(IF((DiscreteStatsTable[GroupByKey]=DiscreteStatsTable[[#This Row],[GroupByKey]]),(DiscreteStatsTable[GroupByKey]=DiscreteStatsTable[[#This Row],[GroupByKey]])*DiscreteStatsTable[Maximum]))</f>
        <v>0</v>
      </c>
      <c r="V654" s="5" cm="1">
        <f t="array" ref="V654">IFERROR(AVERAGE(IF((DiscreteStatsTable[GroupByKey]=DiscreteStatsTable[[#This Row],[GroupByKey]]),(DiscreteStatsTable[GroupByKey]=DiscreteStatsTable[[#This Row],[GroupByKey]])*DiscreteStatsTable[NumberObservations])),0)</f>
        <v>3</v>
      </c>
      <c r="W654" s="5">
        <f>IF((DiscreteStatsTable[[#This Row],[RepsRequested]]&gt;1),DiscreteStatsTable[[#This Row],[HalfWidth]],DiscreteStatsTable[[#This Row],[BatchMeansHalfWidth]])</f>
        <v>0</v>
      </c>
      <c r="X654" s="5" cm="1">
        <f t="array" ref="X654">COUNT(IF((DiscreteStatsTable[GroupByKey]=DiscreteStatsTable[[#This Row],[GroupByKey]]),(DiscreteStatsTable[GroupByKey]=DiscreteStatsTable[[#This Row],[GroupByKey]])*DiscreteStatsTable[Replication]))</f>
        <v>19</v>
      </c>
      <c r="Y654" s="5">
        <f>IF(DiscreteStatsTable[[#This Row],[RepsRequested]]=DiscreteStatsTable[[#This Row],[RepsWithStatObserved]],1,0)</f>
        <v>1</v>
      </c>
    </row>
    <row r="655" spans="1:25" x14ac:dyDescent="0.25">
      <c r="A655" t="s">
        <v>67</v>
      </c>
      <c r="B655" t="s">
        <v>69</v>
      </c>
      <c r="C655">
        <v>18</v>
      </c>
      <c r="D655" t="s">
        <v>127</v>
      </c>
      <c r="E655" t="s">
        <v>71</v>
      </c>
      <c r="F655" t="s">
        <v>72</v>
      </c>
      <c r="G655">
        <v>0</v>
      </c>
      <c r="H655">
        <v>2E+20</v>
      </c>
      <c r="I655">
        <v>0</v>
      </c>
      <c r="J655">
        <v>0</v>
      </c>
      <c r="K655">
        <v>3</v>
      </c>
      <c r="L65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compartida)relojNVA TimeEntity</v>
      </c>
      <c r="M655" s="5" cm="1">
        <f t="array" ref="M655">MAX(IF((ProjectInfoTable[ProjectName]=DiscreteStatsTable[[#This Row],[ProjectName]]),(ProjectInfoTable[ProjectName]=DiscreteStatsTable[[#This Row],[ProjectName]])*ProjectInfoTable[NumberOfReplications]))</f>
        <v>19</v>
      </c>
      <c r="N655" s="5" cm="1">
        <f t="array" ref="N655">IFERROR(AVERAGE(IF((DiscreteStatsTable[GroupByKey]=DiscreteStatsTable[[#This Row],[GroupByKey]]),(DiscreteStatsTable[GroupByKey]=DiscreteStatsTable[[#This Row],[GroupByKey]])*DiscreteStatsTable[Average])),0)</f>
        <v>0</v>
      </c>
      <c r="O655" s="5" cm="1">
        <f t="array" ref="O655">IFERROR(_xlfn.STDEV.S(IF((DiscreteStatsTable[GroupByKey]=DiscreteStatsTable[[#This Row],[GroupByKey]]),(DiscreteStatsTable[GroupByKey]=DiscreteStatsTable[[#This Row],[GroupByKey]])*DiscreteStatsTable[Average])),0)</f>
        <v>0</v>
      </c>
      <c r="P655" s="5" cm="1">
        <f t="array" ref="P655">MAX(IF((ProjectInfoTable[ProjectName]=DiscreteStatsTable[[#This Row],[ProjectName]]),(ProjectInfoTable[ProjectName]=DiscreteStatsTable[[#This Row],[ProjectName]])*ProjectInfoTable[ConfidenceInterval]))</f>
        <v>0.95</v>
      </c>
      <c r="Q655" s="5">
        <f>IF(AND(DiscreteStatsTable[[#This Row],[RepsWithStatObserved]]=1,Y655=0),200000000000000000000,IFERROR(_xlfn.T.INV.2T(1 -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5" s="5" cm="1">
        <f t="array" ref="R655">MIN(IF((DiscreteStatsTable[GroupByKey]=DiscreteStatsTable[[#This Row],[GroupByKey]]),(DiscreteStatsTable[GroupByKey]=DiscreteStatsTable[[#This Row],[GroupByKey]])*DiscreteStatsTable[Average]))</f>
        <v>0</v>
      </c>
      <c r="S655" s="5" cm="1">
        <f t="array" ref="S655">MAX(IF((DiscreteStatsTable[GroupByKey]=DiscreteStatsTable[[#This Row],[GroupByKey]]),(DiscreteStatsTable[GroupByKey]=DiscreteStatsTable[[#This Row],[GroupByKey]])*DiscreteStatsTable[Average]))</f>
        <v>0</v>
      </c>
      <c r="T655" s="5" cm="1">
        <f t="array" ref="T655">MIN(IF((DiscreteStatsTable[GroupByKey]=DiscreteStatsTable[[#This Row],[GroupByKey]]),(DiscreteStatsTable[GroupByKey]=DiscreteStatsTable[[#This Row],[GroupByKey]])*DiscreteStatsTable[Minimum]))</f>
        <v>0</v>
      </c>
      <c r="U655" s="5" cm="1">
        <f t="array" ref="U655">MAX(IF((DiscreteStatsTable[GroupByKey]=DiscreteStatsTable[[#This Row],[GroupByKey]]),(DiscreteStatsTable[GroupByKey]=DiscreteStatsTable[[#This Row],[GroupByKey]])*DiscreteStatsTable[Maximum]))</f>
        <v>0</v>
      </c>
      <c r="V655" s="5" cm="1">
        <f t="array" ref="V655">IFERROR(AVERAGE(IF((DiscreteStatsTable[GroupByKey]=DiscreteStatsTable[[#This Row],[GroupByKey]]),(DiscreteStatsTable[GroupByKey]=DiscreteStatsTable[[#This Row],[GroupByKey]])*DiscreteStatsTable[NumberObservations])),0)</f>
        <v>3</v>
      </c>
      <c r="W655" s="5">
        <f>IF((DiscreteStatsTable[[#This Row],[RepsRequested]]&gt;1),DiscreteStatsTable[[#This Row],[HalfWidth]],DiscreteStatsTable[[#This Row],[BatchMeansHalfWidth]])</f>
        <v>0</v>
      </c>
      <c r="X655" s="5" cm="1">
        <f t="array" ref="X655">COUNT(IF((DiscreteStatsTable[GroupByKey]=DiscreteStatsTable[[#This Row],[GroupByKey]]),(DiscreteStatsTable[GroupByKey]=DiscreteStatsTable[[#This Row],[GroupByKey]])*DiscreteStatsTable[Replication]))</f>
        <v>19</v>
      </c>
      <c r="Y655" s="5">
        <f>IF(DiscreteStatsTable[[#This Row],[RepsRequested]]=DiscreteStatsTable[[#This Row],[RepsWithStatObserved]],1,0)</f>
        <v>1</v>
      </c>
    </row>
    <row r="656" spans="1:25" x14ac:dyDescent="0.25">
      <c r="A656" t="s">
        <v>67</v>
      </c>
      <c r="B656" t="s">
        <v>69</v>
      </c>
      <c r="C656">
        <v>18</v>
      </c>
      <c r="D656" t="s">
        <v>127</v>
      </c>
      <c r="E656" t="s">
        <v>73</v>
      </c>
      <c r="F656" t="s">
        <v>72</v>
      </c>
      <c r="G656">
        <v>0</v>
      </c>
      <c r="H656">
        <v>2E+20</v>
      </c>
      <c r="I656">
        <v>0</v>
      </c>
      <c r="J656">
        <v>0</v>
      </c>
      <c r="K656">
        <v>3</v>
      </c>
      <c r="L65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compartida)relojOther TimeEntity</v>
      </c>
      <c r="M656" s="5" cm="1">
        <f t="array" ref="M656">MAX(IF((ProjectInfoTable[ProjectName]=DiscreteStatsTable[[#This Row],[ProjectName]]),(ProjectInfoTable[ProjectName]=DiscreteStatsTable[[#This Row],[ProjectName]])*ProjectInfoTable[NumberOfReplications]))</f>
        <v>19</v>
      </c>
      <c r="N656" s="5" cm="1">
        <f t="array" ref="N656">IFERROR(AVERAGE(IF((DiscreteStatsTable[GroupByKey]=DiscreteStatsTable[[#This Row],[GroupByKey]]),(DiscreteStatsTable[GroupByKey]=DiscreteStatsTable[[#This Row],[GroupByKey]])*DiscreteStatsTable[Average])),0)</f>
        <v>0</v>
      </c>
      <c r="O656" s="5" cm="1">
        <f t="array" ref="O656">IFERROR(_xlfn.STDEV.S(IF((DiscreteStatsTable[GroupByKey]=DiscreteStatsTable[[#This Row],[GroupByKey]]),(DiscreteStatsTable[GroupByKey]=DiscreteStatsTable[[#This Row],[GroupByKey]])*DiscreteStatsTable[Average])),0)</f>
        <v>0</v>
      </c>
      <c r="P656" s="5" cm="1">
        <f t="array" ref="P656">MAX(IF((ProjectInfoTable[ProjectName]=DiscreteStatsTable[[#This Row],[ProjectName]]),(ProjectInfoTable[ProjectName]=DiscreteStatsTable[[#This Row],[ProjectName]])*ProjectInfoTable[ConfidenceInterval]))</f>
        <v>0.95</v>
      </c>
      <c r="Q656" s="5">
        <f>IF(AND(DiscreteStatsTable[[#This Row],[RepsWithStatObserved]]=1,Y656=0),200000000000000000000,IFERROR(_xlfn.T.INV.2T(1 -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6" s="5" cm="1">
        <f t="array" ref="R656">MIN(IF((DiscreteStatsTable[GroupByKey]=DiscreteStatsTable[[#This Row],[GroupByKey]]),(DiscreteStatsTable[GroupByKey]=DiscreteStatsTable[[#This Row],[GroupByKey]])*DiscreteStatsTable[Average]))</f>
        <v>0</v>
      </c>
      <c r="S656" s="5" cm="1">
        <f t="array" ref="S656">MAX(IF((DiscreteStatsTable[GroupByKey]=DiscreteStatsTable[[#This Row],[GroupByKey]]),(DiscreteStatsTable[GroupByKey]=DiscreteStatsTable[[#This Row],[GroupByKey]])*DiscreteStatsTable[Average]))</f>
        <v>0</v>
      </c>
      <c r="T656" s="5" cm="1">
        <f t="array" ref="T656">MIN(IF((DiscreteStatsTable[GroupByKey]=DiscreteStatsTable[[#This Row],[GroupByKey]]),(DiscreteStatsTable[GroupByKey]=DiscreteStatsTable[[#This Row],[GroupByKey]])*DiscreteStatsTable[Minimum]))</f>
        <v>0</v>
      </c>
      <c r="U656" s="5" cm="1">
        <f t="array" ref="U656">MAX(IF((DiscreteStatsTable[GroupByKey]=DiscreteStatsTable[[#This Row],[GroupByKey]]),(DiscreteStatsTable[GroupByKey]=DiscreteStatsTable[[#This Row],[GroupByKey]])*DiscreteStatsTable[Maximum]))</f>
        <v>0</v>
      </c>
      <c r="V656" s="5" cm="1">
        <f t="array" ref="V656">IFERROR(AVERAGE(IF((DiscreteStatsTable[GroupByKey]=DiscreteStatsTable[[#This Row],[GroupByKey]]),(DiscreteStatsTable[GroupByKey]=DiscreteStatsTable[[#This Row],[GroupByKey]])*DiscreteStatsTable[NumberObservations])),0)</f>
        <v>3</v>
      </c>
      <c r="W656" s="5">
        <f>IF((DiscreteStatsTable[[#This Row],[RepsRequested]]&gt;1),DiscreteStatsTable[[#This Row],[HalfWidth]],DiscreteStatsTable[[#This Row],[BatchMeansHalfWidth]])</f>
        <v>0</v>
      </c>
      <c r="X656" s="5" cm="1">
        <f t="array" ref="X656">COUNT(IF((DiscreteStatsTable[GroupByKey]=DiscreteStatsTable[[#This Row],[GroupByKey]]),(DiscreteStatsTable[GroupByKey]=DiscreteStatsTable[[#This Row],[GroupByKey]])*DiscreteStatsTable[Replication]))</f>
        <v>19</v>
      </c>
      <c r="Y656" s="5">
        <f>IF(DiscreteStatsTable[[#This Row],[RepsRequested]]=DiscreteStatsTable[[#This Row],[RepsWithStatObserved]],1,0)</f>
        <v>1</v>
      </c>
    </row>
    <row r="657" spans="1:25" x14ac:dyDescent="0.25">
      <c r="A657" t="s">
        <v>67</v>
      </c>
      <c r="B657" t="s">
        <v>69</v>
      </c>
      <c r="C657">
        <v>18</v>
      </c>
      <c r="D657" t="s">
        <v>127</v>
      </c>
      <c r="E657" t="s">
        <v>74</v>
      </c>
      <c r="F657" t="s">
        <v>72</v>
      </c>
      <c r="G657">
        <v>0</v>
      </c>
      <c r="H657">
        <v>2E+20</v>
      </c>
      <c r="I657">
        <v>0</v>
      </c>
      <c r="J657">
        <v>0</v>
      </c>
      <c r="K657">
        <v>3</v>
      </c>
      <c r="L65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compartida)relojTotal TimeEntity</v>
      </c>
      <c r="M657" s="5" cm="1">
        <f t="array" ref="M657">MAX(IF((ProjectInfoTable[ProjectName]=DiscreteStatsTable[[#This Row],[ProjectName]]),(ProjectInfoTable[ProjectName]=DiscreteStatsTable[[#This Row],[ProjectName]])*ProjectInfoTable[NumberOfReplications]))</f>
        <v>19</v>
      </c>
      <c r="N657" s="5" cm="1">
        <f t="array" ref="N657">IFERROR(AVERAGE(IF((DiscreteStatsTable[GroupByKey]=DiscreteStatsTable[[#This Row],[GroupByKey]]),(DiscreteStatsTable[GroupByKey]=DiscreteStatsTable[[#This Row],[GroupByKey]])*DiscreteStatsTable[Average])),0)</f>
        <v>0</v>
      </c>
      <c r="O657" s="5" cm="1">
        <f t="array" ref="O657">IFERROR(_xlfn.STDEV.S(IF((DiscreteStatsTable[GroupByKey]=DiscreteStatsTable[[#This Row],[GroupByKey]]),(DiscreteStatsTable[GroupByKey]=DiscreteStatsTable[[#This Row],[GroupByKey]])*DiscreteStatsTable[Average])),0)</f>
        <v>0</v>
      </c>
      <c r="P657" s="5" cm="1">
        <f t="array" ref="P657">MAX(IF((ProjectInfoTable[ProjectName]=DiscreteStatsTable[[#This Row],[ProjectName]]),(ProjectInfoTable[ProjectName]=DiscreteStatsTable[[#This Row],[ProjectName]])*ProjectInfoTable[ConfidenceInterval]))</f>
        <v>0.95</v>
      </c>
      <c r="Q657" s="5">
        <f>IF(AND(DiscreteStatsTable[[#This Row],[RepsWithStatObserved]]=1,Y657=0),200000000000000000000,IFERROR(_xlfn.T.INV.2T(1 -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7" s="5" cm="1">
        <f t="array" ref="R657">MIN(IF((DiscreteStatsTable[GroupByKey]=DiscreteStatsTable[[#This Row],[GroupByKey]]),(DiscreteStatsTable[GroupByKey]=DiscreteStatsTable[[#This Row],[GroupByKey]])*DiscreteStatsTable[Average]))</f>
        <v>0</v>
      </c>
      <c r="S657" s="5" cm="1">
        <f t="array" ref="S657">MAX(IF((DiscreteStatsTable[GroupByKey]=DiscreteStatsTable[[#This Row],[GroupByKey]]),(DiscreteStatsTable[GroupByKey]=DiscreteStatsTable[[#This Row],[GroupByKey]])*DiscreteStatsTable[Average]))</f>
        <v>0</v>
      </c>
      <c r="T657" s="5" cm="1">
        <f t="array" ref="T657">MIN(IF((DiscreteStatsTable[GroupByKey]=DiscreteStatsTable[[#This Row],[GroupByKey]]),(DiscreteStatsTable[GroupByKey]=DiscreteStatsTable[[#This Row],[GroupByKey]])*DiscreteStatsTable[Minimum]))</f>
        <v>0</v>
      </c>
      <c r="U657" s="5" cm="1">
        <f t="array" ref="U657">MAX(IF((DiscreteStatsTable[GroupByKey]=DiscreteStatsTable[[#This Row],[GroupByKey]]),(DiscreteStatsTable[GroupByKey]=DiscreteStatsTable[[#This Row],[GroupByKey]])*DiscreteStatsTable[Maximum]))</f>
        <v>0</v>
      </c>
      <c r="V657" s="5" cm="1">
        <f t="array" ref="V657">IFERROR(AVERAGE(IF((DiscreteStatsTable[GroupByKey]=DiscreteStatsTable[[#This Row],[GroupByKey]]),(DiscreteStatsTable[GroupByKey]=DiscreteStatsTable[[#This Row],[GroupByKey]])*DiscreteStatsTable[NumberObservations])),0)</f>
        <v>3</v>
      </c>
      <c r="W657" s="5">
        <f>IF((DiscreteStatsTable[[#This Row],[RepsRequested]]&gt;1),DiscreteStatsTable[[#This Row],[HalfWidth]],DiscreteStatsTable[[#This Row],[BatchMeansHalfWidth]])</f>
        <v>0</v>
      </c>
      <c r="X657" s="5" cm="1">
        <f t="array" ref="X657">COUNT(IF((DiscreteStatsTable[GroupByKey]=DiscreteStatsTable[[#This Row],[GroupByKey]]),(DiscreteStatsTable[GroupByKey]=DiscreteStatsTable[[#This Row],[GroupByKey]])*DiscreteStatsTable[Replication]))</f>
        <v>19</v>
      </c>
      <c r="Y657" s="5">
        <f>IF(DiscreteStatsTable[[#This Row],[RepsRequested]]=DiscreteStatsTable[[#This Row],[RepsWithStatObserved]],1,0)</f>
        <v>1</v>
      </c>
    </row>
    <row r="658" spans="1:25" x14ac:dyDescent="0.25">
      <c r="A658" t="s">
        <v>67</v>
      </c>
      <c r="B658" t="s">
        <v>69</v>
      </c>
      <c r="C658">
        <v>18</v>
      </c>
      <c r="D658" t="s">
        <v>127</v>
      </c>
      <c r="E658" t="s">
        <v>75</v>
      </c>
      <c r="F658" t="s">
        <v>72</v>
      </c>
      <c r="G658">
        <v>0</v>
      </c>
      <c r="H658">
        <v>2E+20</v>
      </c>
      <c r="I658">
        <v>0</v>
      </c>
      <c r="J658">
        <v>0</v>
      </c>
      <c r="K658">
        <v>3</v>
      </c>
      <c r="L65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compartida)relojTransfer TimeEntity</v>
      </c>
      <c r="M658" s="5" cm="1">
        <f t="array" ref="M658">MAX(IF((ProjectInfoTable[ProjectName]=DiscreteStatsTable[[#This Row],[ProjectName]]),(ProjectInfoTable[ProjectName]=DiscreteStatsTable[[#This Row],[ProjectName]])*ProjectInfoTable[NumberOfReplications]))</f>
        <v>19</v>
      </c>
      <c r="N658" s="5" cm="1">
        <f t="array" ref="N658">IFERROR(AVERAGE(IF((DiscreteStatsTable[GroupByKey]=DiscreteStatsTable[[#This Row],[GroupByKey]]),(DiscreteStatsTable[GroupByKey]=DiscreteStatsTable[[#This Row],[GroupByKey]])*DiscreteStatsTable[Average])),0)</f>
        <v>0</v>
      </c>
      <c r="O658" s="5" cm="1">
        <f t="array" ref="O658">IFERROR(_xlfn.STDEV.S(IF((DiscreteStatsTable[GroupByKey]=DiscreteStatsTable[[#This Row],[GroupByKey]]),(DiscreteStatsTable[GroupByKey]=DiscreteStatsTable[[#This Row],[GroupByKey]])*DiscreteStatsTable[Average])),0)</f>
        <v>0</v>
      </c>
      <c r="P658" s="5" cm="1">
        <f t="array" ref="P658">MAX(IF((ProjectInfoTable[ProjectName]=DiscreteStatsTable[[#This Row],[ProjectName]]),(ProjectInfoTable[ProjectName]=DiscreteStatsTable[[#This Row],[ProjectName]])*ProjectInfoTable[ConfidenceInterval]))</f>
        <v>0.95</v>
      </c>
      <c r="Q658" s="5">
        <f>IF(AND(DiscreteStatsTable[[#This Row],[RepsWithStatObserved]]=1,Y658=0),200000000000000000000,IFERROR(_xlfn.T.INV.2T(1 -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8" s="5" cm="1">
        <f t="array" ref="R658">MIN(IF((DiscreteStatsTable[GroupByKey]=DiscreteStatsTable[[#This Row],[GroupByKey]]),(DiscreteStatsTable[GroupByKey]=DiscreteStatsTable[[#This Row],[GroupByKey]])*DiscreteStatsTable[Average]))</f>
        <v>0</v>
      </c>
      <c r="S658" s="5" cm="1">
        <f t="array" ref="S658">MAX(IF((DiscreteStatsTable[GroupByKey]=DiscreteStatsTable[[#This Row],[GroupByKey]]),(DiscreteStatsTable[GroupByKey]=DiscreteStatsTable[[#This Row],[GroupByKey]])*DiscreteStatsTable[Average]))</f>
        <v>0</v>
      </c>
      <c r="T658" s="5" cm="1">
        <f t="array" ref="T658">MIN(IF((DiscreteStatsTable[GroupByKey]=DiscreteStatsTable[[#This Row],[GroupByKey]]),(DiscreteStatsTable[GroupByKey]=DiscreteStatsTable[[#This Row],[GroupByKey]])*DiscreteStatsTable[Minimum]))</f>
        <v>0</v>
      </c>
      <c r="U658" s="5" cm="1">
        <f t="array" ref="U658">MAX(IF((DiscreteStatsTable[GroupByKey]=DiscreteStatsTable[[#This Row],[GroupByKey]]),(DiscreteStatsTable[GroupByKey]=DiscreteStatsTable[[#This Row],[GroupByKey]])*DiscreteStatsTable[Maximum]))</f>
        <v>0</v>
      </c>
      <c r="V658" s="5" cm="1">
        <f t="array" ref="V658">IFERROR(AVERAGE(IF((DiscreteStatsTable[GroupByKey]=DiscreteStatsTable[[#This Row],[GroupByKey]]),(DiscreteStatsTable[GroupByKey]=DiscreteStatsTable[[#This Row],[GroupByKey]])*DiscreteStatsTable[NumberObservations])),0)</f>
        <v>3</v>
      </c>
      <c r="W658" s="5">
        <f>IF((DiscreteStatsTable[[#This Row],[RepsRequested]]&gt;1),DiscreteStatsTable[[#This Row],[HalfWidth]],DiscreteStatsTable[[#This Row],[BatchMeansHalfWidth]])</f>
        <v>0</v>
      </c>
      <c r="X658" s="5" cm="1">
        <f t="array" ref="X658">COUNT(IF((DiscreteStatsTable[GroupByKey]=DiscreteStatsTable[[#This Row],[GroupByKey]]),(DiscreteStatsTable[GroupByKey]=DiscreteStatsTable[[#This Row],[GroupByKey]])*DiscreteStatsTable[Replication]))</f>
        <v>19</v>
      </c>
      <c r="Y658" s="5">
        <f>IF(DiscreteStatsTable[[#This Row],[RepsRequested]]=DiscreteStatsTable[[#This Row],[RepsWithStatObserved]],1,0)</f>
        <v>1</v>
      </c>
    </row>
    <row r="659" spans="1:25" x14ac:dyDescent="0.25">
      <c r="A659" t="s">
        <v>67</v>
      </c>
      <c r="B659" t="s">
        <v>69</v>
      </c>
      <c r="C659">
        <v>18</v>
      </c>
      <c r="D659" t="s">
        <v>127</v>
      </c>
      <c r="E659" t="s">
        <v>76</v>
      </c>
      <c r="F659" t="s">
        <v>72</v>
      </c>
      <c r="G659">
        <v>0</v>
      </c>
      <c r="H659">
        <v>2E+20</v>
      </c>
      <c r="I659">
        <v>0</v>
      </c>
      <c r="J659">
        <v>0</v>
      </c>
      <c r="K659">
        <v>3</v>
      </c>
      <c r="L65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compartida)relojVA TimeEntity</v>
      </c>
      <c r="M659" s="5" cm="1">
        <f t="array" ref="M659">MAX(IF((ProjectInfoTable[ProjectName]=DiscreteStatsTable[[#This Row],[ProjectName]]),(ProjectInfoTable[ProjectName]=DiscreteStatsTable[[#This Row],[ProjectName]])*ProjectInfoTable[NumberOfReplications]))</f>
        <v>19</v>
      </c>
      <c r="N659" s="5" cm="1">
        <f t="array" ref="N659">IFERROR(AVERAGE(IF((DiscreteStatsTable[GroupByKey]=DiscreteStatsTable[[#This Row],[GroupByKey]]),(DiscreteStatsTable[GroupByKey]=DiscreteStatsTable[[#This Row],[GroupByKey]])*DiscreteStatsTable[Average])),0)</f>
        <v>0</v>
      </c>
      <c r="O659" s="5" cm="1">
        <f t="array" ref="O659">IFERROR(_xlfn.STDEV.S(IF((DiscreteStatsTable[GroupByKey]=DiscreteStatsTable[[#This Row],[GroupByKey]]),(DiscreteStatsTable[GroupByKey]=DiscreteStatsTable[[#This Row],[GroupByKey]])*DiscreteStatsTable[Average])),0)</f>
        <v>0</v>
      </c>
      <c r="P659" s="5" cm="1">
        <f t="array" ref="P659">MAX(IF((ProjectInfoTable[ProjectName]=DiscreteStatsTable[[#This Row],[ProjectName]]),(ProjectInfoTable[ProjectName]=DiscreteStatsTable[[#This Row],[ProjectName]])*ProjectInfoTable[ConfidenceInterval]))</f>
        <v>0.95</v>
      </c>
      <c r="Q659" s="5">
        <f>IF(AND(DiscreteStatsTable[[#This Row],[RepsWithStatObserved]]=1,Y659=0),200000000000000000000,IFERROR(_xlfn.T.INV.2T(1 -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9" s="5" cm="1">
        <f t="array" ref="R659">MIN(IF((DiscreteStatsTable[GroupByKey]=DiscreteStatsTable[[#This Row],[GroupByKey]]),(DiscreteStatsTable[GroupByKey]=DiscreteStatsTable[[#This Row],[GroupByKey]])*DiscreteStatsTable[Average]))</f>
        <v>0</v>
      </c>
      <c r="S659" s="5" cm="1">
        <f t="array" ref="S659">MAX(IF((DiscreteStatsTable[GroupByKey]=DiscreteStatsTable[[#This Row],[GroupByKey]]),(DiscreteStatsTable[GroupByKey]=DiscreteStatsTable[[#This Row],[GroupByKey]])*DiscreteStatsTable[Average]))</f>
        <v>0</v>
      </c>
      <c r="T659" s="5" cm="1">
        <f t="array" ref="T659">MIN(IF((DiscreteStatsTable[GroupByKey]=DiscreteStatsTable[[#This Row],[GroupByKey]]),(DiscreteStatsTable[GroupByKey]=DiscreteStatsTable[[#This Row],[GroupByKey]])*DiscreteStatsTable[Minimum]))</f>
        <v>0</v>
      </c>
      <c r="U659" s="5" cm="1">
        <f t="array" ref="U659">MAX(IF((DiscreteStatsTable[GroupByKey]=DiscreteStatsTable[[#This Row],[GroupByKey]]),(DiscreteStatsTable[GroupByKey]=DiscreteStatsTable[[#This Row],[GroupByKey]])*DiscreteStatsTable[Maximum]))</f>
        <v>0</v>
      </c>
      <c r="V659" s="5" cm="1">
        <f t="array" ref="V659">IFERROR(AVERAGE(IF((DiscreteStatsTable[GroupByKey]=DiscreteStatsTable[[#This Row],[GroupByKey]]),(DiscreteStatsTable[GroupByKey]=DiscreteStatsTable[[#This Row],[GroupByKey]])*DiscreteStatsTable[NumberObservations])),0)</f>
        <v>3</v>
      </c>
      <c r="W659" s="5">
        <f>IF((DiscreteStatsTable[[#This Row],[RepsRequested]]&gt;1),DiscreteStatsTable[[#This Row],[HalfWidth]],DiscreteStatsTable[[#This Row],[BatchMeansHalfWidth]])</f>
        <v>0</v>
      </c>
      <c r="X659" s="5" cm="1">
        <f t="array" ref="X659">COUNT(IF((DiscreteStatsTable[GroupByKey]=DiscreteStatsTable[[#This Row],[GroupByKey]]),(DiscreteStatsTable[GroupByKey]=DiscreteStatsTable[[#This Row],[GroupByKey]])*DiscreteStatsTable[Replication]))</f>
        <v>19</v>
      </c>
      <c r="Y659" s="5">
        <f>IF(DiscreteStatsTable[[#This Row],[RepsRequested]]=DiscreteStatsTable[[#This Row],[RepsWithStatObserved]],1,0)</f>
        <v>1</v>
      </c>
    </row>
    <row r="660" spans="1:25" x14ac:dyDescent="0.25">
      <c r="A660" t="s">
        <v>67</v>
      </c>
      <c r="B660" t="s">
        <v>69</v>
      </c>
      <c r="C660">
        <v>18</v>
      </c>
      <c r="D660" t="s">
        <v>127</v>
      </c>
      <c r="E660" t="s">
        <v>77</v>
      </c>
      <c r="F660" t="s">
        <v>72</v>
      </c>
      <c r="G660">
        <v>0</v>
      </c>
      <c r="H660">
        <v>2E+20</v>
      </c>
      <c r="I660">
        <v>0</v>
      </c>
      <c r="J660">
        <v>0</v>
      </c>
      <c r="K660">
        <v>3</v>
      </c>
      <c r="L66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compartida)relojWait TimeEntity</v>
      </c>
      <c r="M660" s="5" cm="1">
        <f t="array" ref="M660">MAX(IF((ProjectInfoTable[ProjectName]=DiscreteStatsTable[[#This Row],[ProjectName]]),(ProjectInfoTable[ProjectName]=DiscreteStatsTable[[#This Row],[ProjectName]])*ProjectInfoTable[NumberOfReplications]))</f>
        <v>19</v>
      </c>
      <c r="N660" s="5" cm="1">
        <f t="array" ref="N660">IFERROR(AVERAGE(IF((DiscreteStatsTable[GroupByKey]=DiscreteStatsTable[[#This Row],[GroupByKey]]),(DiscreteStatsTable[GroupByKey]=DiscreteStatsTable[[#This Row],[GroupByKey]])*DiscreteStatsTable[Average])),0)</f>
        <v>0</v>
      </c>
      <c r="O660" s="5" cm="1">
        <f t="array" ref="O660">IFERROR(_xlfn.STDEV.S(IF((DiscreteStatsTable[GroupByKey]=DiscreteStatsTable[[#This Row],[GroupByKey]]),(DiscreteStatsTable[GroupByKey]=DiscreteStatsTable[[#This Row],[GroupByKey]])*DiscreteStatsTable[Average])),0)</f>
        <v>0</v>
      </c>
      <c r="P660" s="5" cm="1">
        <f t="array" ref="P660">MAX(IF((ProjectInfoTable[ProjectName]=DiscreteStatsTable[[#This Row],[ProjectName]]),(ProjectInfoTable[ProjectName]=DiscreteStatsTable[[#This Row],[ProjectName]])*ProjectInfoTable[ConfidenceInterval]))</f>
        <v>0.95</v>
      </c>
      <c r="Q660" s="5">
        <f>IF(AND(DiscreteStatsTable[[#This Row],[RepsWithStatObserved]]=1,Y660=0),200000000000000000000,IFERROR(_xlfn.T.INV.2T(1 -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0" s="5" cm="1">
        <f t="array" ref="R660">MIN(IF((DiscreteStatsTable[GroupByKey]=DiscreteStatsTable[[#This Row],[GroupByKey]]),(DiscreteStatsTable[GroupByKey]=DiscreteStatsTable[[#This Row],[GroupByKey]])*DiscreteStatsTable[Average]))</f>
        <v>0</v>
      </c>
      <c r="S660" s="5" cm="1">
        <f t="array" ref="S660">MAX(IF((DiscreteStatsTable[GroupByKey]=DiscreteStatsTable[[#This Row],[GroupByKey]]),(DiscreteStatsTable[GroupByKey]=DiscreteStatsTable[[#This Row],[GroupByKey]])*DiscreteStatsTable[Average]))</f>
        <v>0</v>
      </c>
      <c r="T660" s="5" cm="1">
        <f t="array" ref="T660">MIN(IF((DiscreteStatsTable[GroupByKey]=DiscreteStatsTable[[#This Row],[GroupByKey]]),(DiscreteStatsTable[GroupByKey]=DiscreteStatsTable[[#This Row],[GroupByKey]])*DiscreteStatsTable[Minimum]))</f>
        <v>0</v>
      </c>
      <c r="U660" s="5" cm="1">
        <f t="array" ref="U660">MAX(IF((DiscreteStatsTable[GroupByKey]=DiscreteStatsTable[[#This Row],[GroupByKey]]),(DiscreteStatsTable[GroupByKey]=DiscreteStatsTable[[#This Row],[GroupByKey]])*DiscreteStatsTable[Maximum]))</f>
        <v>0</v>
      </c>
      <c r="V660" s="5" cm="1">
        <f t="array" ref="V660">IFERROR(AVERAGE(IF((DiscreteStatsTable[GroupByKey]=DiscreteStatsTable[[#This Row],[GroupByKey]]),(DiscreteStatsTable[GroupByKey]=DiscreteStatsTable[[#This Row],[GroupByKey]])*DiscreteStatsTable[NumberObservations])),0)</f>
        <v>3</v>
      </c>
      <c r="W660" s="5">
        <f>IF((DiscreteStatsTable[[#This Row],[RepsRequested]]&gt;1),DiscreteStatsTable[[#This Row],[HalfWidth]],DiscreteStatsTable[[#This Row],[BatchMeansHalfWidth]])</f>
        <v>0</v>
      </c>
      <c r="X660" s="5" cm="1">
        <f t="array" ref="X660">COUNT(IF((DiscreteStatsTable[GroupByKey]=DiscreteStatsTable[[#This Row],[GroupByKey]]),(DiscreteStatsTable[GroupByKey]=DiscreteStatsTable[[#This Row],[GroupByKey]])*DiscreteStatsTable[Replication]))</f>
        <v>19</v>
      </c>
      <c r="Y660" s="5">
        <f>IF(DiscreteStatsTable[[#This Row],[RepsRequested]]=DiscreteStatsTable[[#This Row],[RepsWithStatObserved]],1,0)</f>
        <v>1</v>
      </c>
    </row>
    <row r="661" spans="1:25" x14ac:dyDescent="0.25">
      <c r="A661" t="s">
        <v>67</v>
      </c>
      <c r="B661" t="s">
        <v>69</v>
      </c>
      <c r="C661">
        <v>19</v>
      </c>
      <c r="D661" t="s">
        <v>127</v>
      </c>
      <c r="E661" t="s">
        <v>71</v>
      </c>
      <c r="F661" t="s">
        <v>72</v>
      </c>
      <c r="G661">
        <v>0</v>
      </c>
      <c r="H661">
        <v>2E+20</v>
      </c>
      <c r="I661">
        <v>0</v>
      </c>
      <c r="J661">
        <v>0</v>
      </c>
      <c r="K661">
        <v>3</v>
      </c>
      <c r="L66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compartida)relojNVA TimeEntity</v>
      </c>
      <c r="M661" s="5" cm="1">
        <f t="array" ref="M661">MAX(IF((ProjectInfoTable[ProjectName]=DiscreteStatsTable[[#This Row],[ProjectName]]),(ProjectInfoTable[ProjectName]=DiscreteStatsTable[[#This Row],[ProjectName]])*ProjectInfoTable[NumberOfReplications]))</f>
        <v>19</v>
      </c>
      <c r="N661" s="5" cm="1">
        <f t="array" ref="N661">IFERROR(AVERAGE(IF((DiscreteStatsTable[GroupByKey]=DiscreteStatsTable[[#This Row],[GroupByKey]]),(DiscreteStatsTable[GroupByKey]=DiscreteStatsTable[[#This Row],[GroupByKey]])*DiscreteStatsTable[Average])),0)</f>
        <v>0</v>
      </c>
      <c r="O661" s="5" cm="1">
        <f t="array" ref="O661">IFERROR(_xlfn.STDEV.S(IF((DiscreteStatsTable[GroupByKey]=DiscreteStatsTable[[#This Row],[GroupByKey]]),(DiscreteStatsTable[GroupByKey]=DiscreteStatsTable[[#This Row],[GroupByKey]])*DiscreteStatsTable[Average])),0)</f>
        <v>0</v>
      </c>
      <c r="P661" s="5" cm="1">
        <f t="array" ref="P661">MAX(IF((ProjectInfoTable[ProjectName]=DiscreteStatsTable[[#This Row],[ProjectName]]),(ProjectInfoTable[ProjectName]=DiscreteStatsTable[[#This Row],[ProjectName]])*ProjectInfoTable[ConfidenceInterval]))</f>
        <v>0.95</v>
      </c>
      <c r="Q661" s="5">
        <f>IF(AND(DiscreteStatsTable[[#This Row],[RepsWithStatObserved]]=1,Y661=0),200000000000000000000,IFERROR(_xlfn.T.INV.2T(1 -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1" s="5" cm="1">
        <f t="array" ref="R661">MIN(IF((DiscreteStatsTable[GroupByKey]=DiscreteStatsTable[[#This Row],[GroupByKey]]),(DiscreteStatsTable[GroupByKey]=DiscreteStatsTable[[#This Row],[GroupByKey]])*DiscreteStatsTable[Average]))</f>
        <v>0</v>
      </c>
      <c r="S661" s="5" cm="1">
        <f t="array" ref="S661">MAX(IF((DiscreteStatsTable[GroupByKey]=DiscreteStatsTable[[#This Row],[GroupByKey]]),(DiscreteStatsTable[GroupByKey]=DiscreteStatsTable[[#This Row],[GroupByKey]])*DiscreteStatsTable[Average]))</f>
        <v>0</v>
      </c>
      <c r="T661" s="5" cm="1">
        <f t="array" ref="T661">MIN(IF((DiscreteStatsTable[GroupByKey]=DiscreteStatsTable[[#This Row],[GroupByKey]]),(DiscreteStatsTable[GroupByKey]=DiscreteStatsTable[[#This Row],[GroupByKey]])*DiscreteStatsTable[Minimum]))</f>
        <v>0</v>
      </c>
      <c r="U661" s="5" cm="1">
        <f t="array" ref="U661">MAX(IF((DiscreteStatsTable[GroupByKey]=DiscreteStatsTable[[#This Row],[GroupByKey]]),(DiscreteStatsTable[GroupByKey]=DiscreteStatsTable[[#This Row],[GroupByKey]])*DiscreteStatsTable[Maximum]))</f>
        <v>0</v>
      </c>
      <c r="V661" s="5" cm="1">
        <f t="array" ref="V661">IFERROR(AVERAGE(IF((DiscreteStatsTable[GroupByKey]=DiscreteStatsTable[[#This Row],[GroupByKey]]),(DiscreteStatsTable[GroupByKey]=DiscreteStatsTable[[#This Row],[GroupByKey]])*DiscreteStatsTable[NumberObservations])),0)</f>
        <v>3</v>
      </c>
      <c r="W661" s="5">
        <f>IF((DiscreteStatsTable[[#This Row],[RepsRequested]]&gt;1),DiscreteStatsTable[[#This Row],[HalfWidth]],DiscreteStatsTable[[#This Row],[BatchMeansHalfWidth]])</f>
        <v>0</v>
      </c>
      <c r="X661" s="5" cm="1">
        <f t="array" ref="X661">COUNT(IF((DiscreteStatsTable[GroupByKey]=DiscreteStatsTable[[#This Row],[GroupByKey]]),(DiscreteStatsTable[GroupByKey]=DiscreteStatsTable[[#This Row],[GroupByKey]])*DiscreteStatsTable[Replication]))</f>
        <v>19</v>
      </c>
      <c r="Y661" s="5">
        <f>IF(DiscreteStatsTable[[#This Row],[RepsRequested]]=DiscreteStatsTable[[#This Row],[RepsWithStatObserved]],1,0)</f>
        <v>1</v>
      </c>
    </row>
    <row r="662" spans="1:25" x14ac:dyDescent="0.25">
      <c r="A662" t="s">
        <v>67</v>
      </c>
      <c r="B662" t="s">
        <v>69</v>
      </c>
      <c r="C662">
        <v>19</v>
      </c>
      <c r="D662" t="s">
        <v>127</v>
      </c>
      <c r="E662" t="s">
        <v>73</v>
      </c>
      <c r="F662" t="s">
        <v>72</v>
      </c>
      <c r="G662">
        <v>0</v>
      </c>
      <c r="H662">
        <v>2E+20</v>
      </c>
      <c r="I662">
        <v>0</v>
      </c>
      <c r="J662">
        <v>0</v>
      </c>
      <c r="K662">
        <v>3</v>
      </c>
      <c r="L66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compartida)relojOther TimeEntity</v>
      </c>
      <c r="M662" s="5" cm="1">
        <f t="array" ref="M662">MAX(IF((ProjectInfoTable[ProjectName]=DiscreteStatsTable[[#This Row],[ProjectName]]),(ProjectInfoTable[ProjectName]=DiscreteStatsTable[[#This Row],[ProjectName]])*ProjectInfoTable[NumberOfReplications]))</f>
        <v>19</v>
      </c>
      <c r="N662" s="5" cm="1">
        <f t="array" ref="N662">IFERROR(AVERAGE(IF((DiscreteStatsTable[GroupByKey]=DiscreteStatsTable[[#This Row],[GroupByKey]]),(DiscreteStatsTable[GroupByKey]=DiscreteStatsTable[[#This Row],[GroupByKey]])*DiscreteStatsTable[Average])),0)</f>
        <v>0</v>
      </c>
      <c r="O662" s="5" cm="1">
        <f t="array" ref="O662">IFERROR(_xlfn.STDEV.S(IF((DiscreteStatsTable[GroupByKey]=DiscreteStatsTable[[#This Row],[GroupByKey]]),(DiscreteStatsTable[GroupByKey]=DiscreteStatsTable[[#This Row],[GroupByKey]])*DiscreteStatsTable[Average])),0)</f>
        <v>0</v>
      </c>
      <c r="P662" s="5" cm="1">
        <f t="array" ref="P662">MAX(IF((ProjectInfoTable[ProjectName]=DiscreteStatsTable[[#This Row],[ProjectName]]),(ProjectInfoTable[ProjectName]=DiscreteStatsTable[[#This Row],[ProjectName]])*ProjectInfoTable[ConfidenceInterval]))</f>
        <v>0.95</v>
      </c>
      <c r="Q662" s="5">
        <f>IF(AND(DiscreteStatsTable[[#This Row],[RepsWithStatObserved]]=1,Y662=0),200000000000000000000,IFERROR(_xlfn.T.INV.2T(1 -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2" s="5" cm="1">
        <f t="array" ref="R662">MIN(IF((DiscreteStatsTable[GroupByKey]=DiscreteStatsTable[[#This Row],[GroupByKey]]),(DiscreteStatsTable[GroupByKey]=DiscreteStatsTable[[#This Row],[GroupByKey]])*DiscreteStatsTable[Average]))</f>
        <v>0</v>
      </c>
      <c r="S662" s="5" cm="1">
        <f t="array" ref="S662">MAX(IF((DiscreteStatsTable[GroupByKey]=DiscreteStatsTable[[#This Row],[GroupByKey]]),(DiscreteStatsTable[GroupByKey]=DiscreteStatsTable[[#This Row],[GroupByKey]])*DiscreteStatsTable[Average]))</f>
        <v>0</v>
      </c>
      <c r="T662" s="5" cm="1">
        <f t="array" ref="T662">MIN(IF((DiscreteStatsTable[GroupByKey]=DiscreteStatsTable[[#This Row],[GroupByKey]]),(DiscreteStatsTable[GroupByKey]=DiscreteStatsTable[[#This Row],[GroupByKey]])*DiscreteStatsTable[Minimum]))</f>
        <v>0</v>
      </c>
      <c r="U662" s="5" cm="1">
        <f t="array" ref="U662">MAX(IF((DiscreteStatsTable[GroupByKey]=DiscreteStatsTable[[#This Row],[GroupByKey]]),(DiscreteStatsTable[GroupByKey]=DiscreteStatsTable[[#This Row],[GroupByKey]])*DiscreteStatsTable[Maximum]))</f>
        <v>0</v>
      </c>
      <c r="V662" s="5" cm="1">
        <f t="array" ref="V662">IFERROR(AVERAGE(IF((DiscreteStatsTable[GroupByKey]=DiscreteStatsTable[[#This Row],[GroupByKey]]),(DiscreteStatsTable[GroupByKey]=DiscreteStatsTable[[#This Row],[GroupByKey]])*DiscreteStatsTable[NumberObservations])),0)</f>
        <v>3</v>
      </c>
      <c r="W662" s="5">
        <f>IF((DiscreteStatsTable[[#This Row],[RepsRequested]]&gt;1),DiscreteStatsTable[[#This Row],[HalfWidth]],DiscreteStatsTable[[#This Row],[BatchMeansHalfWidth]])</f>
        <v>0</v>
      </c>
      <c r="X662" s="5" cm="1">
        <f t="array" ref="X662">COUNT(IF((DiscreteStatsTable[GroupByKey]=DiscreteStatsTable[[#This Row],[GroupByKey]]),(DiscreteStatsTable[GroupByKey]=DiscreteStatsTable[[#This Row],[GroupByKey]])*DiscreteStatsTable[Replication]))</f>
        <v>19</v>
      </c>
      <c r="Y662" s="5">
        <f>IF(DiscreteStatsTable[[#This Row],[RepsRequested]]=DiscreteStatsTable[[#This Row],[RepsWithStatObserved]],1,0)</f>
        <v>1</v>
      </c>
    </row>
    <row r="663" spans="1:25" x14ac:dyDescent="0.25">
      <c r="A663" t="s">
        <v>67</v>
      </c>
      <c r="B663" t="s">
        <v>69</v>
      </c>
      <c r="C663">
        <v>19</v>
      </c>
      <c r="D663" t="s">
        <v>127</v>
      </c>
      <c r="E663" t="s">
        <v>74</v>
      </c>
      <c r="F663" t="s">
        <v>72</v>
      </c>
      <c r="G663">
        <v>0</v>
      </c>
      <c r="H663">
        <v>2E+20</v>
      </c>
      <c r="I663">
        <v>0</v>
      </c>
      <c r="J663">
        <v>0</v>
      </c>
      <c r="K663">
        <v>3</v>
      </c>
      <c r="L66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compartida)relojTotal TimeEntity</v>
      </c>
      <c r="M663" s="5" cm="1">
        <f t="array" ref="M663">MAX(IF((ProjectInfoTable[ProjectName]=DiscreteStatsTable[[#This Row],[ProjectName]]),(ProjectInfoTable[ProjectName]=DiscreteStatsTable[[#This Row],[ProjectName]])*ProjectInfoTable[NumberOfReplications]))</f>
        <v>19</v>
      </c>
      <c r="N663" s="5" cm="1">
        <f t="array" ref="N663">IFERROR(AVERAGE(IF((DiscreteStatsTable[GroupByKey]=DiscreteStatsTable[[#This Row],[GroupByKey]]),(DiscreteStatsTable[GroupByKey]=DiscreteStatsTable[[#This Row],[GroupByKey]])*DiscreteStatsTable[Average])),0)</f>
        <v>0</v>
      </c>
      <c r="O663" s="5" cm="1">
        <f t="array" ref="O663">IFERROR(_xlfn.STDEV.S(IF((DiscreteStatsTable[GroupByKey]=DiscreteStatsTable[[#This Row],[GroupByKey]]),(DiscreteStatsTable[GroupByKey]=DiscreteStatsTable[[#This Row],[GroupByKey]])*DiscreteStatsTable[Average])),0)</f>
        <v>0</v>
      </c>
      <c r="P663" s="5" cm="1">
        <f t="array" ref="P663">MAX(IF((ProjectInfoTable[ProjectName]=DiscreteStatsTable[[#This Row],[ProjectName]]),(ProjectInfoTable[ProjectName]=DiscreteStatsTable[[#This Row],[ProjectName]])*ProjectInfoTable[ConfidenceInterval]))</f>
        <v>0.95</v>
      </c>
      <c r="Q663" s="5">
        <f>IF(AND(DiscreteStatsTable[[#This Row],[RepsWithStatObserved]]=1,Y663=0),200000000000000000000,IFERROR(_xlfn.T.INV.2T(1 -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3" s="5" cm="1">
        <f t="array" ref="R663">MIN(IF((DiscreteStatsTable[GroupByKey]=DiscreteStatsTable[[#This Row],[GroupByKey]]),(DiscreteStatsTable[GroupByKey]=DiscreteStatsTable[[#This Row],[GroupByKey]])*DiscreteStatsTable[Average]))</f>
        <v>0</v>
      </c>
      <c r="S663" s="5" cm="1">
        <f t="array" ref="S663">MAX(IF((DiscreteStatsTable[GroupByKey]=DiscreteStatsTable[[#This Row],[GroupByKey]]),(DiscreteStatsTable[GroupByKey]=DiscreteStatsTable[[#This Row],[GroupByKey]])*DiscreteStatsTable[Average]))</f>
        <v>0</v>
      </c>
      <c r="T663" s="5" cm="1">
        <f t="array" ref="T663">MIN(IF((DiscreteStatsTable[GroupByKey]=DiscreteStatsTable[[#This Row],[GroupByKey]]),(DiscreteStatsTable[GroupByKey]=DiscreteStatsTable[[#This Row],[GroupByKey]])*DiscreteStatsTable[Minimum]))</f>
        <v>0</v>
      </c>
      <c r="U663" s="5" cm="1">
        <f t="array" ref="U663">MAX(IF((DiscreteStatsTable[GroupByKey]=DiscreteStatsTable[[#This Row],[GroupByKey]]),(DiscreteStatsTable[GroupByKey]=DiscreteStatsTable[[#This Row],[GroupByKey]])*DiscreteStatsTable[Maximum]))</f>
        <v>0</v>
      </c>
      <c r="V663" s="5" cm="1">
        <f t="array" ref="V663">IFERROR(AVERAGE(IF((DiscreteStatsTable[GroupByKey]=DiscreteStatsTable[[#This Row],[GroupByKey]]),(DiscreteStatsTable[GroupByKey]=DiscreteStatsTable[[#This Row],[GroupByKey]])*DiscreteStatsTable[NumberObservations])),0)</f>
        <v>3</v>
      </c>
      <c r="W663" s="5">
        <f>IF((DiscreteStatsTable[[#This Row],[RepsRequested]]&gt;1),DiscreteStatsTable[[#This Row],[HalfWidth]],DiscreteStatsTable[[#This Row],[BatchMeansHalfWidth]])</f>
        <v>0</v>
      </c>
      <c r="X663" s="5" cm="1">
        <f t="array" ref="X663">COUNT(IF((DiscreteStatsTable[GroupByKey]=DiscreteStatsTable[[#This Row],[GroupByKey]]),(DiscreteStatsTable[GroupByKey]=DiscreteStatsTable[[#This Row],[GroupByKey]])*DiscreteStatsTable[Replication]))</f>
        <v>19</v>
      </c>
      <c r="Y663" s="5">
        <f>IF(DiscreteStatsTable[[#This Row],[RepsRequested]]=DiscreteStatsTable[[#This Row],[RepsWithStatObserved]],1,0)</f>
        <v>1</v>
      </c>
    </row>
    <row r="664" spans="1:25" x14ac:dyDescent="0.25">
      <c r="A664" t="s">
        <v>67</v>
      </c>
      <c r="B664" t="s">
        <v>69</v>
      </c>
      <c r="C664">
        <v>19</v>
      </c>
      <c r="D664" t="s">
        <v>127</v>
      </c>
      <c r="E664" t="s">
        <v>75</v>
      </c>
      <c r="F664" t="s">
        <v>72</v>
      </c>
      <c r="G664">
        <v>0</v>
      </c>
      <c r="H664">
        <v>2E+20</v>
      </c>
      <c r="I664">
        <v>0</v>
      </c>
      <c r="J664">
        <v>0</v>
      </c>
      <c r="K664">
        <v>3</v>
      </c>
      <c r="L66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compartida)relojTransfer TimeEntity</v>
      </c>
      <c r="M664" s="5" cm="1">
        <f t="array" ref="M664">MAX(IF((ProjectInfoTable[ProjectName]=DiscreteStatsTable[[#This Row],[ProjectName]]),(ProjectInfoTable[ProjectName]=DiscreteStatsTable[[#This Row],[ProjectName]])*ProjectInfoTable[NumberOfReplications]))</f>
        <v>19</v>
      </c>
      <c r="N664" s="5" cm="1">
        <f t="array" ref="N664">IFERROR(AVERAGE(IF((DiscreteStatsTable[GroupByKey]=DiscreteStatsTable[[#This Row],[GroupByKey]]),(DiscreteStatsTable[GroupByKey]=DiscreteStatsTable[[#This Row],[GroupByKey]])*DiscreteStatsTable[Average])),0)</f>
        <v>0</v>
      </c>
      <c r="O664" s="5" cm="1">
        <f t="array" ref="O664">IFERROR(_xlfn.STDEV.S(IF((DiscreteStatsTable[GroupByKey]=DiscreteStatsTable[[#This Row],[GroupByKey]]),(DiscreteStatsTable[GroupByKey]=DiscreteStatsTable[[#This Row],[GroupByKey]])*DiscreteStatsTable[Average])),0)</f>
        <v>0</v>
      </c>
      <c r="P664" s="5" cm="1">
        <f t="array" ref="P664">MAX(IF((ProjectInfoTable[ProjectName]=DiscreteStatsTable[[#This Row],[ProjectName]]),(ProjectInfoTable[ProjectName]=DiscreteStatsTable[[#This Row],[ProjectName]])*ProjectInfoTable[ConfidenceInterval]))</f>
        <v>0.95</v>
      </c>
      <c r="Q664" s="5">
        <f>IF(AND(DiscreteStatsTable[[#This Row],[RepsWithStatObserved]]=1,Y664=0),200000000000000000000,IFERROR(_xlfn.T.INV.2T(1 -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4" s="5" cm="1">
        <f t="array" ref="R664">MIN(IF((DiscreteStatsTable[GroupByKey]=DiscreteStatsTable[[#This Row],[GroupByKey]]),(DiscreteStatsTable[GroupByKey]=DiscreteStatsTable[[#This Row],[GroupByKey]])*DiscreteStatsTable[Average]))</f>
        <v>0</v>
      </c>
      <c r="S664" s="5" cm="1">
        <f t="array" ref="S664">MAX(IF((DiscreteStatsTable[GroupByKey]=DiscreteStatsTable[[#This Row],[GroupByKey]]),(DiscreteStatsTable[GroupByKey]=DiscreteStatsTable[[#This Row],[GroupByKey]])*DiscreteStatsTable[Average]))</f>
        <v>0</v>
      </c>
      <c r="T664" s="5" cm="1">
        <f t="array" ref="T664">MIN(IF((DiscreteStatsTable[GroupByKey]=DiscreteStatsTable[[#This Row],[GroupByKey]]),(DiscreteStatsTable[GroupByKey]=DiscreteStatsTable[[#This Row],[GroupByKey]])*DiscreteStatsTable[Minimum]))</f>
        <v>0</v>
      </c>
      <c r="U664" s="5" cm="1">
        <f t="array" ref="U664">MAX(IF((DiscreteStatsTable[GroupByKey]=DiscreteStatsTable[[#This Row],[GroupByKey]]),(DiscreteStatsTable[GroupByKey]=DiscreteStatsTable[[#This Row],[GroupByKey]])*DiscreteStatsTable[Maximum]))</f>
        <v>0</v>
      </c>
      <c r="V664" s="5" cm="1">
        <f t="array" ref="V664">IFERROR(AVERAGE(IF((DiscreteStatsTable[GroupByKey]=DiscreteStatsTable[[#This Row],[GroupByKey]]),(DiscreteStatsTable[GroupByKey]=DiscreteStatsTable[[#This Row],[GroupByKey]])*DiscreteStatsTable[NumberObservations])),0)</f>
        <v>3</v>
      </c>
      <c r="W664" s="5">
        <f>IF((DiscreteStatsTable[[#This Row],[RepsRequested]]&gt;1),DiscreteStatsTable[[#This Row],[HalfWidth]],DiscreteStatsTable[[#This Row],[BatchMeansHalfWidth]])</f>
        <v>0</v>
      </c>
      <c r="X664" s="5" cm="1">
        <f t="array" ref="X664">COUNT(IF((DiscreteStatsTable[GroupByKey]=DiscreteStatsTable[[#This Row],[GroupByKey]]),(DiscreteStatsTable[GroupByKey]=DiscreteStatsTable[[#This Row],[GroupByKey]])*DiscreteStatsTable[Replication]))</f>
        <v>19</v>
      </c>
      <c r="Y664" s="5">
        <f>IF(DiscreteStatsTable[[#This Row],[RepsRequested]]=DiscreteStatsTable[[#This Row],[RepsWithStatObserved]],1,0)</f>
        <v>1</v>
      </c>
    </row>
    <row r="665" spans="1:25" x14ac:dyDescent="0.25">
      <c r="A665" t="s">
        <v>67</v>
      </c>
      <c r="B665" t="s">
        <v>69</v>
      </c>
      <c r="C665">
        <v>19</v>
      </c>
      <c r="D665" t="s">
        <v>127</v>
      </c>
      <c r="E665" t="s">
        <v>76</v>
      </c>
      <c r="F665" t="s">
        <v>72</v>
      </c>
      <c r="G665">
        <v>0</v>
      </c>
      <c r="H665">
        <v>2E+20</v>
      </c>
      <c r="I665">
        <v>0</v>
      </c>
      <c r="J665">
        <v>0</v>
      </c>
      <c r="K665">
        <v>3</v>
      </c>
      <c r="L66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compartida)relojVA TimeEntity</v>
      </c>
      <c r="M665" s="5" cm="1">
        <f t="array" ref="M665">MAX(IF((ProjectInfoTable[ProjectName]=DiscreteStatsTable[[#This Row],[ProjectName]]),(ProjectInfoTable[ProjectName]=DiscreteStatsTable[[#This Row],[ProjectName]])*ProjectInfoTable[NumberOfReplications]))</f>
        <v>19</v>
      </c>
      <c r="N665" s="5" cm="1">
        <f t="array" ref="N665">IFERROR(AVERAGE(IF((DiscreteStatsTable[GroupByKey]=DiscreteStatsTable[[#This Row],[GroupByKey]]),(DiscreteStatsTable[GroupByKey]=DiscreteStatsTable[[#This Row],[GroupByKey]])*DiscreteStatsTable[Average])),0)</f>
        <v>0</v>
      </c>
      <c r="O665" s="5" cm="1">
        <f t="array" ref="O665">IFERROR(_xlfn.STDEV.S(IF((DiscreteStatsTable[GroupByKey]=DiscreteStatsTable[[#This Row],[GroupByKey]]),(DiscreteStatsTable[GroupByKey]=DiscreteStatsTable[[#This Row],[GroupByKey]])*DiscreteStatsTable[Average])),0)</f>
        <v>0</v>
      </c>
      <c r="P665" s="5" cm="1">
        <f t="array" ref="P665">MAX(IF((ProjectInfoTable[ProjectName]=DiscreteStatsTable[[#This Row],[ProjectName]]),(ProjectInfoTable[ProjectName]=DiscreteStatsTable[[#This Row],[ProjectName]])*ProjectInfoTable[ConfidenceInterval]))</f>
        <v>0.95</v>
      </c>
      <c r="Q665" s="5">
        <f>IF(AND(DiscreteStatsTable[[#This Row],[RepsWithStatObserved]]=1,Y665=0),200000000000000000000,IFERROR(_xlfn.T.INV.2T(1 -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5" s="5" cm="1">
        <f t="array" ref="R665">MIN(IF((DiscreteStatsTable[GroupByKey]=DiscreteStatsTable[[#This Row],[GroupByKey]]),(DiscreteStatsTable[GroupByKey]=DiscreteStatsTable[[#This Row],[GroupByKey]])*DiscreteStatsTable[Average]))</f>
        <v>0</v>
      </c>
      <c r="S665" s="5" cm="1">
        <f t="array" ref="S665">MAX(IF((DiscreteStatsTable[GroupByKey]=DiscreteStatsTable[[#This Row],[GroupByKey]]),(DiscreteStatsTable[GroupByKey]=DiscreteStatsTable[[#This Row],[GroupByKey]])*DiscreteStatsTable[Average]))</f>
        <v>0</v>
      </c>
      <c r="T665" s="5" cm="1">
        <f t="array" ref="T665">MIN(IF((DiscreteStatsTable[GroupByKey]=DiscreteStatsTable[[#This Row],[GroupByKey]]),(DiscreteStatsTable[GroupByKey]=DiscreteStatsTable[[#This Row],[GroupByKey]])*DiscreteStatsTable[Minimum]))</f>
        <v>0</v>
      </c>
      <c r="U665" s="5" cm="1">
        <f t="array" ref="U665">MAX(IF((DiscreteStatsTable[GroupByKey]=DiscreteStatsTable[[#This Row],[GroupByKey]]),(DiscreteStatsTable[GroupByKey]=DiscreteStatsTable[[#This Row],[GroupByKey]])*DiscreteStatsTable[Maximum]))</f>
        <v>0</v>
      </c>
      <c r="V665" s="5" cm="1">
        <f t="array" ref="V665">IFERROR(AVERAGE(IF((DiscreteStatsTable[GroupByKey]=DiscreteStatsTable[[#This Row],[GroupByKey]]),(DiscreteStatsTable[GroupByKey]=DiscreteStatsTable[[#This Row],[GroupByKey]])*DiscreteStatsTable[NumberObservations])),0)</f>
        <v>3</v>
      </c>
      <c r="W665" s="5">
        <f>IF((DiscreteStatsTable[[#This Row],[RepsRequested]]&gt;1),DiscreteStatsTable[[#This Row],[HalfWidth]],DiscreteStatsTable[[#This Row],[BatchMeansHalfWidth]])</f>
        <v>0</v>
      </c>
      <c r="X665" s="5" cm="1">
        <f t="array" ref="X665">COUNT(IF((DiscreteStatsTable[GroupByKey]=DiscreteStatsTable[[#This Row],[GroupByKey]]),(DiscreteStatsTable[GroupByKey]=DiscreteStatsTable[[#This Row],[GroupByKey]])*DiscreteStatsTable[Replication]))</f>
        <v>19</v>
      </c>
      <c r="Y665" s="5">
        <f>IF(DiscreteStatsTable[[#This Row],[RepsRequested]]=DiscreteStatsTable[[#This Row],[RepsWithStatObserved]],1,0)</f>
        <v>1</v>
      </c>
    </row>
    <row r="666" spans="1:25" x14ac:dyDescent="0.25">
      <c r="A666" t="s">
        <v>67</v>
      </c>
      <c r="B666" t="s">
        <v>69</v>
      </c>
      <c r="C666">
        <v>19</v>
      </c>
      <c r="D666" t="s">
        <v>127</v>
      </c>
      <c r="E666" t="s">
        <v>77</v>
      </c>
      <c r="F666" t="s">
        <v>72</v>
      </c>
      <c r="G666">
        <v>0</v>
      </c>
      <c r="H666">
        <v>2E+20</v>
      </c>
      <c r="I666">
        <v>0</v>
      </c>
      <c r="J666">
        <v>0</v>
      </c>
      <c r="K666">
        <v>3</v>
      </c>
      <c r="L66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compartida)relojWait TimeEntity</v>
      </c>
      <c r="M666" s="5" cm="1">
        <f t="array" ref="M666">MAX(IF((ProjectInfoTable[ProjectName]=DiscreteStatsTable[[#This Row],[ProjectName]]),(ProjectInfoTable[ProjectName]=DiscreteStatsTable[[#This Row],[ProjectName]])*ProjectInfoTable[NumberOfReplications]))</f>
        <v>19</v>
      </c>
      <c r="N666" s="5" cm="1">
        <f t="array" ref="N666">IFERROR(AVERAGE(IF((DiscreteStatsTable[GroupByKey]=DiscreteStatsTable[[#This Row],[GroupByKey]]),(DiscreteStatsTable[GroupByKey]=DiscreteStatsTable[[#This Row],[GroupByKey]])*DiscreteStatsTable[Average])),0)</f>
        <v>0</v>
      </c>
      <c r="O666" s="5" cm="1">
        <f t="array" ref="O666">IFERROR(_xlfn.STDEV.S(IF((DiscreteStatsTable[GroupByKey]=DiscreteStatsTable[[#This Row],[GroupByKey]]),(DiscreteStatsTable[GroupByKey]=DiscreteStatsTable[[#This Row],[GroupByKey]])*DiscreteStatsTable[Average])),0)</f>
        <v>0</v>
      </c>
      <c r="P666" s="5" cm="1">
        <f t="array" ref="P666">MAX(IF((ProjectInfoTable[ProjectName]=DiscreteStatsTable[[#This Row],[ProjectName]]),(ProjectInfoTable[ProjectName]=DiscreteStatsTable[[#This Row],[ProjectName]])*ProjectInfoTable[ConfidenceInterval]))</f>
        <v>0.95</v>
      </c>
      <c r="Q666" s="5">
        <f>IF(AND(DiscreteStatsTable[[#This Row],[RepsWithStatObserved]]=1,Y666=0),200000000000000000000,IFERROR(_xlfn.T.INV.2T(1 -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6" s="5" cm="1">
        <f t="array" ref="R666">MIN(IF((DiscreteStatsTable[GroupByKey]=DiscreteStatsTable[[#This Row],[GroupByKey]]),(DiscreteStatsTable[GroupByKey]=DiscreteStatsTable[[#This Row],[GroupByKey]])*DiscreteStatsTable[Average]))</f>
        <v>0</v>
      </c>
      <c r="S666" s="5" cm="1">
        <f t="array" ref="S666">MAX(IF((DiscreteStatsTable[GroupByKey]=DiscreteStatsTable[[#This Row],[GroupByKey]]),(DiscreteStatsTable[GroupByKey]=DiscreteStatsTable[[#This Row],[GroupByKey]])*DiscreteStatsTable[Average]))</f>
        <v>0</v>
      </c>
      <c r="T666" s="5" cm="1">
        <f t="array" ref="T666">MIN(IF((DiscreteStatsTable[GroupByKey]=DiscreteStatsTable[[#This Row],[GroupByKey]]),(DiscreteStatsTable[GroupByKey]=DiscreteStatsTable[[#This Row],[GroupByKey]])*DiscreteStatsTable[Minimum]))</f>
        <v>0</v>
      </c>
      <c r="U666" s="5" cm="1">
        <f t="array" ref="U666">MAX(IF((DiscreteStatsTable[GroupByKey]=DiscreteStatsTable[[#This Row],[GroupByKey]]),(DiscreteStatsTable[GroupByKey]=DiscreteStatsTable[[#This Row],[GroupByKey]])*DiscreteStatsTable[Maximum]))</f>
        <v>0</v>
      </c>
      <c r="V666" s="5" cm="1">
        <f t="array" ref="V666">IFERROR(AVERAGE(IF((DiscreteStatsTable[GroupByKey]=DiscreteStatsTable[[#This Row],[GroupByKey]]),(DiscreteStatsTable[GroupByKey]=DiscreteStatsTable[[#This Row],[GroupByKey]])*DiscreteStatsTable[NumberObservations])),0)</f>
        <v>3</v>
      </c>
      <c r="W666" s="5">
        <f>IF((DiscreteStatsTable[[#This Row],[RepsRequested]]&gt;1),DiscreteStatsTable[[#This Row],[HalfWidth]],DiscreteStatsTable[[#This Row],[BatchMeansHalfWidth]])</f>
        <v>0</v>
      </c>
      <c r="X666" s="5" cm="1">
        <f t="array" ref="X666">COUNT(IF((DiscreteStatsTable[GroupByKey]=DiscreteStatsTable[[#This Row],[GroupByKey]]),(DiscreteStatsTable[GroupByKey]=DiscreteStatsTable[[#This Row],[GroupByKey]])*DiscreteStatsTable[Replication]))</f>
        <v>19</v>
      </c>
      <c r="Y666" s="5">
        <f>IF(DiscreteStatsTable[[#This Row],[RepsRequested]]=DiscreteStatsTable[[#This Row],[RepsWithStatObserved]],1,0)</f>
        <v>1</v>
      </c>
    </row>
    <row r="667" spans="1:25" x14ac:dyDescent="0.25">
      <c r="A667" t="s">
        <v>67</v>
      </c>
      <c r="B667" t="s">
        <v>69</v>
      </c>
      <c r="C667">
        <v>1</v>
      </c>
      <c r="D667" t="s">
        <v>105</v>
      </c>
      <c r="E667" t="s">
        <v>79</v>
      </c>
      <c r="F667" t="s">
        <v>80</v>
      </c>
      <c r="G667">
        <v>21.2089552841257</v>
      </c>
      <c r="H667">
        <v>2E+20</v>
      </c>
      <c r="I667">
        <v>0</v>
      </c>
      <c r="J667">
        <v>34.6364637997522</v>
      </c>
      <c r="K667">
        <v>19</v>
      </c>
      <c r="L66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compartida)TiempoEnMesaExpressionUser Specified</v>
      </c>
      <c r="M667" s="5" cm="1">
        <f t="array" ref="M667">MAX(IF((ProjectInfoTable[ProjectName]=DiscreteStatsTable[[#This Row],[ProjectName]]),(ProjectInfoTable[ProjectName]=DiscreteStatsTable[[#This Row],[ProjectName]])*ProjectInfoTable[NumberOfReplications]))</f>
        <v>19</v>
      </c>
      <c r="N667" s="5" cm="1">
        <f t="array" ref="N667">IFERROR(AVERAGE(IF((DiscreteStatsTable[GroupByKey]=DiscreteStatsTable[[#This Row],[GroupByKey]]),(DiscreteStatsTable[GroupByKey]=DiscreteStatsTable[[#This Row],[GroupByKey]])*DiscreteStatsTable[Average])),0)</f>
        <v>17.714336330412955</v>
      </c>
      <c r="O667" s="5" cm="1">
        <f t="array" ref="O667">IFERROR(_xlfn.STDEV.S(IF((DiscreteStatsTable[GroupByKey]=DiscreteStatsTable[[#This Row],[GroupByKey]]),(DiscreteStatsTable[GroupByKey]=DiscreteStatsTable[[#This Row],[GroupByKey]])*DiscreteStatsTable[Average])),0)</f>
        <v>2.9087308458074794</v>
      </c>
      <c r="P667" s="5" cm="1">
        <f t="array" ref="P667">MAX(IF((ProjectInfoTable[ProjectName]=DiscreteStatsTable[[#This Row],[ProjectName]]),(ProjectInfoTable[ProjectName]=DiscreteStatsTable[[#This Row],[ProjectName]])*ProjectInfoTable[ConfidenceInterval]))</f>
        <v>0.95</v>
      </c>
      <c r="Q667" s="5">
        <f>IF(AND(DiscreteStatsTable[[#This Row],[RepsWithStatObserved]]=1,Y667=0),200000000000000000000,IFERROR(_xlfn.T.INV.2T(1 -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667" s="5" cm="1">
        <f t="array" ref="R667">MIN(IF((DiscreteStatsTable[GroupByKey]=DiscreteStatsTable[[#This Row],[GroupByKey]]),(DiscreteStatsTable[GroupByKey]=DiscreteStatsTable[[#This Row],[GroupByKey]])*DiscreteStatsTable[Average]))</f>
        <v>13.101063207922801</v>
      </c>
      <c r="S667" s="5" cm="1">
        <f t="array" ref="S667">MAX(IF((DiscreteStatsTable[GroupByKey]=DiscreteStatsTable[[#This Row],[GroupByKey]]),(DiscreteStatsTable[GroupByKey]=DiscreteStatsTable[[#This Row],[GroupByKey]])*DiscreteStatsTable[Average]))</f>
        <v>22.975696741341299</v>
      </c>
      <c r="T667" s="5" cm="1">
        <f t="array" ref="T667">MIN(IF((DiscreteStatsTable[GroupByKey]=DiscreteStatsTable[[#This Row],[GroupByKey]]),(DiscreteStatsTable[GroupByKey]=DiscreteStatsTable[[#This Row],[GroupByKey]])*DiscreteStatsTable[Minimum]))</f>
        <v>0</v>
      </c>
      <c r="U667" s="5" cm="1">
        <f t="array" ref="U667">MAX(IF((DiscreteStatsTable[GroupByKey]=DiscreteStatsTable[[#This Row],[GroupByKey]]),(DiscreteStatsTable[GroupByKey]=DiscreteStatsTable[[#This Row],[GroupByKey]])*DiscreteStatsTable[Maximum]))</f>
        <v>47.092378696302802</v>
      </c>
      <c r="V667" s="5" cm="1">
        <f t="array" ref="V667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67" s="5">
        <f>IF((DiscreteStatsTable[[#This Row],[RepsRequested]]&gt;1),DiscreteStatsTable[[#This Row],[HalfWidth]],DiscreteStatsTable[[#This Row],[BatchMeansHalfWidth]])</f>
        <v>1.4019633908103393</v>
      </c>
      <c r="X667" s="5" cm="1">
        <f t="array" ref="X667">COUNT(IF((DiscreteStatsTable[GroupByKey]=DiscreteStatsTable[[#This Row],[GroupByKey]]),(DiscreteStatsTable[GroupByKey]=DiscreteStatsTable[[#This Row],[GroupByKey]])*DiscreteStatsTable[Replication]))</f>
        <v>19</v>
      </c>
      <c r="Y667" s="5">
        <f>IF(DiscreteStatsTable[[#This Row],[RepsRequested]]=DiscreteStatsTable[[#This Row],[RepsWithStatObserved]],1,0)</f>
        <v>1</v>
      </c>
    </row>
    <row r="668" spans="1:25" x14ac:dyDescent="0.25">
      <c r="A668" t="s">
        <v>67</v>
      </c>
      <c r="B668" t="s">
        <v>69</v>
      </c>
      <c r="C668">
        <v>2</v>
      </c>
      <c r="D668" t="s">
        <v>105</v>
      </c>
      <c r="E668" t="s">
        <v>79</v>
      </c>
      <c r="F668" t="s">
        <v>80</v>
      </c>
      <c r="G668">
        <v>19.6313420657176</v>
      </c>
      <c r="H668">
        <v>2E+20</v>
      </c>
      <c r="I668">
        <v>9.9444268178419204</v>
      </c>
      <c r="J668">
        <v>27.9315255641779</v>
      </c>
      <c r="K668">
        <v>8</v>
      </c>
      <c r="L66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compartida)TiempoEnMesaExpressionUser Specified</v>
      </c>
      <c r="M668" s="5" cm="1">
        <f t="array" ref="M668">MAX(IF((ProjectInfoTable[ProjectName]=DiscreteStatsTable[[#This Row],[ProjectName]]),(ProjectInfoTable[ProjectName]=DiscreteStatsTable[[#This Row],[ProjectName]])*ProjectInfoTable[NumberOfReplications]))</f>
        <v>19</v>
      </c>
      <c r="N668" s="5" cm="1">
        <f t="array" ref="N668">IFERROR(AVERAGE(IF((DiscreteStatsTable[GroupByKey]=DiscreteStatsTable[[#This Row],[GroupByKey]]),(DiscreteStatsTable[GroupByKey]=DiscreteStatsTable[[#This Row],[GroupByKey]])*DiscreteStatsTable[Average])),0)</f>
        <v>17.714336330412955</v>
      </c>
      <c r="O668" s="5" cm="1">
        <f t="array" ref="O668">IFERROR(_xlfn.STDEV.S(IF((DiscreteStatsTable[GroupByKey]=DiscreteStatsTable[[#This Row],[GroupByKey]]),(DiscreteStatsTable[GroupByKey]=DiscreteStatsTable[[#This Row],[GroupByKey]])*DiscreteStatsTable[Average])),0)</f>
        <v>2.9087308458074794</v>
      </c>
      <c r="P668" s="5" cm="1">
        <f t="array" ref="P668">MAX(IF((ProjectInfoTable[ProjectName]=DiscreteStatsTable[[#This Row],[ProjectName]]),(ProjectInfoTable[ProjectName]=DiscreteStatsTable[[#This Row],[ProjectName]])*ProjectInfoTable[ConfidenceInterval]))</f>
        <v>0.95</v>
      </c>
      <c r="Q668" s="5">
        <f>IF(AND(DiscreteStatsTable[[#This Row],[RepsWithStatObserved]]=1,Y668=0),200000000000000000000,IFERROR(_xlfn.T.INV.2T(1 -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668" s="5" cm="1">
        <f t="array" ref="R668">MIN(IF((DiscreteStatsTable[GroupByKey]=DiscreteStatsTable[[#This Row],[GroupByKey]]),(DiscreteStatsTable[GroupByKey]=DiscreteStatsTable[[#This Row],[GroupByKey]])*DiscreteStatsTable[Average]))</f>
        <v>13.101063207922801</v>
      </c>
      <c r="S668" s="5" cm="1">
        <f t="array" ref="S668">MAX(IF((DiscreteStatsTable[GroupByKey]=DiscreteStatsTable[[#This Row],[GroupByKey]]),(DiscreteStatsTable[GroupByKey]=DiscreteStatsTable[[#This Row],[GroupByKey]])*DiscreteStatsTable[Average]))</f>
        <v>22.975696741341299</v>
      </c>
      <c r="T668" s="5" cm="1">
        <f t="array" ref="T668">MIN(IF((DiscreteStatsTable[GroupByKey]=DiscreteStatsTable[[#This Row],[GroupByKey]]),(DiscreteStatsTable[GroupByKey]=DiscreteStatsTable[[#This Row],[GroupByKey]])*DiscreteStatsTable[Minimum]))</f>
        <v>0</v>
      </c>
      <c r="U668" s="5" cm="1">
        <f t="array" ref="U668">MAX(IF((DiscreteStatsTable[GroupByKey]=DiscreteStatsTable[[#This Row],[GroupByKey]]),(DiscreteStatsTable[GroupByKey]=DiscreteStatsTable[[#This Row],[GroupByKey]])*DiscreteStatsTable[Maximum]))</f>
        <v>47.092378696302802</v>
      </c>
      <c r="V668" s="5" cm="1">
        <f t="array" ref="V668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68" s="5">
        <f>IF((DiscreteStatsTable[[#This Row],[RepsRequested]]&gt;1),DiscreteStatsTable[[#This Row],[HalfWidth]],DiscreteStatsTable[[#This Row],[BatchMeansHalfWidth]])</f>
        <v>1.4019633908103393</v>
      </c>
      <c r="X668" s="5" cm="1">
        <f t="array" ref="X668">COUNT(IF((DiscreteStatsTable[GroupByKey]=DiscreteStatsTable[[#This Row],[GroupByKey]]),(DiscreteStatsTable[GroupByKey]=DiscreteStatsTable[[#This Row],[GroupByKey]])*DiscreteStatsTable[Replication]))</f>
        <v>19</v>
      </c>
      <c r="Y668" s="5">
        <f>IF(DiscreteStatsTable[[#This Row],[RepsRequested]]=DiscreteStatsTable[[#This Row],[RepsWithStatObserved]],1,0)</f>
        <v>1</v>
      </c>
    </row>
    <row r="669" spans="1:25" x14ac:dyDescent="0.25">
      <c r="A669" t="s">
        <v>67</v>
      </c>
      <c r="B669" t="s">
        <v>69</v>
      </c>
      <c r="C669">
        <v>3</v>
      </c>
      <c r="D669" t="s">
        <v>105</v>
      </c>
      <c r="E669" t="s">
        <v>79</v>
      </c>
      <c r="F669" t="s">
        <v>80</v>
      </c>
      <c r="G669">
        <v>20.508291855783199</v>
      </c>
      <c r="H669">
        <v>2E+20</v>
      </c>
      <c r="I669">
        <v>6.0706382337500003E-2</v>
      </c>
      <c r="J669">
        <v>47.092378696302802</v>
      </c>
      <c r="K669">
        <v>16</v>
      </c>
      <c r="L66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compartida)TiempoEnMesaExpressionUser Specified</v>
      </c>
      <c r="M669" s="5" cm="1">
        <f t="array" ref="M669">MAX(IF((ProjectInfoTable[ProjectName]=DiscreteStatsTable[[#This Row],[ProjectName]]),(ProjectInfoTable[ProjectName]=DiscreteStatsTable[[#This Row],[ProjectName]])*ProjectInfoTable[NumberOfReplications]))</f>
        <v>19</v>
      </c>
      <c r="N669" s="5" cm="1">
        <f t="array" ref="N669">IFERROR(AVERAGE(IF((DiscreteStatsTable[GroupByKey]=DiscreteStatsTable[[#This Row],[GroupByKey]]),(DiscreteStatsTable[GroupByKey]=DiscreteStatsTable[[#This Row],[GroupByKey]])*DiscreteStatsTable[Average])),0)</f>
        <v>17.714336330412955</v>
      </c>
      <c r="O669" s="5" cm="1">
        <f t="array" ref="O669">IFERROR(_xlfn.STDEV.S(IF((DiscreteStatsTable[GroupByKey]=DiscreteStatsTable[[#This Row],[GroupByKey]]),(DiscreteStatsTable[GroupByKey]=DiscreteStatsTable[[#This Row],[GroupByKey]])*DiscreteStatsTable[Average])),0)</f>
        <v>2.9087308458074794</v>
      </c>
      <c r="P669" s="5" cm="1">
        <f t="array" ref="P669">MAX(IF((ProjectInfoTable[ProjectName]=DiscreteStatsTable[[#This Row],[ProjectName]]),(ProjectInfoTable[ProjectName]=DiscreteStatsTable[[#This Row],[ProjectName]])*ProjectInfoTable[ConfidenceInterval]))</f>
        <v>0.95</v>
      </c>
      <c r="Q669" s="5">
        <f>IF(AND(DiscreteStatsTable[[#This Row],[RepsWithStatObserved]]=1,Y669=0),200000000000000000000,IFERROR(_xlfn.T.INV.2T(1 -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669" s="5" cm="1">
        <f t="array" ref="R669">MIN(IF((DiscreteStatsTable[GroupByKey]=DiscreteStatsTable[[#This Row],[GroupByKey]]),(DiscreteStatsTable[GroupByKey]=DiscreteStatsTable[[#This Row],[GroupByKey]])*DiscreteStatsTable[Average]))</f>
        <v>13.101063207922801</v>
      </c>
      <c r="S669" s="5" cm="1">
        <f t="array" ref="S669">MAX(IF((DiscreteStatsTable[GroupByKey]=DiscreteStatsTable[[#This Row],[GroupByKey]]),(DiscreteStatsTable[GroupByKey]=DiscreteStatsTable[[#This Row],[GroupByKey]])*DiscreteStatsTable[Average]))</f>
        <v>22.975696741341299</v>
      </c>
      <c r="T669" s="5" cm="1">
        <f t="array" ref="T669">MIN(IF((DiscreteStatsTable[GroupByKey]=DiscreteStatsTable[[#This Row],[GroupByKey]]),(DiscreteStatsTable[GroupByKey]=DiscreteStatsTable[[#This Row],[GroupByKey]])*DiscreteStatsTable[Minimum]))</f>
        <v>0</v>
      </c>
      <c r="U669" s="5" cm="1">
        <f t="array" ref="U669">MAX(IF((DiscreteStatsTable[GroupByKey]=DiscreteStatsTable[[#This Row],[GroupByKey]]),(DiscreteStatsTable[GroupByKey]=DiscreteStatsTable[[#This Row],[GroupByKey]])*DiscreteStatsTable[Maximum]))</f>
        <v>47.092378696302802</v>
      </c>
      <c r="V669" s="5" cm="1">
        <f t="array" ref="V669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69" s="5">
        <f>IF((DiscreteStatsTable[[#This Row],[RepsRequested]]&gt;1),DiscreteStatsTable[[#This Row],[HalfWidth]],DiscreteStatsTable[[#This Row],[BatchMeansHalfWidth]])</f>
        <v>1.4019633908103393</v>
      </c>
      <c r="X669" s="5" cm="1">
        <f t="array" ref="X669">COUNT(IF((DiscreteStatsTable[GroupByKey]=DiscreteStatsTable[[#This Row],[GroupByKey]]),(DiscreteStatsTable[GroupByKey]=DiscreteStatsTable[[#This Row],[GroupByKey]])*DiscreteStatsTable[Replication]))</f>
        <v>19</v>
      </c>
      <c r="Y669" s="5">
        <f>IF(DiscreteStatsTable[[#This Row],[RepsRequested]]=DiscreteStatsTable[[#This Row],[RepsWithStatObserved]],1,0)</f>
        <v>1</v>
      </c>
    </row>
    <row r="670" spans="1:25" x14ac:dyDescent="0.25">
      <c r="A670" t="s">
        <v>67</v>
      </c>
      <c r="B670" t="s">
        <v>69</v>
      </c>
      <c r="C670">
        <v>4</v>
      </c>
      <c r="D670" t="s">
        <v>105</v>
      </c>
      <c r="E670" t="s">
        <v>79</v>
      </c>
      <c r="F670" t="s">
        <v>80</v>
      </c>
      <c r="G670">
        <v>14.414452128519001</v>
      </c>
      <c r="H670">
        <v>2E+20</v>
      </c>
      <c r="I670">
        <v>5.3427333269881103</v>
      </c>
      <c r="J670">
        <v>30.217503219100902</v>
      </c>
      <c r="K670">
        <v>15</v>
      </c>
      <c r="L67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compartida)TiempoEnMesaExpressionUser Specified</v>
      </c>
      <c r="M670" s="5" cm="1">
        <f t="array" ref="M670">MAX(IF((ProjectInfoTable[ProjectName]=DiscreteStatsTable[[#This Row],[ProjectName]]),(ProjectInfoTable[ProjectName]=DiscreteStatsTable[[#This Row],[ProjectName]])*ProjectInfoTable[NumberOfReplications]))</f>
        <v>19</v>
      </c>
      <c r="N670" s="5" cm="1">
        <f t="array" ref="N670">IFERROR(AVERAGE(IF((DiscreteStatsTable[GroupByKey]=DiscreteStatsTable[[#This Row],[GroupByKey]]),(DiscreteStatsTable[GroupByKey]=DiscreteStatsTable[[#This Row],[GroupByKey]])*DiscreteStatsTable[Average])),0)</f>
        <v>17.714336330412955</v>
      </c>
      <c r="O670" s="5" cm="1">
        <f t="array" ref="O670">IFERROR(_xlfn.STDEV.S(IF((DiscreteStatsTable[GroupByKey]=DiscreteStatsTable[[#This Row],[GroupByKey]]),(DiscreteStatsTable[GroupByKey]=DiscreteStatsTable[[#This Row],[GroupByKey]])*DiscreteStatsTable[Average])),0)</f>
        <v>2.9087308458074794</v>
      </c>
      <c r="P670" s="5" cm="1">
        <f t="array" ref="P670">MAX(IF((ProjectInfoTable[ProjectName]=DiscreteStatsTable[[#This Row],[ProjectName]]),(ProjectInfoTable[ProjectName]=DiscreteStatsTable[[#This Row],[ProjectName]])*ProjectInfoTable[ConfidenceInterval]))</f>
        <v>0.95</v>
      </c>
      <c r="Q670" s="5">
        <f>IF(AND(DiscreteStatsTable[[#This Row],[RepsWithStatObserved]]=1,Y670=0),200000000000000000000,IFERROR(_xlfn.T.INV.2T(1 -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670" s="5" cm="1">
        <f t="array" ref="R670">MIN(IF((DiscreteStatsTable[GroupByKey]=DiscreteStatsTable[[#This Row],[GroupByKey]]),(DiscreteStatsTable[GroupByKey]=DiscreteStatsTable[[#This Row],[GroupByKey]])*DiscreteStatsTable[Average]))</f>
        <v>13.101063207922801</v>
      </c>
      <c r="S670" s="5" cm="1">
        <f t="array" ref="S670">MAX(IF((DiscreteStatsTable[GroupByKey]=DiscreteStatsTable[[#This Row],[GroupByKey]]),(DiscreteStatsTable[GroupByKey]=DiscreteStatsTable[[#This Row],[GroupByKey]])*DiscreteStatsTable[Average]))</f>
        <v>22.975696741341299</v>
      </c>
      <c r="T670" s="5" cm="1">
        <f t="array" ref="T670">MIN(IF((DiscreteStatsTable[GroupByKey]=DiscreteStatsTable[[#This Row],[GroupByKey]]),(DiscreteStatsTable[GroupByKey]=DiscreteStatsTable[[#This Row],[GroupByKey]])*DiscreteStatsTable[Minimum]))</f>
        <v>0</v>
      </c>
      <c r="U670" s="5" cm="1">
        <f t="array" ref="U670">MAX(IF((DiscreteStatsTable[GroupByKey]=DiscreteStatsTable[[#This Row],[GroupByKey]]),(DiscreteStatsTable[GroupByKey]=DiscreteStatsTable[[#This Row],[GroupByKey]])*DiscreteStatsTable[Maximum]))</f>
        <v>47.092378696302802</v>
      </c>
      <c r="V670" s="5" cm="1">
        <f t="array" ref="V670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70" s="5">
        <f>IF((DiscreteStatsTable[[#This Row],[RepsRequested]]&gt;1),DiscreteStatsTable[[#This Row],[HalfWidth]],DiscreteStatsTable[[#This Row],[BatchMeansHalfWidth]])</f>
        <v>1.4019633908103393</v>
      </c>
      <c r="X670" s="5" cm="1">
        <f t="array" ref="X670">COUNT(IF((DiscreteStatsTable[GroupByKey]=DiscreteStatsTable[[#This Row],[GroupByKey]]),(DiscreteStatsTable[GroupByKey]=DiscreteStatsTable[[#This Row],[GroupByKey]])*DiscreteStatsTable[Replication]))</f>
        <v>19</v>
      </c>
      <c r="Y670" s="5">
        <f>IF(DiscreteStatsTable[[#This Row],[RepsRequested]]=DiscreteStatsTable[[#This Row],[RepsWithStatObserved]],1,0)</f>
        <v>1</v>
      </c>
    </row>
    <row r="671" spans="1:25" x14ac:dyDescent="0.25">
      <c r="A671" t="s">
        <v>67</v>
      </c>
      <c r="B671" t="s">
        <v>69</v>
      </c>
      <c r="C671">
        <v>5</v>
      </c>
      <c r="D671" t="s">
        <v>105</v>
      </c>
      <c r="E671" t="s">
        <v>79</v>
      </c>
      <c r="F671" t="s">
        <v>80</v>
      </c>
      <c r="G671">
        <v>19.1282213603067</v>
      </c>
      <c r="H671">
        <v>2E+20</v>
      </c>
      <c r="I671">
        <v>0</v>
      </c>
      <c r="J671">
        <v>28.701319724811999</v>
      </c>
      <c r="K671">
        <v>15</v>
      </c>
      <c r="L67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compartida)TiempoEnMesaExpressionUser Specified</v>
      </c>
      <c r="M671" s="5" cm="1">
        <f t="array" ref="M671">MAX(IF((ProjectInfoTable[ProjectName]=DiscreteStatsTable[[#This Row],[ProjectName]]),(ProjectInfoTable[ProjectName]=DiscreteStatsTable[[#This Row],[ProjectName]])*ProjectInfoTable[NumberOfReplications]))</f>
        <v>19</v>
      </c>
      <c r="N671" s="5" cm="1">
        <f t="array" ref="N671">IFERROR(AVERAGE(IF((DiscreteStatsTable[GroupByKey]=DiscreteStatsTable[[#This Row],[GroupByKey]]),(DiscreteStatsTable[GroupByKey]=DiscreteStatsTable[[#This Row],[GroupByKey]])*DiscreteStatsTable[Average])),0)</f>
        <v>17.714336330412955</v>
      </c>
      <c r="O671" s="5" cm="1">
        <f t="array" ref="O671">IFERROR(_xlfn.STDEV.S(IF((DiscreteStatsTable[GroupByKey]=DiscreteStatsTable[[#This Row],[GroupByKey]]),(DiscreteStatsTable[GroupByKey]=DiscreteStatsTable[[#This Row],[GroupByKey]])*DiscreteStatsTable[Average])),0)</f>
        <v>2.9087308458074794</v>
      </c>
      <c r="P671" s="5" cm="1">
        <f t="array" ref="P671">MAX(IF((ProjectInfoTable[ProjectName]=DiscreteStatsTable[[#This Row],[ProjectName]]),(ProjectInfoTable[ProjectName]=DiscreteStatsTable[[#This Row],[ProjectName]])*ProjectInfoTable[ConfidenceInterval]))</f>
        <v>0.95</v>
      </c>
      <c r="Q671" s="5">
        <f>IF(AND(DiscreteStatsTable[[#This Row],[RepsWithStatObserved]]=1,Y671=0),200000000000000000000,IFERROR(_xlfn.T.INV.2T(1 -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671" s="5" cm="1">
        <f t="array" ref="R671">MIN(IF((DiscreteStatsTable[GroupByKey]=DiscreteStatsTable[[#This Row],[GroupByKey]]),(DiscreteStatsTable[GroupByKey]=DiscreteStatsTable[[#This Row],[GroupByKey]])*DiscreteStatsTable[Average]))</f>
        <v>13.101063207922801</v>
      </c>
      <c r="S671" s="5" cm="1">
        <f t="array" ref="S671">MAX(IF((DiscreteStatsTable[GroupByKey]=DiscreteStatsTable[[#This Row],[GroupByKey]]),(DiscreteStatsTable[GroupByKey]=DiscreteStatsTable[[#This Row],[GroupByKey]])*DiscreteStatsTable[Average]))</f>
        <v>22.975696741341299</v>
      </c>
      <c r="T671" s="5" cm="1">
        <f t="array" ref="T671">MIN(IF((DiscreteStatsTable[GroupByKey]=DiscreteStatsTable[[#This Row],[GroupByKey]]),(DiscreteStatsTable[GroupByKey]=DiscreteStatsTable[[#This Row],[GroupByKey]])*DiscreteStatsTable[Minimum]))</f>
        <v>0</v>
      </c>
      <c r="U671" s="5" cm="1">
        <f t="array" ref="U671">MAX(IF((DiscreteStatsTable[GroupByKey]=DiscreteStatsTable[[#This Row],[GroupByKey]]),(DiscreteStatsTable[GroupByKey]=DiscreteStatsTable[[#This Row],[GroupByKey]])*DiscreteStatsTable[Maximum]))</f>
        <v>47.092378696302802</v>
      </c>
      <c r="V671" s="5" cm="1">
        <f t="array" ref="V671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71" s="5">
        <f>IF((DiscreteStatsTable[[#This Row],[RepsRequested]]&gt;1),DiscreteStatsTable[[#This Row],[HalfWidth]],DiscreteStatsTable[[#This Row],[BatchMeansHalfWidth]])</f>
        <v>1.4019633908103393</v>
      </c>
      <c r="X671" s="5" cm="1">
        <f t="array" ref="X671">COUNT(IF((DiscreteStatsTable[GroupByKey]=DiscreteStatsTable[[#This Row],[GroupByKey]]),(DiscreteStatsTable[GroupByKey]=DiscreteStatsTable[[#This Row],[GroupByKey]])*DiscreteStatsTable[Replication]))</f>
        <v>19</v>
      </c>
      <c r="Y671" s="5">
        <f>IF(DiscreteStatsTable[[#This Row],[RepsRequested]]=DiscreteStatsTable[[#This Row],[RepsWithStatObserved]],1,0)</f>
        <v>1</v>
      </c>
    </row>
    <row r="672" spans="1:25" x14ac:dyDescent="0.25">
      <c r="A672" t="s">
        <v>67</v>
      </c>
      <c r="B672" t="s">
        <v>69</v>
      </c>
      <c r="C672">
        <v>6</v>
      </c>
      <c r="D672" t="s">
        <v>105</v>
      </c>
      <c r="E672" t="s">
        <v>79</v>
      </c>
      <c r="F672" t="s">
        <v>80</v>
      </c>
      <c r="G672">
        <v>15.9568624069253</v>
      </c>
      <c r="H672">
        <v>2E+20</v>
      </c>
      <c r="I672">
        <v>0</v>
      </c>
      <c r="J672">
        <v>30.271633287238298</v>
      </c>
      <c r="K672">
        <v>17</v>
      </c>
      <c r="L67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compartida)TiempoEnMesaExpressionUser Specified</v>
      </c>
      <c r="M672" s="5" cm="1">
        <f t="array" ref="M672">MAX(IF((ProjectInfoTable[ProjectName]=DiscreteStatsTable[[#This Row],[ProjectName]]),(ProjectInfoTable[ProjectName]=DiscreteStatsTable[[#This Row],[ProjectName]])*ProjectInfoTable[NumberOfReplications]))</f>
        <v>19</v>
      </c>
      <c r="N672" s="5" cm="1">
        <f t="array" ref="N672">IFERROR(AVERAGE(IF((DiscreteStatsTable[GroupByKey]=DiscreteStatsTable[[#This Row],[GroupByKey]]),(DiscreteStatsTable[GroupByKey]=DiscreteStatsTable[[#This Row],[GroupByKey]])*DiscreteStatsTable[Average])),0)</f>
        <v>17.714336330412955</v>
      </c>
      <c r="O672" s="5" cm="1">
        <f t="array" ref="O672">IFERROR(_xlfn.STDEV.S(IF((DiscreteStatsTable[GroupByKey]=DiscreteStatsTable[[#This Row],[GroupByKey]]),(DiscreteStatsTable[GroupByKey]=DiscreteStatsTable[[#This Row],[GroupByKey]])*DiscreteStatsTable[Average])),0)</f>
        <v>2.9087308458074794</v>
      </c>
      <c r="P672" s="5" cm="1">
        <f t="array" ref="P672">MAX(IF((ProjectInfoTable[ProjectName]=DiscreteStatsTable[[#This Row],[ProjectName]]),(ProjectInfoTable[ProjectName]=DiscreteStatsTable[[#This Row],[ProjectName]])*ProjectInfoTable[ConfidenceInterval]))</f>
        <v>0.95</v>
      </c>
      <c r="Q672" s="5">
        <f>IF(AND(DiscreteStatsTable[[#This Row],[RepsWithStatObserved]]=1,Y672=0),200000000000000000000,IFERROR(_xlfn.T.INV.2T(1 -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672" s="5" cm="1">
        <f t="array" ref="R672">MIN(IF((DiscreteStatsTable[GroupByKey]=DiscreteStatsTable[[#This Row],[GroupByKey]]),(DiscreteStatsTable[GroupByKey]=DiscreteStatsTable[[#This Row],[GroupByKey]])*DiscreteStatsTable[Average]))</f>
        <v>13.101063207922801</v>
      </c>
      <c r="S672" s="5" cm="1">
        <f t="array" ref="S672">MAX(IF((DiscreteStatsTable[GroupByKey]=DiscreteStatsTable[[#This Row],[GroupByKey]]),(DiscreteStatsTable[GroupByKey]=DiscreteStatsTable[[#This Row],[GroupByKey]])*DiscreteStatsTable[Average]))</f>
        <v>22.975696741341299</v>
      </c>
      <c r="T672" s="5" cm="1">
        <f t="array" ref="T672">MIN(IF((DiscreteStatsTable[GroupByKey]=DiscreteStatsTable[[#This Row],[GroupByKey]]),(DiscreteStatsTable[GroupByKey]=DiscreteStatsTable[[#This Row],[GroupByKey]])*DiscreteStatsTable[Minimum]))</f>
        <v>0</v>
      </c>
      <c r="U672" s="5" cm="1">
        <f t="array" ref="U672">MAX(IF((DiscreteStatsTable[GroupByKey]=DiscreteStatsTable[[#This Row],[GroupByKey]]),(DiscreteStatsTable[GroupByKey]=DiscreteStatsTable[[#This Row],[GroupByKey]])*DiscreteStatsTable[Maximum]))</f>
        <v>47.092378696302802</v>
      </c>
      <c r="V672" s="5" cm="1">
        <f t="array" ref="V672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72" s="5">
        <f>IF((DiscreteStatsTable[[#This Row],[RepsRequested]]&gt;1),DiscreteStatsTable[[#This Row],[HalfWidth]],DiscreteStatsTable[[#This Row],[BatchMeansHalfWidth]])</f>
        <v>1.4019633908103393</v>
      </c>
      <c r="X672" s="5" cm="1">
        <f t="array" ref="X672">COUNT(IF((DiscreteStatsTable[GroupByKey]=DiscreteStatsTable[[#This Row],[GroupByKey]]),(DiscreteStatsTable[GroupByKey]=DiscreteStatsTable[[#This Row],[GroupByKey]])*DiscreteStatsTable[Replication]))</f>
        <v>19</v>
      </c>
      <c r="Y672" s="5">
        <f>IF(DiscreteStatsTable[[#This Row],[RepsRequested]]=DiscreteStatsTable[[#This Row],[RepsWithStatObserved]],1,0)</f>
        <v>1</v>
      </c>
    </row>
    <row r="673" spans="1:25" x14ac:dyDescent="0.25">
      <c r="A673" t="s">
        <v>67</v>
      </c>
      <c r="B673" t="s">
        <v>69</v>
      </c>
      <c r="C673">
        <v>7</v>
      </c>
      <c r="D673" t="s">
        <v>105</v>
      </c>
      <c r="E673" t="s">
        <v>79</v>
      </c>
      <c r="F673" t="s">
        <v>80</v>
      </c>
      <c r="G673">
        <v>13.952545113918999</v>
      </c>
      <c r="H673">
        <v>2E+20</v>
      </c>
      <c r="I673">
        <v>0</v>
      </c>
      <c r="J673">
        <v>28.226229639215401</v>
      </c>
      <c r="K673">
        <v>19</v>
      </c>
      <c r="L67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compartida)TiempoEnMesaExpressionUser Specified</v>
      </c>
      <c r="M673" s="5" cm="1">
        <f t="array" ref="M673">MAX(IF((ProjectInfoTable[ProjectName]=DiscreteStatsTable[[#This Row],[ProjectName]]),(ProjectInfoTable[ProjectName]=DiscreteStatsTable[[#This Row],[ProjectName]])*ProjectInfoTable[NumberOfReplications]))</f>
        <v>19</v>
      </c>
      <c r="N673" s="5" cm="1">
        <f t="array" ref="N673">IFERROR(AVERAGE(IF((DiscreteStatsTable[GroupByKey]=DiscreteStatsTable[[#This Row],[GroupByKey]]),(DiscreteStatsTable[GroupByKey]=DiscreteStatsTable[[#This Row],[GroupByKey]])*DiscreteStatsTable[Average])),0)</f>
        <v>17.714336330412955</v>
      </c>
      <c r="O673" s="5" cm="1">
        <f t="array" ref="O673">IFERROR(_xlfn.STDEV.S(IF((DiscreteStatsTable[GroupByKey]=DiscreteStatsTable[[#This Row],[GroupByKey]]),(DiscreteStatsTable[GroupByKey]=DiscreteStatsTable[[#This Row],[GroupByKey]])*DiscreteStatsTable[Average])),0)</f>
        <v>2.9087308458074794</v>
      </c>
      <c r="P673" s="5" cm="1">
        <f t="array" ref="P673">MAX(IF((ProjectInfoTable[ProjectName]=DiscreteStatsTable[[#This Row],[ProjectName]]),(ProjectInfoTable[ProjectName]=DiscreteStatsTable[[#This Row],[ProjectName]])*ProjectInfoTable[ConfidenceInterval]))</f>
        <v>0.95</v>
      </c>
      <c r="Q673" s="5">
        <f>IF(AND(DiscreteStatsTable[[#This Row],[RepsWithStatObserved]]=1,Y673=0),200000000000000000000,IFERROR(_xlfn.T.INV.2T(1 -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673" s="5" cm="1">
        <f t="array" ref="R673">MIN(IF((DiscreteStatsTable[GroupByKey]=DiscreteStatsTable[[#This Row],[GroupByKey]]),(DiscreteStatsTable[GroupByKey]=DiscreteStatsTable[[#This Row],[GroupByKey]])*DiscreteStatsTable[Average]))</f>
        <v>13.101063207922801</v>
      </c>
      <c r="S673" s="5" cm="1">
        <f t="array" ref="S673">MAX(IF((DiscreteStatsTable[GroupByKey]=DiscreteStatsTable[[#This Row],[GroupByKey]]),(DiscreteStatsTable[GroupByKey]=DiscreteStatsTable[[#This Row],[GroupByKey]])*DiscreteStatsTable[Average]))</f>
        <v>22.975696741341299</v>
      </c>
      <c r="T673" s="5" cm="1">
        <f t="array" ref="T673">MIN(IF((DiscreteStatsTable[GroupByKey]=DiscreteStatsTable[[#This Row],[GroupByKey]]),(DiscreteStatsTable[GroupByKey]=DiscreteStatsTable[[#This Row],[GroupByKey]])*DiscreteStatsTable[Minimum]))</f>
        <v>0</v>
      </c>
      <c r="U673" s="5" cm="1">
        <f t="array" ref="U673">MAX(IF((DiscreteStatsTable[GroupByKey]=DiscreteStatsTable[[#This Row],[GroupByKey]]),(DiscreteStatsTable[GroupByKey]=DiscreteStatsTable[[#This Row],[GroupByKey]])*DiscreteStatsTable[Maximum]))</f>
        <v>47.092378696302802</v>
      </c>
      <c r="V673" s="5" cm="1">
        <f t="array" ref="V673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73" s="5">
        <f>IF((DiscreteStatsTable[[#This Row],[RepsRequested]]&gt;1),DiscreteStatsTable[[#This Row],[HalfWidth]],DiscreteStatsTable[[#This Row],[BatchMeansHalfWidth]])</f>
        <v>1.4019633908103393</v>
      </c>
      <c r="X673" s="5" cm="1">
        <f t="array" ref="X673">COUNT(IF((DiscreteStatsTable[GroupByKey]=DiscreteStatsTable[[#This Row],[GroupByKey]]),(DiscreteStatsTable[GroupByKey]=DiscreteStatsTable[[#This Row],[GroupByKey]])*DiscreteStatsTable[Replication]))</f>
        <v>19</v>
      </c>
      <c r="Y673" s="5">
        <f>IF(DiscreteStatsTable[[#This Row],[RepsRequested]]=DiscreteStatsTable[[#This Row],[RepsWithStatObserved]],1,0)</f>
        <v>1</v>
      </c>
    </row>
    <row r="674" spans="1:25" x14ac:dyDescent="0.25">
      <c r="A674" t="s">
        <v>67</v>
      </c>
      <c r="B674" t="s">
        <v>69</v>
      </c>
      <c r="C674">
        <v>8</v>
      </c>
      <c r="D674" t="s">
        <v>105</v>
      </c>
      <c r="E674" t="s">
        <v>79</v>
      </c>
      <c r="F674" t="s">
        <v>80</v>
      </c>
      <c r="G674">
        <v>17.724345469077701</v>
      </c>
      <c r="H674">
        <v>2E+20</v>
      </c>
      <c r="I674">
        <v>0</v>
      </c>
      <c r="J674">
        <v>28.942651805576201</v>
      </c>
      <c r="K674">
        <v>16</v>
      </c>
      <c r="L67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compartida)TiempoEnMesaExpressionUser Specified</v>
      </c>
      <c r="M674" s="5" cm="1">
        <f t="array" ref="M674">MAX(IF((ProjectInfoTable[ProjectName]=DiscreteStatsTable[[#This Row],[ProjectName]]),(ProjectInfoTable[ProjectName]=DiscreteStatsTable[[#This Row],[ProjectName]])*ProjectInfoTable[NumberOfReplications]))</f>
        <v>19</v>
      </c>
      <c r="N674" s="5" cm="1">
        <f t="array" ref="N674">IFERROR(AVERAGE(IF((DiscreteStatsTable[GroupByKey]=DiscreteStatsTable[[#This Row],[GroupByKey]]),(DiscreteStatsTable[GroupByKey]=DiscreteStatsTable[[#This Row],[GroupByKey]])*DiscreteStatsTable[Average])),0)</f>
        <v>17.714336330412955</v>
      </c>
      <c r="O674" s="5" cm="1">
        <f t="array" ref="O674">IFERROR(_xlfn.STDEV.S(IF((DiscreteStatsTable[GroupByKey]=DiscreteStatsTable[[#This Row],[GroupByKey]]),(DiscreteStatsTable[GroupByKey]=DiscreteStatsTable[[#This Row],[GroupByKey]])*DiscreteStatsTable[Average])),0)</f>
        <v>2.9087308458074794</v>
      </c>
      <c r="P674" s="5" cm="1">
        <f t="array" ref="P674">MAX(IF((ProjectInfoTable[ProjectName]=DiscreteStatsTable[[#This Row],[ProjectName]]),(ProjectInfoTable[ProjectName]=DiscreteStatsTable[[#This Row],[ProjectName]])*ProjectInfoTable[ConfidenceInterval]))</f>
        <v>0.95</v>
      </c>
      <c r="Q674" s="5">
        <f>IF(AND(DiscreteStatsTable[[#This Row],[RepsWithStatObserved]]=1,Y674=0),200000000000000000000,IFERROR(_xlfn.T.INV.2T(1 -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674" s="5" cm="1">
        <f t="array" ref="R674">MIN(IF((DiscreteStatsTable[GroupByKey]=DiscreteStatsTable[[#This Row],[GroupByKey]]),(DiscreteStatsTable[GroupByKey]=DiscreteStatsTable[[#This Row],[GroupByKey]])*DiscreteStatsTable[Average]))</f>
        <v>13.101063207922801</v>
      </c>
      <c r="S674" s="5" cm="1">
        <f t="array" ref="S674">MAX(IF((DiscreteStatsTable[GroupByKey]=DiscreteStatsTable[[#This Row],[GroupByKey]]),(DiscreteStatsTable[GroupByKey]=DiscreteStatsTable[[#This Row],[GroupByKey]])*DiscreteStatsTable[Average]))</f>
        <v>22.975696741341299</v>
      </c>
      <c r="T674" s="5" cm="1">
        <f t="array" ref="T674">MIN(IF((DiscreteStatsTable[GroupByKey]=DiscreteStatsTable[[#This Row],[GroupByKey]]),(DiscreteStatsTable[GroupByKey]=DiscreteStatsTable[[#This Row],[GroupByKey]])*DiscreteStatsTable[Minimum]))</f>
        <v>0</v>
      </c>
      <c r="U674" s="5" cm="1">
        <f t="array" ref="U674">MAX(IF((DiscreteStatsTable[GroupByKey]=DiscreteStatsTable[[#This Row],[GroupByKey]]),(DiscreteStatsTable[GroupByKey]=DiscreteStatsTable[[#This Row],[GroupByKey]])*DiscreteStatsTable[Maximum]))</f>
        <v>47.092378696302802</v>
      </c>
      <c r="V674" s="5" cm="1">
        <f t="array" ref="V674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74" s="5">
        <f>IF((DiscreteStatsTable[[#This Row],[RepsRequested]]&gt;1),DiscreteStatsTable[[#This Row],[HalfWidth]],DiscreteStatsTable[[#This Row],[BatchMeansHalfWidth]])</f>
        <v>1.4019633908103393</v>
      </c>
      <c r="X674" s="5" cm="1">
        <f t="array" ref="X674">COUNT(IF((DiscreteStatsTable[GroupByKey]=DiscreteStatsTable[[#This Row],[GroupByKey]]),(DiscreteStatsTable[GroupByKey]=DiscreteStatsTable[[#This Row],[GroupByKey]])*DiscreteStatsTable[Replication]))</f>
        <v>19</v>
      </c>
      <c r="Y674" s="5">
        <f>IF(DiscreteStatsTable[[#This Row],[RepsRequested]]=DiscreteStatsTable[[#This Row],[RepsWithStatObserved]],1,0)</f>
        <v>1</v>
      </c>
    </row>
    <row r="675" spans="1:25" x14ac:dyDescent="0.25">
      <c r="A675" t="s">
        <v>67</v>
      </c>
      <c r="B675" t="s">
        <v>69</v>
      </c>
      <c r="C675">
        <v>9</v>
      </c>
      <c r="D675" t="s">
        <v>105</v>
      </c>
      <c r="E675" t="s">
        <v>79</v>
      </c>
      <c r="F675" t="s">
        <v>80</v>
      </c>
      <c r="G675">
        <v>15.214096339510499</v>
      </c>
      <c r="H675">
        <v>2E+20</v>
      </c>
      <c r="I675">
        <v>1.5059276457572499</v>
      </c>
      <c r="J675">
        <v>32.099395179810003</v>
      </c>
      <c r="K675">
        <v>19</v>
      </c>
      <c r="L67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compartida)TiempoEnMesaExpressionUser Specified</v>
      </c>
      <c r="M675" s="5" cm="1">
        <f t="array" ref="M675">MAX(IF((ProjectInfoTable[ProjectName]=DiscreteStatsTable[[#This Row],[ProjectName]]),(ProjectInfoTable[ProjectName]=DiscreteStatsTable[[#This Row],[ProjectName]])*ProjectInfoTable[NumberOfReplications]))</f>
        <v>19</v>
      </c>
      <c r="N675" s="5" cm="1">
        <f t="array" ref="N675">IFERROR(AVERAGE(IF((DiscreteStatsTable[GroupByKey]=DiscreteStatsTable[[#This Row],[GroupByKey]]),(DiscreteStatsTable[GroupByKey]=DiscreteStatsTable[[#This Row],[GroupByKey]])*DiscreteStatsTable[Average])),0)</f>
        <v>17.714336330412955</v>
      </c>
      <c r="O675" s="5" cm="1">
        <f t="array" ref="O675">IFERROR(_xlfn.STDEV.S(IF((DiscreteStatsTable[GroupByKey]=DiscreteStatsTable[[#This Row],[GroupByKey]]),(DiscreteStatsTable[GroupByKey]=DiscreteStatsTable[[#This Row],[GroupByKey]])*DiscreteStatsTable[Average])),0)</f>
        <v>2.9087308458074794</v>
      </c>
      <c r="P675" s="5" cm="1">
        <f t="array" ref="P675">MAX(IF((ProjectInfoTable[ProjectName]=DiscreteStatsTable[[#This Row],[ProjectName]]),(ProjectInfoTable[ProjectName]=DiscreteStatsTable[[#This Row],[ProjectName]])*ProjectInfoTable[ConfidenceInterval]))</f>
        <v>0.95</v>
      </c>
      <c r="Q675" s="5">
        <f>IF(AND(DiscreteStatsTable[[#This Row],[RepsWithStatObserved]]=1,Y675=0),200000000000000000000,IFERROR(_xlfn.T.INV.2T(1 -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675" s="5" cm="1">
        <f t="array" ref="R675">MIN(IF((DiscreteStatsTable[GroupByKey]=DiscreteStatsTable[[#This Row],[GroupByKey]]),(DiscreteStatsTable[GroupByKey]=DiscreteStatsTable[[#This Row],[GroupByKey]])*DiscreteStatsTable[Average]))</f>
        <v>13.101063207922801</v>
      </c>
      <c r="S675" s="5" cm="1">
        <f t="array" ref="S675">MAX(IF((DiscreteStatsTable[GroupByKey]=DiscreteStatsTable[[#This Row],[GroupByKey]]),(DiscreteStatsTable[GroupByKey]=DiscreteStatsTable[[#This Row],[GroupByKey]])*DiscreteStatsTable[Average]))</f>
        <v>22.975696741341299</v>
      </c>
      <c r="T675" s="5" cm="1">
        <f t="array" ref="T675">MIN(IF((DiscreteStatsTable[GroupByKey]=DiscreteStatsTable[[#This Row],[GroupByKey]]),(DiscreteStatsTable[GroupByKey]=DiscreteStatsTable[[#This Row],[GroupByKey]])*DiscreteStatsTable[Minimum]))</f>
        <v>0</v>
      </c>
      <c r="U675" s="5" cm="1">
        <f t="array" ref="U675">MAX(IF((DiscreteStatsTable[GroupByKey]=DiscreteStatsTable[[#This Row],[GroupByKey]]),(DiscreteStatsTable[GroupByKey]=DiscreteStatsTable[[#This Row],[GroupByKey]])*DiscreteStatsTable[Maximum]))</f>
        <v>47.092378696302802</v>
      </c>
      <c r="V675" s="5" cm="1">
        <f t="array" ref="V675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75" s="5">
        <f>IF((DiscreteStatsTable[[#This Row],[RepsRequested]]&gt;1),DiscreteStatsTable[[#This Row],[HalfWidth]],DiscreteStatsTable[[#This Row],[BatchMeansHalfWidth]])</f>
        <v>1.4019633908103393</v>
      </c>
      <c r="X675" s="5" cm="1">
        <f t="array" ref="X675">COUNT(IF((DiscreteStatsTable[GroupByKey]=DiscreteStatsTable[[#This Row],[GroupByKey]]),(DiscreteStatsTable[GroupByKey]=DiscreteStatsTable[[#This Row],[GroupByKey]])*DiscreteStatsTable[Replication]))</f>
        <v>19</v>
      </c>
      <c r="Y675" s="5">
        <f>IF(DiscreteStatsTable[[#This Row],[RepsRequested]]=DiscreteStatsTable[[#This Row],[RepsWithStatObserved]],1,0)</f>
        <v>1</v>
      </c>
    </row>
    <row r="676" spans="1:25" x14ac:dyDescent="0.25">
      <c r="A676" t="s">
        <v>67</v>
      </c>
      <c r="B676" t="s">
        <v>69</v>
      </c>
      <c r="C676">
        <v>10</v>
      </c>
      <c r="D676" t="s">
        <v>105</v>
      </c>
      <c r="E676" t="s">
        <v>79</v>
      </c>
      <c r="F676" t="s">
        <v>80</v>
      </c>
      <c r="G676">
        <v>17.5379961470727</v>
      </c>
      <c r="H676">
        <v>2E+20</v>
      </c>
      <c r="I676">
        <v>0</v>
      </c>
      <c r="J676">
        <v>31.3931069447151</v>
      </c>
      <c r="K676">
        <v>22</v>
      </c>
      <c r="L67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compartida)TiempoEnMesaExpressionUser Specified</v>
      </c>
      <c r="M676" s="5" cm="1">
        <f t="array" ref="M676">MAX(IF((ProjectInfoTable[ProjectName]=DiscreteStatsTable[[#This Row],[ProjectName]]),(ProjectInfoTable[ProjectName]=DiscreteStatsTable[[#This Row],[ProjectName]])*ProjectInfoTable[NumberOfReplications]))</f>
        <v>19</v>
      </c>
      <c r="N676" s="5" cm="1">
        <f t="array" ref="N676">IFERROR(AVERAGE(IF((DiscreteStatsTable[GroupByKey]=DiscreteStatsTable[[#This Row],[GroupByKey]]),(DiscreteStatsTable[GroupByKey]=DiscreteStatsTable[[#This Row],[GroupByKey]])*DiscreteStatsTable[Average])),0)</f>
        <v>17.714336330412955</v>
      </c>
      <c r="O676" s="5" cm="1">
        <f t="array" ref="O676">IFERROR(_xlfn.STDEV.S(IF((DiscreteStatsTable[GroupByKey]=DiscreteStatsTable[[#This Row],[GroupByKey]]),(DiscreteStatsTable[GroupByKey]=DiscreteStatsTable[[#This Row],[GroupByKey]])*DiscreteStatsTable[Average])),0)</f>
        <v>2.9087308458074794</v>
      </c>
      <c r="P676" s="5" cm="1">
        <f t="array" ref="P676">MAX(IF((ProjectInfoTable[ProjectName]=DiscreteStatsTable[[#This Row],[ProjectName]]),(ProjectInfoTable[ProjectName]=DiscreteStatsTable[[#This Row],[ProjectName]])*ProjectInfoTable[ConfidenceInterval]))</f>
        <v>0.95</v>
      </c>
      <c r="Q676" s="5">
        <f>IF(AND(DiscreteStatsTable[[#This Row],[RepsWithStatObserved]]=1,Y676=0),200000000000000000000,IFERROR(_xlfn.T.INV.2T(1 -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676" s="5" cm="1">
        <f t="array" ref="R676">MIN(IF((DiscreteStatsTable[GroupByKey]=DiscreteStatsTable[[#This Row],[GroupByKey]]),(DiscreteStatsTable[GroupByKey]=DiscreteStatsTable[[#This Row],[GroupByKey]])*DiscreteStatsTable[Average]))</f>
        <v>13.101063207922801</v>
      </c>
      <c r="S676" s="5" cm="1">
        <f t="array" ref="S676">MAX(IF((DiscreteStatsTable[GroupByKey]=DiscreteStatsTable[[#This Row],[GroupByKey]]),(DiscreteStatsTable[GroupByKey]=DiscreteStatsTable[[#This Row],[GroupByKey]])*DiscreteStatsTable[Average]))</f>
        <v>22.975696741341299</v>
      </c>
      <c r="T676" s="5" cm="1">
        <f t="array" ref="T676">MIN(IF((DiscreteStatsTable[GroupByKey]=DiscreteStatsTable[[#This Row],[GroupByKey]]),(DiscreteStatsTable[GroupByKey]=DiscreteStatsTable[[#This Row],[GroupByKey]])*DiscreteStatsTable[Minimum]))</f>
        <v>0</v>
      </c>
      <c r="U676" s="5" cm="1">
        <f t="array" ref="U676">MAX(IF((DiscreteStatsTable[GroupByKey]=DiscreteStatsTable[[#This Row],[GroupByKey]]),(DiscreteStatsTable[GroupByKey]=DiscreteStatsTable[[#This Row],[GroupByKey]])*DiscreteStatsTable[Maximum]))</f>
        <v>47.092378696302802</v>
      </c>
      <c r="V676" s="5" cm="1">
        <f t="array" ref="V676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76" s="5">
        <f>IF((DiscreteStatsTable[[#This Row],[RepsRequested]]&gt;1),DiscreteStatsTable[[#This Row],[HalfWidth]],DiscreteStatsTable[[#This Row],[BatchMeansHalfWidth]])</f>
        <v>1.4019633908103393</v>
      </c>
      <c r="X676" s="5" cm="1">
        <f t="array" ref="X676">COUNT(IF((DiscreteStatsTable[GroupByKey]=DiscreteStatsTable[[#This Row],[GroupByKey]]),(DiscreteStatsTable[GroupByKey]=DiscreteStatsTable[[#This Row],[GroupByKey]])*DiscreteStatsTable[Replication]))</f>
        <v>19</v>
      </c>
      <c r="Y676" s="5">
        <f>IF(DiscreteStatsTable[[#This Row],[RepsRequested]]=DiscreteStatsTable[[#This Row],[RepsWithStatObserved]],1,0)</f>
        <v>1</v>
      </c>
    </row>
    <row r="677" spans="1:25" x14ac:dyDescent="0.25">
      <c r="A677" t="s">
        <v>67</v>
      </c>
      <c r="B677" t="s">
        <v>69</v>
      </c>
      <c r="C677">
        <v>11</v>
      </c>
      <c r="D677" t="s">
        <v>105</v>
      </c>
      <c r="E677" t="s">
        <v>79</v>
      </c>
      <c r="F677" t="s">
        <v>80</v>
      </c>
      <c r="G677">
        <v>14.2546755862785</v>
      </c>
      <c r="H677">
        <v>2E+20</v>
      </c>
      <c r="I677">
        <v>0</v>
      </c>
      <c r="J677">
        <v>29.348960683239302</v>
      </c>
      <c r="K677">
        <v>19</v>
      </c>
      <c r="L67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compartida)TiempoEnMesaExpressionUser Specified</v>
      </c>
      <c r="M677" s="5" cm="1">
        <f t="array" ref="M677">MAX(IF((ProjectInfoTable[ProjectName]=DiscreteStatsTable[[#This Row],[ProjectName]]),(ProjectInfoTable[ProjectName]=DiscreteStatsTable[[#This Row],[ProjectName]])*ProjectInfoTable[NumberOfReplications]))</f>
        <v>19</v>
      </c>
      <c r="N677" s="5" cm="1">
        <f t="array" ref="N677">IFERROR(AVERAGE(IF((DiscreteStatsTable[GroupByKey]=DiscreteStatsTable[[#This Row],[GroupByKey]]),(DiscreteStatsTable[GroupByKey]=DiscreteStatsTable[[#This Row],[GroupByKey]])*DiscreteStatsTable[Average])),0)</f>
        <v>17.714336330412955</v>
      </c>
      <c r="O677" s="5" cm="1">
        <f t="array" ref="O677">IFERROR(_xlfn.STDEV.S(IF((DiscreteStatsTable[GroupByKey]=DiscreteStatsTable[[#This Row],[GroupByKey]]),(DiscreteStatsTable[GroupByKey]=DiscreteStatsTable[[#This Row],[GroupByKey]])*DiscreteStatsTable[Average])),0)</f>
        <v>2.9087308458074794</v>
      </c>
      <c r="P677" s="5" cm="1">
        <f t="array" ref="P677">MAX(IF((ProjectInfoTable[ProjectName]=DiscreteStatsTable[[#This Row],[ProjectName]]),(ProjectInfoTable[ProjectName]=DiscreteStatsTable[[#This Row],[ProjectName]])*ProjectInfoTable[ConfidenceInterval]))</f>
        <v>0.95</v>
      </c>
      <c r="Q677" s="5">
        <f>IF(AND(DiscreteStatsTable[[#This Row],[RepsWithStatObserved]]=1,Y677=0),200000000000000000000,IFERROR(_xlfn.T.INV.2T(1 -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677" s="5" cm="1">
        <f t="array" ref="R677">MIN(IF((DiscreteStatsTable[GroupByKey]=DiscreteStatsTable[[#This Row],[GroupByKey]]),(DiscreteStatsTable[GroupByKey]=DiscreteStatsTable[[#This Row],[GroupByKey]])*DiscreteStatsTable[Average]))</f>
        <v>13.101063207922801</v>
      </c>
      <c r="S677" s="5" cm="1">
        <f t="array" ref="S677">MAX(IF((DiscreteStatsTable[GroupByKey]=DiscreteStatsTable[[#This Row],[GroupByKey]]),(DiscreteStatsTable[GroupByKey]=DiscreteStatsTable[[#This Row],[GroupByKey]])*DiscreteStatsTable[Average]))</f>
        <v>22.975696741341299</v>
      </c>
      <c r="T677" s="5" cm="1">
        <f t="array" ref="T677">MIN(IF((DiscreteStatsTable[GroupByKey]=DiscreteStatsTable[[#This Row],[GroupByKey]]),(DiscreteStatsTable[GroupByKey]=DiscreteStatsTable[[#This Row],[GroupByKey]])*DiscreteStatsTable[Minimum]))</f>
        <v>0</v>
      </c>
      <c r="U677" s="5" cm="1">
        <f t="array" ref="U677">MAX(IF((DiscreteStatsTable[GroupByKey]=DiscreteStatsTable[[#This Row],[GroupByKey]]),(DiscreteStatsTable[GroupByKey]=DiscreteStatsTable[[#This Row],[GroupByKey]])*DiscreteStatsTable[Maximum]))</f>
        <v>47.092378696302802</v>
      </c>
      <c r="V677" s="5" cm="1">
        <f t="array" ref="V677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77" s="5">
        <f>IF((DiscreteStatsTable[[#This Row],[RepsRequested]]&gt;1),DiscreteStatsTable[[#This Row],[HalfWidth]],DiscreteStatsTable[[#This Row],[BatchMeansHalfWidth]])</f>
        <v>1.4019633908103393</v>
      </c>
      <c r="X677" s="5" cm="1">
        <f t="array" ref="X677">COUNT(IF((DiscreteStatsTable[GroupByKey]=DiscreteStatsTable[[#This Row],[GroupByKey]]),(DiscreteStatsTable[GroupByKey]=DiscreteStatsTable[[#This Row],[GroupByKey]])*DiscreteStatsTable[Replication]))</f>
        <v>19</v>
      </c>
      <c r="Y677" s="5">
        <f>IF(DiscreteStatsTable[[#This Row],[RepsRequested]]=DiscreteStatsTable[[#This Row],[RepsWithStatObserved]],1,0)</f>
        <v>1</v>
      </c>
    </row>
    <row r="678" spans="1:25" x14ac:dyDescent="0.25">
      <c r="A678" t="s">
        <v>67</v>
      </c>
      <c r="B678" t="s">
        <v>69</v>
      </c>
      <c r="C678">
        <v>12</v>
      </c>
      <c r="D678" t="s">
        <v>105</v>
      </c>
      <c r="E678" t="s">
        <v>79</v>
      </c>
      <c r="F678" t="s">
        <v>80</v>
      </c>
      <c r="G678">
        <v>19.049187216616001</v>
      </c>
      <c r="H678">
        <v>2E+20</v>
      </c>
      <c r="I678">
        <v>1.5356469413879701</v>
      </c>
      <c r="J678">
        <v>33.476019315059702</v>
      </c>
      <c r="K678">
        <v>14</v>
      </c>
      <c r="L67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compartida)TiempoEnMesaExpressionUser Specified</v>
      </c>
      <c r="M678" s="5" cm="1">
        <f t="array" ref="M678">MAX(IF((ProjectInfoTable[ProjectName]=DiscreteStatsTable[[#This Row],[ProjectName]]),(ProjectInfoTable[ProjectName]=DiscreteStatsTable[[#This Row],[ProjectName]])*ProjectInfoTable[NumberOfReplications]))</f>
        <v>19</v>
      </c>
      <c r="N678" s="5" cm="1">
        <f t="array" ref="N678">IFERROR(AVERAGE(IF((DiscreteStatsTable[GroupByKey]=DiscreteStatsTable[[#This Row],[GroupByKey]]),(DiscreteStatsTable[GroupByKey]=DiscreteStatsTable[[#This Row],[GroupByKey]])*DiscreteStatsTable[Average])),0)</f>
        <v>17.714336330412955</v>
      </c>
      <c r="O678" s="5" cm="1">
        <f t="array" ref="O678">IFERROR(_xlfn.STDEV.S(IF((DiscreteStatsTable[GroupByKey]=DiscreteStatsTable[[#This Row],[GroupByKey]]),(DiscreteStatsTable[GroupByKey]=DiscreteStatsTable[[#This Row],[GroupByKey]])*DiscreteStatsTable[Average])),0)</f>
        <v>2.9087308458074794</v>
      </c>
      <c r="P678" s="5" cm="1">
        <f t="array" ref="P678">MAX(IF((ProjectInfoTable[ProjectName]=DiscreteStatsTable[[#This Row],[ProjectName]]),(ProjectInfoTable[ProjectName]=DiscreteStatsTable[[#This Row],[ProjectName]])*ProjectInfoTable[ConfidenceInterval]))</f>
        <v>0.95</v>
      </c>
      <c r="Q678" s="5">
        <f>IF(AND(DiscreteStatsTable[[#This Row],[RepsWithStatObserved]]=1,Y678=0),200000000000000000000,IFERROR(_xlfn.T.INV.2T(1 -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678" s="5" cm="1">
        <f t="array" ref="R678">MIN(IF((DiscreteStatsTable[GroupByKey]=DiscreteStatsTable[[#This Row],[GroupByKey]]),(DiscreteStatsTable[GroupByKey]=DiscreteStatsTable[[#This Row],[GroupByKey]])*DiscreteStatsTable[Average]))</f>
        <v>13.101063207922801</v>
      </c>
      <c r="S678" s="5" cm="1">
        <f t="array" ref="S678">MAX(IF((DiscreteStatsTable[GroupByKey]=DiscreteStatsTable[[#This Row],[GroupByKey]]),(DiscreteStatsTable[GroupByKey]=DiscreteStatsTable[[#This Row],[GroupByKey]])*DiscreteStatsTable[Average]))</f>
        <v>22.975696741341299</v>
      </c>
      <c r="T678" s="5" cm="1">
        <f t="array" ref="T678">MIN(IF((DiscreteStatsTable[GroupByKey]=DiscreteStatsTable[[#This Row],[GroupByKey]]),(DiscreteStatsTable[GroupByKey]=DiscreteStatsTable[[#This Row],[GroupByKey]])*DiscreteStatsTable[Minimum]))</f>
        <v>0</v>
      </c>
      <c r="U678" s="5" cm="1">
        <f t="array" ref="U678">MAX(IF((DiscreteStatsTable[GroupByKey]=DiscreteStatsTable[[#This Row],[GroupByKey]]),(DiscreteStatsTable[GroupByKey]=DiscreteStatsTable[[#This Row],[GroupByKey]])*DiscreteStatsTable[Maximum]))</f>
        <v>47.092378696302802</v>
      </c>
      <c r="V678" s="5" cm="1">
        <f t="array" ref="V678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78" s="5">
        <f>IF((DiscreteStatsTable[[#This Row],[RepsRequested]]&gt;1),DiscreteStatsTable[[#This Row],[HalfWidth]],DiscreteStatsTable[[#This Row],[BatchMeansHalfWidth]])</f>
        <v>1.4019633908103393</v>
      </c>
      <c r="X678" s="5" cm="1">
        <f t="array" ref="X678">COUNT(IF((DiscreteStatsTable[GroupByKey]=DiscreteStatsTable[[#This Row],[GroupByKey]]),(DiscreteStatsTable[GroupByKey]=DiscreteStatsTable[[#This Row],[GroupByKey]])*DiscreteStatsTable[Replication]))</f>
        <v>19</v>
      </c>
      <c r="Y678" s="5">
        <f>IF(DiscreteStatsTable[[#This Row],[RepsRequested]]=DiscreteStatsTable[[#This Row],[RepsWithStatObserved]],1,0)</f>
        <v>1</v>
      </c>
    </row>
    <row r="679" spans="1:25" x14ac:dyDescent="0.25">
      <c r="A679" t="s">
        <v>67</v>
      </c>
      <c r="B679" t="s">
        <v>69</v>
      </c>
      <c r="C679">
        <v>13</v>
      </c>
      <c r="D679" t="s">
        <v>105</v>
      </c>
      <c r="E679" t="s">
        <v>79</v>
      </c>
      <c r="F679" t="s">
        <v>80</v>
      </c>
      <c r="G679">
        <v>22.975696741341299</v>
      </c>
      <c r="H679">
        <v>2E+20</v>
      </c>
      <c r="I679">
        <v>1.8155272354759999</v>
      </c>
      <c r="J679">
        <v>37.998935754854699</v>
      </c>
      <c r="K679">
        <v>12</v>
      </c>
      <c r="L67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compartida)TiempoEnMesaExpressionUser Specified</v>
      </c>
      <c r="M679" s="5" cm="1">
        <f t="array" ref="M679">MAX(IF((ProjectInfoTable[ProjectName]=DiscreteStatsTable[[#This Row],[ProjectName]]),(ProjectInfoTable[ProjectName]=DiscreteStatsTable[[#This Row],[ProjectName]])*ProjectInfoTable[NumberOfReplications]))</f>
        <v>19</v>
      </c>
      <c r="N679" s="5" cm="1">
        <f t="array" ref="N679">IFERROR(AVERAGE(IF((DiscreteStatsTable[GroupByKey]=DiscreteStatsTable[[#This Row],[GroupByKey]]),(DiscreteStatsTable[GroupByKey]=DiscreteStatsTable[[#This Row],[GroupByKey]])*DiscreteStatsTable[Average])),0)</f>
        <v>17.714336330412955</v>
      </c>
      <c r="O679" s="5" cm="1">
        <f t="array" ref="O679">IFERROR(_xlfn.STDEV.S(IF((DiscreteStatsTable[GroupByKey]=DiscreteStatsTable[[#This Row],[GroupByKey]]),(DiscreteStatsTable[GroupByKey]=DiscreteStatsTable[[#This Row],[GroupByKey]])*DiscreteStatsTable[Average])),0)</f>
        <v>2.9087308458074794</v>
      </c>
      <c r="P679" s="5" cm="1">
        <f t="array" ref="P679">MAX(IF((ProjectInfoTable[ProjectName]=DiscreteStatsTable[[#This Row],[ProjectName]]),(ProjectInfoTable[ProjectName]=DiscreteStatsTable[[#This Row],[ProjectName]])*ProjectInfoTable[ConfidenceInterval]))</f>
        <v>0.95</v>
      </c>
      <c r="Q679" s="5">
        <f>IF(AND(DiscreteStatsTable[[#This Row],[RepsWithStatObserved]]=1,Y679=0),200000000000000000000,IFERROR(_xlfn.T.INV.2T(1 -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679" s="5" cm="1">
        <f t="array" ref="R679">MIN(IF((DiscreteStatsTable[GroupByKey]=DiscreteStatsTable[[#This Row],[GroupByKey]]),(DiscreteStatsTable[GroupByKey]=DiscreteStatsTable[[#This Row],[GroupByKey]])*DiscreteStatsTable[Average]))</f>
        <v>13.101063207922801</v>
      </c>
      <c r="S679" s="5" cm="1">
        <f t="array" ref="S679">MAX(IF((DiscreteStatsTable[GroupByKey]=DiscreteStatsTable[[#This Row],[GroupByKey]]),(DiscreteStatsTable[GroupByKey]=DiscreteStatsTable[[#This Row],[GroupByKey]])*DiscreteStatsTable[Average]))</f>
        <v>22.975696741341299</v>
      </c>
      <c r="T679" s="5" cm="1">
        <f t="array" ref="T679">MIN(IF((DiscreteStatsTable[GroupByKey]=DiscreteStatsTable[[#This Row],[GroupByKey]]),(DiscreteStatsTable[GroupByKey]=DiscreteStatsTable[[#This Row],[GroupByKey]])*DiscreteStatsTable[Minimum]))</f>
        <v>0</v>
      </c>
      <c r="U679" s="5" cm="1">
        <f t="array" ref="U679">MAX(IF((DiscreteStatsTable[GroupByKey]=DiscreteStatsTable[[#This Row],[GroupByKey]]),(DiscreteStatsTable[GroupByKey]=DiscreteStatsTable[[#This Row],[GroupByKey]])*DiscreteStatsTable[Maximum]))</f>
        <v>47.092378696302802</v>
      </c>
      <c r="V679" s="5" cm="1">
        <f t="array" ref="V679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79" s="5">
        <f>IF((DiscreteStatsTable[[#This Row],[RepsRequested]]&gt;1),DiscreteStatsTable[[#This Row],[HalfWidth]],DiscreteStatsTable[[#This Row],[BatchMeansHalfWidth]])</f>
        <v>1.4019633908103393</v>
      </c>
      <c r="X679" s="5" cm="1">
        <f t="array" ref="X679">COUNT(IF((DiscreteStatsTable[GroupByKey]=DiscreteStatsTable[[#This Row],[GroupByKey]]),(DiscreteStatsTable[GroupByKey]=DiscreteStatsTable[[#This Row],[GroupByKey]])*DiscreteStatsTable[Replication]))</f>
        <v>19</v>
      </c>
      <c r="Y679" s="5">
        <f>IF(DiscreteStatsTable[[#This Row],[RepsRequested]]=DiscreteStatsTable[[#This Row],[RepsWithStatObserved]],1,0)</f>
        <v>1</v>
      </c>
    </row>
    <row r="680" spans="1:25" x14ac:dyDescent="0.25">
      <c r="A680" t="s">
        <v>67</v>
      </c>
      <c r="B680" t="s">
        <v>69</v>
      </c>
      <c r="C680">
        <v>14</v>
      </c>
      <c r="D680" t="s">
        <v>105</v>
      </c>
      <c r="E680" t="s">
        <v>79</v>
      </c>
      <c r="F680" t="s">
        <v>80</v>
      </c>
      <c r="G680">
        <v>17.5786024293397</v>
      </c>
      <c r="H680">
        <v>2E+20</v>
      </c>
      <c r="I680">
        <v>3.1692109824593002</v>
      </c>
      <c r="J680">
        <v>32.020590379549702</v>
      </c>
      <c r="K680">
        <v>18</v>
      </c>
      <c r="L68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compartida)TiempoEnMesaExpressionUser Specified</v>
      </c>
      <c r="M680" s="5" cm="1">
        <f t="array" ref="M680">MAX(IF((ProjectInfoTable[ProjectName]=DiscreteStatsTable[[#This Row],[ProjectName]]),(ProjectInfoTable[ProjectName]=DiscreteStatsTable[[#This Row],[ProjectName]])*ProjectInfoTable[NumberOfReplications]))</f>
        <v>19</v>
      </c>
      <c r="N680" s="5" cm="1">
        <f t="array" ref="N680">IFERROR(AVERAGE(IF((DiscreteStatsTable[GroupByKey]=DiscreteStatsTable[[#This Row],[GroupByKey]]),(DiscreteStatsTable[GroupByKey]=DiscreteStatsTable[[#This Row],[GroupByKey]])*DiscreteStatsTable[Average])),0)</f>
        <v>17.714336330412955</v>
      </c>
      <c r="O680" s="5" cm="1">
        <f t="array" ref="O680">IFERROR(_xlfn.STDEV.S(IF((DiscreteStatsTable[GroupByKey]=DiscreteStatsTable[[#This Row],[GroupByKey]]),(DiscreteStatsTable[GroupByKey]=DiscreteStatsTable[[#This Row],[GroupByKey]])*DiscreteStatsTable[Average])),0)</f>
        <v>2.9087308458074794</v>
      </c>
      <c r="P680" s="5" cm="1">
        <f t="array" ref="P680">MAX(IF((ProjectInfoTable[ProjectName]=DiscreteStatsTable[[#This Row],[ProjectName]]),(ProjectInfoTable[ProjectName]=DiscreteStatsTable[[#This Row],[ProjectName]])*ProjectInfoTable[ConfidenceInterval]))</f>
        <v>0.95</v>
      </c>
      <c r="Q680" s="5">
        <f>IF(AND(DiscreteStatsTable[[#This Row],[RepsWithStatObserved]]=1,Y680=0),200000000000000000000,IFERROR(_xlfn.T.INV.2T(1 -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680" s="5" cm="1">
        <f t="array" ref="R680">MIN(IF((DiscreteStatsTable[GroupByKey]=DiscreteStatsTable[[#This Row],[GroupByKey]]),(DiscreteStatsTable[GroupByKey]=DiscreteStatsTable[[#This Row],[GroupByKey]])*DiscreteStatsTable[Average]))</f>
        <v>13.101063207922801</v>
      </c>
      <c r="S680" s="5" cm="1">
        <f t="array" ref="S680">MAX(IF((DiscreteStatsTable[GroupByKey]=DiscreteStatsTable[[#This Row],[GroupByKey]]),(DiscreteStatsTable[GroupByKey]=DiscreteStatsTable[[#This Row],[GroupByKey]])*DiscreteStatsTable[Average]))</f>
        <v>22.975696741341299</v>
      </c>
      <c r="T680" s="5" cm="1">
        <f t="array" ref="T680">MIN(IF((DiscreteStatsTable[GroupByKey]=DiscreteStatsTable[[#This Row],[GroupByKey]]),(DiscreteStatsTable[GroupByKey]=DiscreteStatsTable[[#This Row],[GroupByKey]])*DiscreteStatsTable[Minimum]))</f>
        <v>0</v>
      </c>
      <c r="U680" s="5" cm="1">
        <f t="array" ref="U680">MAX(IF((DiscreteStatsTable[GroupByKey]=DiscreteStatsTable[[#This Row],[GroupByKey]]),(DiscreteStatsTable[GroupByKey]=DiscreteStatsTable[[#This Row],[GroupByKey]])*DiscreteStatsTable[Maximum]))</f>
        <v>47.092378696302802</v>
      </c>
      <c r="V680" s="5" cm="1">
        <f t="array" ref="V680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80" s="5">
        <f>IF((DiscreteStatsTable[[#This Row],[RepsRequested]]&gt;1),DiscreteStatsTable[[#This Row],[HalfWidth]],DiscreteStatsTable[[#This Row],[BatchMeansHalfWidth]])</f>
        <v>1.4019633908103393</v>
      </c>
      <c r="X680" s="5" cm="1">
        <f t="array" ref="X680">COUNT(IF((DiscreteStatsTable[GroupByKey]=DiscreteStatsTable[[#This Row],[GroupByKey]]),(DiscreteStatsTable[GroupByKey]=DiscreteStatsTable[[#This Row],[GroupByKey]])*DiscreteStatsTable[Replication]))</f>
        <v>19</v>
      </c>
      <c r="Y680" s="5">
        <f>IF(DiscreteStatsTable[[#This Row],[RepsRequested]]=DiscreteStatsTable[[#This Row],[RepsWithStatObserved]],1,0)</f>
        <v>1</v>
      </c>
    </row>
    <row r="681" spans="1:25" x14ac:dyDescent="0.25">
      <c r="A681" t="s">
        <v>67</v>
      </c>
      <c r="B681" t="s">
        <v>69</v>
      </c>
      <c r="C681">
        <v>15</v>
      </c>
      <c r="D681" t="s">
        <v>105</v>
      </c>
      <c r="E681" t="s">
        <v>79</v>
      </c>
      <c r="F681" t="s">
        <v>80</v>
      </c>
      <c r="G681">
        <v>21.4760693596075</v>
      </c>
      <c r="H681">
        <v>2E+20</v>
      </c>
      <c r="I681">
        <v>10.4937674299</v>
      </c>
      <c r="J681">
        <v>37.486560303480303</v>
      </c>
      <c r="K681">
        <v>12</v>
      </c>
      <c r="L68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compartida)TiempoEnMesaExpressionUser Specified</v>
      </c>
      <c r="M681" s="5" cm="1">
        <f t="array" ref="M681">MAX(IF((ProjectInfoTable[ProjectName]=DiscreteStatsTable[[#This Row],[ProjectName]]),(ProjectInfoTable[ProjectName]=DiscreteStatsTable[[#This Row],[ProjectName]])*ProjectInfoTable[NumberOfReplications]))</f>
        <v>19</v>
      </c>
      <c r="N681" s="5" cm="1">
        <f t="array" ref="N681">IFERROR(AVERAGE(IF((DiscreteStatsTable[GroupByKey]=DiscreteStatsTable[[#This Row],[GroupByKey]]),(DiscreteStatsTable[GroupByKey]=DiscreteStatsTable[[#This Row],[GroupByKey]])*DiscreteStatsTable[Average])),0)</f>
        <v>17.714336330412955</v>
      </c>
      <c r="O681" s="5" cm="1">
        <f t="array" ref="O681">IFERROR(_xlfn.STDEV.S(IF((DiscreteStatsTable[GroupByKey]=DiscreteStatsTable[[#This Row],[GroupByKey]]),(DiscreteStatsTable[GroupByKey]=DiscreteStatsTable[[#This Row],[GroupByKey]])*DiscreteStatsTable[Average])),0)</f>
        <v>2.9087308458074794</v>
      </c>
      <c r="P681" s="5" cm="1">
        <f t="array" ref="P681">MAX(IF((ProjectInfoTable[ProjectName]=DiscreteStatsTable[[#This Row],[ProjectName]]),(ProjectInfoTable[ProjectName]=DiscreteStatsTable[[#This Row],[ProjectName]])*ProjectInfoTable[ConfidenceInterval]))</f>
        <v>0.95</v>
      </c>
      <c r="Q681" s="5">
        <f>IF(AND(DiscreteStatsTable[[#This Row],[RepsWithStatObserved]]=1,Y681=0),200000000000000000000,IFERROR(_xlfn.T.INV.2T(1 -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681" s="5" cm="1">
        <f t="array" ref="R681">MIN(IF((DiscreteStatsTable[GroupByKey]=DiscreteStatsTable[[#This Row],[GroupByKey]]),(DiscreteStatsTable[GroupByKey]=DiscreteStatsTable[[#This Row],[GroupByKey]])*DiscreteStatsTable[Average]))</f>
        <v>13.101063207922801</v>
      </c>
      <c r="S681" s="5" cm="1">
        <f t="array" ref="S681">MAX(IF((DiscreteStatsTable[GroupByKey]=DiscreteStatsTable[[#This Row],[GroupByKey]]),(DiscreteStatsTable[GroupByKey]=DiscreteStatsTable[[#This Row],[GroupByKey]])*DiscreteStatsTable[Average]))</f>
        <v>22.975696741341299</v>
      </c>
      <c r="T681" s="5" cm="1">
        <f t="array" ref="T681">MIN(IF((DiscreteStatsTable[GroupByKey]=DiscreteStatsTable[[#This Row],[GroupByKey]]),(DiscreteStatsTable[GroupByKey]=DiscreteStatsTable[[#This Row],[GroupByKey]])*DiscreteStatsTable[Minimum]))</f>
        <v>0</v>
      </c>
      <c r="U681" s="5" cm="1">
        <f t="array" ref="U681">MAX(IF((DiscreteStatsTable[GroupByKey]=DiscreteStatsTable[[#This Row],[GroupByKey]]),(DiscreteStatsTable[GroupByKey]=DiscreteStatsTable[[#This Row],[GroupByKey]])*DiscreteStatsTable[Maximum]))</f>
        <v>47.092378696302802</v>
      </c>
      <c r="V681" s="5" cm="1">
        <f t="array" ref="V681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81" s="5">
        <f>IF((DiscreteStatsTable[[#This Row],[RepsRequested]]&gt;1),DiscreteStatsTable[[#This Row],[HalfWidth]],DiscreteStatsTable[[#This Row],[BatchMeansHalfWidth]])</f>
        <v>1.4019633908103393</v>
      </c>
      <c r="X681" s="5" cm="1">
        <f t="array" ref="X681">COUNT(IF((DiscreteStatsTable[GroupByKey]=DiscreteStatsTable[[#This Row],[GroupByKey]]),(DiscreteStatsTable[GroupByKey]=DiscreteStatsTable[[#This Row],[GroupByKey]])*DiscreteStatsTable[Replication]))</f>
        <v>19</v>
      </c>
      <c r="Y681" s="5">
        <f>IF(DiscreteStatsTable[[#This Row],[RepsRequested]]=DiscreteStatsTable[[#This Row],[RepsWithStatObserved]],1,0)</f>
        <v>1</v>
      </c>
    </row>
    <row r="682" spans="1:25" x14ac:dyDescent="0.25">
      <c r="A682" t="s">
        <v>67</v>
      </c>
      <c r="B682" t="s">
        <v>69</v>
      </c>
      <c r="C682">
        <v>16</v>
      </c>
      <c r="D682" t="s">
        <v>105</v>
      </c>
      <c r="E682" t="s">
        <v>79</v>
      </c>
      <c r="F682" t="s">
        <v>80</v>
      </c>
      <c r="G682">
        <v>15.041847416662399</v>
      </c>
      <c r="H682">
        <v>2E+20</v>
      </c>
      <c r="I682">
        <v>2.2940863603439499</v>
      </c>
      <c r="J682">
        <v>29.401923921538302</v>
      </c>
      <c r="K682">
        <v>21</v>
      </c>
      <c r="L68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compartida)TiempoEnMesaExpressionUser Specified</v>
      </c>
      <c r="M682" s="5" cm="1">
        <f t="array" ref="M682">MAX(IF((ProjectInfoTable[ProjectName]=DiscreteStatsTable[[#This Row],[ProjectName]]),(ProjectInfoTable[ProjectName]=DiscreteStatsTable[[#This Row],[ProjectName]])*ProjectInfoTable[NumberOfReplications]))</f>
        <v>19</v>
      </c>
      <c r="N682" s="5" cm="1">
        <f t="array" ref="N682">IFERROR(AVERAGE(IF((DiscreteStatsTable[GroupByKey]=DiscreteStatsTable[[#This Row],[GroupByKey]]),(DiscreteStatsTable[GroupByKey]=DiscreteStatsTable[[#This Row],[GroupByKey]])*DiscreteStatsTable[Average])),0)</f>
        <v>17.714336330412955</v>
      </c>
      <c r="O682" s="5" cm="1">
        <f t="array" ref="O682">IFERROR(_xlfn.STDEV.S(IF((DiscreteStatsTable[GroupByKey]=DiscreteStatsTable[[#This Row],[GroupByKey]]),(DiscreteStatsTable[GroupByKey]=DiscreteStatsTable[[#This Row],[GroupByKey]])*DiscreteStatsTable[Average])),0)</f>
        <v>2.9087308458074794</v>
      </c>
      <c r="P682" s="5" cm="1">
        <f t="array" ref="P682">MAX(IF((ProjectInfoTable[ProjectName]=DiscreteStatsTable[[#This Row],[ProjectName]]),(ProjectInfoTable[ProjectName]=DiscreteStatsTable[[#This Row],[ProjectName]])*ProjectInfoTable[ConfidenceInterval]))</f>
        <v>0.95</v>
      </c>
      <c r="Q682" s="5">
        <f>IF(AND(DiscreteStatsTable[[#This Row],[RepsWithStatObserved]]=1,Y682=0),200000000000000000000,IFERROR(_xlfn.T.INV.2T(1 -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682" s="5" cm="1">
        <f t="array" ref="R682">MIN(IF((DiscreteStatsTable[GroupByKey]=DiscreteStatsTable[[#This Row],[GroupByKey]]),(DiscreteStatsTable[GroupByKey]=DiscreteStatsTable[[#This Row],[GroupByKey]])*DiscreteStatsTable[Average]))</f>
        <v>13.101063207922801</v>
      </c>
      <c r="S682" s="5" cm="1">
        <f t="array" ref="S682">MAX(IF((DiscreteStatsTable[GroupByKey]=DiscreteStatsTable[[#This Row],[GroupByKey]]),(DiscreteStatsTable[GroupByKey]=DiscreteStatsTable[[#This Row],[GroupByKey]])*DiscreteStatsTable[Average]))</f>
        <v>22.975696741341299</v>
      </c>
      <c r="T682" s="5" cm="1">
        <f t="array" ref="T682">MIN(IF((DiscreteStatsTable[GroupByKey]=DiscreteStatsTable[[#This Row],[GroupByKey]]),(DiscreteStatsTable[GroupByKey]=DiscreteStatsTable[[#This Row],[GroupByKey]])*DiscreteStatsTable[Minimum]))</f>
        <v>0</v>
      </c>
      <c r="U682" s="5" cm="1">
        <f t="array" ref="U682">MAX(IF((DiscreteStatsTable[GroupByKey]=DiscreteStatsTable[[#This Row],[GroupByKey]]),(DiscreteStatsTable[GroupByKey]=DiscreteStatsTable[[#This Row],[GroupByKey]])*DiscreteStatsTable[Maximum]))</f>
        <v>47.092378696302802</v>
      </c>
      <c r="V682" s="5" cm="1">
        <f t="array" ref="V682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82" s="5">
        <f>IF((DiscreteStatsTable[[#This Row],[RepsRequested]]&gt;1),DiscreteStatsTable[[#This Row],[HalfWidth]],DiscreteStatsTable[[#This Row],[BatchMeansHalfWidth]])</f>
        <v>1.4019633908103393</v>
      </c>
      <c r="X682" s="5" cm="1">
        <f t="array" ref="X682">COUNT(IF((DiscreteStatsTable[GroupByKey]=DiscreteStatsTable[[#This Row],[GroupByKey]]),(DiscreteStatsTable[GroupByKey]=DiscreteStatsTable[[#This Row],[GroupByKey]])*DiscreteStatsTable[Replication]))</f>
        <v>19</v>
      </c>
      <c r="Y682" s="5">
        <f>IF(DiscreteStatsTable[[#This Row],[RepsRequested]]=DiscreteStatsTable[[#This Row],[RepsWithStatObserved]],1,0)</f>
        <v>1</v>
      </c>
    </row>
    <row r="683" spans="1:25" x14ac:dyDescent="0.25">
      <c r="A683" t="s">
        <v>67</v>
      </c>
      <c r="B683" t="s">
        <v>69</v>
      </c>
      <c r="C683">
        <v>17</v>
      </c>
      <c r="D683" t="s">
        <v>105</v>
      </c>
      <c r="E683" t="s">
        <v>79</v>
      </c>
      <c r="F683" t="s">
        <v>80</v>
      </c>
      <c r="G683">
        <v>20.538119910750599</v>
      </c>
      <c r="H683">
        <v>2E+20</v>
      </c>
      <c r="I683">
        <v>8.7343176684467796</v>
      </c>
      <c r="J683">
        <v>38.200866292722203</v>
      </c>
      <c r="K683">
        <v>15</v>
      </c>
      <c r="L68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compartida)TiempoEnMesaExpressionUser Specified</v>
      </c>
      <c r="M683" s="5" cm="1">
        <f t="array" ref="M683">MAX(IF((ProjectInfoTable[ProjectName]=DiscreteStatsTable[[#This Row],[ProjectName]]),(ProjectInfoTable[ProjectName]=DiscreteStatsTable[[#This Row],[ProjectName]])*ProjectInfoTable[NumberOfReplications]))</f>
        <v>19</v>
      </c>
      <c r="N683" s="5" cm="1">
        <f t="array" ref="N683">IFERROR(AVERAGE(IF((DiscreteStatsTable[GroupByKey]=DiscreteStatsTable[[#This Row],[GroupByKey]]),(DiscreteStatsTable[GroupByKey]=DiscreteStatsTable[[#This Row],[GroupByKey]])*DiscreteStatsTable[Average])),0)</f>
        <v>17.714336330412955</v>
      </c>
      <c r="O683" s="5" cm="1">
        <f t="array" ref="O683">IFERROR(_xlfn.STDEV.S(IF((DiscreteStatsTable[GroupByKey]=DiscreteStatsTable[[#This Row],[GroupByKey]]),(DiscreteStatsTable[GroupByKey]=DiscreteStatsTable[[#This Row],[GroupByKey]])*DiscreteStatsTable[Average])),0)</f>
        <v>2.9087308458074794</v>
      </c>
      <c r="P683" s="5" cm="1">
        <f t="array" ref="P683">MAX(IF((ProjectInfoTable[ProjectName]=DiscreteStatsTable[[#This Row],[ProjectName]]),(ProjectInfoTable[ProjectName]=DiscreteStatsTable[[#This Row],[ProjectName]])*ProjectInfoTable[ConfidenceInterval]))</f>
        <v>0.95</v>
      </c>
      <c r="Q683" s="5">
        <f>IF(AND(DiscreteStatsTable[[#This Row],[RepsWithStatObserved]]=1,Y683=0),200000000000000000000,IFERROR(_xlfn.T.INV.2T(1 -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683" s="5" cm="1">
        <f t="array" ref="R683">MIN(IF((DiscreteStatsTable[GroupByKey]=DiscreteStatsTable[[#This Row],[GroupByKey]]),(DiscreteStatsTable[GroupByKey]=DiscreteStatsTable[[#This Row],[GroupByKey]])*DiscreteStatsTable[Average]))</f>
        <v>13.101063207922801</v>
      </c>
      <c r="S683" s="5" cm="1">
        <f t="array" ref="S683">MAX(IF((DiscreteStatsTable[GroupByKey]=DiscreteStatsTable[[#This Row],[GroupByKey]]),(DiscreteStatsTable[GroupByKey]=DiscreteStatsTable[[#This Row],[GroupByKey]])*DiscreteStatsTable[Average]))</f>
        <v>22.975696741341299</v>
      </c>
      <c r="T683" s="5" cm="1">
        <f t="array" ref="T683">MIN(IF((DiscreteStatsTable[GroupByKey]=DiscreteStatsTable[[#This Row],[GroupByKey]]),(DiscreteStatsTable[GroupByKey]=DiscreteStatsTable[[#This Row],[GroupByKey]])*DiscreteStatsTable[Minimum]))</f>
        <v>0</v>
      </c>
      <c r="U683" s="5" cm="1">
        <f t="array" ref="U683">MAX(IF((DiscreteStatsTable[GroupByKey]=DiscreteStatsTable[[#This Row],[GroupByKey]]),(DiscreteStatsTable[GroupByKey]=DiscreteStatsTable[[#This Row],[GroupByKey]])*DiscreteStatsTable[Maximum]))</f>
        <v>47.092378696302802</v>
      </c>
      <c r="V683" s="5" cm="1">
        <f t="array" ref="V683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83" s="5">
        <f>IF((DiscreteStatsTable[[#This Row],[RepsRequested]]&gt;1),DiscreteStatsTable[[#This Row],[HalfWidth]],DiscreteStatsTable[[#This Row],[BatchMeansHalfWidth]])</f>
        <v>1.4019633908103393</v>
      </c>
      <c r="X683" s="5" cm="1">
        <f t="array" ref="X683">COUNT(IF((DiscreteStatsTable[GroupByKey]=DiscreteStatsTable[[#This Row],[GroupByKey]]),(DiscreteStatsTable[GroupByKey]=DiscreteStatsTable[[#This Row],[GroupByKey]])*DiscreteStatsTable[Replication]))</f>
        <v>19</v>
      </c>
      <c r="Y683" s="5">
        <f>IF(DiscreteStatsTable[[#This Row],[RepsRequested]]=DiscreteStatsTable[[#This Row],[RepsWithStatObserved]],1,0)</f>
        <v>1</v>
      </c>
    </row>
    <row r="684" spans="1:25" x14ac:dyDescent="0.25">
      <c r="A684" t="s">
        <v>67</v>
      </c>
      <c r="B684" t="s">
        <v>69</v>
      </c>
      <c r="C684">
        <v>18</v>
      </c>
      <c r="D684" t="s">
        <v>105</v>
      </c>
      <c r="E684" t="s">
        <v>79</v>
      </c>
      <c r="F684" t="s">
        <v>80</v>
      </c>
      <c r="G684">
        <v>17.28002023837</v>
      </c>
      <c r="H684">
        <v>2E+20</v>
      </c>
      <c r="I684">
        <v>4.8549629102608396</v>
      </c>
      <c r="J684">
        <v>40.684021884533799</v>
      </c>
      <c r="K684">
        <v>15</v>
      </c>
      <c r="L68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compartida)TiempoEnMesaExpressionUser Specified</v>
      </c>
      <c r="M684" s="5" cm="1">
        <f t="array" ref="M684">MAX(IF((ProjectInfoTable[ProjectName]=DiscreteStatsTable[[#This Row],[ProjectName]]),(ProjectInfoTable[ProjectName]=DiscreteStatsTable[[#This Row],[ProjectName]])*ProjectInfoTable[NumberOfReplications]))</f>
        <v>19</v>
      </c>
      <c r="N684" s="5" cm="1">
        <f t="array" ref="N684">IFERROR(AVERAGE(IF((DiscreteStatsTable[GroupByKey]=DiscreteStatsTable[[#This Row],[GroupByKey]]),(DiscreteStatsTable[GroupByKey]=DiscreteStatsTable[[#This Row],[GroupByKey]])*DiscreteStatsTable[Average])),0)</f>
        <v>17.714336330412955</v>
      </c>
      <c r="O684" s="5" cm="1">
        <f t="array" ref="O684">IFERROR(_xlfn.STDEV.S(IF((DiscreteStatsTable[GroupByKey]=DiscreteStatsTable[[#This Row],[GroupByKey]]),(DiscreteStatsTable[GroupByKey]=DiscreteStatsTable[[#This Row],[GroupByKey]])*DiscreteStatsTable[Average])),0)</f>
        <v>2.9087308458074794</v>
      </c>
      <c r="P684" s="5" cm="1">
        <f t="array" ref="P684">MAX(IF((ProjectInfoTable[ProjectName]=DiscreteStatsTable[[#This Row],[ProjectName]]),(ProjectInfoTable[ProjectName]=DiscreteStatsTable[[#This Row],[ProjectName]])*ProjectInfoTable[ConfidenceInterval]))</f>
        <v>0.95</v>
      </c>
      <c r="Q684" s="5">
        <f>IF(AND(DiscreteStatsTable[[#This Row],[RepsWithStatObserved]]=1,Y684=0),200000000000000000000,IFERROR(_xlfn.T.INV.2T(1 -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684" s="5" cm="1">
        <f t="array" ref="R684">MIN(IF((DiscreteStatsTable[GroupByKey]=DiscreteStatsTable[[#This Row],[GroupByKey]]),(DiscreteStatsTable[GroupByKey]=DiscreteStatsTable[[#This Row],[GroupByKey]])*DiscreteStatsTable[Average]))</f>
        <v>13.101063207922801</v>
      </c>
      <c r="S684" s="5" cm="1">
        <f t="array" ref="S684">MAX(IF((DiscreteStatsTable[GroupByKey]=DiscreteStatsTable[[#This Row],[GroupByKey]]),(DiscreteStatsTable[GroupByKey]=DiscreteStatsTable[[#This Row],[GroupByKey]])*DiscreteStatsTable[Average]))</f>
        <v>22.975696741341299</v>
      </c>
      <c r="T684" s="5" cm="1">
        <f t="array" ref="T684">MIN(IF((DiscreteStatsTable[GroupByKey]=DiscreteStatsTable[[#This Row],[GroupByKey]]),(DiscreteStatsTable[GroupByKey]=DiscreteStatsTable[[#This Row],[GroupByKey]])*DiscreteStatsTable[Minimum]))</f>
        <v>0</v>
      </c>
      <c r="U684" s="5" cm="1">
        <f t="array" ref="U684">MAX(IF((DiscreteStatsTable[GroupByKey]=DiscreteStatsTable[[#This Row],[GroupByKey]]),(DiscreteStatsTable[GroupByKey]=DiscreteStatsTable[[#This Row],[GroupByKey]])*DiscreteStatsTable[Maximum]))</f>
        <v>47.092378696302802</v>
      </c>
      <c r="V684" s="5" cm="1">
        <f t="array" ref="V684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84" s="5">
        <f>IF((DiscreteStatsTable[[#This Row],[RepsRequested]]&gt;1),DiscreteStatsTable[[#This Row],[HalfWidth]],DiscreteStatsTable[[#This Row],[BatchMeansHalfWidth]])</f>
        <v>1.4019633908103393</v>
      </c>
      <c r="X684" s="5" cm="1">
        <f t="array" ref="X684">COUNT(IF((DiscreteStatsTable[GroupByKey]=DiscreteStatsTable[[#This Row],[GroupByKey]]),(DiscreteStatsTable[GroupByKey]=DiscreteStatsTable[[#This Row],[GroupByKey]])*DiscreteStatsTable[Replication]))</f>
        <v>19</v>
      </c>
      <c r="Y684" s="5">
        <f>IF(DiscreteStatsTable[[#This Row],[RepsRequested]]=DiscreteStatsTable[[#This Row],[RepsWithStatObserved]],1,0)</f>
        <v>1</v>
      </c>
    </row>
    <row r="685" spans="1:25" x14ac:dyDescent="0.25">
      <c r="A685" t="s">
        <v>67</v>
      </c>
      <c r="B685" t="s">
        <v>69</v>
      </c>
      <c r="C685">
        <v>19</v>
      </c>
      <c r="D685" t="s">
        <v>105</v>
      </c>
      <c r="E685" t="s">
        <v>79</v>
      </c>
      <c r="F685" t="s">
        <v>80</v>
      </c>
      <c r="G685">
        <v>13.101063207922801</v>
      </c>
      <c r="H685">
        <v>2E+20</v>
      </c>
      <c r="I685">
        <v>1.07901038776188</v>
      </c>
      <c r="J685">
        <v>26.2201450806797</v>
      </c>
      <c r="K685">
        <v>17</v>
      </c>
      <c r="L68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compartida)TiempoEnMesaExpressionUser Specified</v>
      </c>
      <c r="M685" s="5" cm="1">
        <f t="array" ref="M685">MAX(IF((ProjectInfoTable[ProjectName]=DiscreteStatsTable[[#This Row],[ProjectName]]),(ProjectInfoTable[ProjectName]=DiscreteStatsTable[[#This Row],[ProjectName]])*ProjectInfoTable[NumberOfReplications]))</f>
        <v>19</v>
      </c>
      <c r="N685" s="5" cm="1">
        <f t="array" ref="N685">IFERROR(AVERAGE(IF((DiscreteStatsTable[GroupByKey]=DiscreteStatsTable[[#This Row],[GroupByKey]]),(DiscreteStatsTable[GroupByKey]=DiscreteStatsTable[[#This Row],[GroupByKey]])*DiscreteStatsTable[Average])),0)</f>
        <v>17.714336330412955</v>
      </c>
      <c r="O685" s="5" cm="1">
        <f t="array" ref="O685">IFERROR(_xlfn.STDEV.S(IF((DiscreteStatsTable[GroupByKey]=DiscreteStatsTable[[#This Row],[GroupByKey]]),(DiscreteStatsTable[GroupByKey]=DiscreteStatsTable[[#This Row],[GroupByKey]])*DiscreteStatsTable[Average])),0)</f>
        <v>2.9087308458074794</v>
      </c>
      <c r="P685" s="5" cm="1">
        <f t="array" ref="P685">MAX(IF((ProjectInfoTable[ProjectName]=DiscreteStatsTable[[#This Row],[ProjectName]]),(ProjectInfoTable[ProjectName]=DiscreteStatsTable[[#This Row],[ProjectName]])*ProjectInfoTable[ConfidenceInterval]))</f>
        <v>0.95</v>
      </c>
      <c r="Q685" s="5">
        <f>IF(AND(DiscreteStatsTable[[#This Row],[RepsWithStatObserved]]=1,Y685=0),200000000000000000000,IFERROR(_xlfn.T.INV.2T(1 -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1.4019633908103393</v>
      </c>
      <c r="R685" s="5" cm="1">
        <f t="array" ref="R685">MIN(IF((DiscreteStatsTable[GroupByKey]=DiscreteStatsTable[[#This Row],[GroupByKey]]),(DiscreteStatsTable[GroupByKey]=DiscreteStatsTable[[#This Row],[GroupByKey]])*DiscreteStatsTable[Average]))</f>
        <v>13.101063207922801</v>
      </c>
      <c r="S685" s="5" cm="1">
        <f t="array" ref="S685">MAX(IF((DiscreteStatsTable[GroupByKey]=DiscreteStatsTable[[#This Row],[GroupByKey]]),(DiscreteStatsTable[GroupByKey]=DiscreteStatsTable[[#This Row],[GroupByKey]])*DiscreteStatsTable[Average]))</f>
        <v>22.975696741341299</v>
      </c>
      <c r="T685" s="5" cm="1">
        <f t="array" ref="T685">MIN(IF((DiscreteStatsTable[GroupByKey]=DiscreteStatsTable[[#This Row],[GroupByKey]]),(DiscreteStatsTable[GroupByKey]=DiscreteStatsTable[[#This Row],[GroupByKey]])*DiscreteStatsTable[Minimum]))</f>
        <v>0</v>
      </c>
      <c r="U685" s="5" cm="1">
        <f t="array" ref="U685">MAX(IF((DiscreteStatsTable[GroupByKey]=DiscreteStatsTable[[#This Row],[GroupByKey]]),(DiscreteStatsTable[GroupByKey]=DiscreteStatsTable[[#This Row],[GroupByKey]])*DiscreteStatsTable[Maximum]))</f>
        <v>47.092378696302802</v>
      </c>
      <c r="V685" s="5" cm="1">
        <f t="array" ref="V685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85" s="5">
        <f>IF((DiscreteStatsTable[[#This Row],[RepsRequested]]&gt;1),DiscreteStatsTable[[#This Row],[HalfWidth]],DiscreteStatsTable[[#This Row],[BatchMeansHalfWidth]])</f>
        <v>1.4019633908103393</v>
      </c>
      <c r="X685" s="5" cm="1">
        <f t="array" ref="X685">COUNT(IF((DiscreteStatsTable[GroupByKey]=DiscreteStatsTable[[#This Row],[GroupByKey]]),(DiscreteStatsTable[GroupByKey]=DiscreteStatsTable[[#This Row],[GroupByKey]])*DiscreteStatsTable[Replication]))</f>
        <v>19</v>
      </c>
      <c r="Y685" s="5">
        <f>IF(DiscreteStatsTable[[#This Row],[RepsRequested]]=DiscreteStatsTable[[#This Row],[RepsWithStatObserved]],1,0)</f>
        <v>1</v>
      </c>
    </row>
    <row r="686" spans="1:25" x14ac:dyDescent="0.25">
      <c r="A686" t="s">
        <v>67</v>
      </c>
      <c r="B686" t="s">
        <v>69</v>
      </c>
      <c r="C686">
        <v>1</v>
      </c>
      <c r="D686" t="s">
        <v>106</v>
      </c>
      <c r="E686" t="s">
        <v>107</v>
      </c>
      <c r="F686" t="s">
        <v>80</v>
      </c>
      <c r="G686">
        <v>36.863589442352897</v>
      </c>
      <c r="H686">
        <v>2E+20</v>
      </c>
      <c r="I686">
        <v>7.3183275684244196</v>
      </c>
      <c r="J686">
        <v>53.902204331522697</v>
      </c>
      <c r="K686">
        <v>19</v>
      </c>
      <c r="L68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compartida)TiempoEnSistemaMesaIntervalUser Specified</v>
      </c>
      <c r="M686" s="5" cm="1">
        <f t="array" ref="M686">MAX(IF((ProjectInfoTable[ProjectName]=DiscreteStatsTable[[#This Row],[ProjectName]]),(ProjectInfoTable[ProjectName]=DiscreteStatsTable[[#This Row],[ProjectName]])*ProjectInfoTable[NumberOfReplications]))</f>
        <v>19</v>
      </c>
      <c r="N686" s="5" cm="1">
        <f t="array" ref="N686">IFERROR(AVERAGE(IF((DiscreteStatsTable[GroupByKey]=DiscreteStatsTable[[#This Row],[GroupByKey]]),(DiscreteStatsTable[GroupByKey]=DiscreteStatsTable[[#This Row],[GroupByKey]])*DiscreteStatsTable[Average])),0)</f>
        <v>22.08644356402899</v>
      </c>
      <c r="O686" s="5" cm="1">
        <f t="array" ref="O686">IFERROR(_xlfn.STDEV.S(IF((DiscreteStatsTable[GroupByKey]=DiscreteStatsTable[[#This Row],[GroupByKey]]),(DiscreteStatsTable[GroupByKey]=DiscreteStatsTable[[#This Row],[GroupByKey]])*DiscreteStatsTable[Average])),0)</f>
        <v>4.8161914443752796</v>
      </c>
      <c r="P686" s="5" cm="1">
        <f t="array" ref="P686">MAX(IF((ProjectInfoTable[ProjectName]=DiscreteStatsTable[[#This Row],[ProjectName]]),(ProjectInfoTable[ProjectName]=DiscreteStatsTable[[#This Row],[ProjectName]])*ProjectInfoTable[ConfidenceInterval]))</f>
        <v>0.95</v>
      </c>
      <c r="Q686" s="5">
        <f>IF(AND(DiscreteStatsTable[[#This Row],[RepsWithStatObserved]]=1,Y686=0),200000000000000000000,IFERROR(_xlfn.T.INV.2T(1 -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2.3213299703822154</v>
      </c>
      <c r="R686" s="5" cm="1">
        <f t="array" ref="R686">MIN(IF((DiscreteStatsTable[GroupByKey]=DiscreteStatsTable[[#This Row],[GroupByKey]]),(DiscreteStatsTable[GroupByKey]=DiscreteStatsTable[[#This Row],[GroupByKey]])*DiscreteStatsTable[Average]))</f>
        <v>15.7816894791909</v>
      </c>
      <c r="S686" s="5" cm="1">
        <f t="array" ref="S686">MAX(IF((DiscreteStatsTable[GroupByKey]=DiscreteStatsTable[[#This Row],[GroupByKey]]),(DiscreteStatsTable[GroupByKey]=DiscreteStatsTable[[#This Row],[GroupByKey]])*DiscreteStatsTable[Average]))</f>
        <v>36.863589442352897</v>
      </c>
      <c r="T686" s="5" cm="1">
        <f t="array" ref="T686">MIN(IF((DiscreteStatsTable[GroupByKey]=DiscreteStatsTable[[#This Row],[GroupByKey]]),(DiscreteStatsTable[GroupByKey]=DiscreteStatsTable[[#This Row],[GroupByKey]])*DiscreteStatsTable[Minimum]))</f>
        <v>0.60651001428010398</v>
      </c>
      <c r="U686" s="5" cm="1">
        <f t="array" ref="U686">MAX(IF((DiscreteStatsTable[GroupByKey]=DiscreteStatsTable[[#This Row],[GroupByKey]]),(DiscreteStatsTable[GroupByKey]=DiscreteStatsTable[[#This Row],[GroupByKey]])*DiscreteStatsTable[Maximum]))</f>
        <v>61.080910283562602</v>
      </c>
      <c r="V686" s="5" cm="1">
        <f t="array" ref="V686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86" s="5">
        <f>IF((DiscreteStatsTable[[#This Row],[RepsRequested]]&gt;1),DiscreteStatsTable[[#This Row],[HalfWidth]],DiscreteStatsTable[[#This Row],[BatchMeansHalfWidth]])</f>
        <v>2.3213299703822154</v>
      </c>
      <c r="X686" s="5" cm="1">
        <f t="array" ref="X686">COUNT(IF((DiscreteStatsTable[GroupByKey]=DiscreteStatsTable[[#This Row],[GroupByKey]]),(DiscreteStatsTable[GroupByKey]=DiscreteStatsTable[[#This Row],[GroupByKey]])*DiscreteStatsTable[Replication]))</f>
        <v>19</v>
      </c>
      <c r="Y686" s="5">
        <f>IF(DiscreteStatsTable[[#This Row],[RepsRequested]]=DiscreteStatsTable[[#This Row],[RepsWithStatObserved]],1,0)</f>
        <v>1</v>
      </c>
    </row>
    <row r="687" spans="1:25" x14ac:dyDescent="0.25">
      <c r="A687" t="s">
        <v>67</v>
      </c>
      <c r="B687" t="s">
        <v>69</v>
      </c>
      <c r="C687">
        <v>2</v>
      </c>
      <c r="D687" t="s">
        <v>106</v>
      </c>
      <c r="E687" t="s">
        <v>107</v>
      </c>
      <c r="F687" t="s">
        <v>80</v>
      </c>
      <c r="G687">
        <v>22.190896232918799</v>
      </c>
      <c r="H687">
        <v>2E+20</v>
      </c>
      <c r="I687">
        <v>10.7720051618345</v>
      </c>
      <c r="J687">
        <v>31.817972856529799</v>
      </c>
      <c r="K687">
        <v>8</v>
      </c>
      <c r="L68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compartida)TiempoEnSistemaMesaIntervalUser Specified</v>
      </c>
      <c r="M687" s="5" cm="1">
        <f t="array" ref="M687">MAX(IF((ProjectInfoTable[ProjectName]=DiscreteStatsTable[[#This Row],[ProjectName]]),(ProjectInfoTable[ProjectName]=DiscreteStatsTable[[#This Row],[ProjectName]])*ProjectInfoTable[NumberOfReplications]))</f>
        <v>19</v>
      </c>
      <c r="N687" s="5" cm="1">
        <f t="array" ref="N687">IFERROR(AVERAGE(IF((DiscreteStatsTable[GroupByKey]=DiscreteStatsTable[[#This Row],[GroupByKey]]),(DiscreteStatsTable[GroupByKey]=DiscreteStatsTable[[#This Row],[GroupByKey]])*DiscreteStatsTable[Average])),0)</f>
        <v>22.08644356402899</v>
      </c>
      <c r="O687" s="5" cm="1">
        <f t="array" ref="O687">IFERROR(_xlfn.STDEV.S(IF((DiscreteStatsTable[GroupByKey]=DiscreteStatsTable[[#This Row],[GroupByKey]]),(DiscreteStatsTable[GroupByKey]=DiscreteStatsTable[[#This Row],[GroupByKey]])*DiscreteStatsTable[Average])),0)</f>
        <v>4.8161914443752796</v>
      </c>
      <c r="P687" s="5" cm="1">
        <f t="array" ref="P687">MAX(IF((ProjectInfoTable[ProjectName]=DiscreteStatsTable[[#This Row],[ProjectName]]),(ProjectInfoTable[ProjectName]=DiscreteStatsTable[[#This Row],[ProjectName]])*ProjectInfoTable[ConfidenceInterval]))</f>
        <v>0.95</v>
      </c>
      <c r="Q687" s="5">
        <f>IF(AND(DiscreteStatsTable[[#This Row],[RepsWithStatObserved]]=1,Y687=0),200000000000000000000,IFERROR(_xlfn.T.INV.2T(1 -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2.3213299703822154</v>
      </c>
      <c r="R687" s="5" cm="1">
        <f t="array" ref="R687">MIN(IF((DiscreteStatsTable[GroupByKey]=DiscreteStatsTable[[#This Row],[GroupByKey]]),(DiscreteStatsTable[GroupByKey]=DiscreteStatsTable[[#This Row],[GroupByKey]])*DiscreteStatsTable[Average]))</f>
        <v>15.7816894791909</v>
      </c>
      <c r="S687" s="5" cm="1">
        <f t="array" ref="S687">MAX(IF((DiscreteStatsTable[GroupByKey]=DiscreteStatsTable[[#This Row],[GroupByKey]]),(DiscreteStatsTable[GroupByKey]=DiscreteStatsTable[[#This Row],[GroupByKey]])*DiscreteStatsTable[Average]))</f>
        <v>36.863589442352897</v>
      </c>
      <c r="T687" s="5" cm="1">
        <f t="array" ref="T687">MIN(IF((DiscreteStatsTable[GroupByKey]=DiscreteStatsTable[[#This Row],[GroupByKey]]),(DiscreteStatsTable[GroupByKey]=DiscreteStatsTable[[#This Row],[GroupByKey]])*DiscreteStatsTable[Minimum]))</f>
        <v>0.60651001428010398</v>
      </c>
      <c r="U687" s="5" cm="1">
        <f t="array" ref="U687">MAX(IF((DiscreteStatsTable[GroupByKey]=DiscreteStatsTable[[#This Row],[GroupByKey]]),(DiscreteStatsTable[GroupByKey]=DiscreteStatsTable[[#This Row],[GroupByKey]])*DiscreteStatsTable[Maximum]))</f>
        <v>61.080910283562602</v>
      </c>
      <c r="V687" s="5" cm="1">
        <f t="array" ref="V687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87" s="5">
        <f>IF((DiscreteStatsTable[[#This Row],[RepsRequested]]&gt;1),DiscreteStatsTable[[#This Row],[HalfWidth]],DiscreteStatsTable[[#This Row],[BatchMeansHalfWidth]])</f>
        <v>2.3213299703822154</v>
      </c>
      <c r="X687" s="5" cm="1">
        <f t="array" ref="X687">COUNT(IF((DiscreteStatsTable[GroupByKey]=DiscreteStatsTable[[#This Row],[GroupByKey]]),(DiscreteStatsTable[GroupByKey]=DiscreteStatsTable[[#This Row],[GroupByKey]])*DiscreteStatsTable[Replication]))</f>
        <v>19</v>
      </c>
      <c r="Y687" s="5">
        <f>IF(DiscreteStatsTable[[#This Row],[RepsRequested]]=DiscreteStatsTable[[#This Row],[RepsWithStatObserved]],1,0)</f>
        <v>1</v>
      </c>
    </row>
    <row r="688" spans="1:25" x14ac:dyDescent="0.25">
      <c r="A688" t="s">
        <v>67</v>
      </c>
      <c r="B688" t="s">
        <v>69</v>
      </c>
      <c r="C688">
        <v>3</v>
      </c>
      <c r="D688" t="s">
        <v>106</v>
      </c>
      <c r="E688" t="s">
        <v>107</v>
      </c>
      <c r="F688" t="s">
        <v>80</v>
      </c>
      <c r="G688">
        <v>27.807007951551199</v>
      </c>
      <c r="H688">
        <v>2E+20</v>
      </c>
      <c r="I688">
        <v>7.4990598445816703</v>
      </c>
      <c r="J688">
        <v>61.080910283562602</v>
      </c>
      <c r="K688">
        <v>16</v>
      </c>
      <c r="L68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compartida)TiempoEnSistemaMesaIntervalUser Specified</v>
      </c>
      <c r="M688" s="5" cm="1">
        <f t="array" ref="M688">MAX(IF((ProjectInfoTable[ProjectName]=DiscreteStatsTable[[#This Row],[ProjectName]]),(ProjectInfoTable[ProjectName]=DiscreteStatsTable[[#This Row],[ProjectName]])*ProjectInfoTable[NumberOfReplications]))</f>
        <v>19</v>
      </c>
      <c r="N688" s="5" cm="1">
        <f t="array" ref="N688">IFERROR(AVERAGE(IF((DiscreteStatsTable[GroupByKey]=DiscreteStatsTable[[#This Row],[GroupByKey]]),(DiscreteStatsTable[GroupByKey]=DiscreteStatsTable[[#This Row],[GroupByKey]])*DiscreteStatsTable[Average])),0)</f>
        <v>22.08644356402899</v>
      </c>
      <c r="O688" s="5" cm="1">
        <f t="array" ref="O688">IFERROR(_xlfn.STDEV.S(IF((DiscreteStatsTable[GroupByKey]=DiscreteStatsTable[[#This Row],[GroupByKey]]),(DiscreteStatsTable[GroupByKey]=DiscreteStatsTable[[#This Row],[GroupByKey]])*DiscreteStatsTable[Average])),0)</f>
        <v>4.8161914443752796</v>
      </c>
      <c r="P688" s="5" cm="1">
        <f t="array" ref="P688">MAX(IF((ProjectInfoTable[ProjectName]=DiscreteStatsTable[[#This Row],[ProjectName]]),(ProjectInfoTable[ProjectName]=DiscreteStatsTable[[#This Row],[ProjectName]])*ProjectInfoTable[ConfidenceInterval]))</f>
        <v>0.95</v>
      </c>
      <c r="Q688" s="5">
        <f>IF(AND(DiscreteStatsTable[[#This Row],[RepsWithStatObserved]]=1,Y688=0),200000000000000000000,IFERROR(_xlfn.T.INV.2T(1 -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2.3213299703822154</v>
      </c>
      <c r="R688" s="5" cm="1">
        <f t="array" ref="R688">MIN(IF((DiscreteStatsTable[GroupByKey]=DiscreteStatsTable[[#This Row],[GroupByKey]]),(DiscreteStatsTable[GroupByKey]=DiscreteStatsTable[[#This Row],[GroupByKey]])*DiscreteStatsTable[Average]))</f>
        <v>15.7816894791909</v>
      </c>
      <c r="S688" s="5" cm="1">
        <f t="array" ref="S688">MAX(IF((DiscreteStatsTable[GroupByKey]=DiscreteStatsTable[[#This Row],[GroupByKey]]),(DiscreteStatsTable[GroupByKey]=DiscreteStatsTable[[#This Row],[GroupByKey]])*DiscreteStatsTable[Average]))</f>
        <v>36.863589442352897</v>
      </c>
      <c r="T688" s="5" cm="1">
        <f t="array" ref="T688">MIN(IF((DiscreteStatsTable[GroupByKey]=DiscreteStatsTable[[#This Row],[GroupByKey]]),(DiscreteStatsTable[GroupByKey]=DiscreteStatsTable[[#This Row],[GroupByKey]])*DiscreteStatsTable[Minimum]))</f>
        <v>0.60651001428010398</v>
      </c>
      <c r="U688" s="5" cm="1">
        <f t="array" ref="U688">MAX(IF((DiscreteStatsTable[GroupByKey]=DiscreteStatsTable[[#This Row],[GroupByKey]]),(DiscreteStatsTable[GroupByKey]=DiscreteStatsTable[[#This Row],[GroupByKey]])*DiscreteStatsTable[Maximum]))</f>
        <v>61.080910283562602</v>
      </c>
      <c r="V688" s="5" cm="1">
        <f t="array" ref="V688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88" s="5">
        <f>IF((DiscreteStatsTable[[#This Row],[RepsRequested]]&gt;1),DiscreteStatsTable[[#This Row],[HalfWidth]],DiscreteStatsTable[[#This Row],[BatchMeansHalfWidth]])</f>
        <v>2.3213299703822154</v>
      </c>
      <c r="X688" s="5" cm="1">
        <f t="array" ref="X688">COUNT(IF((DiscreteStatsTable[GroupByKey]=DiscreteStatsTable[[#This Row],[GroupByKey]]),(DiscreteStatsTable[GroupByKey]=DiscreteStatsTable[[#This Row],[GroupByKey]])*DiscreteStatsTable[Replication]))</f>
        <v>19</v>
      </c>
      <c r="Y688" s="5">
        <f>IF(DiscreteStatsTable[[#This Row],[RepsRequested]]=DiscreteStatsTable[[#This Row],[RepsWithStatObserved]],1,0)</f>
        <v>1</v>
      </c>
    </row>
    <row r="689" spans="1:25" x14ac:dyDescent="0.25">
      <c r="A689" t="s">
        <v>67</v>
      </c>
      <c r="B689" t="s">
        <v>69</v>
      </c>
      <c r="C689">
        <v>4</v>
      </c>
      <c r="D689" t="s">
        <v>106</v>
      </c>
      <c r="E689" t="s">
        <v>107</v>
      </c>
      <c r="F689" t="s">
        <v>80</v>
      </c>
      <c r="G689">
        <v>17.300949835484499</v>
      </c>
      <c r="H689">
        <v>2E+20</v>
      </c>
      <c r="I689">
        <v>7.5175361905959601</v>
      </c>
      <c r="J689">
        <v>34.384924855603899</v>
      </c>
      <c r="K689">
        <v>15</v>
      </c>
      <c r="L68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compartida)TiempoEnSistemaMesaIntervalUser Specified</v>
      </c>
      <c r="M689" s="5" cm="1">
        <f t="array" ref="M689">MAX(IF((ProjectInfoTable[ProjectName]=DiscreteStatsTable[[#This Row],[ProjectName]]),(ProjectInfoTable[ProjectName]=DiscreteStatsTable[[#This Row],[ProjectName]])*ProjectInfoTable[NumberOfReplications]))</f>
        <v>19</v>
      </c>
      <c r="N689" s="5" cm="1">
        <f t="array" ref="N689">IFERROR(AVERAGE(IF((DiscreteStatsTable[GroupByKey]=DiscreteStatsTable[[#This Row],[GroupByKey]]),(DiscreteStatsTable[GroupByKey]=DiscreteStatsTable[[#This Row],[GroupByKey]])*DiscreteStatsTable[Average])),0)</f>
        <v>22.08644356402899</v>
      </c>
      <c r="O689" s="5" cm="1">
        <f t="array" ref="O689">IFERROR(_xlfn.STDEV.S(IF((DiscreteStatsTable[GroupByKey]=DiscreteStatsTable[[#This Row],[GroupByKey]]),(DiscreteStatsTable[GroupByKey]=DiscreteStatsTable[[#This Row],[GroupByKey]])*DiscreteStatsTable[Average])),0)</f>
        <v>4.8161914443752796</v>
      </c>
      <c r="P689" s="5" cm="1">
        <f t="array" ref="P689">MAX(IF((ProjectInfoTable[ProjectName]=DiscreteStatsTable[[#This Row],[ProjectName]]),(ProjectInfoTable[ProjectName]=DiscreteStatsTable[[#This Row],[ProjectName]])*ProjectInfoTable[ConfidenceInterval]))</f>
        <v>0.95</v>
      </c>
      <c r="Q689" s="5">
        <f>IF(AND(DiscreteStatsTable[[#This Row],[RepsWithStatObserved]]=1,Y689=0),200000000000000000000,IFERROR(_xlfn.T.INV.2T(1 -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2.3213299703822154</v>
      </c>
      <c r="R689" s="5" cm="1">
        <f t="array" ref="R689">MIN(IF((DiscreteStatsTable[GroupByKey]=DiscreteStatsTable[[#This Row],[GroupByKey]]),(DiscreteStatsTable[GroupByKey]=DiscreteStatsTable[[#This Row],[GroupByKey]])*DiscreteStatsTable[Average]))</f>
        <v>15.7816894791909</v>
      </c>
      <c r="S689" s="5" cm="1">
        <f t="array" ref="S689">MAX(IF((DiscreteStatsTable[GroupByKey]=DiscreteStatsTable[[#This Row],[GroupByKey]]),(DiscreteStatsTable[GroupByKey]=DiscreteStatsTable[[#This Row],[GroupByKey]])*DiscreteStatsTable[Average]))</f>
        <v>36.863589442352897</v>
      </c>
      <c r="T689" s="5" cm="1">
        <f t="array" ref="T689">MIN(IF((DiscreteStatsTable[GroupByKey]=DiscreteStatsTable[[#This Row],[GroupByKey]]),(DiscreteStatsTable[GroupByKey]=DiscreteStatsTable[[#This Row],[GroupByKey]])*DiscreteStatsTable[Minimum]))</f>
        <v>0.60651001428010398</v>
      </c>
      <c r="U689" s="5" cm="1">
        <f t="array" ref="U689">MAX(IF((DiscreteStatsTable[GroupByKey]=DiscreteStatsTable[[#This Row],[GroupByKey]]),(DiscreteStatsTable[GroupByKey]=DiscreteStatsTable[[#This Row],[GroupByKey]])*DiscreteStatsTable[Maximum]))</f>
        <v>61.080910283562602</v>
      </c>
      <c r="V689" s="5" cm="1">
        <f t="array" ref="V689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89" s="5">
        <f>IF((DiscreteStatsTable[[#This Row],[RepsRequested]]&gt;1),DiscreteStatsTable[[#This Row],[HalfWidth]],DiscreteStatsTable[[#This Row],[BatchMeansHalfWidth]])</f>
        <v>2.3213299703822154</v>
      </c>
      <c r="X689" s="5" cm="1">
        <f t="array" ref="X689">COUNT(IF((DiscreteStatsTable[GroupByKey]=DiscreteStatsTable[[#This Row],[GroupByKey]]),(DiscreteStatsTable[GroupByKey]=DiscreteStatsTable[[#This Row],[GroupByKey]])*DiscreteStatsTable[Replication]))</f>
        <v>19</v>
      </c>
      <c r="Y689" s="5">
        <f>IF(DiscreteStatsTable[[#This Row],[RepsRequested]]=DiscreteStatsTable[[#This Row],[RepsWithStatObserved]],1,0)</f>
        <v>1</v>
      </c>
    </row>
    <row r="690" spans="1:25" x14ac:dyDescent="0.25">
      <c r="A690" t="s">
        <v>67</v>
      </c>
      <c r="B690" t="s">
        <v>69</v>
      </c>
      <c r="C690">
        <v>5</v>
      </c>
      <c r="D690" t="s">
        <v>106</v>
      </c>
      <c r="E690" t="s">
        <v>107</v>
      </c>
      <c r="F690" t="s">
        <v>80</v>
      </c>
      <c r="G690">
        <v>21.703730186417399</v>
      </c>
      <c r="H690">
        <v>2E+20</v>
      </c>
      <c r="I690">
        <v>1.5908678755402801</v>
      </c>
      <c r="J690">
        <v>32.970550306151701</v>
      </c>
      <c r="K690">
        <v>15</v>
      </c>
      <c r="L69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compartida)TiempoEnSistemaMesaIntervalUser Specified</v>
      </c>
      <c r="M690" s="5" cm="1">
        <f t="array" ref="M690">MAX(IF((ProjectInfoTable[ProjectName]=DiscreteStatsTable[[#This Row],[ProjectName]]),(ProjectInfoTable[ProjectName]=DiscreteStatsTable[[#This Row],[ProjectName]])*ProjectInfoTable[NumberOfReplications]))</f>
        <v>19</v>
      </c>
      <c r="N690" s="5" cm="1">
        <f t="array" ref="N690">IFERROR(AVERAGE(IF((DiscreteStatsTable[GroupByKey]=DiscreteStatsTable[[#This Row],[GroupByKey]]),(DiscreteStatsTable[GroupByKey]=DiscreteStatsTable[[#This Row],[GroupByKey]])*DiscreteStatsTable[Average])),0)</f>
        <v>22.08644356402899</v>
      </c>
      <c r="O690" s="5" cm="1">
        <f t="array" ref="O690">IFERROR(_xlfn.STDEV.S(IF((DiscreteStatsTable[GroupByKey]=DiscreteStatsTable[[#This Row],[GroupByKey]]),(DiscreteStatsTable[GroupByKey]=DiscreteStatsTable[[#This Row],[GroupByKey]])*DiscreteStatsTable[Average])),0)</f>
        <v>4.8161914443752796</v>
      </c>
      <c r="P690" s="5" cm="1">
        <f t="array" ref="P690">MAX(IF((ProjectInfoTable[ProjectName]=DiscreteStatsTable[[#This Row],[ProjectName]]),(ProjectInfoTable[ProjectName]=DiscreteStatsTable[[#This Row],[ProjectName]])*ProjectInfoTable[ConfidenceInterval]))</f>
        <v>0.95</v>
      </c>
      <c r="Q690" s="5">
        <f>IF(AND(DiscreteStatsTable[[#This Row],[RepsWithStatObserved]]=1,Y690=0),200000000000000000000,IFERROR(_xlfn.T.INV.2T(1 -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2.3213299703822154</v>
      </c>
      <c r="R690" s="5" cm="1">
        <f t="array" ref="R690">MIN(IF((DiscreteStatsTable[GroupByKey]=DiscreteStatsTable[[#This Row],[GroupByKey]]),(DiscreteStatsTable[GroupByKey]=DiscreteStatsTable[[#This Row],[GroupByKey]])*DiscreteStatsTable[Average]))</f>
        <v>15.7816894791909</v>
      </c>
      <c r="S690" s="5" cm="1">
        <f t="array" ref="S690">MAX(IF((DiscreteStatsTable[GroupByKey]=DiscreteStatsTable[[#This Row],[GroupByKey]]),(DiscreteStatsTable[GroupByKey]=DiscreteStatsTable[[#This Row],[GroupByKey]])*DiscreteStatsTable[Average]))</f>
        <v>36.863589442352897</v>
      </c>
      <c r="T690" s="5" cm="1">
        <f t="array" ref="T690">MIN(IF((DiscreteStatsTable[GroupByKey]=DiscreteStatsTable[[#This Row],[GroupByKey]]),(DiscreteStatsTable[GroupByKey]=DiscreteStatsTable[[#This Row],[GroupByKey]])*DiscreteStatsTable[Minimum]))</f>
        <v>0.60651001428010398</v>
      </c>
      <c r="U690" s="5" cm="1">
        <f t="array" ref="U690">MAX(IF((DiscreteStatsTable[GroupByKey]=DiscreteStatsTable[[#This Row],[GroupByKey]]),(DiscreteStatsTable[GroupByKey]=DiscreteStatsTable[[#This Row],[GroupByKey]])*DiscreteStatsTable[Maximum]))</f>
        <v>61.080910283562602</v>
      </c>
      <c r="V690" s="5" cm="1">
        <f t="array" ref="V690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90" s="5">
        <f>IF((DiscreteStatsTable[[#This Row],[RepsRequested]]&gt;1),DiscreteStatsTable[[#This Row],[HalfWidth]],DiscreteStatsTable[[#This Row],[BatchMeansHalfWidth]])</f>
        <v>2.3213299703822154</v>
      </c>
      <c r="X690" s="5" cm="1">
        <f t="array" ref="X690">COUNT(IF((DiscreteStatsTable[GroupByKey]=DiscreteStatsTable[[#This Row],[GroupByKey]]),(DiscreteStatsTable[GroupByKey]=DiscreteStatsTable[[#This Row],[GroupByKey]])*DiscreteStatsTable[Replication]))</f>
        <v>19</v>
      </c>
      <c r="Y690" s="5">
        <f>IF(DiscreteStatsTable[[#This Row],[RepsRequested]]=DiscreteStatsTable[[#This Row],[RepsWithStatObserved]],1,0)</f>
        <v>1</v>
      </c>
    </row>
    <row r="691" spans="1:25" x14ac:dyDescent="0.25">
      <c r="A691" t="s">
        <v>67</v>
      </c>
      <c r="B691" t="s">
        <v>69</v>
      </c>
      <c r="C691">
        <v>6</v>
      </c>
      <c r="D691" t="s">
        <v>106</v>
      </c>
      <c r="E691" t="s">
        <v>107</v>
      </c>
      <c r="F691" t="s">
        <v>80</v>
      </c>
      <c r="G691">
        <v>18.184808948107801</v>
      </c>
      <c r="H691">
        <v>2E+20</v>
      </c>
      <c r="I691">
        <v>0.60651001428010398</v>
      </c>
      <c r="J691">
        <v>31.2500282441497</v>
      </c>
      <c r="K691">
        <v>17</v>
      </c>
      <c r="L69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compartida)TiempoEnSistemaMesaIntervalUser Specified</v>
      </c>
      <c r="M691" s="5" cm="1">
        <f t="array" ref="M691">MAX(IF((ProjectInfoTable[ProjectName]=DiscreteStatsTable[[#This Row],[ProjectName]]),(ProjectInfoTable[ProjectName]=DiscreteStatsTable[[#This Row],[ProjectName]])*ProjectInfoTable[NumberOfReplications]))</f>
        <v>19</v>
      </c>
      <c r="N691" s="5" cm="1">
        <f t="array" ref="N691">IFERROR(AVERAGE(IF((DiscreteStatsTable[GroupByKey]=DiscreteStatsTable[[#This Row],[GroupByKey]]),(DiscreteStatsTable[GroupByKey]=DiscreteStatsTable[[#This Row],[GroupByKey]])*DiscreteStatsTable[Average])),0)</f>
        <v>22.08644356402899</v>
      </c>
      <c r="O691" s="5" cm="1">
        <f t="array" ref="O691">IFERROR(_xlfn.STDEV.S(IF((DiscreteStatsTable[GroupByKey]=DiscreteStatsTable[[#This Row],[GroupByKey]]),(DiscreteStatsTable[GroupByKey]=DiscreteStatsTable[[#This Row],[GroupByKey]])*DiscreteStatsTable[Average])),0)</f>
        <v>4.8161914443752796</v>
      </c>
      <c r="P691" s="5" cm="1">
        <f t="array" ref="P691">MAX(IF((ProjectInfoTable[ProjectName]=DiscreteStatsTable[[#This Row],[ProjectName]]),(ProjectInfoTable[ProjectName]=DiscreteStatsTable[[#This Row],[ProjectName]])*ProjectInfoTable[ConfidenceInterval]))</f>
        <v>0.95</v>
      </c>
      <c r="Q691" s="5">
        <f>IF(AND(DiscreteStatsTable[[#This Row],[RepsWithStatObserved]]=1,Y691=0),200000000000000000000,IFERROR(_xlfn.T.INV.2T(1 -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2.3213299703822154</v>
      </c>
      <c r="R691" s="5" cm="1">
        <f t="array" ref="R691">MIN(IF((DiscreteStatsTable[GroupByKey]=DiscreteStatsTable[[#This Row],[GroupByKey]]),(DiscreteStatsTable[GroupByKey]=DiscreteStatsTable[[#This Row],[GroupByKey]])*DiscreteStatsTable[Average]))</f>
        <v>15.7816894791909</v>
      </c>
      <c r="S691" s="5" cm="1">
        <f t="array" ref="S691">MAX(IF((DiscreteStatsTable[GroupByKey]=DiscreteStatsTable[[#This Row],[GroupByKey]]),(DiscreteStatsTable[GroupByKey]=DiscreteStatsTable[[#This Row],[GroupByKey]])*DiscreteStatsTable[Average]))</f>
        <v>36.863589442352897</v>
      </c>
      <c r="T691" s="5" cm="1">
        <f t="array" ref="T691">MIN(IF((DiscreteStatsTable[GroupByKey]=DiscreteStatsTable[[#This Row],[GroupByKey]]),(DiscreteStatsTable[GroupByKey]=DiscreteStatsTable[[#This Row],[GroupByKey]])*DiscreteStatsTable[Minimum]))</f>
        <v>0.60651001428010398</v>
      </c>
      <c r="U691" s="5" cm="1">
        <f t="array" ref="U691">MAX(IF((DiscreteStatsTable[GroupByKey]=DiscreteStatsTable[[#This Row],[GroupByKey]]),(DiscreteStatsTable[GroupByKey]=DiscreteStatsTable[[#This Row],[GroupByKey]])*DiscreteStatsTable[Maximum]))</f>
        <v>61.080910283562602</v>
      </c>
      <c r="V691" s="5" cm="1">
        <f t="array" ref="V691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91" s="5">
        <f>IF((DiscreteStatsTable[[#This Row],[RepsRequested]]&gt;1),DiscreteStatsTable[[#This Row],[HalfWidth]],DiscreteStatsTable[[#This Row],[BatchMeansHalfWidth]])</f>
        <v>2.3213299703822154</v>
      </c>
      <c r="X691" s="5" cm="1">
        <f t="array" ref="X691">COUNT(IF((DiscreteStatsTable[GroupByKey]=DiscreteStatsTable[[#This Row],[GroupByKey]]),(DiscreteStatsTable[GroupByKey]=DiscreteStatsTable[[#This Row],[GroupByKey]])*DiscreteStatsTable[Replication]))</f>
        <v>19</v>
      </c>
      <c r="Y691" s="5">
        <f>IF(DiscreteStatsTable[[#This Row],[RepsRequested]]=DiscreteStatsTable[[#This Row],[RepsWithStatObserved]],1,0)</f>
        <v>1</v>
      </c>
    </row>
    <row r="692" spans="1:25" x14ac:dyDescent="0.25">
      <c r="A692" t="s">
        <v>67</v>
      </c>
      <c r="B692" t="s">
        <v>69</v>
      </c>
      <c r="C692">
        <v>7</v>
      </c>
      <c r="D692" t="s">
        <v>106</v>
      </c>
      <c r="E692" t="s">
        <v>107</v>
      </c>
      <c r="F692" t="s">
        <v>80</v>
      </c>
      <c r="G692">
        <v>17.314903608895399</v>
      </c>
      <c r="H692">
        <v>2E+20</v>
      </c>
      <c r="I692">
        <v>3.27703018006244</v>
      </c>
      <c r="J692">
        <v>31.134274500106201</v>
      </c>
      <c r="K692">
        <v>19</v>
      </c>
      <c r="L69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compartida)TiempoEnSistemaMesaIntervalUser Specified</v>
      </c>
      <c r="M692" s="5" cm="1">
        <f t="array" ref="M692">MAX(IF((ProjectInfoTable[ProjectName]=DiscreteStatsTable[[#This Row],[ProjectName]]),(ProjectInfoTable[ProjectName]=DiscreteStatsTable[[#This Row],[ProjectName]])*ProjectInfoTable[NumberOfReplications]))</f>
        <v>19</v>
      </c>
      <c r="N692" s="5" cm="1">
        <f t="array" ref="N692">IFERROR(AVERAGE(IF((DiscreteStatsTable[GroupByKey]=DiscreteStatsTable[[#This Row],[GroupByKey]]),(DiscreteStatsTable[GroupByKey]=DiscreteStatsTable[[#This Row],[GroupByKey]])*DiscreteStatsTable[Average])),0)</f>
        <v>22.08644356402899</v>
      </c>
      <c r="O692" s="5" cm="1">
        <f t="array" ref="O692">IFERROR(_xlfn.STDEV.S(IF((DiscreteStatsTable[GroupByKey]=DiscreteStatsTable[[#This Row],[GroupByKey]]),(DiscreteStatsTable[GroupByKey]=DiscreteStatsTable[[#This Row],[GroupByKey]])*DiscreteStatsTable[Average])),0)</f>
        <v>4.8161914443752796</v>
      </c>
      <c r="P692" s="5" cm="1">
        <f t="array" ref="P692">MAX(IF((ProjectInfoTable[ProjectName]=DiscreteStatsTable[[#This Row],[ProjectName]]),(ProjectInfoTable[ProjectName]=DiscreteStatsTable[[#This Row],[ProjectName]])*ProjectInfoTable[ConfidenceInterval]))</f>
        <v>0.95</v>
      </c>
      <c r="Q692" s="5">
        <f>IF(AND(DiscreteStatsTable[[#This Row],[RepsWithStatObserved]]=1,Y692=0),200000000000000000000,IFERROR(_xlfn.T.INV.2T(1 -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2.3213299703822154</v>
      </c>
      <c r="R692" s="5" cm="1">
        <f t="array" ref="R692">MIN(IF((DiscreteStatsTable[GroupByKey]=DiscreteStatsTable[[#This Row],[GroupByKey]]),(DiscreteStatsTable[GroupByKey]=DiscreteStatsTable[[#This Row],[GroupByKey]])*DiscreteStatsTable[Average]))</f>
        <v>15.7816894791909</v>
      </c>
      <c r="S692" s="5" cm="1">
        <f t="array" ref="S692">MAX(IF((DiscreteStatsTable[GroupByKey]=DiscreteStatsTable[[#This Row],[GroupByKey]]),(DiscreteStatsTable[GroupByKey]=DiscreteStatsTable[[#This Row],[GroupByKey]])*DiscreteStatsTable[Average]))</f>
        <v>36.863589442352897</v>
      </c>
      <c r="T692" s="5" cm="1">
        <f t="array" ref="T692">MIN(IF((DiscreteStatsTable[GroupByKey]=DiscreteStatsTable[[#This Row],[GroupByKey]]),(DiscreteStatsTable[GroupByKey]=DiscreteStatsTable[[#This Row],[GroupByKey]])*DiscreteStatsTable[Minimum]))</f>
        <v>0.60651001428010398</v>
      </c>
      <c r="U692" s="5" cm="1">
        <f t="array" ref="U692">MAX(IF((DiscreteStatsTable[GroupByKey]=DiscreteStatsTable[[#This Row],[GroupByKey]]),(DiscreteStatsTable[GroupByKey]=DiscreteStatsTable[[#This Row],[GroupByKey]])*DiscreteStatsTable[Maximum]))</f>
        <v>61.080910283562602</v>
      </c>
      <c r="V692" s="5" cm="1">
        <f t="array" ref="V692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92" s="5">
        <f>IF((DiscreteStatsTable[[#This Row],[RepsRequested]]&gt;1),DiscreteStatsTable[[#This Row],[HalfWidth]],DiscreteStatsTable[[#This Row],[BatchMeansHalfWidth]])</f>
        <v>2.3213299703822154</v>
      </c>
      <c r="X692" s="5" cm="1">
        <f t="array" ref="X692">COUNT(IF((DiscreteStatsTable[GroupByKey]=DiscreteStatsTable[[#This Row],[GroupByKey]]),(DiscreteStatsTable[GroupByKey]=DiscreteStatsTable[[#This Row],[GroupByKey]])*DiscreteStatsTable[Replication]))</f>
        <v>19</v>
      </c>
      <c r="Y692" s="5">
        <f>IF(DiscreteStatsTable[[#This Row],[RepsRequested]]=DiscreteStatsTable[[#This Row],[RepsWithStatObserved]],1,0)</f>
        <v>1</v>
      </c>
    </row>
    <row r="693" spans="1:25" x14ac:dyDescent="0.25">
      <c r="A693" t="s">
        <v>67</v>
      </c>
      <c r="B693" t="s">
        <v>69</v>
      </c>
      <c r="C693">
        <v>8</v>
      </c>
      <c r="D693" t="s">
        <v>106</v>
      </c>
      <c r="E693" t="s">
        <v>107</v>
      </c>
      <c r="F693" t="s">
        <v>80</v>
      </c>
      <c r="G693">
        <v>22.779523928214399</v>
      </c>
      <c r="H693">
        <v>2E+20</v>
      </c>
      <c r="I693">
        <v>3.7236032999224702</v>
      </c>
      <c r="J693">
        <v>32.548713325288503</v>
      </c>
      <c r="K693">
        <v>16</v>
      </c>
      <c r="L69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compartida)TiempoEnSistemaMesaIntervalUser Specified</v>
      </c>
      <c r="M693" s="5" cm="1">
        <f t="array" ref="M693">MAX(IF((ProjectInfoTable[ProjectName]=DiscreteStatsTable[[#This Row],[ProjectName]]),(ProjectInfoTable[ProjectName]=DiscreteStatsTable[[#This Row],[ProjectName]])*ProjectInfoTable[NumberOfReplications]))</f>
        <v>19</v>
      </c>
      <c r="N693" s="5" cm="1">
        <f t="array" ref="N693">IFERROR(AVERAGE(IF((DiscreteStatsTable[GroupByKey]=DiscreteStatsTable[[#This Row],[GroupByKey]]),(DiscreteStatsTable[GroupByKey]=DiscreteStatsTable[[#This Row],[GroupByKey]])*DiscreteStatsTable[Average])),0)</f>
        <v>22.08644356402899</v>
      </c>
      <c r="O693" s="5" cm="1">
        <f t="array" ref="O693">IFERROR(_xlfn.STDEV.S(IF((DiscreteStatsTable[GroupByKey]=DiscreteStatsTable[[#This Row],[GroupByKey]]),(DiscreteStatsTable[GroupByKey]=DiscreteStatsTable[[#This Row],[GroupByKey]])*DiscreteStatsTable[Average])),0)</f>
        <v>4.8161914443752796</v>
      </c>
      <c r="P693" s="5" cm="1">
        <f t="array" ref="P693">MAX(IF((ProjectInfoTable[ProjectName]=DiscreteStatsTable[[#This Row],[ProjectName]]),(ProjectInfoTable[ProjectName]=DiscreteStatsTable[[#This Row],[ProjectName]])*ProjectInfoTable[ConfidenceInterval]))</f>
        <v>0.95</v>
      </c>
      <c r="Q693" s="5">
        <f>IF(AND(DiscreteStatsTable[[#This Row],[RepsWithStatObserved]]=1,Y693=0),200000000000000000000,IFERROR(_xlfn.T.INV.2T(1 -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2.3213299703822154</v>
      </c>
      <c r="R693" s="5" cm="1">
        <f t="array" ref="R693">MIN(IF((DiscreteStatsTable[GroupByKey]=DiscreteStatsTable[[#This Row],[GroupByKey]]),(DiscreteStatsTable[GroupByKey]=DiscreteStatsTable[[#This Row],[GroupByKey]])*DiscreteStatsTable[Average]))</f>
        <v>15.7816894791909</v>
      </c>
      <c r="S693" s="5" cm="1">
        <f t="array" ref="S693">MAX(IF((DiscreteStatsTable[GroupByKey]=DiscreteStatsTable[[#This Row],[GroupByKey]]),(DiscreteStatsTable[GroupByKey]=DiscreteStatsTable[[#This Row],[GroupByKey]])*DiscreteStatsTable[Average]))</f>
        <v>36.863589442352897</v>
      </c>
      <c r="T693" s="5" cm="1">
        <f t="array" ref="T693">MIN(IF((DiscreteStatsTable[GroupByKey]=DiscreteStatsTable[[#This Row],[GroupByKey]]),(DiscreteStatsTable[GroupByKey]=DiscreteStatsTable[[#This Row],[GroupByKey]])*DiscreteStatsTable[Minimum]))</f>
        <v>0.60651001428010398</v>
      </c>
      <c r="U693" s="5" cm="1">
        <f t="array" ref="U693">MAX(IF((DiscreteStatsTable[GroupByKey]=DiscreteStatsTable[[#This Row],[GroupByKey]]),(DiscreteStatsTable[GroupByKey]=DiscreteStatsTable[[#This Row],[GroupByKey]])*DiscreteStatsTable[Maximum]))</f>
        <v>61.080910283562602</v>
      </c>
      <c r="V693" s="5" cm="1">
        <f t="array" ref="V693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93" s="5">
        <f>IF((DiscreteStatsTable[[#This Row],[RepsRequested]]&gt;1),DiscreteStatsTable[[#This Row],[HalfWidth]],DiscreteStatsTable[[#This Row],[BatchMeansHalfWidth]])</f>
        <v>2.3213299703822154</v>
      </c>
      <c r="X693" s="5" cm="1">
        <f t="array" ref="X693">COUNT(IF((DiscreteStatsTable[GroupByKey]=DiscreteStatsTable[[#This Row],[GroupByKey]]),(DiscreteStatsTable[GroupByKey]=DiscreteStatsTable[[#This Row],[GroupByKey]])*DiscreteStatsTable[Replication]))</f>
        <v>19</v>
      </c>
      <c r="Y693" s="5">
        <f>IF(DiscreteStatsTable[[#This Row],[RepsRequested]]=DiscreteStatsTable[[#This Row],[RepsWithStatObserved]],1,0)</f>
        <v>1</v>
      </c>
    </row>
    <row r="694" spans="1:25" x14ac:dyDescent="0.25">
      <c r="A694" t="s">
        <v>67</v>
      </c>
      <c r="B694" t="s">
        <v>69</v>
      </c>
      <c r="C694">
        <v>9</v>
      </c>
      <c r="D694" t="s">
        <v>106</v>
      </c>
      <c r="E694" t="s">
        <v>107</v>
      </c>
      <c r="F694" t="s">
        <v>80</v>
      </c>
      <c r="G694">
        <v>17.988373023227801</v>
      </c>
      <c r="H694">
        <v>2E+20</v>
      </c>
      <c r="I694">
        <v>2.3244856018195499</v>
      </c>
      <c r="J694">
        <v>33.367421891913303</v>
      </c>
      <c r="K694">
        <v>19</v>
      </c>
      <c r="L69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compartida)TiempoEnSistemaMesaIntervalUser Specified</v>
      </c>
      <c r="M694" s="5" cm="1">
        <f t="array" ref="M694">MAX(IF((ProjectInfoTable[ProjectName]=DiscreteStatsTable[[#This Row],[ProjectName]]),(ProjectInfoTable[ProjectName]=DiscreteStatsTable[[#This Row],[ProjectName]])*ProjectInfoTable[NumberOfReplications]))</f>
        <v>19</v>
      </c>
      <c r="N694" s="5" cm="1">
        <f t="array" ref="N694">IFERROR(AVERAGE(IF((DiscreteStatsTable[GroupByKey]=DiscreteStatsTable[[#This Row],[GroupByKey]]),(DiscreteStatsTable[GroupByKey]=DiscreteStatsTable[[#This Row],[GroupByKey]])*DiscreteStatsTable[Average])),0)</f>
        <v>22.08644356402899</v>
      </c>
      <c r="O694" s="5" cm="1">
        <f t="array" ref="O694">IFERROR(_xlfn.STDEV.S(IF((DiscreteStatsTable[GroupByKey]=DiscreteStatsTable[[#This Row],[GroupByKey]]),(DiscreteStatsTable[GroupByKey]=DiscreteStatsTable[[#This Row],[GroupByKey]])*DiscreteStatsTable[Average])),0)</f>
        <v>4.8161914443752796</v>
      </c>
      <c r="P694" s="5" cm="1">
        <f t="array" ref="P694">MAX(IF((ProjectInfoTable[ProjectName]=DiscreteStatsTable[[#This Row],[ProjectName]]),(ProjectInfoTable[ProjectName]=DiscreteStatsTable[[#This Row],[ProjectName]])*ProjectInfoTable[ConfidenceInterval]))</f>
        <v>0.95</v>
      </c>
      <c r="Q694" s="5">
        <f>IF(AND(DiscreteStatsTable[[#This Row],[RepsWithStatObserved]]=1,Y694=0),200000000000000000000,IFERROR(_xlfn.T.INV.2T(1 -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2.3213299703822154</v>
      </c>
      <c r="R694" s="5" cm="1">
        <f t="array" ref="R694">MIN(IF((DiscreteStatsTable[GroupByKey]=DiscreteStatsTable[[#This Row],[GroupByKey]]),(DiscreteStatsTable[GroupByKey]=DiscreteStatsTable[[#This Row],[GroupByKey]])*DiscreteStatsTable[Average]))</f>
        <v>15.7816894791909</v>
      </c>
      <c r="S694" s="5" cm="1">
        <f t="array" ref="S694">MAX(IF((DiscreteStatsTable[GroupByKey]=DiscreteStatsTable[[#This Row],[GroupByKey]]),(DiscreteStatsTable[GroupByKey]=DiscreteStatsTable[[#This Row],[GroupByKey]])*DiscreteStatsTable[Average]))</f>
        <v>36.863589442352897</v>
      </c>
      <c r="T694" s="5" cm="1">
        <f t="array" ref="T694">MIN(IF((DiscreteStatsTable[GroupByKey]=DiscreteStatsTable[[#This Row],[GroupByKey]]),(DiscreteStatsTable[GroupByKey]=DiscreteStatsTable[[#This Row],[GroupByKey]])*DiscreteStatsTable[Minimum]))</f>
        <v>0.60651001428010398</v>
      </c>
      <c r="U694" s="5" cm="1">
        <f t="array" ref="U694">MAX(IF((DiscreteStatsTable[GroupByKey]=DiscreteStatsTable[[#This Row],[GroupByKey]]),(DiscreteStatsTable[GroupByKey]=DiscreteStatsTable[[#This Row],[GroupByKey]])*DiscreteStatsTable[Maximum]))</f>
        <v>61.080910283562602</v>
      </c>
      <c r="V694" s="5" cm="1">
        <f t="array" ref="V694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94" s="5">
        <f>IF((DiscreteStatsTable[[#This Row],[RepsRequested]]&gt;1),DiscreteStatsTable[[#This Row],[HalfWidth]],DiscreteStatsTable[[#This Row],[BatchMeansHalfWidth]])</f>
        <v>2.3213299703822154</v>
      </c>
      <c r="X694" s="5" cm="1">
        <f t="array" ref="X694">COUNT(IF((DiscreteStatsTable[GroupByKey]=DiscreteStatsTable[[#This Row],[GroupByKey]]),(DiscreteStatsTable[GroupByKey]=DiscreteStatsTable[[#This Row],[GroupByKey]])*DiscreteStatsTable[Replication]))</f>
        <v>19</v>
      </c>
      <c r="Y694" s="5">
        <f>IF(DiscreteStatsTable[[#This Row],[RepsRequested]]=DiscreteStatsTable[[#This Row],[RepsWithStatObserved]],1,0)</f>
        <v>1</v>
      </c>
    </row>
    <row r="695" spans="1:25" x14ac:dyDescent="0.25">
      <c r="A695" t="s">
        <v>67</v>
      </c>
      <c r="B695" t="s">
        <v>69</v>
      </c>
      <c r="C695">
        <v>10</v>
      </c>
      <c r="D695" t="s">
        <v>106</v>
      </c>
      <c r="E695" t="s">
        <v>107</v>
      </c>
      <c r="F695" t="s">
        <v>80</v>
      </c>
      <c r="G695">
        <v>21.2211417156607</v>
      </c>
      <c r="H695">
        <v>2E+20</v>
      </c>
      <c r="I695">
        <v>2.4175125971966098</v>
      </c>
      <c r="J695">
        <v>35.439151879421601</v>
      </c>
      <c r="K695">
        <v>22</v>
      </c>
      <c r="L69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compartida)TiempoEnSistemaMesaIntervalUser Specified</v>
      </c>
      <c r="M695" s="5" cm="1">
        <f t="array" ref="M695">MAX(IF((ProjectInfoTable[ProjectName]=DiscreteStatsTable[[#This Row],[ProjectName]]),(ProjectInfoTable[ProjectName]=DiscreteStatsTable[[#This Row],[ProjectName]])*ProjectInfoTable[NumberOfReplications]))</f>
        <v>19</v>
      </c>
      <c r="N695" s="5" cm="1">
        <f t="array" ref="N695">IFERROR(AVERAGE(IF((DiscreteStatsTable[GroupByKey]=DiscreteStatsTable[[#This Row],[GroupByKey]]),(DiscreteStatsTable[GroupByKey]=DiscreteStatsTable[[#This Row],[GroupByKey]])*DiscreteStatsTable[Average])),0)</f>
        <v>22.08644356402899</v>
      </c>
      <c r="O695" s="5" cm="1">
        <f t="array" ref="O695">IFERROR(_xlfn.STDEV.S(IF((DiscreteStatsTable[GroupByKey]=DiscreteStatsTable[[#This Row],[GroupByKey]]),(DiscreteStatsTable[GroupByKey]=DiscreteStatsTable[[#This Row],[GroupByKey]])*DiscreteStatsTable[Average])),0)</f>
        <v>4.8161914443752796</v>
      </c>
      <c r="P695" s="5" cm="1">
        <f t="array" ref="P695">MAX(IF((ProjectInfoTable[ProjectName]=DiscreteStatsTable[[#This Row],[ProjectName]]),(ProjectInfoTable[ProjectName]=DiscreteStatsTable[[#This Row],[ProjectName]])*ProjectInfoTable[ConfidenceInterval]))</f>
        <v>0.95</v>
      </c>
      <c r="Q695" s="5">
        <f>IF(AND(DiscreteStatsTable[[#This Row],[RepsWithStatObserved]]=1,Y695=0),200000000000000000000,IFERROR(_xlfn.T.INV.2T(1 -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2.3213299703822154</v>
      </c>
      <c r="R695" s="5" cm="1">
        <f t="array" ref="R695">MIN(IF((DiscreteStatsTable[GroupByKey]=DiscreteStatsTable[[#This Row],[GroupByKey]]),(DiscreteStatsTable[GroupByKey]=DiscreteStatsTable[[#This Row],[GroupByKey]])*DiscreteStatsTable[Average]))</f>
        <v>15.7816894791909</v>
      </c>
      <c r="S695" s="5" cm="1">
        <f t="array" ref="S695">MAX(IF((DiscreteStatsTable[GroupByKey]=DiscreteStatsTable[[#This Row],[GroupByKey]]),(DiscreteStatsTable[GroupByKey]=DiscreteStatsTable[[#This Row],[GroupByKey]])*DiscreteStatsTable[Average]))</f>
        <v>36.863589442352897</v>
      </c>
      <c r="T695" s="5" cm="1">
        <f t="array" ref="T695">MIN(IF((DiscreteStatsTable[GroupByKey]=DiscreteStatsTable[[#This Row],[GroupByKey]]),(DiscreteStatsTable[GroupByKey]=DiscreteStatsTable[[#This Row],[GroupByKey]])*DiscreteStatsTable[Minimum]))</f>
        <v>0.60651001428010398</v>
      </c>
      <c r="U695" s="5" cm="1">
        <f t="array" ref="U695">MAX(IF((DiscreteStatsTable[GroupByKey]=DiscreteStatsTable[[#This Row],[GroupByKey]]),(DiscreteStatsTable[GroupByKey]=DiscreteStatsTable[[#This Row],[GroupByKey]])*DiscreteStatsTable[Maximum]))</f>
        <v>61.080910283562602</v>
      </c>
      <c r="V695" s="5" cm="1">
        <f t="array" ref="V695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95" s="5">
        <f>IF((DiscreteStatsTable[[#This Row],[RepsRequested]]&gt;1),DiscreteStatsTable[[#This Row],[HalfWidth]],DiscreteStatsTable[[#This Row],[BatchMeansHalfWidth]])</f>
        <v>2.3213299703822154</v>
      </c>
      <c r="X695" s="5" cm="1">
        <f t="array" ref="X695">COUNT(IF((DiscreteStatsTable[GroupByKey]=DiscreteStatsTable[[#This Row],[GroupByKey]]),(DiscreteStatsTable[GroupByKey]=DiscreteStatsTable[[#This Row],[GroupByKey]])*DiscreteStatsTable[Replication]))</f>
        <v>19</v>
      </c>
      <c r="Y695" s="5">
        <f>IF(DiscreteStatsTable[[#This Row],[RepsRequested]]=DiscreteStatsTable[[#This Row],[RepsWithStatObserved]],1,0)</f>
        <v>1</v>
      </c>
    </row>
    <row r="696" spans="1:25" x14ac:dyDescent="0.25">
      <c r="A696" t="s">
        <v>67</v>
      </c>
      <c r="B696" t="s">
        <v>69</v>
      </c>
      <c r="C696">
        <v>11</v>
      </c>
      <c r="D696" t="s">
        <v>106</v>
      </c>
      <c r="E696" t="s">
        <v>107</v>
      </c>
      <c r="F696" t="s">
        <v>80</v>
      </c>
      <c r="G696">
        <v>19.279968897215401</v>
      </c>
      <c r="H696">
        <v>2E+20</v>
      </c>
      <c r="I696">
        <v>3.01836369964207</v>
      </c>
      <c r="J696">
        <v>41.934267235705299</v>
      </c>
      <c r="K696">
        <v>19</v>
      </c>
      <c r="L69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compartida)TiempoEnSistemaMesaIntervalUser Specified</v>
      </c>
      <c r="M696" s="5" cm="1">
        <f t="array" ref="M696">MAX(IF((ProjectInfoTable[ProjectName]=DiscreteStatsTable[[#This Row],[ProjectName]]),(ProjectInfoTable[ProjectName]=DiscreteStatsTable[[#This Row],[ProjectName]])*ProjectInfoTable[NumberOfReplications]))</f>
        <v>19</v>
      </c>
      <c r="N696" s="5" cm="1">
        <f t="array" ref="N696">IFERROR(AVERAGE(IF((DiscreteStatsTable[GroupByKey]=DiscreteStatsTable[[#This Row],[GroupByKey]]),(DiscreteStatsTable[GroupByKey]=DiscreteStatsTable[[#This Row],[GroupByKey]])*DiscreteStatsTable[Average])),0)</f>
        <v>22.08644356402899</v>
      </c>
      <c r="O696" s="5" cm="1">
        <f t="array" ref="O696">IFERROR(_xlfn.STDEV.S(IF((DiscreteStatsTable[GroupByKey]=DiscreteStatsTable[[#This Row],[GroupByKey]]),(DiscreteStatsTable[GroupByKey]=DiscreteStatsTable[[#This Row],[GroupByKey]])*DiscreteStatsTable[Average])),0)</f>
        <v>4.8161914443752796</v>
      </c>
      <c r="P696" s="5" cm="1">
        <f t="array" ref="P696">MAX(IF((ProjectInfoTable[ProjectName]=DiscreteStatsTable[[#This Row],[ProjectName]]),(ProjectInfoTable[ProjectName]=DiscreteStatsTable[[#This Row],[ProjectName]])*ProjectInfoTable[ConfidenceInterval]))</f>
        <v>0.95</v>
      </c>
      <c r="Q696" s="5">
        <f>IF(AND(DiscreteStatsTable[[#This Row],[RepsWithStatObserved]]=1,Y696=0),200000000000000000000,IFERROR(_xlfn.T.INV.2T(1 -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2.3213299703822154</v>
      </c>
      <c r="R696" s="5" cm="1">
        <f t="array" ref="R696">MIN(IF((DiscreteStatsTable[GroupByKey]=DiscreteStatsTable[[#This Row],[GroupByKey]]),(DiscreteStatsTable[GroupByKey]=DiscreteStatsTable[[#This Row],[GroupByKey]])*DiscreteStatsTable[Average]))</f>
        <v>15.7816894791909</v>
      </c>
      <c r="S696" s="5" cm="1">
        <f t="array" ref="S696">MAX(IF((DiscreteStatsTable[GroupByKey]=DiscreteStatsTable[[#This Row],[GroupByKey]]),(DiscreteStatsTable[GroupByKey]=DiscreteStatsTable[[#This Row],[GroupByKey]])*DiscreteStatsTable[Average]))</f>
        <v>36.863589442352897</v>
      </c>
      <c r="T696" s="5" cm="1">
        <f t="array" ref="T696">MIN(IF((DiscreteStatsTable[GroupByKey]=DiscreteStatsTable[[#This Row],[GroupByKey]]),(DiscreteStatsTable[GroupByKey]=DiscreteStatsTable[[#This Row],[GroupByKey]])*DiscreteStatsTable[Minimum]))</f>
        <v>0.60651001428010398</v>
      </c>
      <c r="U696" s="5" cm="1">
        <f t="array" ref="U696">MAX(IF((DiscreteStatsTable[GroupByKey]=DiscreteStatsTable[[#This Row],[GroupByKey]]),(DiscreteStatsTable[GroupByKey]=DiscreteStatsTable[[#This Row],[GroupByKey]])*DiscreteStatsTable[Maximum]))</f>
        <v>61.080910283562602</v>
      </c>
      <c r="V696" s="5" cm="1">
        <f t="array" ref="V696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96" s="5">
        <f>IF((DiscreteStatsTable[[#This Row],[RepsRequested]]&gt;1),DiscreteStatsTable[[#This Row],[HalfWidth]],DiscreteStatsTable[[#This Row],[BatchMeansHalfWidth]])</f>
        <v>2.3213299703822154</v>
      </c>
      <c r="X696" s="5" cm="1">
        <f t="array" ref="X696">COUNT(IF((DiscreteStatsTable[GroupByKey]=DiscreteStatsTable[[#This Row],[GroupByKey]]),(DiscreteStatsTable[GroupByKey]=DiscreteStatsTable[[#This Row],[GroupByKey]])*DiscreteStatsTable[Replication]))</f>
        <v>19</v>
      </c>
      <c r="Y696" s="5">
        <f>IF(DiscreteStatsTable[[#This Row],[RepsRequested]]=DiscreteStatsTable[[#This Row],[RepsWithStatObserved]],1,0)</f>
        <v>1</v>
      </c>
    </row>
    <row r="697" spans="1:25" x14ac:dyDescent="0.25">
      <c r="A697" t="s">
        <v>67</v>
      </c>
      <c r="B697" t="s">
        <v>69</v>
      </c>
      <c r="C697">
        <v>12</v>
      </c>
      <c r="D697" t="s">
        <v>106</v>
      </c>
      <c r="E697" t="s">
        <v>107</v>
      </c>
      <c r="F697" t="s">
        <v>80</v>
      </c>
      <c r="G697">
        <v>24.342689363698</v>
      </c>
      <c r="H697">
        <v>2E+20</v>
      </c>
      <c r="I697">
        <v>2.9272264791317499</v>
      </c>
      <c r="J697">
        <v>43.960460052227297</v>
      </c>
      <c r="K697">
        <v>14</v>
      </c>
      <c r="L69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compartida)TiempoEnSistemaMesaIntervalUser Specified</v>
      </c>
      <c r="M697" s="5" cm="1">
        <f t="array" ref="M697">MAX(IF((ProjectInfoTable[ProjectName]=DiscreteStatsTable[[#This Row],[ProjectName]]),(ProjectInfoTable[ProjectName]=DiscreteStatsTable[[#This Row],[ProjectName]])*ProjectInfoTable[NumberOfReplications]))</f>
        <v>19</v>
      </c>
      <c r="N697" s="5" cm="1">
        <f t="array" ref="N697">IFERROR(AVERAGE(IF((DiscreteStatsTable[GroupByKey]=DiscreteStatsTable[[#This Row],[GroupByKey]]),(DiscreteStatsTable[GroupByKey]=DiscreteStatsTable[[#This Row],[GroupByKey]])*DiscreteStatsTable[Average])),0)</f>
        <v>22.08644356402899</v>
      </c>
      <c r="O697" s="5" cm="1">
        <f t="array" ref="O697">IFERROR(_xlfn.STDEV.S(IF((DiscreteStatsTable[GroupByKey]=DiscreteStatsTable[[#This Row],[GroupByKey]]),(DiscreteStatsTable[GroupByKey]=DiscreteStatsTable[[#This Row],[GroupByKey]])*DiscreteStatsTable[Average])),0)</f>
        <v>4.8161914443752796</v>
      </c>
      <c r="P697" s="5" cm="1">
        <f t="array" ref="P697">MAX(IF((ProjectInfoTable[ProjectName]=DiscreteStatsTable[[#This Row],[ProjectName]]),(ProjectInfoTable[ProjectName]=DiscreteStatsTable[[#This Row],[ProjectName]])*ProjectInfoTable[ConfidenceInterval]))</f>
        <v>0.95</v>
      </c>
      <c r="Q697" s="5">
        <f>IF(AND(DiscreteStatsTable[[#This Row],[RepsWithStatObserved]]=1,Y697=0),200000000000000000000,IFERROR(_xlfn.T.INV.2T(1 -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2.3213299703822154</v>
      </c>
      <c r="R697" s="5" cm="1">
        <f t="array" ref="R697">MIN(IF((DiscreteStatsTable[GroupByKey]=DiscreteStatsTable[[#This Row],[GroupByKey]]),(DiscreteStatsTable[GroupByKey]=DiscreteStatsTable[[#This Row],[GroupByKey]])*DiscreteStatsTable[Average]))</f>
        <v>15.7816894791909</v>
      </c>
      <c r="S697" s="5" cm="1">
        <f t="array" ref="S697">MAX(IF((DiscreteStatsTable[GroupByKey]=DiscreteStatsTable[[#This Row],[GroupByKey]]),(DiscreteStatsTable[GroupByKey]=DiscreteStatsTable[[#This Row],[GroupByKey]])*DiscreteStatsTable[Average]))</f>
        <v>36.863589442352897</v>
      </c>
      <c r="T697" s="5" cm="1">
        <f t="array" ref="T697">MIN(IF((DiscreteStatsTable[GroupByKey]=DiscreteStatsTable[[#This Row],[GroupByKey]]),(DiscreteStatsTable[GroupByKey]=DiscreteStatsTable[[#This Row],[GroupByKey]])*DiscreteStatsTable[Minimum]))</f>
        <v>0.60651001428010398</v>
      </c>
      <c r="U697" s="5" cm="1">
        <f t="array" ref="U697">MAX(IF((DiscreteStatsTable[GroupByKey]=DiscreteStatsTable[[#This Row],[GroupByKey]]),(DiscreteStatsTable[GroupByKey]=DiscreteStatsTable[[#This Row],[GroupByKey]])*DiscreteStatsTable[Maximum]))</f>
        <v>61.080910283562602</v>
      </c>
      <c r="V697" s="5" cm="1">
        <f t="array" ref="V697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97" s="5">
        <f>IF((DiscreteStatsTable[[#This Row],[RepsRequested]]&gt;1),DiscreteStatsTable[[#This Row],[HalfWidth]],DiscreteStatsTable[[#This Row],[BatchMeansHalfWidth]])</f>
        <v>2.3213299703822154</v>
      </c>
      <c r="X697" s="5" cm="1">
        <f t="array" ref="X697">COUNT(IF((DiscreteStatsTable[GroupByKey]=DiscreteStatsTable[[#This Row],[GroupByKey]]),(DiscreteStatsTable[GroupByKey]=DiscreteStatsTable[[#This Row],[GroupByKey]])*DiscreteStatsTable[Replication]))</f>
        <v>19</v>
      </c>
      <c r="Y697" s="5">
        <f>IF(DiscreteStatsTable[[#This Row],[RepsRequested]]=DiscreteStatsTable[[#This Row],[RepsWithStatObserved]],1,0)</f>
        <v>1</v>
      </c>
    </row>
    <row r="698" spans="1:25" x14ac:dyDescent="0.25">
      <c r="A698" t="s">
        <v>67</v>
      </c>
      <c r="B698" t="s">
        <v>69</v>
      </c>
      <c r="C698">
        <v>13</v>
      </c>
      <c r="D698" t="s">
        <v>106</v>
      </c>
      <c r="E698" t="s">
        <v>107</v>
      </c>
      <c r="F698" t="s">
        <v>80</v>
      </c>
      <c r="G698">
        <v>25.917266212971199</v>
      </c>
      <c r="H698">
        <v>2E+20</v>
      </c>
      <c r="I698">
        <v>3.0289084185996602</v>
      </c>
      <c r="J698">
        <v>42.680714272558703</v>
      </c>
      <c r="K698">
        <v>12</v>
      </c>
      <c r="L69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compartida)TiempoEnSistemaMesaIntervalUser Specified</v>
      </c>
      <c r="M698" s="5" cm="1">
        <f t="array" ref="M698">MAX(IF((ProjectInfoTable[ProjectName]=DiscreteStatsTable[[#This Row],[ProjectName]]),(ProjectInfoTable[ProjectName]=DiscreteStatsTable[[#This Row],[ProjectName]])*ProjectInfoTable[NumberOfReplications]))</f>
        <v>19</v>
      </c>
      <c r="N698" s="5" cm="1">
        <f t="array" ref="N698">IFERROR(AVERAGE(IF((DiscreteStatsTable[GroupByKey]=DiscreteStatsTable[[#This Row],[GroupByKey]]),(DiscreteStatsTable[GroupByKey]=DiscreteStatsTable[[#This Row],[GroupByKey]])*DiscreteStatsTable[Average])),0)</f>
        <v>22.08644356402899</v>
      </c>
      <c r="O698" s="5" cm="1">
        <f t="array" ref="O698">IFERROR(_xlfn.STDEV.S(IF((DiscreteStatsTable[GroupByKey]=DiscreteStatsTable[[#This Row],[GroupByKey]]),(DiscreteStatsTable[GroupByKey]=DiscreteStatsTable[[#This Row],[GroupByKey]])*DiscreteStatsTable[Average])),0)</f>
        <v>4.8161914443752796</v>
      </c>
      <c r="P698" s="5" cm="1">
        <f t="array" ref="P698">MAX(IF((ProjectInfoTable[ProjectName]=DiscreteStatsTable[[#This Row],[ProjectName]]),(ProjectInfoTable[ProjectName]=DiscreteStatsTable[[#This Row],[ProjectName]])*ProjectInfoTable[ConfidenceInterval]))</f>
        <v>0.95</v>
      </c>
      <c r="Q698" s="5">
        <f>IF(AND(DiscreteStatsTable[[#This Row],[RepsWithStatObserved]]=1,Y698=0),200000000000000000000,IFERROR(_xlfn.T.INV.2T(1 -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2.3213299703822154</v>
      </c>
      <c r="R698" s="5" cm="1">
        <f t="array" ref="R698">MIN(IF((DiscreteStatsTable[GroupByKey]=DiscreteStatsTable[[#This Row],[GroupByKey]]),(DiscreteStatsTable[GroupByKey]=DiscreteStatsTable[[#This Row],[GroupByKey]])*DiscreteStatsTable[Average]))</f>
        <v>15.7816894791909</v>
      </c>
      <c r="S698" s="5" cm="1">
        <f t="array" ref="S698">MAX(IF((DiscreteStatsTable[GroupByKey]=DiscreteStatsTable[[#This Row],[GroupByKey]]),(DiscreteStatsTable[GroupByKey]=DiscreteStatsTable[[#This Row],[GroupByKey]])*DiscreteStatsTable[Average]))</f>
        <v>36.863589442352897</v>
      </c>
      <c r="T698" s="5" cm="1">
        <f t="array" ref="T698">MIN(IF((DiscreteStatsTable[GroupByKey]=DiscreteStatsTable[[#This Row],[GroupByKey]]),(DiscreteStatsTable[GroupByKey]=DiscreteStatsTable[[#This Row],[GroupByKey]])*DiscreteStatsTable[Minimum]))</f>
        <v>0.60651001428010398</v>
      </c>
      <c r="U698" s="5" cm="1">
        <f t="array" ref="U698">MAX(IF((DiscreteStatsTable[GroupByKey]=DiscreteStatsTable[[#This Row],[GroupByKey]]),(DiscreteStatsTable[GroupByKey]=DiscreteStatsTable[[#This Row],[GroupByKey]])*DiscreteStatsTable[Maximum]))</f>
        <v>61.080910283562602</v>
      </c>
      <c r="V698" s="5" cm="1">
        <f t="array" ref="V698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98" s="5">
        <f>IF((DiscreteStatsTable[[#This Row],[RepsRequested]]&gt;1),DiscreteStatsTable[[#This Row],[HalfWidth]],DiscreteStatsTable[[#This Row],[BatchMeansHalfWidth]])</f>
        <v>2.3213299703822154</v>
      </c>
      <c r="X698" s="5" cm="1">
        <f t="array" ref="X698">COUNT(IF((DiscreteStatsTable[GroupByKey]=DiscreteStatsTable[[#This Row],[GroupByKey]]),(DiscreteStatsTable[GroupByKey]=DiscreteStatsTable[[#This Row],[GroupByKey]])*DiscreteStatsTable[Replication]))</f>
        <v>19</v>
      </c>
      <c r="Y698" s="5">
        <f>IF(DiscreteStatsTable[[#This Row],[RepsRequested]]=DiscreteStatsTable[[#This Row],[RepsWithStatObserved]],1,0)</f>
        <v>1</v>
      </c>
    </row>
    <row r="699" spans="1:25" x14ac:dyDescent="0.25">
      <c r="A699" t="s">
        <v>67</v>
      </c>
      <c r="B699" t="s">
        <v>69</v>
      </c>
      <c r="C699">
        <v>14</v>
      </c>
      <c r="D699" t="s">
        <v>106</v>
      </c>
      <c r="E699" t="s">
        <v>107</v>
      </c>
      <c r="F699" t="s">
        <v>80</v>
      </c>
      <c r="G699">
        <v>21.740525406515399</v>
      </c>
      <c r="H699">
        <v>2E+20</v>
      </c>
      <c r="I699">
        <v>9.2204733037588902</v>
      </c>
      <c r="J699">
        <v>34.388705941106203</v>
      </c>
      <c r="K699">
        <v>18</v>
      </c>
      <c r="L69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compartida)TiempoEnSistemaMesaIntervalUser Specified</v>
      </c>
      <c r="M699" s="5" cm="1">
        <f t="array" ref="M699">MAX(IF((ProjectInfoTable[ProjectName]=DiscreteStatsTable[[#This Row],[ProjectName]]),(ProjectInfoTable[ProjectName]=DiscreteStatsTable[[#This Row],[ProjectName]])*ProjectInfoTable[NumberOfReplications]))</f>
        <v>19</v>
      </c>
      <c r="N699" s="5" cm="1">
        <f t="array" ref="N699">IFERROR(AVERAGE(IF((DiscreteStatsTable[GroupByKey]=DiscreteStatsTable[[#This Row],[GroupByKey]]),(DiscreteStatsTable[GroupByKey]=DiscreteStatsTable[[#This Row],[GroupByKey]])*DiscreteStatsTable[Average])),0)</f>
        <v>22.08644356402899</v>
      </c>
      <c r="O699" s="5" cm="1">
        <f t="array" ref="O699">IFERROR(_xlfn.STDEV.S(IF((DiscreteStatsTable[GroupByKey]=DiscreteStatsTable[[#This Row],[GroupByKey]]),(DiscreteStatsTable[GroupByKey]=DiscreteStatsTable[[#This Row],[GroupByKey]])*DiscreteStatsTable[Average])),0)</f>
        <v>4.8161914443752796</v>
      </c>
      <c r="P699" s="5" cm="1">
        <f t="array" ref="P699">MAX(IF((ProjectInfoTable[ProjectName]=DiscreteStatsTable[[#This Row],[ProjectName]]),(ProjectInfoTable[ProjectName]=DiscreteStatsTable[[#This Row],[ProjectName]])*ProjectInfoTable[ConfidenceInterval]))</f>
        <v>0.95</v>
      </c>
      <c r="Q699" s="5">
        <f>IF(AND(DiscreteStatsTable[[#This Row],[RepsWithStatObserved]]=1,Y699=0),200000000000000000000,IFERROR(_xlfn.T.INV.2T(1 -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2.3213299703822154</v>
      </c>
      <c r="R699" s="5" cm="1">
        <f t="array" ref="R699">MIN(IF((DiscreteStatsTable[GroupByKey]=DiscreteStatsTable[[#This Row],[GroupByKey]]),(DiscreteStatsTable[GroupByKey]=DiscreteStatsTable[[#This Row],[GroupByKey]])*DiscreteStatsTable[Average]))</f>
        <v>15.7816894791909</v>
      </c>
      <c r="S699" s="5" cm="1">
        <f t="array" ref="S699">MAX(IF((DiscreteStatsTable[GroupByKey]=DiscreteStatsTable[[#This Row],[GroupByKey]]),(DiscreteStatsTable[GroupByKey]=DiscreteStatsTable[[#This Row],[GroupByKey]])*DiscreteStatsTable[Average]))</f>
        <v>36.863589442352897</v>
      </c>
      <c r="T699" s="5" cm="1">
        <f t="array" ref="T699">MIN(IF((DiscreteStatsTable[GroupByKey]=DiscreteStatsTable[[#This Row],[GroupByKey]]),(DiscreteStatsTable[GroupByKey]=DiscreteStatsTable[[#This Row],[GroupByKey]])*DiscreteStatsTable[Minimum]))</f>
        <v>0.60651001428010398</v>
      </c>
      <c r="U699" s="5" cm="1">
        <f t="array" ref="U699">MAX(IF((DiscreteStatsTable[GroupByKey]=DiscreteStatsTable[[#This Row],[GroupByKey]]),(DiscreteStatsTable[GroupByKey]=DiscreteStatsTable[[#This Row],[GroupByKey]])*DiscreteStatsTable[Maximum]))</f>
        <v>61.080910283562602</v>
      </c>
      <c r="V699" s="5" cm="1">
        <f t="array" ref="V699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699" s="5">
        <f>IF((DiscreteStatsTable[[#This Row],[RepsRequested]]&gt;1),DiscreteStatsTable[[#This Row],[HalfWidth]],DiscreteStatsTable[[#This Row],[BatchMeansHalfWidth]])</f>
        <v>2.3213299703822154</v>
      </c>
      <c r="X699" s="5" cm="1">
        <f t="array" ref="X699">COUNT(IF((DiscreteStatsTable[GroupByKey]=DiscreteStatsTable[[#This Row],[GroupByKey]]),(DiscreteStatsTable[GroupByKey]=DiscreteStatsTable[[#This Row],[GroupByKey]])*DiscreteStatsTable[Replication]))</f>
        <v>19</v>
      </c>
      <c r="Y699" s="5">
        <f>IF(DiscreteStatsTable[[#This Row],[RepsRequested]]=DiscreteStatsTable[[#This Row],[RepsWithStatObserved]],1,0)</f>
        <v>1</v>
      </c>
    </row>
    <row r="700" spans="1:25" x14ac:dyDescent="0.25">
      <c r="A700" t="s">
        <v>67</v>
      </c>
      <c r="B700" t="s">
        <v>69</v>
      </c>
      <c r="C700">
        <v>15</v>
      </c>
      <c r="D700" t="s">
        <v>106</v>
      </c>
      <c r="E700" t="s">
        <v>107</v>
      </c>
      <c r="F700" t="s">
        <v>80</v>
      </c>
      <c r="G700">
        <v>24.9878647028312</v>
      </c>
      <c r="H700">
        <v>2E+20</v>
      </c>
      <c r="I700">
        <v>13.2703809532367</v>
      </c>
      <c r="J700">
        <v>38.881303846395802</v>
      </c>
      <c r="K700">
        <v>12</v>
      </c>
      <c r="L70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compartida)TiempoEnSistemaMesaIntervalUser Specified</v>
      </c>
      <c r="M700" s="5" cm="1">
        <f t="array" ref="M700">MAX(IF((ProjectInfoTable[ProjectName]=DiscreteStatsTable[[#This Row],[ProjectName]]),(ProjectInfoTable[ProjectName]=DiscreteStatsTable[[#This Row],[ProjectName]])*ProjectInfoTable[NumberOfReplications]))</f>
        <v>19</v>
      </c>
      <c r="N700" s="5" cm="1">
        <f t="array" ref="N700">IFERROR(AVERAGE(IF((DiscreteStatsTable[GroupByKey]=DiscreteStatsTable[[#This Row],[GroupByKey]]),(DiscreteStatsTable[GroupByKey]=DiscreteStatsTable[[#This Row],[GroupByKey]])*DiscreteStatsTable[Average])),0)</f>
        <v>22.08644356402899</v>
      </c>
      <c r="O700" s="5" cm="1">
        <f t="array" ref="O700">IFERROR(_xlfn.STDEV.S(IF((DiscreteStatsTable[GroupByKey]=DiscreteStatsTable[[#This Row],[GroupByKey]]),(DiscreteStatsTable[GroupByKey]=DiscreteStatsTable[[#This Row],[GroupByKey]])*DiscreteStatsTable[Average])),0)</f>
        <v>4.8161914443752796</v>
      </c>
      <c r="P700" s="5" cm="1">
        <f t="array" ref="P700">MAX(IF((ProjectInfoTable[ProjectName]=DiscreteStatsTable[[#This Row],[ProjectName]]),(ProjectInfoTable[ProjectName]=DiscreteStatsTable[[#This Row],[ProjectName]])*ProjectInfoTable[ConfidenceInterval]))</f>
        <v>0.95</v>
      </c>
      <c r="Q700" s="5">
        <f>IF(AND(DiscreteStatsTable[[#This Row],[RepsWithStatObserved]]=1,Y700=0),200000000000000000000,IFERROR(_xlfn.T.INV.2T(1 -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2.3213299703822154</v>
      </c>
      <c r="R700" s="5" cm="1">
        <f t="array" ref="R700">MIN(IF((DiscreteStatsTable[GroupByKey]=DiscreteStatsTable[[#This Row],[GroupByKey]]),(DiscreteStatsTable[GroupByKey]=DiscreteStatsTable[[#This Row],[GroupByKey]])*DiscreteStatsTable[Average]))</f>
        <v>15.7816894791909</v>
      </c>
      <c r="S700" s="5" cm="1">
        <f t="array" ref="S700">MAX(IF((DiscreteStatsTable[GroupByKey]=DiscreteStatsTable[[#This Row],[GroupByKey]]),(DiscreteStatsTable[GroupByKey]=DiscreteStatsTable[[#This Row],[GroupByKey]])*DiscreteStatsTable[Average]))</f>
        <v>36.863589442352897</v>
      </c>
      <c r="T700" s="5" cm="1">
        <f t="array" ref="T700">MIN(IF((DiscreteStatsTable[GroupByKey]=DiscreteStatsTable[[#This Row],[GroupByKey]]),(DiscreteStatsTable[GroupByKey]=DiscreteStatsTable[[#This Row],[GroupByKey]])*DiscreteStatsTable[Minimum]))</f>
        <v>0.60651001428010398</v>
      </c>
      <c r="U700" s="5" cm="1">
        <f t="array" ref="U700">MAX(IF((DiscreteStatsTable[GroupByKey]=DiscreteStatsTable[[#This Row],[GroupByKey]]),(DiscreteStatsTable[GroupByKey]=DiscreteStatsTable[[#This Row],[GroupByKey]])*DiscreteStatsTable[Maximum]))</f>
        <v>61.080910283562602</v>
      </c>
      <c r="V700" s="5" cm="1">
        <f t="array" ref="V700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700" s="5">
        <f>IF((DiscreteStatsTable[[#This Row],[RepsRequested]]&gt;1),DiscreteStatsTable[[#This Row],[HalfWidth]],DiscreteStatsTable[[#This Row],[BatchMeansHalfWidth]])</f>
        <v>2.3213299703822154</v>
      </c>
      <c r="X700" s="5" cm="1">
        <f t="array" ref="X700">COUNT(IF((DiscreteStatsTable[GroupByKey]=DiscreteStatsTable[[#This Row],[GroupByKey]]),(DiscreteStatsTable[GroupByKey]=DiscreteStatsTable[[#This Row],[GroupByKey]])*DiscreteStatsTable[Replication]))</f>
        <v>19</v>
      </c>
      <c r="Y700" s="5">
        <f>IF(DiscreteStatsTable[[#This Row],[RepsRequested]]=DiscreteStatsTable[[#This Row],[RepsWithStatObserved]],1,0)</f>
        <v>1</v>
      </c>
    </row>
    <row r="701" spans="1:25" x14ac:dyDescent="0.25">
      <c r="A701" t="s">
        <v>67</v>
      </c>
      <c r="B701" t="s">
        <v>69</v>
      </c>
      <c r="C701">
        <v>16</v>
      </c>
      <c r="D701" t="s">
        <v>106</v>
      </c>
      <c r="E701" t="s">
        <v>107</v>
      </c>
      <c r="F701" t="s">
        <v>80</v>
      </c>
      <c r="G701">
        <v>19.069349769353</v>
      </c>
      <c r="H701">
        <v>2E+20</v>
      </c>
      <c r="I701">
        <v>3.4012726362029202</v>
      </c>
      <c r="J701">
        <v>40.293691519198902</v>
      </c>
      <c r="K701">
        <v>21</v>
      </c>
      <c r="L70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compartida)TiempoEnSistemaMesaIntervalUser Specified</v>
      </c>
      <c r="M701" s="5" cm="1">
        <f t="array" ref="M701">MAX(IF((ProjectInfoTable[ProjectName]=DiscreteStatsTable[[#This Row],[ProjectName]]),(ProjectInfoTable[ProjectName]=DiscreteStatsTable[[#This Row],[ProjectName]])*ProjectInfoTable[NumberOfReplications]))</f>
        <v>19</v>
      </c>
      <c r="N701" s="5" cm="1">
        <f t="array" ref="N701">IFERROR(AVERAGE(IF((DiscreteStatsTable[GroupByKey]=DiscreteStatsTable[[#This Row],[GroupByKey]]),(DiscreteStatsTable[GroupByKey]=DiscreteStatsTable[[#This Row],[GroupByKey]])*DiscreteStatsTable[Average])),0)</f>
        <v>22.08644356402899</v>
      </c>
      <c r="O701" s="5" cm="1">
        <f t="array" ref="O701">IFERROR(_xlfn.STDEV.S(IF((DiscreteStatsTable[GroupByKey]=DiscreteStatsTable[[#This Row],[GroupByKey]]),(DiscreteStatsTable[GroupByKey]=DiscreteStatsTable[[#This Row],[GroupByKey]])*DiscreteStatsTable[Average])),0)</f>
        <v>4.8161914443752796</v>
      </c>
      <c r="P701" s="5" cm="1">
        <f t="array" ref="P701">MAX(IF((ProjectInfoTable[ProjectName]=DiscreteStatsTable[[#This Row],[ProjectName]]),(ProjectInfoTable[ProjectName]=DiscreteStatsTable[[#This Row],[ProjectName]])*ProjectInfoTable[ConfidenceInterval]))</f>
        <v>0.95</v>
      </c>
      <c r="Q701" s="5">
        <f>IF(AND(DiscreteStatsTable[[#This Row],[RepsWithStatObserved]]=1,Y701=0),200000000000000000000,IFERROR(_xlfn.T.INV.2T(1 -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2.3213299703822154</v>
      </c>
      <c r="R701" s="5" cm="1">
        <f t="array" ref="R701">MIN(IF((DiscreteStatsTable[GroupByKey]=DiscreteStatsTable[[#This Row],[GroupByKey]]),(DiscreteStatsTable[GroupByKey]=DiscreteStatsTable[[#This Row],[GroupByKey]])*DiscreteStatsTable[Average]))</f>
        <v>15.7816894791909</v>
      </c>
      <c r="S701" s="5" cm="1">
        <f t="array" ref="S701">MAX(IF((DiscreteStatsTable[GroupByKey]=DiscreteStatsTable[[#This Row],[GroupByKey]]),(DiscreteStatsTable[GroupByKey]=DiscreteStatsTable[[#This Row],[GroupByKey]])*DiscreteStatsTable[Average]))</f>
        <v>36.863589442352897</v>
      </c>
      <c r="T701" s="5" cm="1">
        <f t="array" ref="T701">MIN(IF((DiscreteStatsTable[GroupByKey]=DiscreteStatsTable[[#This Row],[GroupByKey]]),(DiscreteStatsTable[GroupByKey]=DiscreteStatsTable[[#This Row],[GroupByKey]])*DiscreteStatsTable[Minimum]))</f>
        <v>0.60651001428010398</v>
      </c>
      <c r="U701" s="5" cm="1">
        <f t="array" ref="U701">MAX(IF((DiscreteStatsTable[GroupByKey]=DiscreteStatsTable[[#This Row],[GroupByKey]]),(DiscreteStatsTable[GroupByKey]=DiscreteStatsTable[[#This Row],[GroupByKey]])*DiscreteStatsTable[Maximum]))</f>
        <v>61.080910283562602</v>
      </c>
      <c r="V701" s="5" cm="1">
        <f t="array" ref="V701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701" s="5">
        <f>IF((DiscreteStatsTable[[#This Row],[RepsRequested]]&gt;1),DiscreteStatsTable[[#This Row],[HalfWidth]],DiscreteStatsTable[[#This Row],[BatchMeansHalfWidth]])</f>
        <v>2.3213299703822154</v>
      </c>
      <c r="X701" s="5" cm="1">
        <f t="array" ref="X701">COUNT(IF((DiscreteStatsTable[GroupByKey]=DiscreteStatsTable[[#This Row],[GroupByKey]]),(DiscreteStatsTable[GroupByKey]=DiscreteStatsTable[[#This Row],[GroupByKey]])*DiscreteStatsTable[Replication]))</f>
        <v>19</v>
      </c>
      <c r="Y701" s="5">
        <f>IF(DiscreteStatsTable[[#This Row],[RepsRequested]]=DiscreteStatsTable[[#This Row],[RepsWithStatObserved]],1,0)</f>
        <v>1</v>
      </c>
    </row>
    <row r="702" spans="1:25" x14ac:dyDescent="0.25">
      <c r="A702" t="s">
        <v>67</v>
      </c>
      <c r="B702" t="s">
        <v>69</v>
      </c>
      <c r="C702">
        <v>17</v>
      </c>
      <c r="D702" t="s">
        <v>106</v>
      </c>
      <c r="E702" t="s">
        <v>107</v>
      </c>
      <c r="F702" t="s">
        <v>80</v>
      </c>
      <c r="G702">
        <v>23.5415800290302</v>
      </c>
      <c r="H702">
        <v>2E+20</v>
      </c>
      <c r="I702">
        <v>14.0124771375135</v>
      </c>
      <c r="J702">
        <v>42.836064768573799</v>
      </c>
      <c r="K702">
        <v>15</v>
      </c>
      <c r="L70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compartida)TiempoEnSistemaMesaIntervalUser Specified</v>
      </c>
      <c r="M702" s="5" cm="1">
        <f t="array" ref="M702">MAX(IF((ProjectInfoTable[ProjectName]=DiscreteStatsTable[[#This Row],[ProjectName]]),(ProjectInfoTable[ProjectName]=DiscreteStatsTable[[#This Row],[ProjectName]])*ProjectInfoTable[NumberOfReplications]))</f>
        <v>19</v>
      </c>
      <c r="N702" s="5" cm="1">
        <f t="array" ref="N702">IFERROR(AVERAGE(IF((DiscreteStatsTable[GroupByKey]=DiscreteStatsTable[[#This Row],[GroupByKey]]),(DiscreteStatsTable[GroupByKey]=DiscreteStatsTable[[#This Row],[GroupByKey]])*DiscreteStatsTable[Average])),0)</f>
        <v>22.08644356402899</v>
      </c>
      <c r="O702" s="5" cm="1">
        <f t="array" ref="O702">IFERROR(_xlfn.STDEV.S(IF((DiscreteStatsTable[GroupByKey]=DiscreteStatsTable[[#This Row],[GroupByKey]]),(DiscreteStatsTable[GroupByKey]=DiscreteStatsTable[[#This Row],[GroupByKey]])*DiscreteStatsTable[Average])),0)</f>
        <v>4.8161914443752796</v>
      </c>
      <c r="P702" s="5" cm="1">
        <f t="array" ref="P702">MAX(IF((ProjectInfoTable[ProjectName]=DiscreteStatsTable[[#This Row],[ProjectName]]),(ProjectInfoTable[ProjectName]=DiscreteStatsTable[[#This Row],[ProjectName]])*ProjectInfoTable[ConfidenceInterval]))</f>
        <v>0.95</v>
      </c>
      <c r="Q702" s="5">
        <f>IF(AND(DiscreteStatsTable[[#This Row],[RepsWithStatObserved]]=1,Y702=0),200000000000000000000,IFERROR(_xlfn.T.INV.2T(1 -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2.3213299703822154</v>
      </c>
      <c r="R702" s="5" cm="1">
        <f t="array" ref="R702">MIN(IF((DiscreteStatsTable[GroupByKey]=DiscreteStatsTable[[#This Row],[GroupByKey]]),(DiscreteStatsTable[GroupByKey]=DiscreteStatsTable[[#This Row],[GroupByKey]])*DiscreteStatsTable[Average]))</f>
        <v>15.7816894791909</v>
      </c>
      <c r="S702" s="5" cm="1">
        <f t="array" ref="S702">MAX(IF((DiscreteStatsTable[GroupByKey]=DiscreteStatsTable[[#This Row],[GroupByKey]]),(DiscreteStatsTable[GroupByKey]=DiscreteStatsTable[[#This Row],[GroupByKey]])*DiscreteStatsTable[Average]))</f>
        <v>36.863589442352897</v>
      </c>
      <c r="T702" s="5" cm="1">
        <f t="array" ref="T702">MIN(IF((DiscreteStatsTable[GroupByKey]=DiscreteStatsTable[[#This Row],[GroupByKey]]),(DiscreteStatsTable[GroupByKey]=DiscreteStatsTable[[#This Row],[GroupByKey]])*DiscreteStatsTable[Minimum]))</f>
        <v>0.60651001428010398</v>
      </c>
      <c r="U702" s="5" cm="1">
        <f t="array" ref="U702">MAX(IF((DiscreteStatsTable[GroupByKey]=DiscreteStatsTable[[#This Row],[GroupByKey]]),(DiscreteStatsTable[GroupByKey]=DiscreteStatsTable[[#This Row],[GroupByKey]])*DiscreteStatsTable[Maximum]))</f>
        <v>61.080910283562602</v>
      </c>
      <c r="V702" s="5" cm="1">
        <f t="array" ref="V702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702" s="5">
        <f>IF((DiscreteStatsTable[[#This Row],[RepsRequested]]&gt;1),DiscreteStatsTable[[#This Row],[HalfWidth]],DiscreteStatsTable[[#This Row],[BatchMeansHalfWidth]])</f>
        <v>2.3213299703822154</v>
      </c>
      <c r="X702" s="5" cm="1">
        <f t="array" ref="X702">COUNT(IF((DiscreteStatsTable[GroupByKey]=DiscreteStatsTable[[#This Row],[GroupByKey]]),(DiscreteStatsTable[GroupByKey]=DiscreteStatsTable[[#This Row],[GroupByKey]])*DiscreteStatsTable[Replication]))</f>
        <v>19</v>
      </c>
      <c r="Y702" s="5">
        <f>IF(DiscreteStatsTable[[#This Row],[RepsRequested]]=DiscreteStatsTable[[#This Row],[RepsWithStatObserved]],1,0)</f>
        <v>1</v>
      </c>
    </row>
    <row r="703" spans="1:25" x14ac:dyDescent="0.25">
      <c r="A703" t="s">
        <v>67</v>
      </c>
      <c r="B703" t="s">
        <v>69</v>
      </c>
      <c r="C703">
        <v>18</v>
      </c>
      <c r="D703" t="s">
        <v>106</v>
      </c>
      <c r="E703" t="s">
        <v>107</v>
      </c>
      <c r="F703" t="s">
        <v>80</v>
      </c>
      <c r="G703">
        <v>21.626568982914598</v>
      </c>
      <c r="H703">
        <v>2E+20</v>
      </c>
      <c r="I703">
        <v>8.4959603102071792</v>
      </c>
      <c r="J703">
        <v>53.997904755746603</v>
      </c>
      <c r="K703">
        <v>15</v>
      </c>
      <c r="L70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compartida)TiempoEnSistemaMesaIntervalUser Specified</v>
      </c>
      <c r="M703" s="5" cm="1">
        <f t="array" ref="M703">MAX(IF((ProjectInfoTable[ProjectName]=DiscreteStatsTable[[#This Row],[ProjectName]]),(ProjectInfoTable[ProjectName]=DiscreteStatsTable[[#This Row],[ProjectName]])*ProjectInfoTable[NumberOfReplications]))</f>
        <v>19</v>
      </c>
      <c r="N703" s="5" cm="1">
        <f t="array" ref="N703">IFERROR(AVERAGE(IF((DiscreteStatsTable[GroupByKey]=DiscreteStatsTable[[#This Row],[GroupByKey]]),(DiscreteStatsTable[GroupByKey]=DiscreteStatsTable[[#This Row],[GroupByKey]])*DiscreteStatsTable[Average])),0)</f>
        <v>22.08644356402899</v>
      </c>
      <c r="O703" s="5" cm="1">
        <f t="array" ref="O703">IFERROR(_xlfn.STDEV.S(IF((DiscreteStatsTable[GroupByKey]=DiscreteStatsTable[[#This Row],[GroupByKey]]),(DiscreteStatsTable[GroupByKey]=DiscreteStatsTable[[#This Row],[GroupByKey]])*DiscreteStatsTable[Average])),0)</f>
        <v>4.8161914443752796</v>
      </c>
      <c r="P703" s="5" cm="1">
        <f t="array" ref="P703">MAX(IF((ProjectInfoTable[ProjectName]=DiscreteStatsTable[[#This Row],[ProjectName]]),(ProjectInfoTable[ProjectName]=DiscreteStatsTable[[#This Row],[ProjectName]])*ProjectInfoTable[ConfidenceInterval]))</f>
        <v>0.95</v>
      </c>
      <c r="Q703" s="5">
        <f>IF(AND(DiscreteStatsTable[[#This Row],[RepsWithStatObserved]]=1,Y703=0),200000000000000000000,IFERROR(_xlfn.T.INV.2T(1 -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2.3213299703822154</v>
      </c>
      <c r="R703" s="5" cm="1">
        <f t="array" ref="R703">MIN(IF((DiscreteStatsTable[GroupByKey]=DiscreteStatsTable[[#This Row],[GroupByKey]]),(DiscreteStatsTable[GroupByKey]=DiscreteStatsTable[[#This Row],[GroupByKey]])*DiscreteStatsTable[Average]))</f>
        <v>15.7816894791909</v>
      </c>
      <c r="S703" s="5" cm="1">
        <f t="array" ref="S703">MAX(IF((DiscreteStatsTable[GroupByKey]=DiscreteStatsTable[[#This Row],[GroupByKey]]),(DiscreteStatsTable[GroupByKey]=DiscreteStatsTable[[#This Row],[GroupByKey]])*DiscreteStatsTable[Average]))</f>
        <v>36.863589442352897</v>
      </c>
      <c r="T703" s="5" cm="1">
        <f t="array" ref="T703">MIN(IF((DiscreteStatsTable[GroupByKey]=DiscreteStatsTable[[#This Row],[GroupByKey]]),(DiscreteStatsTable[GroupByKey]=DiscreteStatsTable[[#This Row],[GroupByKey]])*DiscreteStatsTable[Minimum]))</f>
        <v>0.60651001428010398</v>
      </c>
      <c r="U703" s="5" cm="1">
        <f t="array" ref="U703">MAX(IF((DiscreteStatsTable[GroupByKey]=DiscreteStatsTable[[#This Row],[GroupByKey]]),(DiscreteStatsTable[GroupByKey]=DiscreteStatsTable[[#This Row],[GroupByKey]])*DiscreteStatsTable[Maximum]))</f>
        <v>61.080910283562602</v>
      </c>
      <c r="V703" s="5" cm="1">
        <f t="array" ref="V703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703" s="5">
        <f>IF((DiscreteStatsTable[[#This Row],[RepsRequested]]&gt;1),DiscreteStatsTable[[#This Row],[HalfWidth]],DiscreteStatsTable[[#This Row],[BatchMeansHalfWidth]])</f>
        <v>2.3213299703822154</v>
      </c>
      <c r="X703" s="5" cm="1">
        <f t="array" ref="X703">COUNT(IF((DiscreteStatsTable[GroupByKey]=DiscreteStatsTable[[#This Row],[GroupByKey]]),(DiscreteStatsTable[GroupByKey]=DiscreteStatsTable[[#This Row],[GroupByKey]])*DiscreteStatsTable[Replication]))</f>
        <v>19</v>
      </c>
      <c r="Y703" s="5">
        <f>IF(DiscreteStatsTable[[#This Row],[RepsRequested]]=DiscreteStatsTable[[#This Row],[RepsWithStatObserved]],1,0)</f>
        <v>1</v>
      </c>
    </row>
    <row r="704" spans="1:25" x14ac:dyDescent="0.25">
      <c r="A704" t="s">
        <v>67</v>
      </c>
      <c r="B704" t="s">
        <v>69</v>
      </c>
      <c r="C704">
        <v>19</v>
      </c>
      <c r="D704" t="s">
        <v>106</v>
      </c>
      <c r="E704" t="s">
        <v>107</v>
      </c>
      <c r="F704" t="s">
        <v>80</v>
      </c>
      <c r="G704">
        <v>15.7816894791909</v>
      </c>
      <c r="H704">
        <v>2E+20</v>
      </c>
      <c r="I704">
        <v>2.04273732918745</v>
      </c>
      <c r="J704">
        <v>28.679356034847</v>
      </c>
      <c r="K704">
        <v>17</v>
      </c>
      <c r="L70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compartida)TiempoEnSistemaMesaIntervalUser Specified</v>
      </c>
      <c r="M704" s="5" cm="1">
        <f t="array" ref="M704">MAX(IF((ProjectInfoTable[ProjectName]=DiscreteStatsTable[[#This Row],[ProjectName]]),(ProjectInfoTable[ProjectName]=DiscreteStatsTable[[#This Row],[ProjectName]])*ProjectInfoTable[NumberOfReplications]))</f>
        <v>19</v>
      </c>
      <c r="N704" s="5" cm="1">
        <f t="array" ref="N704">IFERROR(AVERAGE(IF((DiscreteStatsTable[GroupByKey]=DiscreteStatsTable[[#This Row],[GroupByKey]]),(DiscreteStatsTable[GroupByKey]=DiscreteStatsTable[[#This Row],[GroupByKey]])*DiscreteStatsTable[Average])),0)</f>
        <v>22.08644356402899</v>
      </c>
      <c r="O704" s="5" cm="1">
        <f t="array" ref="O704">IFERROR(_xlfn.STDEV.S(IF((DiscreteStatsTable[GroupByKey]=DiscreteStatsTable[[#This Row],[GroupByKey]]),(DiscreteStatsTable[GroupByKey]=DiscreteStatsTable[[#This Row],[GroupByKey]])*DiscreteStatsTable[Average])),0)</f>
        <v>4.8161914443752796</v>
      </c>
      <c r="P704" s="5" cm="1">
        <f t="array" ref="P704">MAX(IF((ProjectInfoTable[ProjectName]=DiscreteStatsTable[[#This Row],[ProjectName]]),(ProjectInfoTable[ProjectName]=DiscreteStatsTable[[#This Row],[ProjectName]])*ProjectInfoTable[ConfidenceInterval]))</f>
        <v>0.95</v>
      </c>
      <c r="Q704" s="5">
        <f>IF(AND(DiscreteStatsTable[[#This Row],[RepsWithStatObserved]]=1,Y704=0),200000000000000000000,IFERROR(_xlfn.T.INV.2T(1 -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2.3213299703822154</v>
      </c>
      <c r="R704" s="5" cm="1">
        <f t="array" ref="R704">MIN(IF((DiscreteStatsTable[GroupByKey]=DiscreteStatsTable[[#This Row],[GroupByKey]]),(DiscreteStatsTable[GroupByKey]=DiscreteStatsTable[[#This Row],[GroupByKey]])*DiscreteStatsTable[Average]))</f>
        <v>15.7816894791909</v>
      </c>
      <c r="S704" s="5" cm="1">
        <f t="array" ref="S704">MAX(IF((DiscreteStatsTable[GroupByKey]=DiscreteStatsTable[[#This Row],[GroupByKey]]),(DiscreteStatsTable[GroupByKey]=DiscreteStatsTable[[#This Row],[GroupByKey]])*DiscreteStatsTable[Average]))</f>
        <v>36.863589442352897</v>
      </c>
      <c r="T704" s="5" cm="1">
        <f t="array" ref="T704">MIN(IF((DiscreteStatsTable[GroupByKey]=DiscreteStatsTable[[#This Row],[GroupByKey]]),(DiscreteStatsTable[GroupByKey]=DiscreteStatsTable[[#This Row],[GroupByKey]])*DiscreteStatsTable[Minimum]))</f>
        <v>0.60651001428010398</v>
      </c>
      <c r="U704" s="5" cm="1">
        <f t="array" ref="U704">MAX(IF((DiscreteStatsTable[GroupByKey]=DiscreteStatsTable[[#This Row],[GroupByKey]]),(DiscreteStatsTable[GroupByKey]=DiscreteStatsTable[[#This Row],[GroupByKey]])*DiscreteStatsTable[Maximum]))</f>
        <v>61.080910283562602</v>
      </c>
      <c r="V704" s="5" cm="1">
        <f t="array" ref="V704">IFERROR(AVERAGE(IF((DiscreteStatsTable[GroupByKey]=DiscreteStatsTable[[#This Row],[GroupByKey]]),(DiscreteStatsTable[GroupByKey]=DiscreteStatsTable[[#This Row],[GroupByKey]])*DiscreteStatsTable[NumberObservations])),0)</f>
        <v>16.263157894736842</v>
      </c>
      <c r="W704" s="5">
        <f>IF((DiscreteStatsTable[[#This Row],[RepsRequested]]&gt;1),DiscreteStatsTable[[#This Row],[HalfWidth]],DiscreteStatsTable[[#This Row],[BatchMeansHalfWidth]])</f>
        <v>2.3213299703822154</v>
      </c>
      <c r="X704" s="5" cm="1">
        <f t="array" ref="X704">COUNT(IF((DiscreteStatsTable[GroupByKey]=DiscreteStatsTable[[#This Row],[GroupByKey]]),(DiscreteStatsTable[GroupByKey]=DiscreteStatsTable[[#This Row],[GroupByKey]])*DiscreteStatsTable[Replication]))</f>
        <v>19</v>
      </c>
      <c r="Y704" s="5">
        <f>IF(DiscreteStatsTable[[#This Row],[RepsRequested]]=DiscreteStatsTable[[#This Row],[RepsWithStatObserved]],1,0)</f>
        <v>1</v>
      </c>
    </row>
    <row r="705" spans="1:25" x14ac:dyDescent="0.25">
      <c r="A705" t="s">
        <v>67</v>
      </c>
      <c r="B705" t="s">
        <v>69</v>
      </c>
      <c r="C705">
        <v>1</v>
      </c>
      <c r="D705" t="s">
        <v>108</v>
      </c>
      <c r="E705" t="s">
        <v>107</v>
      </c>
      <c r="F705" t="s">
        <v>80</v>
      </c>
      <c r="G705">
        <v>9.0905139857419304</v>
      </c>
      <c r="H705">
        <v>2E+20</v>
      </c>
      <c r="I705">
        <v>0.61866724878666401</v>
      </c>
      <c r="J705">
        <v>32.281581249584399</v>
      </c>
      <c r="K705">
        <v>131</v>
      </c>
      <c r="L70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compartida)TiempoEnSistemaNoMesaIntervalUser Specified</v>
      </c>
      <c r="M705" s="5" cm="1">
        <f t="array" ref="M705">MAX(IF((ProjectInfoTable[ProjectName]=DiscreteStatsTable[[#This Row],[ProjectName]]),(ProjectInfoTable[ProjectName]=DiscreteStatsTable[[#This Row],[ProjectName]])*ProjectInfoTable[NumberOfReplications]))</f>
        <v>19</v>
      </c>
      <c r="N705" s="5" cm="1">
        <f t="array" ref="N705">IFERROR(AVERAGE(IF((DiscreteStatsTable[GroupByKey]=DiscreteStatsTable[[#This Row],[GroupByKey]]),(DiscreteStatsTable[GroupByKey]=DiscreteStatsTable[[#This Row],[GroupByKey]])*DiscreteStatsTable[Average])),0)</f>
        <v>3.6038674660545209</v>
      </c>
      <c r="O705" s="5" cm="1">
        <f t="array" ref="O705">IFERROR(_xlfn.STDEV.S(IF((DiscreteStatsTable[GroupByKey]=DiscreteStatsTable[[#This Row],[GroupByKey]]),(DiscreteStatsTable[GroupByKey]=DiscreteStatsTable[[#This Row],[GroupByKey]])*DiscreteStatsTable[Average])),0)</f>
        <v>1.5445299502532628</v>
      </c>
      <c r="P705" s="5" cm="1">
        <f t="array" ref="P705">MAX(IF((ProjectInfoTable[ProjectName]=DiscreteStatsTable[[#This Row],[ProjectName]]),(ProjectInfoTable[ProjectName]=DiscreteStatsTable[[#This Row],[ProjectName]])*ProjectInfoTable[ConfidenceInterval]))</f>
        <v>0.95</v>
      </c>
      <c r="Q705" s="5">
        <f>IF(AND(DiscreteStatsTable[[#This Row],[RepsWithStatObserved]]=1,Y705=0),200000000000000000000,IFERROR(_xlfn.T.INV.2T(1 -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0.74443960649926322</v>
      </c>
      <c r="R705" s="5" cm="1">
        <f t="array" ref="R705">MIN(IF((DiscreteStatsTable[GroupByKey]=DiscreteStatsTable[[#This Row],[GroupByKey]]),(DiscreteStatsTable[GroupByKey]=DiscreteStatsTable[[#This Row],[GroupByKey]])*DiscreteStatsTable[Average]))</f>
        <v>2.2660163882409599</v>
      </c>
      <c r="S705" s="5" cm="1">
        <f t="array" ref="S705">MAX(IF((DiscreteStatsTable[GroupByKey]=DiscreteStatsTable[[#This Row],[GroupByKey]]),(DiscreteStatsTable[GroupByKey]=DiscreteStatsTable[[#This Row],[GroupByKey]])*DiscreteStatsTable[Average]))</f>
        <v>9.0905139857419304</v>
      </c>
      <c r="T705" s="5" cm="1">
        <f t="array" ref="T705">MIN(IF((DiscreteStatsTable[GroupByKey]=DiscreteStatsTable[[#This Row],[GroupByKey]]),(DiscreteStatsTable[GroupByKey]=DiscreteStatsTable[[#This Row],[GroupByKey]])*DiscreteStatsTable[Minimum]))</f>
        <v>0.343771589355995</v>
      </c>
      <c r="U705" s="5" cm="1">
        <f t="array" ref="U705">MAX(IF((DiscreteStatsTable[GroupByKey]=DiscreteStatsTable[[#This Row],[GroupByKey]]),(DiscreteStatsTable[GroupByKey]=DiscreteStatsTable[[#This Row],[GroupByKey]])*DiscreteStatsTable[Maximum]))</f>
        <v>32.281581249584399</v>
      </c>
      <c r="V705" s="5" cm="1">
        <f t="array" ref="V705">IFERROR(AVERAGE(IF((DiscreteStatsTable[GroupByKey]=DiscreteStatsTable[[#This Row],[GroupByKey]]),(DiscreteStatsTable[GroupByKey]=DiscreteStatsTable[[#This Row],[GroupByKey]])*DiscreteStatsTable[NumberObservations])),0)</f>
        <v>106.10526315789474</v>
      </c>
      <c r="W705" s="5">
        <f>IF((DiscreteStatsTable[[#This Row],[RepsRequested]]&gt;1),DiscreteStatsTable[[#This Row],[HalfWidth]],DiscreteStatsTable[[#This Row],[BatchMeansHalfWidth]])</f>
        <v>0.74443960649926322</v>
      </c>
      <c r="X705" s="5" cm="1">
        <f t="array" ref="X705">COUNT(IF((DiscreteStatsTable[GroupByKey]=DiscreteStatsTable[[#This Row],[GroupByKey]]),(DiscreteStatsTable[GroupByKey]=DiscreteStatsTable[[#This Row],[GroupByKey]])*DiscreteStatsTable[Replication]))</f>
        <v>19</v>
      </c>
      <c r="Y705" s="5">
        <f>IF(DiscreteStatsTable[[#This Row],[RepsRequested]]=DiscreteStatsTable[[#This Row],[RepsWithStatObserved]],1,0)</f>
        <v>1</v>
      </c>
    </row>
    <row r="706" spans="1:25" x14ac:dyDescent="0.25">
      <c r="A706" t="s">
        <v>67</v>
      </c>
      <c r="B706" t="s">
        <v>69</v>
      </c>
      <c r="C706">
        <v>2</v>
      </c>
      <c r="D706" t="s">
        <v>108</v>
      </c>
      <c r="E706" t="s">
        <v>107</v>
      </c>
      <c r="F706" t="s">
        <v>80</v>
      </c>
      <c r="G706">
        <v>2.9350504396999999</v>
      </c>
      <c r="H706">
        <v>2E+20</v>
      </c>
      <c r="I706">
        <v>0.71602481578268895</v>
      </c>
      <c r="J706">
        <v>11.326578842878</v>
      </c>
      <c r="K706">
        <v>101</v>
      </c>
      <c r="L70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compartida)TiempoEnSistemaNoMesaIntervalUser Specified</v>
      </c>
      <c r="M706" s="5" cm="1">
        <f t="array" ref="M706">MAX(IF((ProjectInfoTable[ProjectName]=DiscreteStatsTable[[#This Row],[ProjectName]]),(ProjectInfoTable[ProjectName]=DiscreteStatsTable[[#This Row],[ProjectName]])*ProjectInfoTable[NumberOfReplications]))</f>
        <v>19</v>
      </c>
      <c r="N706" s="5" cm="1">
        <f t="array" ref="N706">IFERROR(AVERAGE(IF((DiscreteStatsTable[GroupByKey]=DiscreteStatsTable[[#This Row],[GroupByKey]]),(DiscreteStatsTable[GroupByKey]=DiscreteStatsTable[[#This Row],[GroupByKey]])*DiscreteStatsTable[Average])),0)</f>
        <v>3.6038674660545209</v>
      </c>
      <c r="O706" s="5" cm="1">
        <f t="array" ref="O706">IFERROR(_xlfn.STDEV.S(IF((DiscreteStatsTable[GroupByKey]=DiscreteStatsTable[[#This Row],[GroupByKey]]),(DiscreteStatsTable[GroupByKey]=DiscreteStatsTable[[#This Row],[GroupByKey]])*DiscreteStatsTable[Average])),0)</f>
        <v>1.5445299502532628</v>
      </c>
      <c r="P706" s="5" cm="1">
        <f t="array" ref="P706">MAX(IF((ProjectInfoTable[ProjectName]=DiscreteStatsTable[[#This Row],[ProjectName]]),(ProjectInfoTable[ProjectName]=DiscreteStatsTable[[#This Row],[ProjectName]])*ProjectInfoTable[ConfidenceInterval]))</f>
        <v>0.95</v>
      </c>
      <c r="Q706" s="5">
        <f>IF(AND(DiscreteStatsTable[[#This Row],[RepsWithStatObserved]]=1,Y706=0),200000000000000000000,IFERROR(_xlfn.T.INV.2T(1 -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0.74443960649926322</v>
      </c>
      <c r="R706" s="5" cm="1">
        <f t="array" ref="R706">MIN(IF((DiscreteStatsTable[GroupByKey]=DiscreteStatsTable[[#This Row],[GroupByKey]]),(DiscreteStatsTable[GroupByKey]=DiscreteStatsTable[[#This Row],[GroupByKey]])*DiscreteStatsTable[Average]))</f>
        <v>2.2660163882409599</v>
      </c>
      <c r="S706" s="5" cm="1">
        <f t="array" ref="S706">MAX(IF((DiscreteStatsTable[GroupByKey]=DiscreteStatsTable[[#This Row],[GroupByKey]]),(DiscreteStatsTable[GroupByKey]=DiscreteStatsTable[[#This Row],[GroupByKey]])*DiscreteStatsTable[Average]))</f>
        <v>9.0905139857419304</v>
      </c>
      <c r="T706" s="5" cm="1">
        <f t="array" ref="T706">MIN(IF((DiscreteStatsTable[GroupByKey]=DiscreteStatsTable[[#This Row],[GroupByKey]]),(DiscreteStatsTable[GroupByKey]=DiscreteStatsTable[[#This Row],[GroupByKey]])*DiscreteStatsTable[Minimum]))</f>
        <v>0.343771589355995</v>
      </c>
      <c r="U706" s="5" cm="1">
        <f t="array" ref="U706">MAX(IF((DiscreteStatsTable[GroupByKey]=DiscreteStatsTable[[#This Row],[GroupByKey]]),(DiscreteStatsTable[GroupByKey]=DiscreteStatsTable[[#This Row],[GroupByKey]])*DiscreteStatsTable[Maximum]))</f>
        <v>32.281581249584399</v>
      </c>
      <c r="V706" s="5" cm="1">
        <f t="array" ref="V706">IFERROR(AVERAGE(IF((DiscreteStatsTable[GroupByKey]=DiscreteStatsTable[[#This Row],[GroupByKey]]),(DiscreteStatsTable[GroupByKey]=DiscreteStatsTable[[#This Row],[GroupByKey]])*DiscreteStatsTable[NumberObservations])),0)</f>
        <v>106.10526315789474</v>
      </c>
      <c r="W706" s="5">
        <f>IF((DiscreteStatsTable[[#This Row],[RepsRequested]]&gt;1),DiscreteStatsTable[[#This Row],[HalfWidth]],DiscreteStatsTable[[#This Row],[BatchMeansHalfWidth]])</f>
        <v>0.74443960649926322</v>
      </c>
      <c r="X706" s="5" cm="1">
        <f t="array" ref="X706">COUNT(IF((DiscreteStatsTable[GroupByKey]=DiscreteStatsTable[[#This Row],[GroupByKey]]),(DiscreteStatsTable[GroupByKey]=DiscreteStatsTable[[#This Row],[GroupByKey]])*DiscreteStatsTable[Replication]))</f>
        <v>19</v>
      </c>
      <c r="Y706" s="5">
        <f>IF(DiscreteStatsTable[[#This Row],[RepsRequested]]=DiscreteStatsTable[[#This Row],[RepsWithStatObserved]],1,0)</f>
        <v>1</v>
      </c>
    </row>
    <row r="707" spans="1:25" x14ac:dyDescent="0.25">
      <c r="A707" t="s">
        <v>67</v>
      </c>
      <c r="B707" t="s">
        <v>69</v>
      </c>
      <c r="C707">
        <v>3</v>
      </c>
      <c r="D707" t="s">
        <v>108</v>
      </c>
      <c r="E707" t="s">
        <v>107</v>
      </c>
      <c r="F707" t="s">
        <v>80</v>
      </c>
      <c r="G707">
        <v>5.5375751823292498</v>
      </c>
      <c r="H707">
        <v>2E+20</v>
      </c>
      <c r="I707">
        <v>0.68509512236101999</v>
      </c>
      <c r="J707">
        <v>19.107244973239101</v>
      </c>
      <c r="K707">
        <v>100</v>
      </c>
      <c r="L70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compartida)TiempoEnSistemaNoMesaIntervalUser Specified</v>
      </c>
      <c r="M707" s="5" cm="1">
        <f t="array" ref="M707">MAX(IF((ProjectInfoTable[ProjectName]=DiscreteStatsTable[[#This Row],[ProjectName]]),(ProjectInfoTable[ProjectName]=DiscreteStatsTable[[#This Row],[ProjectName]])*ProjectInfoTable[NumberOfReplications]))</f>
        <v>19</v>
      </c>
      <c r="N707" s="5" cm="1">
        <f t="array" ref="N707">IFERROR(AVERAGE(IF((DiscreteStatsTable[GroupByKey]=DiscreteStatsTable[[#This Row],[GroupByKey]]),(DiscreteStatsTable[GroupByKey]=DiscreteStatsTable[[#This Row],[GroupByKey]])*DiscreteStatsTable[Average])),0)</f>
        <v>3.6038674660545209</v>
      </c>
      <c r="O707" s="5" cm="1">
        <f t="array" ref="O707">IFERROR(_xlfn.STDEV.S(IF((DiscreteStatsTable[GroupByKey]=DiscreteStatsTable[[#This Row],[GroupByKey]]),(DiscreteStatsTable[GroupByKey]=DiscreteStatsTable[[#This Row],[GroupByKey]])*DiscreteStatsTable[Average])),0)</f>
        <v>1.5445299502532628</v>
      </c>
      <c r="P707" s="5" cm="1">
        <f t="array" ref="P707">MAX(IF((ProjectInfoTable[ProjectName]=DiscreteStatsTable[[#This Row],[ProjectName]]),(ProjectInfoTable[ProjectName]=DiscreteStatsTable[[#This Row],[ProjectName]])*ProjectInfoTable[ConfidenceInterval]))</f>
        <v>0.95</v>
      </c>
      <c r="Q707" s="5">
        <f>IF(AND(DiscreteStatsTable[[#This Row],[RepsWithStatObserved]]=1,Y707=0),200000000000000000000,IFERROR(_xlfn.T.INV.2T(1 -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0.74443960649926322</v>
      </c>
      <c r="R707" s="5" cm="1">
        <f t="array" ref="R707">MIN(IF((DiscreteStatsTable[GroupByKey]=DiscreteStatsTable[[#This Row],[GroupByKey]]),(DiscreteStatsTable[GroupByKey]=DiscreteStatsTable[[#This Row],[GroupByKey]])*DiscreteStatsTable[Average]))</f>
        <v>2.2660163882409599</v>
      </c>
      <c r="S707" s="5" cm="1">
        <f t="array" ref="S707">MAX(IF((DiscreteStatsTable[GroupByKey]=DiscreteStatsTable[[#This Row],[GroupByKey]]),(DiscreteStatsTable[GroupByKey]=DiscreteStatsTable[[#This Row],[GroupByKey]])*DiscreteStatsTable[Average]))</f>
        <v>9.0905139857419304</v>
      </c>
      <c r="T707" s="5" cm="1">
        <f t="array" ref="T707">MIN(IF((DiscreteStatsTable[GroupByKey]=DiscreteStatsTable[[#This Row],[GroupByKey]]),(DiscreteStatsTable[GroupByKey]=DiscreteStatsTable[[#This Row],[GroupByKey]])*DiscreteStatsTable[Minimum]))</f>
        <v>0.343771589355995</v>
      </c>
      <c r="U707" s="5" cm="1">
        <f t="array" ref="U707">MAX(IF((DiscreteStatsTable[GroupByKey]=DiscreteStatsTable[[#This Row],[GroupByKey]]),(DiscreteStatsTable[GroupByKey]=DiscreteStatsTable[[#This Row],[GroupByKey]])*DiscreteStatsTable[Maximum]))</f>
        <v>32.281581249584399</v>
      </c>
      <c r="V707" s="5" cm="1">
        <f t="array" ref="V707">IFERROR(AVERAGE(IF((DiscreteStatsTable[GroupByKey]=DiscreteStatsTable[[#This Row],[GroupByKey]]),(DiscreteStatsTable[GroupByKey]=DiscreteStatsTable[[#This Row],[GroupByKey]])*DiscreteStatsTable[NumberObservations])),0)</f>
        <v>106.10526315789474</v>
      </c>
      <c r="W707" s="5">
        <f>IF((DiscreteStatsTable[[#This Row],[RepsRequested]]&gt;1),DiscreteStatsTable[[#This Row],[HalfWidth]],DiscreteStatsTable[[#This Row],[BatchMeansHalfWidth]])</f>
        <v>0.74443960649926322</v>
      </c>
      <c r="X707" s="5" cm="1">
        <f t="array" ref="X707">COUNT(IF((DiscreteStatsTable[GroupByKey]=DiscreteStatsTable[[#This Row],[GroupByKey]]),(DiscreteStatsTable[GroupByKey]=DiscreteStatsTable[[#This Row],[GroupByKey]])*DiscreteStatsTable[Replication]))</f>
        <v>19</v>
      </c>
      <c r="Y707" s="5">
        <f>IF(DiscreteStatsTable[[#This Row],[RepsRequested]]=DiscreteStatsTable[[#This Row],[RepsWithStatObserved]],1,0)</f>
        <v>1</v>
      </c>
    </row>
    <row r="708" spans="1:25" x14ac:dyDescent="0.25">
      <c r="A708" t="s">
        <v>67</v>
      </c>
      <c r="B708" t="s">
        <v>69</v>
      </c>
      <c r="C708">
        <v>4</v>
      </c>
      <c r="D708" t="s">
        <v>108</v>
      </c>
      <c r="E708" t="s">
        <v>107</v>
      </c>
      <c r="F708" t="s">
        <v>80</v>
      </c>
      <c r="G708">
        <v>2.8139750765808502</v>
      </c>
      <c r="H708">
        <v>2E+20</v>
      </c>
      <c r="I708">
        <v>0.58151376089895701</v>
      </c>
      <c r="J708">
        <v>7.9996986341013496</v>
      </c>
      <c r="K708">
        <v>100</v>
      </c>
      <c r="L70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compartida)TiempoEnSistemaNoMesaIntervalUser Specified</v>
      </c>
      <c r="M708" s="5" cm="1">
        <f t="array" ref="M708">MAX(IF((ProjectInfoTable[ProjectName]=DiscreteStatsTable[[#This Row],[ProjectName]]),(ProjectInfoTable[ProjectName]=DiscreteStatsTable[[#This Row],[ProjectName]])*ProjectInfoTable[NumberOfReplications]))</f>
        <v>19</v>
      </c>
      <c r="N708" s="5" cm="1">
        <f t="array" ref="N708">IFERROR(AVERAGE(IF((DiscreteStatsTable[GroupByKey]=DiscreteStatsTable[[#This Row],[GroupByKey]]),(DiscreteStatsTable[GroupByKey]=DiscreteStatsTable[[#This Row],[GroupByKey]])*DiscreteStatsTable[Average])),0)</f>
        <v>3.6038674660545209</v>
      </c>
      <c r="O708" s="5" cm="1">
        <f t="array" ref="O708">IFERROR(_xlfn.STDEV.S(IF((DiscreteStatsTable[GroupByKey]=DiscreteStatsTable[[#This Row],[GroupByKey]]),(DiscreteStatsTable[GroupByKey]=DiscreteStatsTable[[#This Row],[GroupByKey]])*DiscreteStatsTable[Average])),0)</f>
        <v>1.5445299502532628</v>
      </c>
      <c r="P708" s="5" cm="1">
        <f t="array" ref="P708">MAX(IF((ProjectInfoTable[ProjectName]=DiscreteStatsTable[[#This Row],[ProjectName]]),(ProjectInfoTable[ProjectName]=DiscreteStatsTable[[#This Row],[ProjectName]])*ProjectInfoTable[ConfidenceInterval]))</f>
        <v>0.95</v>
      </c>
      <c r="Q708" s="5">
        <f>IF(AND(DiscreteStatsTable[[#This Row],[RepsWithStatObserved]]=1,Y708=0),200000000000000000000,IFERROR(_xlfn.T.INV.2T(1 -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0.74443960649926322</v>
      </c>
      <c r="R708" s="5" cm="1">
        <f t="array" ref="R708">MIN(IF((DiscreteStatsTable[GroupByKey]=DiscreteStatsTable[[#This Row],[GroupByKey]]),(DiscreteStatsTable[GroupByKey]=DiscreteStatsTable[[#This Row],[GroupByKey]])*DiscreteStatsTable[Average]))</f>
        <v>2.2660163882409599</v>
      </c>
      <c r="S708" s="5" cm="1">
        <f t="array" ref="S708">MAX(IF((DiscreteStatsTable[GroupByKey]=DiscreteStatsTable[[#This Row],[GroupByKey]]),(DiscreteStatsTable[GroupByKey]=DiscreteStatsTable[[#This Row],[GroupByKey]])*DiscreteStatsTable[Average]))</f>
        <v>9.0905139857419304</v>
      </c>
      <c r="T708" s="5" cm="1">
        <f t="array" ref="T708">MIN(IF((DiscreteStatsTable[GroupByKey]=DiscreteStatsTable[[#This Row],[GroupByKey]]),(DiscreteStatsTable[GroupByKey]=DiscreteStatsTable[[#This Row],[GroupByKey]])*DiscreteStatsTable[Minimum]))</f>
        <v>0.343771589355995</v>
      </c>
      <c r="U708" s="5" cm="1">
        <f t="array" ref="U708">MAX(IF((DiscreteStatsTable[GroupByKey]=DiscreteStatsTable[[#This Row],[GroupByKey]]),(DiscreteStatsTable[GroupByKey]=DiscreteStatsTable[[#This Row],[GroupByKey]])*DiscreteStatsTable[Maximum]))</f>
        <v>32.281581249584399</v>
      </c>
      <c r="V708" s="5" cm="1">
        <f t="array" ref="V708">IFERROR(AVERAGE(IF((DiscreteStatsTable[GroupByKey]=DiscreteStatsTable[[#This Row],[GroupByKey]]),(DiscreteStatsTable[GroupByKey]=DiscreteStatsTable[[#This Row],[GroupByKey]])*DiscreteStatsTable[NumberObservations])),0)</f>
        <v>106.10526315789474</v>
      </c>
      <c r="W708" s="5">
        <f>IF((DiscreteStatsTable[[#This Row],[RepsRequested]]&gt;1),DiscreteStatsTable[[#This Row],[HalfWidth]],DiscreteStatsTable[[#This Row],[BatchMeansHalfWidth]])</f>
        <v>0.74443960649926322</v>
      </c>
      <c r="X708" s="5" cm="1">
        <f t="array" ref="X708">COUNT(IF((DiscreteStatsTable[GroupByKey]=DiscreteStatsTable[[#This Row],[GroupByKey]]),(DiscreteStatsTable[GroupByKey]=DiscreteStatsTable[[#This Row],[GroupByKey]])*DiscreteStatsTable[Replication]))</f>
        <v>19</v>
      </c>
      <c r="Y708" s="5">
        <f>IF(DiscreteStatsTable[[#This Row],[RepsRequested]]=DiscreteStatsTable[[#This Row],[RepsWithStatObserved]],1,0)</f>
        <v>1</v>
      </c>
    </row>
    <row r="709" spans="1:25" x14ac:dyDescent="0.25">
      <c r="A709" t="s">
        <v>67</v>
      </c>
      <c r="B709" t="s">
        <v>69</v>
      </c>
      <c r="C709">
        <v>5</v>
      </c>
      <c r="D709" t="s">
        <v>108</v>
      </c>
      <c r="E709" t="s">
        <v>107</v>
      </c>
      <c r="F709" t="s">
        <v>80</v>
      </c>
      <c r="G709">
        <v>2.2660163882409599</v>
      </c>
      <c r="H709">
        <v>2E+20</v>
      </c>
      <c r="I709">
        <v>0.45953413129460302</v>
      </c>
      <c r="J709">
        <v>7.7368864667621704</v>
      </c>
      <c r="K709">
        <v>114</v>
      </c>
      <c r="L70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compartida)TiempoEnSistemaNoMesaIntervalUser Specified</v>
      </c>
      <c r="M709" s="5" cm="1">
        <f t="array" ref="M709">MAX(IF((ProjectInfoTable[ProjectName]=DiscreteStatsTable[[#This Row],[ProjectName]]),(ProjectInfoTable[ProjectName]=DiscreteStatsTable[[#This Row],[ProjectName]])*ProjectInfoTable[NumberOfReplications]))</f>
        <v>19</v>
      </c>
      <c r="N709" s="5" cm="1">
        <f t="array" ref="N709">IFERROR(AVERAGE(IF((DiscreteStatsTable[GroupByKey]=DiscreteStatsTable[[#This Row],[GroupByKey]]),(DiscreteStatsTable[GroupByKey]=DiscreteStatsTable[[#This Row],[GroupByKey]])*DiscreteStatsTable[Average])),0)</f>
        <v>3.6038674660545209</v>
      </c>
      <c r="O709" s="5" cm="1">
        <f t="array" ref="O709">IFERROR(_xlfn.STDEV.S(IF((DiscreteStatsTable[GroupByKey]=DiscreteStatsTable[[#This Row],[GroupByKey]]),(DiscreteStatsTable[GroupByKey]=DiscreteStatsTable[[#This Row],[GroupByKey]])*DiscreteStatsTable[Average])),0)</f>
        <v>1.5445299502532628</v>
      </c>
      <c r="P709" s="5" cm="1">
        <f t="array" ref="P709">MAX(IF((ProjectInfoTable[ProjectName]=DiscreteStatsTable[[#This Row],[ProjectName]]),(ProjectInfoTable[ProjectName]=DiscreteStatsTable[[#This Row],[ProjectName]])*ProjectInfoTable[ConfidenceInterval]))</f>
        <v>0.95</v>
      </c>
      <c r="Q709" s="5">
        <f>IF(AND(DiscreteStatsTable[[#This Row],[RepsWithStatObserved]]=1,Y709=0),200000000000000000000,IFERROR(_xlfn.T.INV.2T(1 -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0.74443960649926322</v>
      </c>
      <c r="R709" s="5" cm="1">
        <f t="array" ref="R709">MIN(IF((DiscreteStatsTable[GroupByKey]=DiscreteStatsTable[[#This Row],[GroupByKey]]),(DiscreteStatsTable[GroupByKey]=DiscreteStatsTable[[#This Row],[GroupByKey]])*DiscreteStatsTable[Average]))</f>
        <v>2.2660163882409599</v>
      </c>
      <c r="S709" s="5" cm="1">
        <f t="array" ref="S709">MAX(IF((DiscreteStatsTable[GroupByKey]=DiscreteStatsTable[[#This Row],[GroupByKey]]),(DiscreteStatsTable[GroupByKey]=DiscreteStatsTable[[#This Row],[GroupByKey]])*DiscreteStatsTable[Average]))</f>
        <v>9.0905139857419304</v>
      </c>
      <c r="T709" s="5" cm="1">
        <f t="array" ref="T709">MIN(IF((DiscreteStatsTable[GroupByKey]=DiscreteStatsTable[[#This Row],[GroupByKey]]),(DiscreteStatsTable[GroupByKey]=DiscreteStatsTable[[#This Row],[GroupByKey]])*DiscreteStatsTable[Minimum]))</f>
        <v>0.343771589355995</v>
      </c>
      <c r="U709" s="5" cm="1">
        <f t="array" ref="U709">MAX(IF((DiscreteStatsTable[GroupByKey]=DiscreteStatsTable[[#This Row],[GroupByKey]]),(DiscreteStatsTable[GroupByKey]=DiscreteStatsTable[[#This Row],[GroupByKey]])*DiscreteStatsTable[Maximum]))</f>
        <v>32.281581249584399</v>
      </c>
      <c r="V709" s="5" cm="1">
        <f t="array" ref="V709">IFERROR(AVERAGE(IF((DiscreteStatsTable[GroupByKey]=DiscreteStatsTable[[#This Row],[GroupByKey]]),(DiscreteStatsTable[GroupByKey]=DiscreteStatsTable[[#This Row],[GroupByKey]])*DiscreteStatsTable[NumberObservations])),0)</f>
        <v>106.10526315789474</v>
      </c>
      <c r="W709" s="5">
        <f>IF((DiscreteStatsTable[[#This Row],[RepsRequested]]&gt;1),DiscreteStatsTable[[#This Row],[HalfWidth]],DiscreteStatsTable[[#This Row],[BatchMeansHalfWidth]])</f>
        <v>0.74443960649926322</v>
      </c>
      <c r="X709" s="5" cm="1">
        <f t="array" ref="X709">COUNT(IF((DiscreteStatsTable[GroupByKey]=DiscreteStatsTable[[#This Row],[GroupByKey]]),(DiscreteStatsTable[GroupByKey]=DiscreteStatsTable[[#This Row],[GroupByKey]])*DiscreteStatsTable[Replication]))</f>
        <v>19</v>
      </c>
      <c r="Y709" s="5">
        <f>IF(DiscreteStatsTable[[#This Row],[RepsRequested]]=DiscreteStatsTable[[#This Row],[RepsWithStatObserved]],1,0)</f>
        <v>1</v>
      </c>
    </row>
    <row r="710" spans="1:25" x14ac:dyDescent="0.25">
      <c r="A710" t="s">
        <v>67</v>
      </c>
      <c r="B710" t="s">
        <v>69</v>
      </c>
      <c r="C710">
        <v>6</v>
      </c>
      <c r="D710" t="s">
        <v>108</v>
      </c>
      <c r="E710" t="s">
        <v>107</v>
      </c>
      <c r="F710" t="s">
        <v>80</v>
      </c>
      <c r="G710">
        <v>2.4937139399009798</v>
      </c>
      <c r="H710">
        <v>2E+20</v>
      </c>
      <c r="I710">
        <v>0.44944471453567297</v>
      </c>
      <c r="J710">
        <v>7.2890540910401302</v>
      </c>
      <c r="K710">
        <v>100</v>
      </c>
      <c r="L71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compartida)TiempoEnSistemaNoMesaIntervalUser Specified</v>
      </c>
      <c r="M710" s="5" cm="1">
        <f t="array" ref="M710">MAX(IF((ProjectInfoTable[ProjectName]=DiscreteStatsTable[[#This Row],[ProjectName]]),(ProjectInfoTable[ProjectName]=DiscreteStatsTable[[#This Row],[ProjectName]])*ProjectInfoTable[NumberOfReplications]))</f>
        <v>19</v>
      </c>
      <c r="N710" s="5" cm="1">
        <f t="array" ref="N710">IFERROR(AVERAGE(IF((DiscreteStatsTable[GroupByKey]=DiscreteStatsTable[[#This Row],[GroupByKey]]),(DiscreteStatsTable[GroupByKey]=DiscreteStatsTable[[#This Row],[GroupByKey]])*DiscreteStatsTable[Average])),0)</f>
        <v>3.6038674660545209</v>
      </c>
      <c r="O710" s="5" cm="1">
        <f t="array" ref="O710">IFERROR(_xlfn.STDEV.S(IF((DiscreteStatsTable[GroupByKey]=DiscreteStatsTable[[#This Row],[GroupByKey]]),(DiscreteStatsTable[GroupByKey]=DiscreteStatsTable[[#This Row],[GroupByKey]])*DiscreteStatsTable[Average])),0)</f>
        <v>1.5445299502532628</v>
      </c>
      <c r="P710" s="5" cm="1">
        <f t="array" ref="P710">MAX(IF((ProjectInfoTable[ProjectName]=DiscreteStatsTable[[#This Row],[ProjectName]]),(ProjectInfoTable[ProjectName]=DiscreteStatsTable[[#This Row],[ProjectName]])*ProjectInfoTable[ConfidenceInterval]))</f>
        <v>0.95</v>
      </c>
      <c r="Q710" s="5">
        <f>IF(AND(DiscreteStatsTable[[#This Row],[RepsWithStatObserved]]=1,Y710=0),200000000000000000000,IFERROR(_xlfn.T.INV.2T(1 -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0.74443960649926322</v>
      </c>
      <c r="R710" s="5" cm="1">
        <f t="array" ref="R710">MIN(IF((DiscreteStatsTable[GroupByKey]=DiscreteStatsTable[[#This Row],[GroupByKey]]),(DiscreteStatsTable[GroupByKey]=DiscreteStatsTable[[#This Row],[GroupByKey]])*DiscreteStatsTable[Average]))</f>
        <v>2.2660163882409599</v>
      </c>
      <c r="S710" s="5" cm="1">
        <f t="array" ref="S710">MAX(IF((DiscreteStatsTable[GroupByKey]=DiscreteStatsTable[[#This Row],[GroupByKey]]),(DiscreteStatsTable[GroupByKey]=DiscreteStatsTable[[#This Row],[GroupByKey]])*DiscreteStatsTable[Average]))</f>
        <v>9.0905139857419304</v>
      </c>
      <c r="T710" s="5" cm="1">
        <f t="array" ref="T710">MIN(IF((DiscreteStatsTable[GroupByKey]=DiscreteStatsTable[[#This Row],[GroupByKey]]),(DiscreteStatsTable[GroupByKey]=DiscreteStatsTable[[#This Row],[GroupByKey]])*DiscreteStatsTable[Minimum]))</f>
        <v>0.343771589355995</v>
      </c>
      <c r="U710" s="5" cm="1">
        <f t="array" ref="U710">MAX(IF((DiscreteStatsTable[GroupByKey]=DiscreteStatsTable[[#This Row],[GroupByKey]]),(DiscreteStatsTable[GroupByKey]=DiscreteStatsTable[[#This Row],[GroupByKey]])*DiscreteStatsTable[Maximum]))</f>
        <v>32.281581249584399</v>
      </c>
      <c r="V710" s="5" cm="1">
        <f t="array" ref="V710">IFERROR(AVERAGE(IF((DiscreteStatsTable[GroupByKey]=DiscreteStatsTable[[#This Row],[GroupByKey]]),(DiscreteStatsTable[GroupByKey]=DiscreteStatsTable[[#This Row],[GroupByKey]])*DiscreteStatsTable[NumberObservations])),0)</f>
        <v>106.10526315789474</v>
      </c>
      <c r="W710" s="5">
        <f>IF((DiscreteStatsTable[[#This Row],[RepsRequested]]&gt;1),DiscreteStatsTable[[#This Row],[HalfWidth]],DiscreteStatsTable[[#This Row],[BatchMeansHalfWidth]])</f>
        <v>0.74443960649926322</v>
      </c>
      <c r="X710" s="5" cm="1">
        <f t="array" ref="X710">COUNT(IF((DiscreteStatsTable[GroupByKey]=DiscreteStatsTable[[#This Row],[GroupByKey]]),(DiscreteStatsTable[GroupByKey]=DiscreteStatsTable[[#This Row],[GroupByKey]])*DiscreteStatsTable[Replication]))</f>
        <v>19</v>
      </c>
      <c r="Y710" s="5">
        <f>IF(DiscreteStatsTable[[#This Row],[RepsRequested]]=DiscreteStatsTable[[#This Row],[RepsWithStatObserved]],1,0)</f>
        <v>1</v>
      </c>
    </row>
    <row r="711" spans="1:25" x14ac:dyDescent="0.25">
      <c r="A711" t="s">
        <v>67</v>
      </c>
      <c r="B711" t="s">
        <v>69</v>
      </c>
      <c r="C711">
        <v>7</v>
      </c>
      <c r="D711" t="s">
        <v>108</v>
      </c>
      <c r="E711" t="s">
        <v>107</v>
      </c>
      <c r="F711" t="s">
        <v>80</v>
      </c>
      <c r="G711">
        <v>2.8917848697034598</v>
      </c>
      <c r="H711">
        <v>2E+20</v>
      </c>
      <c r="I711">
        <v>0.44928766791144897</v>
      </c>
      <c r="J711">
        <v>7.5515855037370203</v>
      </c>
      <c r="K711">
        <v>93</v>
      </c>
      <c r="L71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compartida)TiempoEnSistemaNoMesaIntervalUser Specified</v>
      </c>
      <c r="M711" s="5" cm="1">
        <f t="array" ref="M711">MAX(IF((ProjectInfoTable[ProjectName]=DiscreteStatsTable[[#This Row],[ProjectName]]),(ProjectInfoTable[ProjectName]=DiscreteStatsTable[[#This Row],[ProjectName]])*ProjectInfoTable[NumberOfReplications]))</f>
        <v>19</v>
      </c>
      <c r="N711" s="5" cm="1">
        <f t="array" ref="N711">IFERROR(AVERAGE(IF((DiscreteStatsTable[GroupByKey]=DiscreteStatsTable[[#This Row],[GroupByKey]]),(DiscreteStatsTable[GroupByKey]=DiscreteStatsTable[[#This Row],[GroupByKey]])*DiscreteStatsTable[Average])),0)</f>
        <v>3.6038674660545209</v>
      </c>
      <c r="O711" s="5" cm="1">
        <f t="array" ref="O711">IFERROR(_xlfn.STDEV.S(IF((DiscreteStatsTable[GroupByKey]=DiscreteStatsTable[[#This Row],[GroupByKey]]),(DiscreteStatsTable[GroupByKey]=DiscreteStatsTable[[#This Row],[GroupByKey]])*DiscreteStatsTable[Average])),0)</f>
        <v>1.5445299502532628</v>
      </c>
      <c r="P711" s="5" cm="1">
        <f t="array" ref="P711">MAX(IF((ProjectInfoTable[ProjectName]=DiscreteStatsTable[[#This Row],[ProjectName]]),(ProjectInfoTable[ProjectName]=DiscreteStatsTable[[#This Row],[ProjectName]])*ProjectInfoTable[ConfidenceInterval]))</f>
        <v>0.95</v>
      </c>
      <c r="Q711" s="5">
        <f>IF(AND(DiscreteStatsTable[[#This Row],[RepsWithStatObserved]]=1,Y711=0),200000000000000000000,IFERROR(_xlfn.T.INV.2T(1 -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0.74443960649926322</v>
      </c>
      <c r="R711" s="5" cm="1">
        <f t="array" ref="R711">MIN(IF((DiscreteStatsTable[GroupByKey]=DiscreteStatsTable[[#This Row],[GroupByKey]]),(DiscreteStatsTable[GroupByKey]=DiscreteStatsTable[[#This Row],[GroupByKey]])*DiscreteStatsTable[Average]))</f>
        <v>2.2660163882409599</v>
      </c>
      <c r="S711" s="5" cm="1">
        <f t="array" ref="S711">MAX(IF((DiscreteStatsTable[GroupByKey]=DiscreteStatsTable[[#This Row],[GroupByKey]]),(DiscreteStatsTable[GroupByKey]=DiscreteStatsTable[[#This Row],[GroupByKey]])*DiscreteStatsTable[Average]))</f>
        <v>9.0905139857419304</v>
      </c>
      <c r="T711" s="5" cm="1">
        <f t="array" ref="T711">MIN(IF((DiscreteStatsTable[GroupByKey]=DiscreteStatsTable[[#This Row],[GroupByKey]]),(DiscreteStatsTable[GroupByKey]=DiscreteStatsTable[[#This Row],[GroupByKey]])*DiscreteStatsTable[Minimum]))</f>
        <v>0.343771589355995</v>
      </c>
      <c r="U711" s="5" cm="1">
        <f t="array" ref="U711">MAX(IF((DiscreteStatsTable[GroupByKey]=DiscreteStatsTable[[#This Row],[GroupByKey]]),(DiscreteStatsTable[GroupByKey]=DiscreteStatsTable[[#This Row],[GroupByKey]])*DiscreteStatsTable[Maximum]))</f>
        <v>32.281581249584399</v>
      </c>
      <c r="V711" s="5" cm="1">
        <f t="array" ref="V711">IFERROR(AVERAGE(IF((DiscreteStatsTable[GroupByKey]=DiscreteStatsTable[[#This Row],[GroupByKey]]),(DiscreteStatsTable[GroupByKey]=DiscreteStatsTable[[#This Row],[GroupByKey]])*DiscreteStatsTable[NumberObservations])),0)</f>
        <v>106.10526315789474</v>
      </c>
      <c r="W711" s="5">
        <f>IF((DiscreteStatsTable[[#This Row],[RepsRequested]]&gt;1),DiscreteStatsTable[[#This Row],[HalfWidth]],DiscreteStatsTable[[#This Row],[BatchMeansHalfWidth]])</f>
        <v>0.74443960649926322</v>
      </c>
      <c r="X711" s="5" cm="1">
        <f t="array" ref="X711">COUNT(IF((DiscreteStatsTable[GroupByKey]=DiscreteStatsTable[[#This Row],[GroupByKey]]),(DiscreteStatsTable[GroupByKey]=DiscreteStatsTable[[#This Row],[GroupByKey]])*DiscreteStatsTable[Replication]))</f>
        <v>19</v>
      </c>
      <c r="Y711" s="5">
        <f>IF(DiscreteStatsTable[[#This Row],[RepsRequested]]=DiscreteStatsTable[[#This Row],[RepsWithStatObserved]],1,0)</f>
        <v>1</v>
      </c>
    </row>
    <row r="712" spans="1:25" x14ac:dyDescent="0.25">
      <c r="A712" t="s">
        <v>67</v>
      </c>
      <c r="B712" t="s">
        <v>69</v>
      </c>
      <c r="C712">
        <v>8</v>
      </c>
      <c r="D712" t="s">
        <v>108</v>
      </c>
      <c r="E712" t="s">
        <v>107</v>
      </c>
      <c r="F712" t="s">
        <v>80</v>
      </c>
      <c r="G712">
        <v>3.5320294776719598</v>
      </c>
      <c r="H712">
        <v>2E+20</v>
      </c>
      <c r="I712">
        <v>0.60196005243042805</v>
      </c>
      <c r="J712">
        <v>10.4788765301382</v>
      </c>
      <c r="K712">
        <v>119</v>
      </c>
      <c r="L71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compartida)TiempoEnSistemaNoMesaIntervalUser Specified</v>
      </c>
      <c r="M712" s="5" cm="1">
        <f t="array" ref="M712">MAX(IF((ProjectInfoTable[ProjectName]=DiscreteStatsTable[[#This Row],[ProjectName]]),(ProjectInfoTable[ProjectName]=DiscreteStatsTable[[#This Row],[ProjectName]])*ProjectInfoTable[NumberOfReplications]))</f>
        <v>19</v>
      </c>
      <c r="N712" s="5" cm="1">
        <f t="array" ref="N712">IFERROR(AVERAGE(IF((DiscreteStatsTable[GroupByKey]=DiscreteStatsTable[[#This Row],[GroupByKey]]),(DiscreteStatsTable[GroupByKey]=DiscreteStatsTable[[#This Row],[GroupByKey]])*DiscreteStatsTable[Average])),0)</f>
        <v>3.6038674660545209</v>
      </c>
      <c r="O712" s="5" cm="1">
        <f t="array" ref="O712">IFERROR(_xlfn.STDEV.S(IF((DiscreteStatsTable[GroupByKey]=DiscreteStatsTable[[#This Row],[GroupByKey]]),(DiscreteStatsTable[GroupByKey]=DiscreteStatsTable[[#This Row],[GroupByKey]])*DiscreteStatsTable[Average])),0)</f>
        <v>1.5445299502532628</v>
      </c>
      <c r="P712" s="5" cm="1">
        <f t="array" ref="P712">MAX(IF((ProjectInfoTable[ProjectName]=DiscreteStatsTable[[#This Row],[ProjectName]]),(ProjectInfoTable[ProjectName]=DiscreteStatsTable[[#This Row],[ProjectName]])*ProjectInfoTable[ConfidenceInterval]))</f>
        <v>0.95</v>
      </c>
      <c r="Q712" s="5">
        <f>IF(AND(DiscreteStatsTable[[#This Row],[RepsWithStatObserved]]=1,Y712=0),200000000000000000000,IFERROR(_xlfn.T.INV.2T(1 -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0.74443960649926322</v>
      </c>
      <c r="R712" s="5" cm="1">
        <f t="array" ref="R712">MIN(IF((DiscreteStatsTable[GroupByKey]=DiscreteStatsTable[[#This Row],[GroupByKey]]),(DiscreteStatsTable[GroupByKey]=DiscreteStatsTable[[#This Row],[GroupByKey]])*DiscreteStatsTable[Average]))</f>
        <v>2.2660163882409599</v>
      </c>
      <c r="S712" s="5" cm="1">
        <f t="array" ref="S712">MAX(IF((DiscreteStatsTable[GroupByKey]=DiscreteStatsTable[[#This Row],[GroupByKey]]),(DiscreteStatsTable[GroupByKey]=DiscreteStatsTable[[#This Row],[GroupByKey]])*DiscreteStatsTable[Average]))</f>
        <v>9.0905139857419304</v>
      </c>
      <c r="T712" s="5" cm="1">
        <f t="array" ref="T712">MIN(IF((DiscreteStatsTable[GroupByKey]=DiscreteStatsTable[[#This Row],[GroupByKey]]),(DiscreteStatsTable[GroupByKey]=DiscreteStatsTable[[#This Row],[GroupByKey]])*DiscreteStatsTable[Minimum]))</f>
        <v>0.343771589355995</v>
      </c>
      <c r="U712" s="5" cm="1">
        <f t="array" ref="U712">MAX(IF((DiscreteStatsTable[GroupByKey]=DiscreteStatsTable[[#This Row],[GroupByKey]]),(DiscreteStatsTable[GroupByKey]=DiscreteStatsTable[[#This Row],[GroupByKey]])*DiscreteStatsTable[Maximum]))</f>
        <v>32.281581249584399</v>
      </c>
      <c r="V712" s="5" cm="1">
        <f t="array" ref="V712">IFERROR(AVERAGE(IF((DiscreteStatsTable[GroupByKey]=DiscreteStatsTable[[#This Row],[GroupByKey]]),(DiscreteStatsTable[GroupByKey]=DiscreteStatsTable[[#This Row],[GroupByKey]])*DiscreteStatsTable[NumberObservations])),0)</f>
        <v>106.10526315789474</v>
      </c>
      <c r="W712" s="5">
        <f>IF((DiscreteStatsTable[[#This Row],[RepsRequested]]&gt;1),DiscreteStatsTable[[#This Row],[HalfWidth]],DiscreteStatsTable[[#This Row],[BatchMeansHalfWidth]])</f>
        <v>0.74443960649926322</v>
      </c>
      <c r="X712" s="5" cm="1">
        <f t="array" ref="X712">COUNT(IF((DiscreteStatsTable[GroupByKey]=DiscreteStatsTable[[#This Row],[GroupByKey]]),(DiscreteStatsTable[GroupByKey]=DiscreteStatsTable[[#This Row],[GroupByKey]])*DiscreteStatsTable[Replication]))</f>
        <v>19</v>
      </c>
      <c r="Y712" s="5">
        <f>IF(DiscreteStatsTable[[#This Row],[RepsRequested]]=DiscreteStatsTable[[#This Row],[RepsWithStatObserved]],1,0)</f>
        <v>1</v>
      </c>
    </row>
    <row r="713" spans="1:25" x14ac:dyDescent="0.25">
      <c r="A713" t="s">
        <v>67</v>
      </c>
      <c r="B713" t="s">
        <v>69</v>
      </c>
      <c r="C713">
        <v>9</v>
      </c>
      <c r="D713" t="s">
        <v>108</v>
      </c>
      <c r="E713" t="s">
        <v>107</v>
      </c>
      <c r="F713" t="s">
        <v>80</v>
      </c>
      <c r="G713">
        <v>3.0588031296593101</v>
      </c>
      <c r="H713">
        <v>2E+20</v>
      </c>
      <c r="I713">
        <v>0.66531193553086598</v>
      </c>
      <c r="J713">
        <v>9.7826778195312407</v>
      </c>
      <c r="K713">
        <v>95</v>
      </c>
      <c r="L71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compartida)TiempoEnSistemaNoMesaIntervalUser Specified</v>
      </c>
      <c r="M713" s="5" cm="1">
        <f t="array" ref="M713">MAX(IF((ProjectInfoTable[ProjectName]=DiscreteStatsTable[[#This Row],[ProjectName]]),(ProjectInfoTable[ProjectName]=DiscreteStatsTable[[#This Row],[ProjectName]])*ProjectInfoTable[NumberOfReplications]))</f>
        <v>19</v>
      </c>
      <c r="N713" s="5" cm="1">
        <f t="array" ref="N713">IFERROR(AVERAGE(IF((DiscreteStatsTable[GroupByKey]=DiscreteStatsTable[[#This Row],[GroupByKey]]),(DiscreteStatsTable[GroupByKey]=DiscreteStatsTable[[#This Row],[GroupByKey]])*DiscreteStatsTable[Average])),0)</f>
        <v>3.6038674660545209</v>
      </c>
      <c r="O713" s="5" cm="1">
        <f t="array" ref="O713">IFERROR(_xlfn.STDEV.S(IF((DiscreteStatsTable[GroupByKey]=DiscreteStatsTable[[#This Row],[GroupByKey]]),(DiscreteStatsTable[GroupByKey]=DiscreteStatsTable[[#This Row],[GroupByKey]])*DiscreteStatsTable[Average])),0)</f>
        <v>1.5445299502532628</v>
      </c>
      <c r="P713" s="5" cm="1">
        <f t="array" ref="P713">MAX(IF((ProjectInfoTable[ProjectName]=DiscreteStatsTable[[#This Row],[ProjectName]]),(ProjectInfoTable[ProjectName]=DiscreteStatsTable[[#This Row],[ProjectName]])*ProjectInfoTable[ConfidenceInterval]))</f>
        <v>0.95</v>
      </c>
      <c r="Q713" s="5">
        <f>IF(AND(DiscreteStatsTable[[#This Row],[RepsWithStatObserved]]=1,Y713=0),200000000000000000000,IFERROR(_xlfn.T.INV.2T(1 -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0.74443960649926322</v>
      </c>
      <c r="R713" s="5" cm="1">
        <f t="array" ref="R713">MIN(IF((DiscreteStatsTable[GroupByKey]=DiscreteStatsTable[[#This Row],[GroupByKey]]),(DiscreteStatsTable[GroupByKey]=DiscreteStatsTable[[#This Row],[GroupByKey]])*DiscreteStatsTable[Average]))</f>
        <v>2.2660163882409599</v>
      </c>
      <c r="S713" s="5" cm="1">
        <f t="array" ref="S713">MAX(IF((DiscreteStatsTable[GroupByKey]=DiscreteStatsTable[[#This Row],[GroupByKey]]),(DiscreteStatsTable[GroupByKey]=DiscreteStatsTable[[#This Row],[GroupByKey]])*DiscreteStatsTable[Average]))</f>
        <v>9.0905139857419304</v>
      </c>
      <c r="T713" s="5" cm="1">
        <f t="array" ref="T713">MIN(IF((DiscreteStatsTable[GroupByKey]=DiscreteStatsTable[[#This Row],[GroupByKey]]),(DiscreteStatsTable[GroupByKey]=DiscreteStatsTable[[#This Row],[GroupByKey]])*DiscreteStatsTable[Minimum]))</f>
        <v>0.343771589355995</v>
      </c>
      <c r="U713" s="5" cm="1">
        <f t="array" ref="U713">MAX(IF((DiscreteStatsTable[GroupByKey]=DiscreteStatsTable[[#This Row],[GroupByKey]]),(DiscreteStatsTable[GroupByKey]=DiscreteStatsTable[[#This Row],[GroupByKey]])*DiscreteStatsTable[Maximum]))</f>
        <v>32.281581249584399</v>
      </c>
      <c r="V713" s="5" cm="1">
        <f t="array" ref="V713">IFERROR(AVERAGE(IF((DiscreteStatsTable[GroupByKey]=DiscreteStatsTable[[#This Row],[GroupByKey]]),(DiscreteStatsTable[GroupByKey]=DiscreteStatsTable[[#This Row],[GroupByKey]])*DiscreteStatsTable[NumberObservations])),0)</f>
        <v>106.10526315789474</v>
      </c>
      <c r="W713" s="5">
        <f>IF((DiscreteStatsTable[[#This Row],[RepsRequested]]&gt;1),DiscreteStatsTable[[#This Row],[HalfWidth]],DiscreteStatsTable[[#This Row],[BatchMeansHalfWidth]])</f>
        <v>0.74443960649926322</v>
      </c>
      <c r="X713" s="5" cm="1">
        <f t="array" ref="X713">COUNT(IF((DiscreteStatsTable[GroupByKey]=DiscreteStatsTable[[#This Row],[GroupByKey]]),(DiscreteStatsTable[GroupByKey]=DiscreteStatsTable[[#This Row],[GroupByKey]])*DiscreteStatsTable[Replication]))</f>
        <v>19</v>
      </c>
      <c r="Y713" s="5">
        <f>IF(DiscreteStatsTable[[#This Row],[RepsRequested]]=DiscreteStatsTable[[#This Row],[RepsWithStatObserved]],1,0)</f>
        <v>1</v>
      </c>
    </row>
    <row r="714" spans="1:25" x14ac:dyDescent="0.25">
      <c r="A714" t="s">
        <v>67</v>
      </c>
      <c r="B714" t="s">
        <v>69</v>
      </c>
      <c r="C714">
        <v>10</v>
      </c>
      <c r="D714" t="s">
        <v>108</v>
      </c>
      <c r="E714" t="s">
        <v>107</v>
      </c>
      <c r="F714" t="s">
        <v>80</v>
      </c>
      <c r="G714">
        <v>4.4589921402933701</v>
      </c>
      <c r="H714">
        <v>2E+20</v>
      </c>
      <c r="I714">
        <v>0.51258930973818895</v>
      </c>
      <c r="J714">
        <v>12.2973900741707</v>
      </c>
      <c r="K714">
        <v>94</v>
      </c>
      <c r="L71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compartida)TiempoEnSistemaNoMesaIntervalUser Specified</v>
      </c>
      <c r="M714" s="5" cm="1">
        <f t="array" ref="M714">MAX(IF((ProjectInfoTable[ProjectName]=DiscreteStatsTable[[#This Row],[ProjectName]]),(ProjectInfoTable[ProjectName]=DiscreteStatsTable[[#This Row],[ProjectName]])*ProjectInfoTable[NumberOfReplications]))</f>
        <v>19</v>
      </c>
      <c r="N714" s="5" cm="1">
        <f t="array" ref="N714">IFERROR(AVERAGE(IF((DiscreteStatsTable[GroupByKey]=DiscreteStatsTable[[#This Row],[GroupByKey]]),(DiscreteStatsTable[GroupByKey]=DiscreteStatsTable[[#This Row],[GroupByKey]])*DiscreteStatsTable[Average])),0)</f>
        <v>3.6038674660545209</v>
      </c>
      <c r="O714" s="5" cm="1">
        <f t="array" ref="O714">IFERROR(_xlfn.STDEV.S(IF((DiscreteStatsTable[GroupByKey]=DiscreteStatsTable[[#This Row],[GroupByKey]]),(DiscreteStatsTable[GroupByKey]=DiscreteStatsTable[[#This Row],[GroupByKey]])*DiscreteStatsTable[Average])),0)</f>
        <v>1.5445299502532628</v>
      </c>
      <c r="P714" s="5" cm="1">
        <f t="array" ref="P714">MAX(IF((ProjectInfoTable[ProjectName]=DiscreteStatsTable[[#This Row],[ProjectName]]),(ProjectInfoTable[ProjectName]=DiscreteStatsTable[[#This Row],[ProjectName]])*ProjectInfoTable[ConfidenceInterval]))</f>
        <v>0.95</v>
      </c>
      <c r="Q714" s="5">
        <f>IF(AND(DiscreteStatsTable[[#This Row],[RepsWithStatObserved]]=1,Y714=0),200000000000000000000,IFERROR(_xlfn.T.INV.2T(1 -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0.74443960649926322</v>
      </c>
      <c r="R714" s="5" cm="1">
        <f t="array" ref="R714">MIN(IF((DiscreteStatsTable[GroupByKey]=DiscreteStatsTable[[#This Row],[GroupByKey]]),(DiscreteStatsTable[GroupByKey]=DiscreteStatsTable[[#This Row],[GroupByKey]])*DiscreteStatsTable[Average]))</f>
        <v>2.2660163882409599</v>
      </c>
      <c r="S714" s="5" cm="1">
        <f t="array" ref="S714">MAX(IF((DiscreteStatsTable[GroupByKey]=DiscreteStatsTable[[#This Row],[GroupByKey]]),(DiscreteStatsTable[GroupByKey]=DiscreteStatsTable[[#This Row],[GroupByKey]])*DiscreteStatsTable[Average]))</f>
        <v>9.0905139857419304</v>
      </c>
      <c r="T714" s="5" cm="1">
        <f t="array" ref="T714">MIN(IF((DiscreteStatsTable[GroupByKey]=DiscreteStatsTable[[#This Row],[GroupByKey]]),(DiscreteStatsTable[GroupByKey]=DiscreteStatsTable[[#This Row],[GroupByKey]])*DiscreteStatsTable[Minimum]))</f>
        <v>0.343771589355995</v>
      </c>
      <c r="U714" s="5" cm="1">
        <f t="array" ref="U714">MAX(IF((DiscreteStatsTable[GroupByKey]=DiscreteStatsTable[[#This Row],[GroupByKey]]),(DiscreteStatsTable[GroupByKey]=DiscreteStatsTable[[#This Row],[GroupByKey]])*DiscreteStatsTable[Maximum]))</f>
        <v>32.281581249584399</v>
      </c>
      <c r="V714" s="5" cm="1">
        <f t="array" ref="V714">IFERROR(AVERAGE(IF((DiscreteStatsTable[GroupByKey]=DiscreteStatsTable[[#This Row],[GroupByKey]]),(DiscreteStatsTable[GroupByKey]=DiscreteStatsTable[[#This Row],[GroupByKey]])*DiscreteStatsTable[NumberObservations])),0)</f>
        <v>106.10526315789474</v>
      </c>
      <c r="W714" s="5">
        <f>IF((DiscreteStatsTable[[#This Row],[RepsRequested]]&gt;1),DiscreteStatsTable[[#This Row],[HalfWidth]],DiscreteStatsTable[[#This Row],[BatchMeansHalfWidth]])</f>
        <v>0.74443960649926322</v>
      </c>
      <c r="X714" s="5" cm="1">
        <f t="array" ref="X714">COUNT(IF((DiscreteStatsTable[GroupByKey]=DiscreteStatsTable[[#This Row],[GroupByKey]]),(DiscreteStatsTable[GroupByKey]=DiscreteStatsTable[[#This Row],[GroupByKey]])*DiscreteStatsTable[Replication]))</f>
        <v>19</v>
      </c>
      <c r="Y714" s="5">
        <f>IF(DiscreteStatsTable[[#This Row],[RepsRequested]]=DiscreteStatsTable[[#This Row],[RepsWithStatObserved]],1,0)</f>
        <v>1</v>
      </c>
    </row>
    <row r="715" spans="1:25" x14ac:dyDescent="0.25">
      <c r="A715" t="s">
        <v>67</v>
      </c>
      <c r="B715" t="s">
        <v>69</v>
      </c>
      <c r="C715">
        <v>11</v>
      </c>
      <c r="D715" t="s">
        <v>108</v>
      </c>
      <c r="E715" t="s">
        <v>107</v>
      </c>
      <c r="F715" t="s">
        <v>80</v>
      </c>
      <c r="G715">
        <v>3.15212741948883</v>
      </c>
      <c r="H715">
        <v>2E+20</v>
      </c>
      <c r="I715">
        <v>0.71601904025376895</v>
      </c>
      <c r="J715">
        <v>13.1620486081399</v>
      </c>
      <c r="K715">
        <v>96</v>
      </c>
      <c r="L71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compartida)TiempoEnSistemaNoMesaIntervalUser Specified</v>
      </c>
      <c r="M715" s="5" cm="1">
        <f t="array" ref="M715">MAX(IF((ProjectInfoTable[ProjectName]=DiscreteStatsTable[[#This Row],[ProjectName]]),(ProjectInfoTable[ProjectName]=DiscreteStatsTable[[#This Row],[ProjectName]])*ProjectInfoTable[NumberOfReplications]))</f>
        <v>19</v>
      </c>
      <c r="N715" s="5" cm="1">
        <f t="array" ref="N715">IFERROR(AVERAGE(IF((DiscreteStatsTable[GroupByKey]=DiscreteStatsTable[[#This Row],[GroupByKey]]),(DiscreteStatsTable[GroupByKey]=DiscreteStatsTable[[#This Row],[GroupByKey]])*DiscreteStatsTable[Average])),0)</f>
        <v>3.6038674660545209</v>
      </c>
      <c r="O715" s="5" cm="1">
        <f t="array" ref="O715">IFERROR(_xlfn.STDEV.S(IF((DiscreteStatsTable[GroupByKey]=DiscreteStatsTable[[#This Row],[GroupByKey]]),(DiscreteStatsTable[GroupByKey]=DiscreteStatsTable[[#This Row],[GroupByKey]])*DiscreteStatsTable[Average])),0)</f>
        <v>1.5445299502532628</v>
      </c>
      <c r="P715" s="5" cm="1">
        <f t="array" ref="P715">MAX(IF((ProjectInfoTable[ProjectName]=DiscreteStatsTable[[#This Row],[ProjectName]]),(ProjectInfoTable[ProjectName]=DiscreteStatsTable[[#This Row],[ProjectName]])*ProjectInfoTable[ConfidenceInterval]))</f>
        <v>0.95</v>
      </c>
      <c r="Q715" s="5">
        <f>IF(AND(DiscreteStatsTable[[#This Row],[RepsWithStatObserved]]=1,Y715=0),200000000000000000000,IFERROR(_xlfn.T.INV.2T(1 -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0.74443960649926322</v>
      </c>
      <c r="R715" s="5" cm="1">
        <f t="array" ref="R715">MIN(IF((DiscreteStatsTable[GroupByKey]=DiscreteStatsTable[[#This Row],[GroupByKey]]),(DiscreteStatsTable[GroupByKey]=DiscreteStatsTable[[#This Row],[GroupByKey]])*DiscreteStatsTable[Average]))</f>
        <v>2.2660163882409599</v>
      </c>
      <c r="S715" s="5" cm="1">
        <f t="array" ref="S715">MAX(IF((DiscreteStatsTable[GroupByKey]=DiscreteStatsTable[[#This Row],[GroupByKey]]),(DiscreteStatsTable[GroupByKey]=DiscreteStatsTable[[#This Row],[GroupByKey]])*DiscreteStatsTable[Average]))</f>
        <v>9.0905139857419304</v>
      </c>
      <c r="T715" s="5" cm="1">
        <f t="array" ref="T715">MIN(IF((DiscreteStatsTable[GroupByKey]=DiscreteStatsTable[[#This Row],[GroupByKey]]),(DiscreteStatsTable[GroupByKey]=DiscreteStatsTable[[#This Row],[GroupByKey]])*DiscreteStatsTable[Minimum]))</f>
        <v>0.343771589355995</v>
      </c>
      <c r="U715" s="5" cm="1">
        <f t="array" ref="U715">MAX(IF((DiscreteStatsTable[GroupByKey]=DiscreteStatsTable[[#This Row],[GroupByKey]]),(DiscreteStatsTable[GroupByKey]=DiscreteStatsTable[[#This Row],[GroupByKey]])*DiscreteStatsTable[Maximum]))</f>
        <v>32.281581249584399</v>
      </c>
      <c r="V715" s="5" cm="1">
        <f t="array" ref="V715">IFERROR(AVERAGE(IF((DiscreteStatsTable[GroupByKey]=DiscreteStatsTable[[#This Row],[GroupByKey]]),(DiscreteStatsTable[GroupByKey]=DiscreteStatsTable[[#This Row],[GroupByKey]])*DiscreteStatsTable[NumberObservations])),0)</f>
        <v>106.10526315789474</v>
      </c>
      <c r="W715" s="5">
        <f>IF((DiscreteStatsTable[[#This Row],[RepsRequested]]&gt;1),DiscreteStatsTable[[#This Row],[HalfWidth]],DiscreteStatsTable[[#This Row],[BatchMeansHalfWidth]])</f>
        <v>0.74443960649926322</v>
      </c>
      <c r="X715" s="5" cm="1">
        <f t="array" ref="X715">COUNT(IF((DiscreteStatsTable[GroupByKey]=DiscreteStatsTable[[#This Row],[GroupByKey]]),(DiscreteStatsTable[GroupByKey]=DiscreteStatsTable[[#This Row],[GroupByKey]])*DiscreteStatsTable[Replication]))</f>
        <v>19</v>
      </c>
      <c r="Y715" s="5">
        <f>IF(DiscreteStatsTable[[#This Row],[RepsRequested]]=DiscreteStatsTable[[#This Row],[RepsWithStatObserved]],1,0)</f>
        <v>1</v>
      </c>
    </row>
    <row r="716" spans="1:25" x14ac:dyDescent="0.25">
      <c r="A716" t="s">
        <v>67</v>
      </c>
      <c r="B716" t="s">
        <v>69</v>
      </c>
      <c r="C716">
        <v>12</v>
      </c>
      <c r="D716" t="s">
        <v>108</v>
      </c>
      <c r="E716" t="s">
        <v>107</v>
      </c>
      <c r="F716" t="s">
        <v>80</v>
      </c>
      <c r="G716">
        <v>3.9073199272090702</v>
      </c>
      <c r="H716">
        <v>2E+20</v>
      </c>
      <c r="I716">
        <v>0.58058425662665103</v>
      </c>
      <c r="J716">
        <v>17.431341451623702</v>
      </c>
      <c r="K716">
        <v>106</v>
      </c>
      <c r="L71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compartida)TiempoEnSistemaNoMesaIntervalUser Specified</v>
      </c>
      <c r="M716" s="5" cm="1">
        <f t="array" ref="M716">MAX(IF((ProjectInfoTable[ProjectName]=DiscreteStatsTable[[#This Row],[ProjectName]]),(ProjectInfoTable[ProjectName]=DiscreteStatsTable[[#This Row],[ProjectName]])*ProjectInfoTable[NumberOfReplications]))</f>
        <v>19</v>
      </c>
      <c r="N716" s="5" cm="1">
        <f t="array" ref="N716">IFERROR(AVERAGE(IF((DiscreteStatsTable[GroupByKey]=DiscreteStatsTable[[#This Row],[GroupByKey]]),(DiscreteStatsTable[GroupByKey]=DiscreteStatsTable[[#This Row],[GroupByKey]])*DiscreteStatsTable[Average])),0)</f>
        <v>3.6038674660545209</v>
      </c>
      <c r="O716" s="5" cm="1">
        <f t="array" ref="O716">IFERROR(_xlfn.STDEV.S(IF((DiscreteStatsTable[GroupByKey]=DiscreteStatsTable[[#This Row],[GroupByKey]]),(DiscreteStatsTable[GroupByKey]=DiscreteStatsTable[[#This Row],[GroupByKey]])*DiscreteStatsTable[Average])),0)</f>
        <v>1.5445299502532628</v>
      </c>
      <c r="P716" s="5" cm="1">
        <f t="array" ref="P716">MAX(IF((ProjectInfoTable[ProjectName]=DiscreteStatsTable[[#This Row],[ProjectName]]),(ProjectInfoTable[ProjectName]=DiscreteStatsTable[[#This Row],[ProjectName]])*ProjectInfoTable[ConfidenceInterval]))</f>
        <v>0.95</v>
      </c>
      <c r="Q716" s="5">
        <f>IF(AND(DiscreteStatsTable[[#This Row],[RepsWithStatObserved]]=1,Y716=0),200000000000000000000,IFERROR(_xlfn.T.INV.2T(1 -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0.74443960649926322</v>
      </c>
      <c r="R716" s="5" cm="1">
        <f t="array" ref="R716">MIN(IF((DiscreteStatsTable[GroupByKey]=DiscreteStatsTable[[#This Row],[GroupByKey]]),(DiscreteStatsTable[GroupByKey]=DiscreteStatsTable[[#This Row],[GroupByKey]])*DiscreteStatsTable[Average]))</f>
        <v>2.2660163882409599</v>
      </c>
      <c r="S716" s="5" cm="1">
        <f t="array" ref="S716">MAX(IF((DiscreteStatsTable[GroupByKey]=DiscreteStatsTable[[#This Row],[GroupByKey]]),(DiscreteStatsTable[GroupByKey]=DiscreteStatsTable[[#This Row],[GroupByKey]])*DiscreteStatsTable[Average]))</f>
        <v>9.0905139857419304</v>
      </c>
      <c r="T716" s="5" cm="1">
        <f t="array" ref="T716">MIN(IF((DiscreteStatsTable[GroupByKey]=DiscreteStatsTable[[#This Row],[GroupByKey]]),(DiscreteStatsTable[GroupByKey]=DiscreteStatsTable[[#This Row],[GroupByKey]])*DiscreteStatsTable[Minimum]))</f>
        <v>0.343771589355995</v>
      </c>
      <c r="U716" s="5" cm="1">
        <f t="array" ref="U716">MAX(IF((DiscreteStatsTable[GroupByKey]=DiscreteStatsTable[[#This Row],[GroupByKey]]),(DiscreteStatsTable[GroupByKey]=DiscreteStatsTable[[#This Row],[GroupByKey]])*DiscreteStatsTable[Maximum]))</f>
        <v>32.281581249584399</v>
      </c>
      <c r="V716" s="5" cm="1">
        <f t="array" ref="V716">IFERROR(AVERAGE(IF((DiscreteStatsTable[GroupByKey]=DiscreteStatsTable[[#This Row],[GroupByKey]]),(DiscreteStatsTable[GroupByKey]=DiscreteStatsTable[[#This Row],[GroupByKey]])*DiscreteStatsTable[NumberObservations])),0)</f>
        <v>106.10526315789474</v>
      </c>
      <c r="W716" s="5">
        <f>IF((DiscreteStatsTable[[#This Row],[RepsRequested]]&gt;1),DiscreteStatsTable[[#This Row],[HalfWidth]],DiscreteStatsTable[[#This Row],[BatchMeansHalfWidth]])</f>
        <v>0.74443960649926322</v>
      </c>
      <c r="X716" s="5" cm="1">
        <f t="array" ref="X716">COUNT(IF((DiscreteStatsTable[GroupByKey]=DiscreteStatsTable[[#This Row],[GroupByKey]]),(DiscreteStatsTable[GroupByKey]=DiscreteStatsTable[[#This Row],[GroupByKey]])*DiscreteStatsTable[Replication]))</f>
        <v>19</v>
      </c>
      <c r="Y716" s="5">
        <f>IF(DiscreteStatsTable[[#This Row],[RepsRequested]]=DiscreteStatsTable[[#This Row],[RepsWithStatObserved]],1,0)</f>
        <v>1</v>
      </c>
    </row>
    <row r="717" spans="1:25" x14ac:dyDescent="0.25">
      <c r="A717" t="s">
        <v>67</v>
      </c>
      <c r="B717" t="s">
        <v>69</v>
      </c>
      <c r="C717">
        <v>13</v>
      </c>
      <c r="D717" t="s">
        <v>108</v>
      </c>
      <c r="E717" t="s">
        <v>107</v>
      </c>
      <c r="F717" t="s">
        <v>80</v>
      </c>
      <c r="G717">
        <v>3.3036862274937202</v>
      </c>
      <c r="H717">
        <v>2E+20</v>
      </c>
      <c r="I717">
        <v>0.58399138362214797</v>
      </c>
      <c r="J717">
        <v>9.7551273377462699</v>
      </c>
      <c r="K717">
        <v>104</v>
      </c>
      <c r="L71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compartida)TiempoEnSistemaNoMesaIntervalUser Specified</v>
      </c>
      <c r="M717" s="5" cm="1">
        <f t="array" ref="M717">MAX(IF((ProjectInfoTable[ProjectName]=DiscreteStatsTable[[#This Row],[ProjectName]]),(ProjectInfoTable[ProjectName]=DiscreteStatsTable[[#This Row],[ProjectName]])*ProjectInfoTable[NumberOfReplications]))</f>
        <v>19</v>
      </c>
      <c r="N717" s="5" cm="1">
        <f t="array" ref="N717">IFERROR(AVERAGE(IF((DiscreteStatsTable[GroupByKey]=DiscreteStatsTable[[#This Row],[GroupByKey]]),(DiscreteStatsTable[GroupByKey]=DiscreteStatsTable[[#This Row],[GroupByKey]])*DiscreteStatsTable[Average])),0)</f>
        <v>3.6038674660545209</v>
      </c>
      <c r="O717" s="5" cm="1">
        <f t="array" ref="O717">IFERROR(_xlfn.STDEV.S(IF((DiscreteStatsTable[GroupByKey]=DiscreteStatsTable[[#This Row],[GroupByKey]]),(DiscreteStatsTable[GroupByKey]=DiscreteStatsTable[[#This Row],[GroupByKey]])*DiscreteStatsTable[Average])),0)</f>
        <v>1.5445299502532628</v>
      </c>
      <c r="P717" s="5" cm="1">
        <f t="array" ref="P717">MAX(IF((ProjectInfoTable[ProjectName]=DiscreteStatsTable[[#This Row],[ProjectName]]),(ProjectInfoTable[ProjectName]=DiscreteStatsTable[[#This Row],[ProjectName]])*ProjectInfoTable[ConfidenceInterval]))</f>
        <v>0.95</v>
      </c>
      <c r="Q717" s="5">
        <f>IF(AND(DiscreteStatsTable[[#This Row],[RepsWithStatObserved]]=1,Y717=0),200000000000000000000,IFERROR(_xlfn.T.INV.2T(1 -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0.74443960649926322</v>
      </c>
      <c r="R717" s="5" cm="1">
        <f t="array" ref="R717">MIN(IF((DiscreteStatsTable[GroupByKey]=DiscreteStatsTable[[#This Row],[GroupByKey]]),(DiscreteStatsTable[GroupByKey]=DiscreteStatsTable[[#This Row],[GroupByKey]])*DiscreteStatsTable[Average]))</f>
        <v>2.2660163882409599</v>
      </c>
      <c r="S717" s="5" cm="1">
        <f t="array" ref="S717">MAX(IF((DiscreteStatsTable[GroupByKey]=DiscreteStatsTable[[#This Row],[GroupByKey]]),(DiscreteStatsTable[GroupByKey]=DiscreteStatsTable[[#This Row],[GroupByKey]])*DiscreteStatsTable[Average]))</f>
        <v>9.0905139857419304</v>
      </c>
      <c r="T717" s="5" cm="1">
        <f t="array" ref="T717">MIN(IF((DiscreteStatsTable[GroupByKey]=DiscreteStatsTable[[#This Row],[GroupByKey]]),(DiscreteStatsTable[GroupByKey]=DiscreteStatsTable[[#This Row],[GroupByKey]])*DiscreteStatsTable[Minimum]))</f>
        <v>0.343771589355995</v>
      </c>
      <c r="U717" s="5" cm="1">
        <f t="array" ref="U717">MAX(IF((DiscreteStatsTable[GroupByKey]=DiscreteStatsTable[[#This Row],[GroupByKey]]),(DiscreteStatsTable[GroupByKey]=DiscreteStatsTable[[#This Row],[GroupByKey]])*DiscreteStatsTable[Maximum]))</f>
        <v>32.281581249584399</v>
      </c>
      <c r="V717" s="5" cm="1">
        <f t="array" ref="V717">IFERROR(AVERAGE(IF((DiscreteStatsTable[GroupByKey]=DiscreteStatsTable[[#This Row],[GroupByKey]]),(DiscreteStatsTable[GroupByKey]=DiscreteStatsTable[[#This Row],[GroupByKey]])*DiscreteStatsTable[NumberObservations])),0)</f>
        <v>106.10526315789474</v>
      </c>
      <c r="W717" s="5">
        <f>IF((DiscreteStatsTable[[#This Row],[RepsRequested]]&gt;1),DiscreteStatsTable[[#This Row],[HalfWidth]],DiscreteStatsTable[[#This Row],[BatchMeansHalfWidth]])</f>
        <v>0.74443960649926322</v>
      </c>
      <c r="X717" s="5" cm="1">
        <f t="array" ref="X717">COUNT(IF((DiscreteStatsTable[GroupByKey]=DiscreteStatsTable[[#This Row],[GroupByKey]]),(DiscreteStatsTable[GroupByKey]=DiscreteStatsTable[[#This Row],[GroupByKey]])*DiscreteStatsTable[Replication]))</f>
        <v>19</v>
      </c>
      <c r="Y717" s="5">
        <f>IF(DiscreteStatsTable[[#This Row],[RepsRequested]]=DiscreteStatsTable[[#This Row],[RepsWithStatObserved]],1,0)</f>
        <v>1</v>
      </c>
    </row>
    <row r="718" spans="1:25" x14ac:dyDescent="0.25">
      <c r="A718" t="s">
        <v>67</v>
      </c>
      <c r="B718" t="s">
        <v>69</v>
      </c>
      <c r="C718">
        <v>14</v>
      </c>
      <c r="D718" t="s">
        <v>108</v>
      </c>
      <c r="E718" t="s">
        <v>107</v>
      </c>
      <c r="F718" t="s">
        <v>80</v>
      </c>
      <c r="G718">
        <v>3.5616172694985102</v>
      </c>
      <c r="H718">
        <v>2E+20</v>
      </c>
      <c r="I718">
        <v>0.46231343756090798</v>
      </c>
      <c r="J718">
        <v>9.9311745364599293</v>
      </c>
      <c r="K718">
        <v>117</v>
      </c>
      <c r="L71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compartida)TiempoEnSistemaNoMesaIntervalUser Specified</v>
      </c>
      <c r="M718" s="5" cm="1">
        <f t="array" ref="M718">MAX(IF((ProjectInfoTable[ProjectName]=DiscreteStatsTable[[#This Row],[ProjectName]]),(ProjectInfoTable[ProjectName]=DiscreteStatsTable[[#This Row],[ProjectName]])*ProjectInfoTable[NumberOfReplications]))</f>
        <v>19</v>
      </c>
      <c r="N718" s="5" cm="1">
        <f t="array" ref="N718">IFERROR(AVERAGE(IF((DiscreteStatsTable[GroupByKey]=DiscreteStatsTable[[#This Row],[GroupByKey]]),(DiscreteStatsTable[GroupByKey]=DiscreteStatsTable[[#This Row],[GroupByKey]])*DiscreteStatsTable[Average])),0)</f>
        <v>3.6038674660545209</v>
      </c>
      <c r="O718" s="5" cm="1">
        <f t="array" ref="O718">IFERROR(_xlfn.STDEV.S(IF((DiscreteStatsTable[GroupByKey]=DiscreteStatsTable[[#This Row],[GroupByKey]]),(DiscreteStatsTable[GroupByKey]=DiscreteStatsTable[[#This Row],[GroupByKey]])*DiscreteStatsTable[Average])),0)</f>
        <v>1.5445299502532628</v>
      </c>
      <c r="P718" s="5" cm="1">
        <f t="array" ref="P718">MAX(IF((ProjectInfoTable[ProjectName]=DiscreteStatsTable[[#This Row],[ProjectName]]),(ProjectInfoTable[ProjectName]=DiscreteStatsTable[[#This Row],[ProjectName]])*ProjectInfoTable[ConfidenceInterval]))</f>
        <v>0.95</v>
      </c>
      <c r="Q718" s="5">
        <f>IF(AND(DiscreteStatsTable[[#This Row],[RepsWithStatObserved]]=1,Y718=0),200000000000000000000,IFERROR(_xlfn.T.INV.2T(1 -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0.74443960649926322</v>
      </c>
      <c r="R718" s="5" cm="1">
        <f t="array" ref="R718">MIN(IF((DiscreteStatsTable[GroupByKey]=DiscreteStatsTable[[#This Row],[GroupByKey]]),(DiscreteStatsTable[GroupByKey]=DiscreteStatsTable[[#This Row],[GroupByKey]])*DiscreteStatsTable[Average]))</f>
        <v>2.2660163882409599</v>
      </c>
      <c r="S718" s="5" cm="1">
        <f t="array" ref="S718">MAX(IF((DiscreteStatsTable[GroupByKey]=DiscreteStatsTable[[#This Row],[GroupByKey]]),(DiscreteStatsTable[GroupByKey]=DiscreteStatsTable[[#This Row],[GroupByKey]])*DiscreteStatsTable[Average]))</f>
        <v>9.0905139857419304</v>
      </c>
      <c r="T718" s="5" cm="1">
        <f t="array" ref="T718">MIN(IF((DiscreteStatsTable[GroupByKey]=DiscreteStatsTable[[#This Row],[GroupByKey]]),(DiscreteStatsTable[GroupByKey]=DiscreteStatsTable[[#This Row],[GroupByKey]])*DiscreteStatsTable[Minimum]))</f>
        <v>0.343771589355995</v>
      </c>
      <c r="U718" s="5" cm="1">
        <f t="array" ref="U718">MAX(IF((DiscreteStatsTable[GroupByKey]=DiscreteStatsTable[[#This Row],[GroupByKey]]),(DiscreteStatsTable[GroupByKey]=DiscreteStatsTable[[#This Row],[GroupByKey]])*DiscreteStatsTable[Maximum]))</f>
        <v>32.281581249584399</v>
      </c>
      <c r="V718" s="5" cm="1">
        <f t="array" ref="V718">IFERROR(AVERAGE(IF((DiscreteStatsTable[GroupByKey]=DiscreteStatsTable[[#This Row],[GroupByKey]]),(DiscreteStatsTable[GroupByKey]=DiscreteStatsTable[[#This Row],[GroupByKey]])*DiscreteStatsTable[NumberObservations])),0)</f>
        <v>106.10526315789474</v>
      </c>
      <c r="W718" s="5">
        <f>IF((DiscreteStatsTable[[#This Row],[RepsRequested]]&gt;1),DiscreteStatsTable[[#This Row],[HalfWidth]],DiscreteStatsTable[[#This Row],[BatchMeansHalfWidth]])</f>
        <v>0.74443960649926322</v>
      </c>
      <c r="X718" s="5" cm="1">
        <f t="array" ref="X718">COUNT(IF((DiscreteStatsTable[GroupByKey]=DiscreteStatsTable[[#This Row],[GroupByKey]]),(DiscreteStatsTable[GroupByKey]=DiscreteStatsTable[[#This Row],[GroupByKey]])*DiscreteStatsTable[Replication]))</f>
        <v>19</v>
      </c>
      <c r="Y718" s="5">
        <f>IF(DiscreteStatsTable[[#This Row],[RepsRequested]]=DiscreteStatsTable[[#This Row],[RepsWithStatObserved]],1,0)</f>
        <v>1</v>
      </c>
    </row>
    <row r="719" spans="1:25" x14ac:dyDescent="0.25">
      <c r="A719" t="s">
        <v>67</v>
      </c>
      <c r="B719" t="s">
        <v>69</v>
      </c>
      <c r="C719">
        <v>15</v>
      </c>
      <c r="D719" t="s">
        <v>108</v>
      </c>
      <c r="E719" t="s">
        <v>107</v>
      </c>
      <c r="F719" t="s">
        <v>80</v>
      </c>
      <c r="G719">
        <v>3.16239043167894</v>
      </c>
      <c r="H719">
        <v>2E+20</v>
      </c>
      <c r="I719">
        <v>0.343771589355995</v>
      </c>
      <c r="J719">
        <v>9.35924763372293</v>
      </c>
      <c r="K719">
        <v>116</v>
      </c>
      <c r="L71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compartida)TiempoEnSistemaNoMesaIntervalUser Specified</v>
      </c>
      <c r="M719" s="5" cm="1">
        <f t="array" ref="M719">MAX(IF((ProjectInfoTable[ProjectName]=DiscreteStatsTable[[#This Row],[ProjectName]]),(ProjectInfoTable[ProjectName]=DiscreteStatsTable[[#This Row],[ProjectName]])*ProjectInfoTable[NumberOfReplications]))</f>
        <v>19</v>
      </c>
      <c r="N719" s="5" cm="1">
        <f t="array" ref="N719">IFERROR(AVERAGE(IF((DiscreteStatsTable[GroupByKey]=DiscreteStatsTable[[#This Row],[GroupByKey]]),(DiscreteStatsTable[GroupByKey]=DiscreteStatsTable[[#This Row],[GroupByKey]])*DiscreteStatsTable[Average])),0)</f>
        <v>3.6038674660545209</v>
      </c>
      <c r="O719" s="5" cm="1">
        <f t="array" ref="O719">IFERROR(_xlfn.STDEV.S(IF((DiscreteStatsTable[GroupByKey]=DiscreteStatsTable[[#This Row],[GroupByKey]]),(DiscreteStatsTable[GroupByKey]=DiscreteStatsTable[[#This Row],[GroupByKey]])*DiscreteStatsTable[Average])),0)</f>
        <v>1.5445299502532628</v>
      </c>
      <c r="P719" s="5" cm="1">
        <f t="array" ref="P719">MAX(IF((ProjectInfoTable[ProjectName]=DiscreteStatsTable[[#This Row],[ProjectName]]),(ProjectInfoTable[ProjectName]=DiscreteStatsTable[[#This Row],[ProjectName]])*ProjectInfoTable[ConfidenceInterval]))</f>
        <v>0.95</v>
      </c>
      <c r="Q719" s="5">
        <f>IF(AND(DiscreteStatsTable[[#This Row],[RepsWithStatObserved]]=1,Y719=0),200000000000000000000,IFERROR(_xlfn.T.INV.2T(1 -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0.74443960649926322</v>
      </c>
      <c r="R719" s="5" cm="1">
        <f t="array" ref="R719">MIN(IF((DiscreteStatsTable[GroupByKey]=DiscreteStatsTable[[#This Row],[GroupByKey]]),(DiscreteStatsTable[GroupByKey]=DiscreteStatsTable[[#This Row],[GroupByKey]])*DiscreteStatsTable[Average]))</f>
        <v>2.2660163882409599</v>
      </c>
      <c r="S719" s="5" cm="1">
        <f t="array" ref="S719">MAX(IF((DiscreteStatsTable[GroupByKey]=DiscreteStatsTable[[#This Row],[GroupByKey]]),(DiscreteStatsTable[GroupByKey]=DiscreteStatsTable[[#This Row],[GroupByKey]])*DiscreteStatsTable[Average]))</f>
        <v>9.0905139857419304</v>
      </c>
      <c r="T719" s="5" cm="1">
        <f t="array" ref="T719">MIN(IF((DiscreteStatsTable[GroupByKey]=DiscreteStatsTable[[#This Row],[GroupByKey]]),(DiscreteStatsTable[GroupByKey]=DiscreteStatsTable[[#This Row],[GroupByKey]])*DiscreteStatsTable[Minimum]))</f>
        <v>0.343771589355995</v>
      </c>
      <c r="U719" s="5" cm="1">
        <f t="array" ref="U719">MAX(IF((DiscreteStatsTable[GroupByKey]=DiscreteStatsTable[[#This Row],[GroupByKey]]),(DiscreteStatsTable[GroupByKey]=DiscreteStatsTable[[#This Row],[GroupByKey]])*DiscreteStatsTable[Maximum]))</f>
        <v>32.281581249584399</v>
      </c>
      <c r="V719" s="5" cm="1">
        <f t="array" ref="V719">IFERROR(AVERAGE(IF((DiscreteStatsTable[GroupByKey]=DiscreteStatsTable[[#This Row],[GroupByKey]]),(DiscreteStatsTable[GroupByKey]=DiscreteStatsTable[[#This Row],[GroupByKey]])*DiscreteStatsTable[NumberObservations])),0)</f>
        <v>106.10526315789474</v>
      </c>
      <c r="W719" s="5">
        <f>IF((DiscreteStatsTable[[#This Row],[RepsRequested]]&gt;1),DiscreteStatsTable[[#This Row],[HalfWidth]],DiscreteStatsTable[[#This Row],[BatchMeansHalfWidth]])</f>
        <v>0.74443960649926322</v>
      </c>
      <c r="X719" s="5" cm="1">
        <f t="array" ref="X719">COUNT(IF((DiscreteStatsTable[GroupByKey]=DiscreteStatsTable[[#This Row],[GroupByKey]]),(DiscreteStatsTable[GroupByKey]=DiscreteStatsTable[[#This Row],[GroupByKey]])*DiscreteStatsTable[Replication]))</f>
        <v>19</v>
      </c>
      <c r="Y719" s="5">
        <f>IF(DiscreteStatsTable[[#This Row],[RepsRequested]]=DiscreteStatsTable[[#This Row],[RepsWithStatObserved]],1,0)</f>
        <v>1</v>
      </c>
    </row>
    <row r="720" spans="1:25" x14ac:dyDescent="0.25">
      <c r="A720" t="s">
        <v>67</v>
      </c>
      <c r="B720" t="s">
        <v>69</v>
      </c>
      <c r="C720">
        <v>16</v>
      </c>
      <c r="D720" t="s">
        <v>108</v>
      </c>
      <c r="E720" t="s">
        <v>107</v>
      </c>
      <c r="F720" t="s">
        <v>80</v>
      </c>
      <c r="G720">
        <v>2.3421703866276302</v>
      </c>
      <c r="H720">
        <v>2E+20</v>
      </c>
      <c r="I720">
        <v>0.42567273086399399</v>
      </c>
      <c r="J720">
        <v>7.2838300771006601</v>
      </c>
      <c r="K720">
        <v>110</v>
      </c>
      <c r="L72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compartida)TiempoEnSistemaNoMesaIntervalUser Specified</v>
      </c>
      <c r="M720" s="5" cm="1">
        <f t="array" ref="M720">MAX(IF((ProjectInfoTable[ProjectName]=DiscreteStatsTable[[#This Row],[ProjectName]]),(ProjectInfoTable[ProjectName]=DiscreteStatsTable[[#This Row],[ProjectName]])*ProjectInfoTable[NumberOfReplications]))</f>
        <v>19</v>
      </c>
      <c r="N720" s="5" cm="1">
        <f t="array" ref="N720">IFERROR(AVERAGE(IF((DiscreteStatsTable[GroupByKey]=DiscreteStatsTable[[#This Row],[GroupByKey]]),(DiscreteStatsTable[GroupByKey]=DiscreteStatsTable[[#This Row],[GroupByKey]])*DiscreteStatsTable[Average])),0)</f>
        <v>3.6038674660545209</v>
      </c>
      <c r="O720" s="5" cm="1">
        <f t="array" ref="O720">IFERROR(_xlfn.STDEV.S(IF((DiscreteStatsTable[GroupByKey]=DiscreteStatsTable[[#This Row],[GroupByKey]]),(DiscreteStatsTable[GroupByKey]=DiscreteStatsTable[[#This Row],[GroupByKey]])*DiscreteStatsTable[Average])),0)</f>
        <v>1.5445299502532628</v>
      </c>
      <c r="P720" s="5" cm="1">
        <f t="array" ref="P720">MAX(IF((ProjectInfoTable[ProjectName]=DiscreteStatsTable[[#This Row],[ProjectName]]),(ProjectInfoTable[ProjectName]=DiscreteStatsTable[[#This Row],[ProjectName]])*ProjectInfoTable[ConfidenceInterval]))</f>
        <v>0.95</v>
      </c>
      <c r="Q720" s="5">
        <f>IF(AND(DiscreteStatsTable[[#This Row],[RepsWithStatObserved]]=1,Y720=0),200000000000000000000,IFERROR(_xlfn.T.INV.2T(1 -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0.74443960649926322</v>
      </c>
      <c r="R720" s="5" cm="1">
        <f t="array" ref="R720">MIN(IF((DiscreteStatsTable[GroupByKey]=DiscreteStatsTable[[#This Row],[GroupByKey]]),(DiscreteStatsTable[GroupByKey]=DiscreteStatsTable[[#This Row],[GroupByKey]])*DiscreteStatsTable[Average]))</f>
        <v>2.2660163882409599</v>
      </c>
      <c r="S720" s="5" cm="1">
        <f t="array" ref="S720">MAX(IF((DiscreteStatsTable[GroupByKey]=DiscreteStatsTable[[#This Row],[GroupByKey]]),(DiscreteStatsTable[GroupByKey]=DiscreteStatsTable[[#This Row],[GroupByKey]])*DiscreteStatsTable[Average]))</f>
        <v>9.0905139857419304</v>
      </c>
      <c r="T720" s="5" cm="1">
        <f t="array" ref="T720">MIN(IF((DiscreteStatsTable[GroupByKey]=DiscreteStatsTable[[#This Row],[GroupByKey]]),(DiscreteStatsTable[GroupByKey]=DiscreteStatsTable[[#This Row],[GroupByKey]])*DiscreteStatsTable[Minimum]))</f>
        <v>0.343771589355995</v>
      </c>
      <c r="U720" s="5" cm="1">
        <f t="array" ref="U720">MAX(IF((DiscreteStatsTable[GroupByKey]=DiscreteStatsTable[[#This Row],[GroupByKey]]),(DiscreteStatsTable[GroupByKey]=DiscreteStatsTable[[#This Row],[GroupByKey]])*DiscreteStatsTable[Maximum]))</f>
        <v>32.281581249584399</v>
      </c>
      <c r="V720" s="5" cm="1">
        <f t="array" ref="V720">IFERROR(AVERAGE(IF((DiscreteStatsTable[GroupByKey]=DiscreteStatsTable[[#This Row],[GroupByKey]]),(DiscreteStatsTable[GroupByKey]=DiscreteStatsTable[[#This Row],[GroupByKey]])*DiscreteStatsTable[NumberObservations])),0)</f>
        <v>106.10526315789474</v>
      </c>
      <c r="W720" s="5">
        <f>IF((DiscreteStatsTable[[#This Row],[RepsRequested]]&gt;1),DiscreteStatsTable[[#This Row],[HalfWidth]],DiscreteStatsTable[[#This Row],[BatchMeansHalfWidth]])</f>
        <v>0.74443960649926322</v>
      </c>
      <c r="X720" s="5" cm="1">
        <f t="array" ref="X720">COUNT(IF((DiscreteStatsTable[GroupByKey]=DiscreteStatsTable[[#This Row],[GroupByKey]]),(DiscreteStatsTable[GroupByKey]=DiscreteStatsTable[[#This Row],[GroupByKey]])*DiscreteStatsTable[Replication]))</f>
        <v>19</v>
      </c>
      <c r="Y720" s="5">
        <f>IF(DiscreteStatsTable[[#This Row],[RepsRequested]]=DiscreteStatsTable[[#This Row],[RepsWithStatObserved]],1,0)</f>
        <v>1</v>
      </c>
    </row>
    <row r="721" spans="1:25" x14ac:dyDescent="0.25">
      <c r="A721" t="s">
        <v>67</v>
      </c>
      <c r="B721" t="s">
        <v>69</v>
      </c>
      <c r="C721">
        <v>17</v>
      </c>
      <c r="D721" t="s">
        <v>108</v>
      </c>
      <c r="E721" t="s">
        <v>107</v>
      </c>
      <c r="F721" t="s">
        <v>80</v>
      </c>
      <c r="G721">
        <v>3.19751652076148</v>
      </c>
      <c r="H721">
        <v>2E+20</v>
      </c>
      <c r="I721">
        <v>0.48868870900758998</v>
      </c>
      <c r="J721">
        <v>9.6543034413149709</v>
      </c>
      <c r="K721">
        <v>109</v>
      </c>
      <c r="L72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compartida)TiempoEnSistemaNoMesaIntervalUser Specified</v>
      </c>
      <c r="M721" s="5" cm="1">
        <f t="array" ref="M721">MAX(IF((ProjectInfoTable[ProjectName]=DiscreteStatsTable[[#This Row],[ProjectName]]),(ProjectInfoTable[ProjectName]=DiscreteStatsTable[[#This Row],[ProjectName]])*ProjectInfoTable[NumberOfReplications]))</f>
        <v>19</v>
      </c>
      <c r="N721" s="5" cm="1">
        <f t="array" ref="N721">IFERROR(AVERAGE(IF((DiscreteStatsTable[GroupByKey]=DiscreteStatsTable[[#This Row],[GroupByKey]]),(DiscreteStatsTable[GroupByKey]=DiscreteStatsTable[[#This Row],[GroupByKey]])*DiscreteStatsTable[Average])),0)</f>
        <v>3.6038674660545209</v>
      </c>
      <c r="O721" s="5" cm="1">
        <f t="array" ref="O721">IFERROR(_xlfn.STDEV.S(IF((DiscreteStatsTable[GroupByKey]=DiscreteStatsTable[[#This Row],[GroupByKey]]),(DiscreteStatsTable[GroupByKey]=DiscreteStatsTable[[#This Row],[GroupByKey]])*DiscreteStatsTable[Average])),0)</f>
        <v>1.5445299502532628</v>
      </c>
      <c r="P721" s="5" cm="1">
        <f t="array" ref="P721">MAX(IF((ProjectInfoTable[ProjectName]=DiscreteStatsTable[[#This Row],[ProjectName]]),(ProjectInfoTable[ProjectName]=DiscreteStatsTable[[#This Row],[ProjectName]])*ProjectInfoTable[ConfidenceInterval]))</f>
        <v>0.95</v>
      </c>
      <c r="Q721" s="5">
        <f>IF(AND(DiscreteStatsTable[[#This Row],[RepsWithStatObserved]]=1,Y721=0),200000000000000000000,IFERROR(_xlfn.T.INV.2T(1 -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0.74443960649926322</v>
      </c>
      <c r="R721" s="5" cm="1">
        <f t="array" ref="R721">MIN(IF((DiscreteStatsTable[GroupByKey]=DiscreteStatsTable[[#This Row],[GroupByKey]]),(DiscreteStatsTable[GroupByKey]=DiscreteStatsTable[[#This Row],[GroupByKey]])*DiscreteStatsTable[Average]))</f>
        <v>2.2660163882409599</v>
      </c>
      <c r="S721" s="5" cm="1">
        <f t="array" ref="S721">MAX(IF((DiscreteStatsTable[GroupByKey]=DiscreteStatsTable[[#This Row],[GroupByKey]]),(DiscreteStatsTable[GroupByKey]=DiscreteStatsTable[[#This Row],[GroupByKey]])*DiscreteStatsTable[Average]))</f>
        <v>9.0905139857419304</v>
      </c>
      <c r="T721" s="5" cm="1">
        <f t="array" ref="T721">MIN(IF((DiscreteStatsTable[GroupByKey]=DiscreteStatsTable[[#This Row],[GroupByKey]]),(DiscreteStatsTable[GroupByKey]=DiscreteStatsTable[[#This Row],[GroupByKey]])*DiscreteStatsTable[Minimum]))</f>
        <v>0.343771589355995</v>
      </c>
      <c r="U721" s="5" cm="1">
        <f t="array" ref="U721">MAX(IF((DiscreteStatsTable[GroupByKey]=DiscreteStatsTable[[#This Row],[GroupByKey]]),(DiscreteStatsTable[GroupByKey]=DiscreteStatsTable[[#This Row],[GroupByKey]])*DiscreteStatsTable[Maximum]))</f>
        <v>32.281581249584399</v>
      </c>
      <c r="V721" s="5" cm="1">
        <f t="array" ref="V721">IFERROR(AVERAGE(IF((DiscreteStatsTable[GroupByKey]=DiscreteStatsTable[[#This Row],[GroupByKey]]),(DiscreteStatsTable[GroupByKey]=DiscreteStatsTable[[#This Row],[GroupByKey]])*DiscreteStatsTable[NumberObservations])),0)</f>
        <v>106.10526315789474</v>
      </c>
      <c r="W721" s="5">
        <f>IF((DiscreteStatsTable[[#This Row],[RepsRequested]]&gt;1),DiscreteStatsTable[[#This Row],[HalfWidth]],DiscreteStatsTable[[#This Row],[BatchMeansHalfWidth]])</f>
        <v>0.74443960649926322</v>
      </c>
      <c r="X721" s="5" cm="1">
        <f t="array" ref="X721">COUNT(IF((DiscreteStatsTable[GroupByKey]=DiscreteStatsTable[[#This Row],[GroupByKey]]),(DiscreteStatsTable[GroupByKey]=DiscreteStatsTable[[#This Row],[GroupByKey]])*DiscreteStatsTable[Replication]))</f>
        <v>19</v>
      </c>
      <c r="Y721" s="5">
        <f>IF(DiscreteStatsTable[[#This Row],[RepsRequested]]=DiscreteStatsTable[[#This Row],[RepsWithStatObserved]],1,0)</f>
        <v>1</v>
      </c>
    </row>
    <row r="722" spans="1:25" x14ac:dyDescent="0.25">
      <c r="A722" t="s">
        <v>67</v>
      </c>
      <c r="B722" t="s">
        <v>69</v>
      </c>
      <c r="C722">
        <v>18</v>
      </c>
      <c r="D722" t="s">
        <v>108</v>
      </c>
      <c r="E722" t="s">
        <v>107</v>
      </c>
      <c r="F722" t="s">
        <v>80</v>
      </c>
      <c r="G722">
        <v>4.1007449089794301</v>
      </c>
      <c r="H722">
        <v>2E+20</v>
      </c>
      <c r="I722">
        <v>0.37049348617418298</v>
      </c>
      <c r="J722">
        <v>15.880653964393501</v>
      </c>
      <c r="K722">
        <v>107</v>
      </c>
      <c r="L72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compartida)TiempoEnSistemaNoMesaIntervalUser Specified</v>
      </c>
      <c r="M722" s="5" cm="1">
        <f t="array" ref="M722">MAX(IF((ProjectInfoTable[ProjectName]=DiscreteStatsTable[[#This Row],[ProjectName]]),(ProjectInfoTable[ProjectName]=DiscreteStatsTable[[#This Row],[ProjectName]])*ProjectInfoTable[NumberOfReplications]))</f>
        <v>19</v>
      </c>
      <c r="N722" s="5" cm="1">
        <f t="array" ref="N722">IFERROR(AVERAGE(IF((DiscreteStatsTable[GroupByKey]=DiscreteStatsTable[[#This Row],[GroupByKey]]),(DiscreteStatsTable[GroupByKey]=DiscreteStatsTable[[#This Row],[GroupByKey]])*DiscreteStatsTable[Average])),0)</f>
        <v>3.6038674660545209</v>
      </c>
      <c r="O722" s="5" cm="1">
        <f t="array" ref="O722">IFERROR(_xlfn.STDEV.S(IF((DiscreteStatsTable[GroupByKey]=DiscreteStatsTable[[#This Row],[GroupByKey]]),(DiscreteStatsTable[GroupByKey]=DiscreteStatsTable[[#This Row],[GroupByKey]])*DiscreteStatsTable[Average])),0)</f>
        <v>1.5445299502532628</v>
      </c>
      <c r="P722" s="5" cm="1">
        <f t="array" ref="P722">MAX(IF((ProjectInfoTable[ProjectName]=DiscreteStatsTable[[#This Row],[ProjectName]]),(ProjectInfoTable[ProjectName]=DiscreteStatsTable[[#This Row],[ProjectName]])*ProjectInfoTable[ConfidenceInterval]))</f>
        <v>0.95</v>
      </c>
      <c r="Q722" s="5">
        <f>IF(AND(DiscreteStatsTable[[#This Row],[RepsWithStatObserved]]=1,Y722=0),200000000000000000000,IFERROR(_xlfn.T.INV.2T(1 -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0.74443960649926322</v>
      </c>
      <c r="R722" s="5" cm="1">
        <f t="array" ref="R722">MIN(IF((DiscreteStatsTable[GroupByKey]=DiscreteStatsTable[[#This Row],[GroupByKey]]),(DiscreteStatsTable[GroupByKey]=DiscreteStatsTable[[#This Row],[GroupByKey]])*DiscreteStatsTable[Average]))</f>
        <v>2.2660163882409599</v>
      </c>
      <c r="S722" s="5" cm="1">
        <f t="array" ref="S722">MAX(IF((DiscreteStatsTable[GroupByKey]=DiscreteStatsTable[[#This Row],[GroupByKey]]),(DiscreteStatsTable[GroupByKey]=DiscreteStatsTable[[#This Row],[GroupByKey]])*DiscreteStatsTable[Average]))</f>
        <v>9.0905139857419304</v>
      </c>
      <c r="T722" s="5" cm="1">
        <f t="array" ref="T722">MIN(IF((DiscreteStatsTable[GroupByKey]=DiscreteStatsTable[[#This Row],[GroupByKey]]),(DiscreteStatsTable[GroupByKey]=DiscreteStatsTable[[#This Row],[GroupByKey]])*DiscreteStatsTable[Minimum]))</f>
        <v>0.343771589355995</v>
      </c>
      <c r="U722" s="5" cm="1">
        <f t="array" ref="U722">MAX(IF((DiscreteStatsTable[GroupByKey]=DiscreteStatsTable[[#This Row],[GroupByKey]]),(DiscreteStatsTable[GroupByKey]=DiscreteStatsTable[[#This Row],[GroupByKey]])*DiscreteStatsTable[Maximum]))</f>
        <v>32.281581249584399</v>
      </c>
      <c r="V722" s="5" cm="1">
        <f t="array" ref="V722">IFERROR(AVERAGE(IF((DiscreteStatsTable[GroupByKey]=DiscreteStatsTable[[#This Row],[GroupByKey]]),(DiscreteStatsTable[GroupByKey]=DiscreteStatsTable[[#This Row],[GroupByKey]])*DiscreteStatsTable[NumberObservations])),0)</f>
        <v>106.10526315789474</v>
      </c>
      <c r="W722" s="5">
        <f>IF((DiscreteStatsTable[[#This Row],[RepsRequested]]&gt;1),DiscreteStatsTable[[#This Row],[HalfWidth]],DiscreteStatsTable[[#This Row],[BatchMeansHalfWidth]])</f>
        <v>0.74443960649926322</v>
      </c>
      <c r="X722" s="5" cm="1">
        <f t="array" ref="X722">COUNT(IF((DiscreteStatsTable[GroupByKey]=DiscreteStatsTable[[#This Row],[GroupByKey]]),(DiscreteStatsTable[GroupByKey]=DiscreteStatsTable[[#This Row],[GroupByKey]])*DiscreteStatsTable[Replication]))</f>
        <v>19</v>
      </c>
      <c r="Y722" s="5">
        <f>IF(DiscreteStatsTable[[#This Row],[RepsRequested]]=DiscreteStatsTable[[#This Row],[RepsWithStatObserved]],1,0)</f>
        <v>1</v>
      </c>
    </row>
    <row r="723" spans="1:25" x14ac:dyDescent="0.25">
      <c r="A723" t="s">
        <v>67</v>
      </c>
      <c r="B723" t="s">
        <v>69</v>
      </c>
      <c r="C723">
        <v>19</v>
      </c>
      <c r="D723" t="s">
        <v>108</v>
      </c>
      <c r="E723" t="s">
        <v>107</v>
      </c>
      <c r="F723" t="s">
        <v>80</v>
      </c>
      <c r="G723">
        <v>2.6674541334762099</v>
      </c>
      <c r="H723">
        <v>2E+20</v>
      </c>
      <c r="I723">
        <v>0.55412039253906198</v>
      </c>
      <c r="J723">
        <v>10.3378185004101</v>
      </c>
      <c r="K723">
        <v>104</v>
      </c>
      <c r="L72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compartida)TiempoEnSistemaNoMesaIntervalUser Specified</v>
      </c>
      <c r="M723" s="5" cm="1">
        <f t="array" ref="M723">MAX(IF((ProjectInfoTable[ProjectName]=DiscreteStatsTable[[#This Row],[ProjectName]]),(ProjectInfoTable[ProjectName]=DiscreteStatsTable[[#This Row],[ProjectName]])*ProjectInfoTable[NumberOfReplications]))</f>
        <v>19</v>
      </c>
      <c r="N723" s="5" cm="1">
        <f t="array" ref="N723">IFERROR(AVERAGE(IF((DiscreteStatsTable[GroupByKey]=DiscreteStatsTable[[#This Row],[GroupByKey]]),(DiscreteStatsTable[GroupByKey]=DiscreteStatsTable[[#This Row],[GroupByKey]])*DiscreteStatsTable[Average])),0)</f>
        <v>3.6038674660545209</v>
      </c>
      <c r="O723" s="5" cm="1">
        <f t="array" ref="O723">IFERROR(_xlfn.STDEV.S(IF((DiscreteStatsTable[GroupByKey]=DiscreteStatsTable[[#This Row],[GroupByKey]]),(DiscreteStatsTable[GroupByKey]=DiscreteStatsTable[[#This Row],[GroupByKey]])*DiscreteStatsTable[Average])),0)</f>
        <v>1.5445299502532628</v>
      </c>
      <c r="P723" s="5" cm="1">
        <f t="array" ref="P723">MAX(IF((ProjectInfoTable[ProjectName]=DiscreteStatsTable[[#This Row],[ProjectName]]),(ProjectInfoTable[ProjectName]=DiscreteStatsTable[[#This Row],[ProjectName]])*ProjectInfoTable[ConfidenceInterval]))</f>
        <v>0.95</v>
      </c>
      <c r="Q723" s="5">
        <f>IF(AND(DiscreteStatsTable[[#This Row],[RepsWithStatObserved]]=1,Y723=0),200000000000000000000,IFERROR(_xlfn.T.INV.2T(1 -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0.74443960649926322</v>
      </c>
      <c r="R723" s="5" cm="1">
        <f t="array" ref="R723">MIN(IF((DiscreteStatsTable[GroupByKey]=DiscreteStatsTable[[#This Row],[GroupByKey]]),(DiscreteStatsTable[GroupByKey]=DiscreteStatsTable[[#This Row],[GroupByKey]])*DiscreteStatsTable[Average]))</f>
        <v>2.2660163882409599</v>
      </c>
      <c r="S723" s="5" cm="1">
        <f t="array" ref="S723">MAX(IF((DiscreteStatsTable[GroupByKey]=DiscreteStatsTable[[#This Row],[GroupByKey]]),(DiscreteStatsTable[GroupByKey]=DiscreteStatsTable[[#This Row],[GroupByKey]])*DiscreteStatsTable[Average]))</f>
        <v>9.0905139857419304</v>
      </c>
      <c r="T723" s="5" cm="1">
        <f t="array" ref="T723">MIN(IF((DiscreteStatsTable[GroupByKey]=DiscreteStatsTable[[#This Row],[GroupByKey]]),(DiscreteStatsTable[GroupByKey]=DiscreteStatsTable[[#This Row],[GroupByKey]])*DiscreteStatsTable[Minimum]))</f>
        <v>0.343771589355995</v>
      </c>
      <c r="U723" s="5" cm="1">
        <f t="array" ref="U723">MAX(IF((DiscreteStatsTable[GroupByKey]=DiscreteStatsTable[[#This Row],[GroupByKey]]),(DiscreteStatsTable[GroupByKey]=DiscreteStatsTable[[#This Row],[GroupByKey]])*DiscreteStatsTable[Maximum]))</f>
        <v>32.281581249584399</v>
      </c>
      <c r="V723" s="5" cm="1">
        <f t="array" ref="V723">IFERROR(AVERAGE(IF((DiscreteStatsTable[GroupByKey]=DiscreteStatsTable[[#This Row],[GroupByKey]]),(DiscreteStatsTable[GroupByKey]=DiscreteStatsTable[[#This Row],[GroupByKey]])*DiscreteStatsTable[NumberObservations])),0)</f>
        <v>106.10526315789474</v>
      </c>
      <c r="W723" s="5">
        <f>IF((DiscreteStatsTable[[#This Row],[RepsRequested]]&gt;1),DiscreteStatsTable[[#This Row],[HalfWidth]],DiscreteStatsTable[[#This Row],[BatchMeansHalfWidth]])</f>
        <v>0.74443960649926322</v>
      </c>
      <c r="X723" s="5" cm="1">
        <f t="array" ref="X723">COUNT(IF((DiscreteStatsTable[GroupByKey]=DiscreteStatsTable[[#This Row],[GroupByKey]]),(DiscreteStatsTable[GroupByKey]=DiscreteStatsTable[[#This Row],[GroupByKey]])*DiscreteStatsTable[Replication]))</f>
        <v>19</v>
      </c>
      <c r="Y723" s="5">
        <f>IF(DiscreteStatsTable[[#This Row],[RepsRequested]]=DiscreteStatsTable[[#This Row],[RepsWithStatObserved]],1,0)</f>
        <v>1</v>
      </c>
    </row>
    <row r="724" spans="1:25" x14ac:dyDescent="0.25">
      <c r="A724" t="s">
        <v>67</v>
      </c>
      <c r="B724" t="s">
        <v>69</v>
      </c>
      <c r="C724">
        <v>1</v>
      </c>
      <c r="D724" t="s">
        <v>109</v>
      </c>
      <c r="E724" t="s">
        <v>107</v>
      </c>
      <c r="F724" t="s">
        <v>80</v>
      </c>
      <c r="G724">
        <v>9.0779071428284901</v>
      </c>
      <c r="H724">
        <v>2E+20</v>
      </c>
      <c r="I724">
        <v>0.61866724878666401</v>
      </c>
      <c r="J724">
        <v>23.621620498770401</v>
      </c>
      <c r="K724">
        <v>77</v>
      </c>
      <c r="L72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compartida)TiempoEnSistemaNoMesaCantProd1IntervalUser Specified</v>
      </c>
      <c r="M724" s="5" cm="1">
        <f t="array" ref="M724">MAX(IF((ProjectInfoTable[ProjectName]=DiscreteStatsTable[[#This Row],[ProjectName]]),(ProjectInfoTable[ProjectName]=DiscreteStatsTable[[#This Row],[ProjectName]])*ProjectInfoTable[NumberOfReplications]))</f>
        <v>19</v>
      </c>
      <c r="N724" s="5" cm="1">
        <f t="array" ref="N724">IFERROR(AVERAGE(IF((DiscreteStatsTable[GroupByKey]=DiscreteStatsTable[[#This Row],[GroupByKey]]),(DiscreteStatsTable[GroupByKey]=DiscreteStatsTable[[#This Row],[GroupByKey]])*DiscreteStatsTable[Average])),0)</f>
        <v>3.1564420087893303</v>
      </c>
      <c r="O724" s="5" cm="1">
        <f t="array" ref="O724">IFERROR(_xlfn.STDEV.S(IF((DiscreteStatsTable[GroupByKey]=DiscreteStatsTable[[#This Row],[GroupByKey]]),(DiscreteStatsTable[GroupByKey]=DiscreteStatsTable[[#This Row],[GroupByKey]])*DiscreteStatsTable[Average])),0)</f>
        <v>1.6240421246303407</v>
      </c>
      <c r="P724" s="5" cm="1">
        <f t="array" ref="P724">MAX(IF((ProjectInfoTable[ProjectName]=DiscreteStatsTable[[#This Row],[ProjectName]]),(ProjectInfoTable[ProjectName]=DiscreteStatsTable[[#This Row],[ProjectName]])*ProjectInfoTable[ConfidenceInterval]))</f>
        <v>0.95</v>
      </c>
      <c r="Q724" s="5">
        <f>IF(AND(DiscreteStatsTable[[#This Row],[RepsWithStatObserved]]=1,Y724=0),200000000000000000000,IFERROR(_xlfn.T.INV.2T(1 -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0.78276324780868989</v>
      </c>
      <c r="R724" s="5" cm="1">
        <f t="array" ref="R724">MIN(IF((DiscreteStatsTable[GroupByKey]=DiscreteStatsTable[[#This Row],[GroupByKey]]),(DiscreteStatsTable[GroupByKey]=DiscreteStatsTable[[#This Row],[GroupByKey]])*DiscreteStatsTable[Average]))</f>
        <v>1.88473174296347</v>
      </c>
      <c r="S724" s="5" cm="1">
        <f t="array" ref="S724">MAX(IF((DiscreteStatsTable[GroupByKey]=DiscreteStatsTable[[#This Row],[GroupByKey]]),(DiscreteStatsTable[GroupByKey]=DiscreteStatsTable[[#This Row],[GroupByKey]])*DiscreteStatsTable[Average]))</f>
        <v>9.0779071428284901</v>
      </c>
      <c r="T724" s="5" cm="1">
        <f t="array" ref="T724">MIN(IF((DiscreteStatsTable[GroupByKey]=DiscreteStatsTable[[#This Row],[GroupByKey]]),(DiscreteStatsTable[GroupByKey]=DiscreteStatsTable[[#This Row],[GroupByKey]])*DiscreteStatsTable[Minimum]))</f>
        <v>0.343771589355995</v>
      </c>
      <c r="U724" s="5" cm="1">
        <f t="array" ref="U724">MAX(IF((DiscreteStatsTable[GroupByKey]=DiscreteStatsTable[[#This Row],[GroupByKey]]),(DiscreteStatsTable[GroupByKey]=DiscreteStatsTable[[#This Row],[GroupByKey]])*DiscreteStatsTable[Maximum]))</f>
        <v>23.621620498770401</v>
      </c>
      <c r="V724" s="5" cm="1">
        <f t="array" ref="V724">IFERROR(AVERAGE(IF((DiscreteStatsTable[GroupByKey]=DiscreteStatsTable[[#This Row],[GroupByKey]]),(DiscreteStatsTable[GroupByKey]=DiscreteStatsTable[[#This Row],[GroupByKey]])*DiscreteStatsTable[NumberObservations])),0)</f>
        <v>67.94736842105263</v>
      </c>
      <c r="W724" s="5">
        <f>IF((DiscreteStatsTable[[#This Row],[RepsRequested]]&gt;1),DiscreteStatsTable[[#This Row],[HalfWidth]],DiscreteStatsTable[[#This Row],[BatchMeansHalfWidth]])</f>
        <v>0.78276324780868989</v>
      </c>
      <c r="X724" s="5" cm="1">
        <f t="array" ref="X724">COUNT(IF((DiscreteStatsTable[GroupByKey]=DiscreteStatsTable[[#This Row],[GroupByKey]]),(DiscreteStatsTable[GroupByKey]=DiscreteStatsTable[[#This Row],[GroupByKey]])*DiscreteStatsTable[Replication]))</f>
        <v>19</v>
      </c>
      <c r="Y724" s="5">
        <f>IF(DiscreteStatsTable[[#This Row],[RepsRequested]]=DiscreteStatsTable[[#This Row],[RepsWithStatObserved]],1,0)</f>
        <v>1</v>
      </c>
    </row>
    <row r="725" spans="1:25" x14ac:dyDescent="0.25">
      <c r="A725" t="s">
        <v>67</v>
      </c>
      <c r="B725" t="s">
        <v>69</v>
      </c>
      <c r="C725">
        <v>2</v>
      </c>
      <c r="D725" t="s">
        <v>109</v>
      </c>
      <c r="E725" t="s">
        <v>107</v>
      </c>
      <c r="F725" t="s">
        <v>80</v>
      </c>
      <c r="G725">
        <v>2.1597406375169701</v>
      </c>
      <c r="H725">
        <v>2E+20</v>
      </c>
      <c r="I725">
        <v>0.71602481578268895</v>
      </c>
      <c r="J725">
        <v>9.3792523774968402</v>
      </c>
      <c r="K725">
        <v>57</v>
      </c>
      <c r="L72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compartida)TiempoEnSistemaNoMesaCantProd1IntervalUser Specified</v>
      </c>
      <c r="M725" s="5" cm="1">
        <f t="array" ref="M725">MAX(IF((ProjectInfoTable[ProjectName]=DiscreteStatsTable[[#This Row],[ProjectName]]),(ProjectInfoTable[ProjectName]=DiscreteStatsTable[[#This Row],[ProjectName]])*ProjectInfoTable[NumberOfReplications]))</f>
        <v>19</v>
      </c>
      <c r="N725" s="5" cm="1">
        <f t="array" ref="N725">IFERROR(AVERAGE(IF((DiscreteStatsTable[GroupByKey]=DiscreteStatsTable[[#This Row],[GroupByKey]]),(DiscreteStatsTable[GroupByKey]=DiscreteStatsTable[[#This Row],[GroupByKey]])*DiscreteStatsTable[Average])),0)</f>
        <v>3.1564420087893303</v>
      </c>
      <c r="O725" s="5" cm="1">
        <f t="array" ref="O725">IFERROR(_xlfn.STDEV.S(IF((DiscreteStatsTable[GroupByKey]=DiscreteStatsTable[[#This Row],[GroupByKey]]),(DiscreteStatsTable[GroupByKey]=DiscreteStatsTable[[#This Row],[GroupByKey]])*DiscreteStatsTable[Average])),0)</f>
        <v>1.6240421246303407</v>
      </c>
      <c r="P725" s="5" cm="1">
        <f t="array" ref="P725">MAX(IF((ProjectInfoTable[ProjectName]=DiscreteStatsTable[[#This Row],[ProjectName]]),(ProjectInfoTable[ProjectName]=DiscreteStatsTable[[#This Row],[ProjectName]])*ProjectInfoTable[ConfidenceInterval]))</f>
        <v>0.95</v>
      </c>
      <c r="Q725" s="5">
        <f>IF(AND(DiscreteStatsTable[[#This Row],[RepsWithStatObserved]]=1,Y725=0),200000000000000000000,IFERROR(_xlfn.T.INV.2T(1 -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0.78276324780868989</v>
      </c>
      <c r="R725" s="5" cm="1">
        <f t="array" ref="R725">MIN(IF((DiscreteStatsTable[GroupByKey]=DiscreteStatsTable[[#This Row],[GroupByKey]]),(DiscreteStatsTable[GroupByKey]=DiscreteStatsTable[[#This Row],[GroupByKey]])*DiscreteStatsTable[Average]))</f>
        <v>1.88473174296347</v>
      </c>
      <c r="S725" s="5" cm="1">
        <f t="array" ref="S725">MAX(IF((DiscreteStatsTable[GroupByKey]=DiscreteStatsTable[[#This Row],[GroupByKey]]),(DiscreteStatsTable[GroupByKey]=DiscreteStatsTable[[#This Row],[GroupByKey]])*DiscreteStatsTable[Average]))</f>
        <v>9.0779071428284901</v>
      </c>
      <c r="T725" s="5" cm="1">
        <f t="array" ref="T725">MIN(IF((DiscreteStatsTable[GroupByKey]=DiscreteStatsTable[[#This Row],[GroupByKey]]),(DiscreteStatsTable[GroupByKey]=DiscreteStatsTable[[#This Row],[GroupByKey]])*DiscreteStatsTable[Minimum]))</f>
        <v>0.343771589355995</v>
      </c>
      <c r="U725" s="5" cm="1">
        <f t="array" ref="U725">MAX(IF((DiscreteStatsTable[GroupByKey]=DiscreteStatsTable[[#This Row],[GroupByKey]]),(DiscreteStatsTable[GroupByKey]=DiscreteStatsTable[[#This Row],[GroupByKey]])*DiscreteStatsTable[Maximum]))</f>
        <v>23.621620498770401</v>
      </c>
      <c r="V725" s="5" cm="1">
        <f t="array" ref="V725">IFERROR(AVERAGE(IF((DiscreteStatsTable[GroupByKey]=DiscreteStatsTable[[#This Row],[GroupByKey]]),(DiscreteStatsTable[GroupByKey]=DiscreteStatsTable[[#This Row],[GroupByKey]])*DiscreteStatsTable[NumberObservations])),0)</f>
        <v>67.94736842105263</v>
      </c>
      <c r="W725" s="5">
        <f>IF((DiscreteStatsTable[[#This Row],[RepsRequested]]&gt;1),DiscreteStatsTable[[#This Row],[HalfWidth]],DiscreteStatsTable[[#This Row],[BatchMeansHalfWidth]])</f>
        <v>0.78276324780868989</v>
      </c>
      <c r="X725" s="5" cm="1">
        <f t="array" ref="X725">COUNT(IF((DiscreteStatsTable[GroupByKey]=DiscreteStatsTable[[#This Row],[GroupByKey]]),(DiscreteStatsTable[GroupByKey]=DiscreteStatsTable[[#This Row],[GroupByKey]])*DiscreteStatsTable[Replication]))</f>
        <v>19</v>
      </c>
      <c r="Y725" s="5">
        <f>IF(DiscreteStatsTable[[#This Row],[RepsRequested]]=DiscreteStatsTable[[#This Row],[RepsWithStatObserved]],1,0)</f>
        <v>1</v>
      </c>
    </row>
    <row r="726" spans="1:25" x14ac:dyDescent="0.25">
      <c r="A726" t="s">
        <v>67</v>
      </c>
      <c r="B726" t="s">
        <v>69</v>
      </c>
      <c r="C726">
        <v>3</v>
      </c>
      <c r="D726" t="s">
        <v>109</v>
      </c>
      <c r="E726" t="s">
        <v>107</v>
      </c>
      <c r="F726" t="s">
        <v>80</v>
      </c>
      <c r="G726">
        <v>4.9507207251700303</v>
      </c>
      <c r="H726">
        <v>2E+20</v>
      </c>
      <c r="I726">
        <v>0.68509512236101999</v>
      </c>
      <c r="J726">
        <v>16.149964428059601</v>
      </c>
      <c r="K726">
        <v>63</v>
      </c>
      <c r="L72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compartida)TiempoEnSistemaNoMesaCantProd1IntervalUser Specified</v>
      </c>
      <c r="M726" s="5" cm="1">
        <f t="array" ref="M726">MAX(IF((ProjectInfoTable[ProjectName]=DiscreteStatsTable[[#This Row],[ProjectName]]),(ProjectInfoTable[ProjectName]=DiscreteStatsTable[[#This Row],[ProjectName]])*ProjectInfoTable[NumberOfReplications]))</f>
        <v>19</v>
      </c>
      <c r="N726" s="5" cm="1">
        <f t="array" ref="N726">IFERROR(AVERAGE(IF((DiscreteStatsTable[GroupByKey]=DiscreteStatsTable[[#This Row],[GroupByKey]]),(DiscreteStatsTable[GroupByKey]=DiscreteStatsTable[[#This Row],[GroupByKey]])*DiscreteStatsTable[Average])),0)</f>
        <v>3.1564420087893303</v>
      </c>
      <c r="O726" s="5" cm="1">
        <f t="array" ref="O726">IFERROR(_xlfn.STDEV.S(IF((DiscreteStatsTable[GroupByKey]=DiscreteStatsTable[[#This Row],[GroupByKey]]),(DiscreteStatsTable[GroupByKey]=DiscreteStatsTable[[#This Row],[GroupByKey]])*DiscreteStatsTable[Average])),0)</f>
        <v>1.6240421246303407</v>
      </c>
      <c r="P726" s="5" cm="1">
        <f t="array" ref="P726">MAX(IF((ProjectInfoTable[ProjectName]=DiscreteStatsTable[[#This Row],[ProjectName]]),(ProjectInfoTable[ProjectName]=DiscreteStatsTable[[#This Row],[ProjectName]])*ProjectInfoTable[ConfidenceInterval]))</f>
        <v>0.95</v>
      </c>
      <c r="Q726" s="5">
        <f>IF(AND(DiscreteStatsTable[[#This Row],[RepsWithStatObserved]]=1,Y726=0),200000000000000000000,IFERROR(_xlfn.T.INV.2T(1 -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0.78276324780868989</v>
      </c>
      <c r="R726" s="5" cm="1">
        <f t="array" ref="R726">MIN(IF((DiscreteStatsTable[GroupByKey]=DiscreteStatsTable[[#This Row],[GroupByKey]]),(DiscreteStatsTable[GroupByKey]=DiscreteStatsTable[[#This Row],[GroupByKey]])*DiscreteStatsTable[Average]))</f>
        <v>1.88473174296347</v>
      </c>
      <c r="S726" s="5" cm="1">
        <f t="array" ref="S726">MAX(IF((DiscreteStatsTable[GroupByKey]=DiscreteStatsTable[[#This Row],[GroupByKey]]),(DiscreteStatsTable[GroupByKey]=DiscreteStatsTable[[#This Row],[GroupByKey]])*DiscreteStatsTable[Average]))</f>
        <v>9.0779071428284901</v>
      </c>
      <c r="T726" s="5" cm="1">
        <f t="array" ref="T726">MIN(IF((DiscreteStatsTable[GroupByKey]=DiscreteStatsTable[[#This Row],[GroupByKey]]),(DiscreteStatsTable[GroupByKey]=DiscreteStatsTable[[#This Row],[GroupByKey]])*DiscreteStatsTable[Minimum]))</f>
        <v>0.343771589355995</v>
      </c>
      <c r="U726" s="5" cm="1">
        <f t="array" ref="U726">MAX(IF((DiscreteStatsTable[GroupByKey]=DiscreteStatsTable[[#This Row],[GroupByKey]]),(DiscreteStatsTable[GroupByKey]=DiscreteStatsTable[[#This Row],[GroupByKey]])*DiscreteStatsTable[Maximum]))</f>
        <v>23.621620498770401</v>
      </c>
      <c r="V726" s="5" cm="1">
        <f t="array" ref="V726">IFERROR(AVERAGE(IF((DiscreteStatsTable[GroupByKey]=DiscreteStatsTable[[#This Row],[GroupByKey]]),(DiscreteStatsTable[GroupByKey]=DiscreteStatsTable[[#This Row],[GroupByKey]])*DiscreteStatsTable[NumberObservations])),0)</f>
        <v>67.94736842105263</v>
      </c>
      <c r="W726" s="5">
        <f>IF((DiscreteStatsTable[[#This Row],[RepsRequested]]&gt;1),DiscreteStatsTable[[#This Row],[HalfWidth]],DiscreteStatsTable[[#This Row],[BatchMeansHalfWidth]])</f>
        <v>0.78276324780868989</v>
      </c>
      <c r="X726" s="5" cm="1">
        <f t="array" ref="X726">COUNT(IF((DiscreteStatsTable[GroupByKey]=DiscreteStatsTable[[#This Row],[GroupByKey]]),(DiscreteStatsTable[GroupByKey]=DiscreteStatsTable[[#This Row],[GroupByKey]])*DiscreteStatsTable[Replication]))</f>
        <v>19</v>
      </c>
      <c r="Y726" s="5">
        <f>IF(DiscreteStatsTable[[#This Row],[RepsRequested]]=DiscreteStatsTable[[#This Row],[RepsWithStatObserved]],1,0)</f>
        <v>1</v>
      </c>
    </row>
    <row r="727" spans="1:25" x14ac:dyDescent="0.25">
      <c r="A727" t="s">
        <v>67</v>
      </c>
      <c r="B727" t="s">
        <v>69</v>
      </c>
      <c r="C727">
        <v>4</v>
      </c>
      <c r="D727" t="s">
        <v>109</v>
      </c>
      <c r="E727" t="s">
        <v>107</v>
      </c>
      <c r="F727" t="s">
        <v>80</v>
      </c>
      <c r="G727">
        <v>2.21286760554537</v>
      </c>
      <c r="H727">
        <v>2E+20</v>
      </c>
      <c r="I727">
        <v>0.58151376089895701</v>
      </c>
      <c r="J727">
        <v>6.2702468423570403</v>
      </c>
      <c r="K727">
        <v>59</v>
      </c>
      <c r="L72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compartida)TiempoEnSistemaNoMesaCantProd1IntervalUser Specified</v>
      </c>
      <c r="M727" s="5" cm="1">
        <f t="array" ref="M727">MAX(IF((ProjectInfoTable[ProjectName]=DiscreteStatsTable[[#This Row],[ProjectName]]),(ProjectInfoTable[ProjectName]=DiscreteStatsTable[[#This Row],[ProjectName]])*ProjectInfoTable[NumberOfReplications]))</f>
        <v>19</v>
      </c>
      <c r="N727" s="5" cm="1">
        <f t="array" ref="N727">IFERROR(AVERAGE(IF((DiscreteStatsTable[GroupByKey]=DiscreteStatsTable[[#This Row],[GroupByKey]]),(DiscreteStatsTable[GroupByKey]=DiscreteStatsTable[[#This Row],[GroupByKey]])*DiscreteStatsTable[Average])),0)</f>
        <v>3.1564420087893303</v>
      </c>
      <c r="O727" s="5" cm="1">
        <f t="array" ref="O727">IFERROR(_xlfn.STDEV.S(IF((DiscreteStatsTable[GroupByKey]=DiscreteStatsTable[[#This Row],[GroupByKey]]),(DiscreteStatsTable[GroupByKey]=DiscreteStatsTable[[#This Row],[GroupByKey]])*DiscreteStatsTable[Average])),0)</f>
        <v>1.6240421246303407</v>
      </c>
      <c r="P727" s="5" cm="1">
        <f t="array" ref="P727">MAX(IF((ProjectInfoTable[ProjectName]=DiscreteStatsTable[[#This Row],[ProjectName]]),(ProjectInfoTable[ProjectName]=DiscreteStatsTable[[#This Row],[ProjectName]])*ProjectInfoTable[ConfidenceInterval]))</f>
        <v>0.95</v>
      </c>
      <c r="Q727" s="5">
        <f>IF(AND(DiscreteStatsTable[[#This Row],[RepsWithStatObserved]]=1,Y727=0),200000000000000000000,IFERROR(_xlfn.T.INV.2T(1 -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0.78276324780868989</v>
      </c>
      <c r="R727" s="5" cm="1">
        <f t="array" ref="R727">MIN(IF((DiscreteStatsTable[GroupByKey]=DiscreteStatsTable[[#This Row],[GroupByKey]]),(DiscreteStatsTable[GroupByKey]=DiscreteStatsTable[[#This Row],[GroupByKey]])*DiscreteStatsTable[Average]))</f>
        <v>1.88473174296347</v>
      </c>
      <c r="S727" s="5" cm="1">
        <f t="array" ref="S727">MAX(IF((DiscreteStatsTable[GroupByKey]=DiscreteStatsTable[[#This Row],[GroupByKey]]),(DiscreteStatsTable[GroupByKey]=DiscreteStatsTable[[#This Row],[GroupByKey]])*DiscreteStatsTable[Average]))</f>
        <v>9.0779071428284901</v>
      </c>
      <c r="T727" s="5" cm="1">
        <f t="array" ref="T727">MIN(IF((DiscreteStatsTable[GroupByKey]=DiscreteStatsTable[[#This Row],[GroupByKey]]),(DiscreteStatsTable[GroupByKey]=DiscreteStatsTable[[#This Row],[GroupByKey]])*DiscreteStatsTable[Minimum]))</f>
        <v>0.343771589355995</v>
      </c>
      <c r="U727" s="5" cm="1">
        <f t="array" ref="U727">MAX(IF((DiscreteStatsTable[GroupByKey]=DiscreteStatsTable[[#This Row],[GroupByKey]]),(DiscreteStatsTable[GroupByKey]=DiscreteStatsTable[[#This Row],[GroupByKey]])*DiscreteStatsTable[Maximum]))</f>
        <v>23.621620498770401</v>
      </c>
      <c r="V727" s="5" cm="1">
        <f t="array" ref="V727">IFERROR(AVERAGE(IF((DiscreteStatsTable[GroupByKey]=DiscreteStatsTable[[#This Row],[GroupByKey]]),(DiscreteStatsTable[GroupByKey]=DiscreteStatsTable[[#This Row],[GroupByKey]])*DiscreteStatsTable[NumberObservations])),0)</f>
        <v>67.94736842105263</v>
      </c>
      <c r="W727" s="5">
        <f>IF((DiscreteStatsTable[[#This Row],[RepsRequested]]&gt;1),DiscreteStatsTable[[#This Row],[HalfWidth]],DiscreteStatsTable[[#This Row],[BatchMeansHalfWidth]])</f>
        <v>0.78276324780868989</v>
      </c>
      <c r="X727" s="5" cm="1">
        <f t="array" ref="X727">COUNT(IF((DiscreteStatsTable[GroupByKey]=DiscreteStatsTable[[#This Row],[GroupByKey]]),(DiscreteStatsTable[GroupByKey]=DiscreteStatsTable[[#This Row],[GroupByKey]])*DiscreteStatsTable[Replication]))</f>
        <v>19</v>
      </c>
      <c r="Y727" s="5">
        <f>IF(DiscreteStatsTable[[#This Row],[RepsRequested]]=DiscreteStatsTable[[#This Row],[RepsWithStatObserved]],1,0)</f>
        <v>1</v>
      </c>
    </row>
    <row r="728" spans="1:25" x14ac:dyDescent="0.25">
      <c r="A728" t="s">
        <v>67</v>
      </c>
      <c r="B728" t="s">
        <v>69</v>
      </c>
      <c r="C728">
        <v>5</v>
      </c>
      <c r="D728" t="s">
        <v>109</v>
      </c>
      <c r="E728" t="s">
        <v>107</v>
      </c>
      <c r="F728" t="s">
        <v>80</v>
      </c>
      <c r="G728">
        <v>1.88473174296347</v>
      </c>
      <c r="H728">
        <v>2E+20</v>
      </c>
      <c r="I728">
        <v>0.45953413129460302</v>
      </c>
      <c r="J728">
        <v>7.7368864667621704</v>
      </c>
      <c r="K728">
        <v>80</v>
      </c>
      <c r="L72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compartida)TiempoEnSistemaNoMesaCantProd1IntervalUser Specified</v>
      </c>
      <c r="M728" s="5" cm="1">
        <f t="array" ref="M728">MAX(IF((ProjectInfoTable[ProjectName]=DiscreteStatsTable[[#This Row],[ProjectName]]),(ProjectInfoTable[ProjectName]=DiscreteStatsTable[[#This Row],[ProjectName]])*ProjectInfoTable[NumberOfReplications]))</f>
        <v>19</v>
      </c>
      <c r="N728" s="5" cm="1">
        <f t="array" ref="N728">IFERROR(AVERAGE(IF((DiscreteStatsTable[GroupByKey]=DiscreteStatsTable[[#This Row],[GroupByKey]]),(DiscreteStatsTable[GroupByKey]=DiscreteStatsTable[[#This Row],[GroupByKey]])*DiscreteStatsTable[Average])),0)</f>
        <v>3.1564420087893303</v>
      </c>
      <c r="O728" s="5" cm="1">
        <f t="array" ref="O728">IFERROR(_xlfn.STDEV.S(IF((DiscreteStatsTable[GroupByKey]=DiscreteStatsTable[[#This Row],[GroupByKey]]),(DiscreteStatsTable[GroupByKey]=DiscreteStatsTable[[#This Row],[GroupByKey]])*DiscreteStatsTable[Average])),0)</f>
        <v>1.6240421246303407</v>
      </c>
      <c r="P728" s="5" cm="1">
        <f t="array" ref="P728">MAX(IF((ProjectInfoTable[ProjectName]=DiscreteStatsTable[[#This Row],[ProjectName]]),(ProjectInfoTable[ProjectName]=DiscreteStatsTable[[#This Row],[ProjectName]])*ProjectInfoTable[ConfidenceInterval]))</f>
        <v>0.95</v>
      </c>
      <c r="Q728" s="5">
        <f>IF(AND(DiscreteStatsTable[[#This Row],[RepsWithStatObserved]]=1,Y728=0),200000000000000000000,IFERROR(_xlfn.T.INV.2T(1 -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0.78276324780868989</v>
      </c>
      <c r="R728" s="5" cm="1">
        <f t="array" ref="R728">MIN(IF((DiscreteStatsTable[GroupByKey]=DiscreteStatsTable[[#This Row],[GroupByKey]]),(DiscreteStatsTable[GroupByKey]=DiscreteStatsTable[[#This Row],[GroupByKey]])*DiscreteStatsTable[Average]))</f>
        <v>1.88473174296347</v>
      </c>
      <c r="S728" s="5" cm="1">
        <f t="array" ref="S728">MAX(IF((DiscreteStatsTable[GroupByKey]=DiscreteStatsTable[[#This Row],[GroupByKey]]),(DiscreteStatsTable[GroupByKey]=DiscreteStatsTable[[#This Row],[GroupByKey]])*DiscreteStatsTable[Average]))</f>
        <v>9.0779071428284901</v>
      </c>
      <c r="T728" s="5" cm="1">
        <f t="array" ref="T728">MIN(IF((DiscreteStatsTable[GroupByKey]=DiscreteStatsTable[[#This Row],[GroupByKey]]),(DiscreteStatsTable[GroupByKey]=DiscreteStatsTable[[#This Row],[GroupByKey]])*DiscreteStatsTable[Minimum]))</f>
        <v>0.343771589355995</v>
      </c>
      <c r="U728" s="5" cm="1">
        <f t="array" ref="U728">MAX(IF((DiscreteStatsTable[GroupByKey]=DiscreteStatsTable[[#This Row],[GroupByKey]]),(DiscreteStatsTable[GroupByKey]=DiscreteStatsTable[[#This Row],[GroupByKey]])*DiscreteStatsTable[Maximum]))</f>
        <v>23.621620498770401</v>
      </c>
      <c r="V728" s="5" cm="1">
        <f t="array" ref="V728">IFERROR(AVERAGE(IF((DiscreteStatsTable[GroupByKey]=DiscreteStatsTable[[#This Row],[GroupByKey]]),(DiscreteStatsTable[GroupByKey]=DiscreteStatsTable[[#This Row],[GroupByKey]])*DiscreteStatsTable[NumberObservations])),0)</f>
        <v>67.94736842105263</v>
      </c>
      <c r="W728" s="5">
        <f>IF((DiscreteStatsTable[[#This Row],[RepsRequested]]&gt;1),DiscreteStatsTable[[#This Row],[HalfWidth]],DiscreteStatsTable[[#This Row],[BatchMeansHalfWidth]])</f>
        <v>0.78276324780868989</v>
      </c>
      <c r="X728" s="5" cm="1">
        <f t="array" ref="X728">COUNT(IF((DiscreteStatsTable[GroupByKey]=DiscreteStatsTable[[#This Row],[GroupByKey]]),(DiscreteStatsTable[GroupByKey]=DiscreteStatsTable[[#This Row],[GroupByKey]])*DiscreteStatsTable[Replication]))</f>
        <v>19</v>
      </c>
      <c r="Y728" s="5">
        <f>IF(DiscreteStatsTable[[#This Row],[RepsRequested]]=DiscreteStatsTable[[#This Row],[RepsWithStatObserved]],1,0)</f>
        <v>1</v>
      </c>
    </row>
    <row r="729" spans="1:25" x14ac:dyDescent="0.25">
      <c r="A729" t="s">
        <v>67</v>
      </c>
      <c r="B729" t="s">
        <v>69</v>
      </c>
      <c r="C729">
        <v>6</v>
      </c>
      <c r="D729" t="s">
        <v>109</v>
      </c>
      <c r="E729" t="s">
        <v>107</v>
      </c>
      <c r="F729" t="s">
        <v>80</v>
      </c>
      <c r="G729">
        <v>2.15497184207746</v>
      </c>
      <c r="H729">
        <v>2E+20</v>
      </c>
      <c r="I729">
        <v>0.44944471453567297</v>
      </c>
      <c r="J729">
        <v>6.5605574585891304</v>
      </c>
      <c r="K729">
        <v>72</v>
      </c>
      <c r="L72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compartida)TiempoEnSistemaNoMesaCantProd1IntervalUser Specified</v>
      </c>
      <c r="M729" s="5" cm="1">
        <f t="array" ref="M729">MAX(IF((ProjectInfoTable[ProjectName]=DiscreteStatsTable[[#This Row],[ProjectName]]),(ProjectInfoTable[ProjectName]=DiscreteStatsTable[[#This Row],[ProjectName]])*ProjectInfoTable[NumberOfReplications]))</f>
        <v>19</v>
      </c>
      <c r="N729" s="5" cm="1">
        <f t="array" ref="N729">IFERROR(AVERAGE(IF((DiscreteStatsTable[GroupByKey]=DiscreteStatsTable[[#This Row],[GroupByKey]]),(DiscreteStatsTable[GroupByKey]=DiscreteStatsTable[[#This Row],[GroupByKey]])*DiscreteStatsTable[Average])),0)</f>
        <v>3.1564420087893303</v>
      </c>
      <c r="O729" s="5" cm="1">
        <f t="array" ref="O729">IFERROR(_xlfn.STDEV.S(IF((DiscreteStatsTable[GroupByKey]=DiscreteStatsTable[[#This Row],[GroupByKey]]),(DiscreteStatsTable[GroupByKey]=DiscreteStatsTable[[#This Row],[GroupByKey]])*DiscreteStatsTable[Average])),0)</f>
        <v>1.6240421246303407</v>
      </c>
      <c r="P729" s="5" cm="1">
        <f t="array" ref="P729">MAX(IF((ProjectInfoTable[ProjectName]=DiscreteStatsTable[[#This Row],[ProjectName]]),(ProjectInfoTable[ProjectName]=DiscreteStatsTable[[#This Row],[ProjectName]])*ProjectInfoTable[ConfidenceInterval]))</f>
        <v>0.95</v>
      </c>
      <c r="Q729" s="5">
        <f>IF(AND(DiscreteStatsTable[[#This Row],[RepsWithStatObserved]]=1,Y729=0),200000000000000000000,IFERROR(_xlfn.T.INV.2T(1 -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0.78276324780868989</v>
      </c>
      <c r="R729" s="5" cm="1">
        <f t="array" ref="R729">MIN(IF((DiscreteStatsTable[GroupByKey]=DiscreteStatsTable[[#This Row],[GroupByKey]]),(DiscreteStatsTable[GroupByKey]=DiscreteStatsTable[[#This Row],[GroupByKey]])*DiscreteStatsTable[Average]))</f>
        <v>1.88473174296347</v>
      </c>
      <c r="S729" s="5" cm="1">
        <f t="array" ref="S729">MAX(IF((DiscreteStatsTable[GroupByKey]=DiscreteStatsTable[[#This Row],[GroupByKey]]),(DiscreteStatsTable[GroupByKey]=DiscreteStatsTable[[#This Row],[GroupByKey]])*DiscreteStatsTable[Average]))</f>
        <v>9.0779071428284901</v>
      </c>
      <c r="T729" s="5" cm="1">
        <f t="array" ref="T729">MIN(IF((DiscreteStatsTable[GroupByKey]=DiscreteStatsTable[[#This Row],[GroupByKey]]),(DiscreteStatsTable[GroupByKey]=DiscreteStatsTable[[#This Row],[GroupByKey]])*DiscreteStatsTable[Minimum]))</f>
        <v>0.343771589355995</v>
      </c>
      <c r="U729" s="5" cm="1">
        <f t="array" ref="U729">MAX(IF((DiscreteStatsTable[GroupByKey]=DiscreteStatsTable[[#This Row],[GroupByKey]]),(DiscreteStatsTable[GroupByKey]=DiscreteStatsTable[[#This Row],[GroupByKey]])*DiscreteStatsTable[Maximum]))</f>
        <v>23.621620498770401</v>
      </c>
      <c r="V729" s="5" cm="1">
        <f t="array" ref="V729">IFERROR(AVERAGE(IF((DiscreteStatsTable[GroupByKey]=DiscreteStatsTable[[#This Row],[GroupByKey]]),(DiscreteStatsTable[GroupByKey]=DiscreteStatsTable[[#This Row],[GroupByKey]])*DiscreteStatsTable[NumberObservations])),0)</f>
        <v>67.94736842105263</v>
      </c>
      <c r="W729" s="5">
        <f>IF((DiscreteStatsTable[[#This Row],[RepsRequested]]&gt;1),DiscreteStatsTable[[#This Row],[HalfWidth]],DiscreteStatsTable[[#This Row],[BatchMeansHalfWidth]])</f>
        <v>0.78276324780868989</v>
      </c>
      <c r="X729" s="5" cm="1">
        <f t="array" ref="X729">COUNT(IF((DiscreteStatsTable[GroupByKey]=DiscreteStatsTable[[#This Row],[GroupByKey]]),(DiscreteStatsTable[GroupByKey]=DiscreteStatsTable[[#This Row],[GroupByKey]])*DiscreteStatsTable[Replication]))</f>
        <v>19</v>
      </c>
      <c r="Y729" s="5">
        <f>IF(DiscreteStatsTable[[#This Row],[RepsRequested]]=DiscreteStatsTable[[#This Row],[RepsWithStatObserved]],1,0)</f>
        <v>1</v>
      </c>
    </row>
    <row r="730" spans="1:25" x14ac:dyDescent="0.25">
      <c r="A730" t="s">
        <v>67</v>
      </c>
      <c r="B730" t="s">
        <v>69</v>
      </c>
      <c r="C730">
        <v>7</v>
      </c>
      <c r="D730" t="s">
        <v>109</v>
      </c>
      <c r="E730" t="s">
        <v>107</v>
      </c>
      <c r="F730" t="s">
        <v>80</v>
      </c>
      <c r="G730">
        <v>2.6608480410863602</v>
      </c>
      <c r="H730">
        <v>2E+20</v>
      </c>
      <c r="I730">
        <v>0.44928766791144897</v>
      </c>
      <c r="J730">
        <v>7.5515855037370203</v>
      </c>
      <c r="K730">
        <v>57</v>
      </c>
      <c r="L73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compartida)TiempoEnSistemaNoMesaCantProd1IntervalUser Specified</v>
      </c>
      <c r="M730" s="5" cm="1">
        <f t="array" ref="M730">MAX(IF((ProjectInfoTable[ProjectName]=DiscreteStatsTable[[#This Row],[ProjectName]]),(ProjectInfoTable[ProjectName]=DiscreteStatsTable[[#This Row],[ProjectName]])*ProjectInfoTable[NumberOfReplications]))</f>
        <v>19</v>
      </c>
      <c r="N730" s="5" cm="1">
        <f t="array" ref="N730">IFERROR(AVERAGE(IF((DiscreteStatsTable[GroupByKey]=DiscreteStatsTable[[#This Row],[GroupByKey]]),(DiscreteStatsTable[GroupByKey]=DiscreteStatsTable[[#This Row],[GroupByKey]])*DiscreteStatsTable[Average])),0)</f>
        <v>3.1564420087893303</v>
      </c>
      <c r="O730" s="5" cm="1">
        <f t="array" ref="O730">IFERROR(_xlfn.STDEV.S(IF((DiscreteStatsTable[GroupByKey]=DiscreteStatsTable[[#This Row],[GroupByKey]]),(DiscreteStatsTable[GroupByKey]=DiscreteStatsTable[[#This Row],[GroupByKey]])*DiscreteStatsTable[Average])),0)</f>
        <v>1.6240421246303407</v>
      </c>
      <c r="P730" s="5" cm="1">
        <f t="array" ref="P730">MAX(IF((ProjectInfoTable[ProjectName]=DiscreteStatsTable[[#This Row],[ProjectName]]),(ProjectInfoTable[ProjectName]=DiscreteStatsTable[[#This Row],[ProjectName]])*ProjectInfoTable[ConfidenceInterval]))</f>
        <v>0.95</v>
      </c>
      <c r="Q730" s="5">
        <f>IF(AND(DiscreteStatsTable[[#This Row],[RepsWithStatObserved]]=1,Y730=0),200000000000000000000,IFERROR(_xlfn.T.INV.2T(1 -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0.78276324780868989</v>
      </c>
      <c r="R730" s="5" cm="1">
        <f t="array" ref="R730">MIN(IF((DiscreteStatsTable[GroupByKey]=DiscreteStatsTable[[#This Row],[GroupByKey]]),(DiscreteStatsTable[GroupByKey]=DiscreteStatsTable[[#This Row],[GroupByKey]])*DiscreteStatsTable[Average]))</f>
        <v>1.88473174296347</v>
      </c>
      <c r="S730" s="5" cm="1">
        <f t="array" ref="S730">MAX(IF((DiscreteStatsTable[GroupByKey]=DiscreteStatsTable[[#This Row],[GroupByKey]]),(DiscreteStatsTable[GroupByKey]=DiscreteStatsTable[[#This Row],[GroupByKey]])*DiscreteStatsTable[Average]))</f>
        <v>9.0779071428284901</v>
      </c>
      <c r="T730" s="5" cm="1">
        <f t="array" ref="T730">MIN(IF((DiscreteStatsTable[GroupByKey]=DiscreteStatsTable[[#This Row],[GroupByKey]]),(DiscreteStatsTable[GroupByKey]=DiscreteStatsTable[[#This Row],[GroupByKey]])*DiscreteStatsTable[Minimum]))</f>
        <v>0.343771589355995</v>
      </c>
      <c r="U730" s="5" cm="1">
        <f t="array" ref="U730">MAX(IF((DiscreteStatsTable[GroupByKey]=DiscreteStatsTable[[#This Row],[GroupByKey]]),(DiscreteStatsTable[GroupByKey]=DiscreteStatsTable[[#This Row],[GroupByKey]])*DiscreteStatsTable[Maximum]))</f>
        <v>23.621620498770401</v>
      </c>
      <c r="V730" s="5" cm="1">
        <f t="array" ref="V730">IFERROR(AVERAGE(IF((DiscreteStatsTable[GroupByKey]=DiscreteStatsTable[[#This Row],[GroupByKey]]),(DiscreteStatsTable[GroupByKey]=DiscreteStatsTable[[#This Row],[GroupByKey]])*DiscreteStatsTable[NumberObservations])),0)</f>
        <v>67.94736842105263</v>
      </c>
      <c r="W730" s="5">
        <f>IF((DiscreteStatsTable[[#This Row],[RepsRequested]]&gt;1),DiscreteStatsTable[[#This Row],[HalfWidth]],DiscreteStatsTable[[#This Row],[BatchMeansHalfWidth]])</f>
        <v>0.78276324780868989</v>
      </c>
      <c r="X730" s="5" cm="1">
        <f t="array" ref="X730">COUNT(IF((DiscreteStatsTable[GroupByKey]=DiscreteStatsTable[[#This Row],[GroupByKey]]),(DiscreteStatsTable[GroupByKey]=DiscreteStatsTable[[#This Row],[GroupByKey]])*DiscreteStatsTable[Replication]))</f>
        <v>19</v>
      </c>
      <c r="Y730" s="5">
        <f>IF(DiscreteStatsTable[[#This Row],[RepsRequested]]=DiscreteStatsTable[[#This Row],[RepsWithStatObserved]],1,0)</f>
        <v>1</v>
      </c>
    </row>
    <row r="731" spans="1:25" x14ac:dyDescent="0.25">
      <c r="A731" t="s">
        <v>67</v>
      </c>
      <c r="B731" t="s">
        <v>69</v>
      </c>
      <c r="C731">
        <v>8</v>
      </c>
      <c r="D731" t="s">
        <v>109</v>
      </c>
      <c r="E731" t="s">
        <v>107</v>
      </c>
      <c r="F731" t="s">
        <v>80</v>
      </c>
      <c r="G731">
        <v>2.94936660912968</v>
      </c>
      <c r="H731">
        <v>2E+20</v>
      </c>
      <c r="I731">
        <v>0.60196005243042805</v>
      </c>
      <c r="J731">
        <v>6.9037141799577899</v>
      </c>
      <c r="K731">
        <v>73</v>
      </c>
      <c r="L73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compartida)TiempoEnSistemaNoMesaCantProd1IntervalUser Specified</v>
      </c>
      <c r="M731" s="5" cm="1">
        <f t="array" ref="M731">MAX(IF((ProjectInfoTable[ProjectName]=DiscreteStatsTable[[#This Row],[ProjectName]]),(ProjectInfoTable[ProjectName]=DiscreteStatsTable[[#This Row],[ProjectName]])*ProjectInfoTable[NumberOfReplications]))</f>
        <v>19</v>
      </c>
      <c r="N731" s="5" cm="1">
        <f t="array" ref="N731">IFERROR(AVERAGE(IF((DiscreteStatsTable[GroupByKey]=DiscreteStatsTable[[#This Row],[GroupByKey]]),(DiscreteStatsTable[GroupByKey]=DiscreteStatsTable[[#This Row],[GroupByKey]])*DiscreteStatsTable[Average])),0)</f>
        <v>3.1564420087893303</v>
      </c>
      <c r="O731" s="5" cm="1">
        <f t="array" ref="O731">IFERROR(_xlfn.STDEV.S(IF((DiscreteStatsTable[GroupByKey]=DiscreteStatsTable[[#This Row],[GroupByKey]]),(DiscreteStatsTable[GroupByKey]=DiscreteStatsTable[[#This Row],[GroupByKey]])*DiscreteStatsTable[Average])),0)</f>
        <v>1.6240421246303407</v>
      </c>
      <c r="P731" s="5" cm="1">
        <f t="array" ref="P731">MAX(IF((ProjectInfoTable[ProjectName]=DiscreteStatsTable[[#This Row],[ProjectName]]),(ProjectInfoTable[ProjectName]=DiscreteStatsTable[[#This Row],[ProjectName]])*ProjectInfoTable[ConfidenceInterval]))</f>
        <v>0.95</v>
      </c>
      <c r="Q731" s="5">
        <f>IF(AND(DiscreteStatsTable[[#This Row],[RepsWithStatObserved]]=1,Y731=0),200000000000000000000,IFERROR(_xlfn.T.INV.2T(1 -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0.78276324780868989</v>
      </c>
      <c r="R731" s="5" cm="1">
        <f t="array" ref="R731">MIN(IF((DiscreteStatsTable[GroupByKey]=DiscreteStatsTable[[#This Row],[GroupByKey]]),(DiscreteStatsTable[GroupByKey]=DiscreteStatsTable[[#This Row],[GroupByKey]])*DiscreteStatsTable[Average]))</f>
        <v>1.88473174296347</v>
      </c>
      <c r="S731" s="5" cm="1">
        <f t="array" ref="S731">MAX(IF((DiscreteStatsTable[GroupByKey]=DiscreteStatsTable[[#This Row],[GroupByKey]]),(DiscreteStatsTable[GroupByKey]=DiscreteStatsTable[[#This Row],[GroupByKey]])*DiscreteStatsTable[Average]))</f>
        <v>9.0779071428284901</v>
      </c>
      <c r="T731" s="5" cm="1">
        <f t="array" ref="T731">MIN(IF((DiscreteStatsTable[GroupByKey]=DiscreteStatsTable[[#This Row],[GroupByKey]]),(DiscreteStatsTable[GroupByKey]=DiscreteStatsTable[[#This Row],[GroupByKey]])*DiscreteStatsTable[Minimum]))</f>
        <v>0.343771589355995</v>
      </c>
      <c r="U731" s="5" cm="1">
        <f t="array" ref="U731">MAX(IF((DiscreteStatsTable[GroupByKey]=DiscreteStatsTable[[#This Row],[GroupByKey]]),(DiscreteStatsTable[GroupByKey]=DiscreteStatsTable[[#This Row],[GroupByKey]])*DiscreteStatsTable[Maximum]))</f>
        <v>23.621620498770401</v>
      </c>
      <c r="V731" s="5" cm="1">
        <f t="array" ref="V731">IFERROR(AVERAGE(IF((DiscreteStatsTable[GroupByKey]=DiscreteStatsTable[[#This Row],[GroupByKey]]),(DiscreteStatsTable[GroupByKey]=DiscreteStatsTable[[#This Row],[GroupByKey]])*DiscreteStatsTable[NumberObservations])),0)</f>
        <v>67.94736842105263</v>
      </c>
      <c r="W731" s="5">
        <f>IF((DiscreteStatsTable[[#This Row],[RepsRequested]]&gt;1),DiscreteStatsTable[[#This Row],[HalfWidth]],DiscreteStatsTable[[#This Row],[BatchMeansHalfWidth]])</f>
        <v>0.78276324780868989</v>
      </c>
      <c r="X731" s="5" cm="1">
        <f t="array" ref="X731">COUNT(IF((DiscreteStatsTable[GroupByKey]=DiscreteStatsTable[[#This Row],[GroupByKey]]),(DiscreteStatsTable[GroupByKey]=DiscreteStatsTable[[#This Row],[GroupByKey]])*DiscreteStatsTable[Replication]))</f>
        <v>19</v>
      </c>
      <c r="Y731" s="5">
        <f>IF(DiscreteStatsTable[[#This Row],[RepsRequested]]=DiscreteStatsTable[[#This Row],[RepsWithStatObserved]],1,0)</f>
        <v>1</v>
      </c>
    </row>
    <row r="732" spans="1:25" x14ac:dyDescent="0.25">
      <c r="A732" t="s">
        <v>67</v>
      </c>
      <c r="B732" t="s">
        <v>69</v>
      </c>
      <c r="C732">
        <v>9</v>
      </c>
      <c r="D732" t="s">
        <v>109</v>
      </c>
      <c r="E732" t="s">
        <v>107</v>
      </c>
      <c r="F732" t="s">
        <v>80</v>
      </c>
      <c r="G732">
        <v>2.37643491720041</v>
      </c>
      <c r="H732">
        <v>2E+20</v>
      </c>
      <c r="I732">
        <v>0.66531193553086598</v>
      </c>
      <c r="J732">
        <v>6.6913482231682204</v>
      </c>
      <c r="K732">
        <v>56</v>
      </c>
      <c r="L73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compartida)TiempoEnSistemaNoMesaCantProd1IntervalUser Specified</v>
      </c>
      <c r="M732" s="5" cm="1">
        <f t="array" ref="M732">MAX(IF((ProjectInfoTable[ProjectName]=DiscreteStatsTable[[#This Row],[ProjectName]]),(ProjectInfoTable[ProjectName]=DiscreteStatsTable[[#This Row],[ProjectName]])*ProjectInfoTable[NumberOfReplications]))</f>
        <v>19</v>
      </c>
      <c r="N732" s="5" cm="1">
        <f t="array" ref="N732">IFERROR(AVERAGE(IF((DiscreteStatsTable[GroupByKey]=DiscreteStatsTable[[#This Row],[GroupByKey]]),(DiscreteStatsTable[GroupByKey]=DiscreteStatsTable[[#This Row],[GroupByKey]])*DiscreteStatsTable[Average])),0)</f>
        <v>3.1564420087893303</v>
      </c>
      <c r="O732" s="5" cm="1">
        <f t="array" ref="O732">IFERROR(_xlfn.STDEV.S(IF((DiscreteStatsTable[GroupByKey]=DiscreteStatsTable[[#This Row],[GroupByKey]]),(DiscreteStatsTable[GroupByKey]=DiscreteStatsTable[[#This Row],[GroupByKey]])*DiscreteStatsTable[Average])),0)</f>
        <v>1.6240421246303407</v>
      </c>
      <c r="P732" s="5" cm="1">
        <f t="array" ref="P732">MAX(IF((ProjectInfoTable[ProjectName]=DiscreteStatsTable[[#This Row],[ProjectName]]),(ProjectInfoTable[ProjectName]=DiscreteStatsTable[[#This Row],[ProjectName]])*ProjectInfoTable[ConfidenceInterval]))</f>
        <v>0.95</v>
      </c>
      <c r="Q732" s="5">
        <f>IF(AND(DiscreteStatsTable[[#This Row],[RepsWithStatObserved]]=1,Y732=0),200000000000000000000,IFERROR(_xlfn.T.INV.2T(1 -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0.78276324780868989</v>
      </c>
      <c r="R732" s="5" cm="1">
        <f t="array" ref="R732">MIN(IF((DiscreteStatsTable[GroupByKey]=DiscreteStatsTable[[#This Row],[GroupByKey]]),(DiscreteStatsTable[GroupByKey]=DiscreteStatsTable[[#This Row],[GroupByKey]])*DiscreteStatsTable[Average]))</f>
        <v>1.88473174296347</v>
      </c>
      <c r="S732" s="5" cm="1">
        <f t="array" ref="S732">MAX(IF((DiscreteStatsTable[GroupByKey]=DiscreteStatsTable[[#This Row],[GroupByKey]]),(DiscreteStatsTable[GroupByKey]=DiscreteStatsTable[[#This Row],[GroupByKey]])*DiscreteStatsTable[Average]))</f>
        <v>9.0779071428284901</v>
      </c>
      <c r="T732" s="5" cm="1">
        <f t="array" ref="T732">MIN(IF((DiscreteStatsTable[GroupByKey]=DiscreteStatsTable[[#This Row],[GroupByKey]]),(DiscreteStatsTable[GroupByKey]=DiscreteStatsTable[[#This Row],[GroupByKey]])*DiscreteStatsTable[Minimum]))</f>
        <v>0.343771589355995</v>
      </c>
      <c r="U732" s="5" cm="1">
        <f t="array" ref="U732">MAX(IF((DiscreteStatsTable[GroupByKey]=DiscreteStatsTable[[#This Row],[GroupByKey]]),(DiscreteStatsTable[GroupByKey]=DiscreteStatsTable[[#This Row],[GroupByKey]])*DiscreteStatsTable[Maximum]))</f>
        <v>23.621620498770401</v>
      </c>
      <c r="V732" s="5" cm="1">
        <f t="array" ref="V732">IFERROR(AVERAGE(IF((DiscreteStatsTable[GroupByKey]=DiscreteStatsTable[[#This Row],[GroupByKey]]),(DiscreteStatsTable[GroupByKey]=DiscreteStatsTable[[#This Row],[GroupByKey]])*DiscreteStatsTable[NumberObservations])),0)</f>
        <v>67.94736842105263</v>
      </c>
      <c r="W732" s="5">
        <f>IF((DiscreteStatsTable[[#This Row],[RepsRequested]]&gt;1),DiscreteStatsTable[[#This Row],[HalfWidth]],DiscreteStatsTable[[#This Row],[BatchMeansHalfWidth]])</f>
        <v>0.78276324780868989</v>
      </c>
      <c r="X732" s="5" cm="1">
        <f t="array" ref="X732">COUNT(IF((DiscreteStatsTable[GroupByKey]=DiscreteStatsTable[[#This Row],[GroupByKey]]),(DiscreteStatsTable[GroupByKey]=DiscreteStatsTable[[#This Row],[GroupByKey]])*DiscreteStatsTable[Replication]))</f>
        <v>19</v>
      </c>
      <c r="Y732" s="5">
        <f>IF(DiscreteStatsTable[[#This Row],[RepsRequested]]=DiscreteStatsTable[[#This Row],[RepsWithStatObserved]],1,0)</f>
        <v>1</v>
      </c>
    </row>
    <row r="733" spans="1:25" x14ac:dyDescent="0.25">
      <c r="A733" t="s">
        <v>67</v>
      </c>
      <c r="B733" t="s">
        <v>69</v>
      </c>
      <c r="C733">
        <v>10</v>
      </c>
      <c r="D733" t="s">
        <v>109</v>
      </c>
      <c r="E733" t="s">
        <v>107</v>
      </c>
      <c r="F733" t="s">
        <v>80</v>
      </c>
      <c r="G733">
        <v>3.8927804654377298</v>
      </c>
      <c r="H733">
        <v>2E+20</v>
      </c>
      <c r="I733">
        <v>0.51258930973818895</v>
      </c>
      <c r="J733">
        <v>10.126295997336801</v>
      </c>
      <c r="K733">
        <v>56</v>
      </c>
      <c r="L73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compartida)TiempoEnSistemaNoMesaCantProd1IntervalUser Specified</v>
      </c>
      <c r="M733" s="5" cm="1">
        <f t="array" ref="M733">MAX(IF((ProjectInfoTable[ProjectName]=DiscreteStatsTable[[#This Row],[ProjectName]]),(ProjectInfoTable[ProjectName]=DiscreteStatsTable[[#This Row],[ProjectName]])*ProjectInfoTable[NumberOfReplications]))</f>
        <v>19</v>
      </c>
      <c r="N733" s="5" cm="1">
        <f t="array" ref="N733">IFERROR(AVERAGE(IF((DiscreteStatsTable[GroupByKey]=DiscreteStatsTable[[#This Row],[GroupByKey]]),(DiscreteStatsTable[GroupByKey]=DiscreteStatsTable[[#This Row],[GroupByKey]])*DiscreteStatsTable[Average])),0)</f>
        <v>3.1564420087893303</v>
      </c>
      <c r="O733" s="5" cm="1">
        <f t="array" ref="O733">IFERROR(_xlfn.STDEV.S(IF((DiscreteStatsTable[GroupByKey]=DiscreteStatsTable[[#This Row],[GroupByKey]]),(DiscreteStatsTable[GroupByKey]=DiscreteStatsTable[[#This Row],[GroupByKey]])*DiscreteStatsTable[Average])),0)</f>
        <v>1.6240421246303407</v>
      </c>
      <c r="P733" s="5" cm="1">
        <f t="array" ref="P733">MAX(IF((ProjectInfoTable[ProjectName]=DiscreteStatsTable[[#This Row],[ProjectName]]),(ProjectInfoTable[ProjectName]=DiscreteStatsTable[[#This Row],[ProjectName]])*ProjectInfoTable[ConfidenceInterval]))</f>
        <v>0.95</v>
      </c>
      <c r="Q733" s="5">
        <f>IF(AND(DiscreteStatsTable[[#This Row],[RepsWithStatObserved]]=1,Y733=0),200000000000000000000,IFERROR(_xlfn.T.INV.2T(1 -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0.78276324780868989</v>
      </c>
      <c r="R733" s="5" cm="1">
        <f t="array" ref="R733">MIN(IF((DiscreteStatsTable[GroupByKey]=DiscreteStatsTable[[#This Row],[GroupByKey]]),(DiscreteStatsTable[GroupByKey]=DiscreteStatsTable[[#This Row],[GroupByKey]])*DiscreteStatsTable[Average]))</f>
        <v>1.88473174296347</v>
      </c>
      <c r="S733" s="5" cm="1">
        <f t="array" ref="S733">MAX(IF((DiscreteStatsTable[GroupByKey]=DiscreteStatsTable[[#This Row],[GroupByKey]]),(DiscreteStatsTable[GroupByKey]=DiscreteStatsTable[[#This Row],[GroupByKey]])*DiscreteStatsTable[Average]))</f>
        <v>9.0779071428284901</v>
      </c>
      <c r="T733" s="5" cm="1">
        <f t="array" ref="T733">MIN(IF((DiscreteStatsTable[GroupByKey]=DiscreteStatsTable[[#This Row],[GroupByKey]]),(DiscreteStatsTable[GroupByKey]=DiscreteStatsTable[[#This Row],[GroupByKey]])*DiscreteStatsTable[Minimum]))</f>
        <v>0.343771589355995</v>
      </c>
      <c r="U733" s="5" cm="1">
        <f t="array" ref="U733">MAX(IF((DiscreteStatsTable[GroupByKey]=DiscreteStatsTable[[#This Row],[GroupByKey]]),(DiscreteStatsTable[GroupByKey]=DiscreteStatsTable[[#This Row],[GroupByKey]])*DiscreteStatsTable[Maximum]))</f>
        <v>23.621620498770401</v>
      </c>
      <c r="V733" s="5" cm="1">
        <f t="array" ref="V733">IFERROR(AVERAGE(IF((DiscreteStatsTable[GroupByKey]=DiscreteStatsTable[[#This Row],[GroupByKey]]),(DiscreteStatsTable[GroupByKey]=DiscreteStatsTable[[#This Row],[GroupByKey]])*DiscreteStatsTable[NumberObservations])),0)</f>
        <v>67.94736842105263</v>
      </c>
      <c r="W733" s="5">
        <f>IF((DiscreteStatsTable[[#This Row],[RepsRequested]]&gt;1),DiscreteStatsTable[[#This Row],[HalfWidth]],DiscreteStatsTable[[#This Row],[BatchMeansHalfWidth]])</f>
        <v>0.78276324780868989</v>
      </c>
      <c r="X733" s="5" cm="1">
        <f t="array" ref="X733">COUNT(IF((DiscreteStatsTable[GroupByKey]=DiscreteStatsTable[[#This Row],[GroupByKey]]),(DiscreteStatsTable[GroupByKey]=DiscreteStatsTable[[#This Row],[GroupByKey]])*DiscreteStatsTable[Replication]))</f>
        <v>19</v>
      </c>
      <c r="Y733" s="5">
        <f>IF(DiscreteStatsTable[[#This Row],[RepsRequested]]=DiscreteStatsTable[[#This Row],[RepsWithStatObserved]],1,0)</f>
        <v>1</v>
      </c>
    </row>
    <row r="734" spans="1:25" x14ac:dyDescent="0.25">
      <c r="A734" t="s">
        <v>67</v>
      </c>
      <c r="B734" t="s">
        <v>69</v>
      </c>
      <c r="C734">
        <v>11</v>
      </c>
      <c r="D734" t="s">
        <v>109</v>
      </c>
      <c r="E734" t="s">
        <v>107</v>
      </c>
      <c r="F734" t="s">
        <v>80</v>
      </c>
      <c r="G734">
        <v>2.6448580150707701</v>
      </c>
      <c r="H734">
        <v>2E+20</v>
      </c>
      <c r="I734">
        <v>0.71601904025376895</v>
      </c>
      <c r="J734">
        <v>12.720909194041599</v>
      </c>
      <c r="K734">
        <v>68</v>
      </c>
      <c r="L73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compartida)TiempoEnSistemaNoMesaCantProd1IntervalUser Specified</v>
      </c>
      <c r="M734" s="5" cm="1">
        <f t="array" ref="M734">MAX(IF((ProjectInfoTable[ProjectName]=DiscreteStatsTable[[#This Row],[ProjectName]]),(ProjectInfoTable[ProjectName]=DiscreteStatsTable[[#This Row],[ProjectName]])*ProjectInfoTable[NumberOfReplications]))</f>
        <v>19</v>
      </c>
      <c r="N734" s="5" cm="1">
        <f t="array" ref="N734">IFERROR(AVERAGE(IF((DiscreteStatsTable[GroupByKey]=DiscreteStatsTable[[#This Row],[GroupByKey]]),(DiscreteStatsTable[GroupByKey]=DiscreteStatsTable[[#This Row],[GroupByKey]])*DiscreteStatsTable[Average])),0)</f>
        <v>3.1564420087893303</v>
      </c>
      <c r="O734" s="5" cm="1">
        <f t="array" ref="O734">IFERROR(_xlfn.STDEV.S(IF((DiscreteStatsTable[GroupByKey]=DiscreteStatsTable[[#This Row],[GroupByKey]]),(DiscreteStatsTable[GroupByKey]=DiscreteStatsTable[[#This Row],[GroupByKey]])*DiscreteStatsTable[Average])),0)</f>
        <v>1.6240421246303407</v>
      </c>
      <c r="P734" s="5" cm="1">
        <f t="array" ref="P734">MAX(IF((ProjectInfoTable[ProjectName]=DiscreteStatsTable[[#This Row],[ProjectName]]),(ProjectInfoTable[ProjectName]=DiscreteStatsTable[[#This Row],[ProjectName]])*ProjectInfoTable[ConfidenceInterval]))</f>
        <v>0.95</v>
      </c>
      <c r="Q734" s="5">
        <f>IF(AND(DiscreteStatsTable[[#This Row],[RepsWithStatObserved]]=1,Y734=0),200000000000000000000,IFERROR(_xlfn.T.INV.2T(1 -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0.78276324780868989</v>
      </c>
      <c r="R734" s="5" cm="1">
        <f t="array" ref="R734">MIN(IF((DiscreteStatsTable[GroupByKey]=DiscreteStatsTable[[#This Row],[GroupByKey]]),(DiscreteStatsTable[GroupByKey]=DiscreteStatsTable[[#This Row],[GroupByKey]])*DiscreteStatsTable[Average]))</f>
        <v>1.88473174296347</v>
      </c>
      <c r="S734" s="5" cm="1">
        <f t="array" ref="S734">MAX(IF((DiscreteStatsTable[GroupByKey]=DiscreteStatsTable[[#This Row],[GroupByKey]]),(DiscreteStatsTable[GroupByKey]=DiscreteStatsTable[[#This Row],[GroupByKey]])*DiscreteStatsTable[Average]))</f>
        <v>9.0779071428284901</v>
      </c>
      <c r="T734" s="5" cm="1">
        <f t="array" ref="T734">MIN(IF((DiscreteStatsTable[GroupByKey]=DiscreteStatsTable[[#This Row],[GroupByKey]]),(DiscreteStatsTable[GroupByKey]=DiscreteStatsTable[[#This Row],[GroupByKey]])*DiscreteStatsTable[Minimum]))</f>
        <v>0.343771589355995</v>
      </c>
      <c r="U734" s="5" cm="1">
        <f t="array" ref="U734">MAX(IF((DiscreteStatsTable[GroupByKey]=DiscreteStatsTable[[#This Row],[GroupByKey]]),(DiscreteStatsTable[GroupByKey]=DiscreteStatsTable[[#This Row],[GroupByKey]])*DiscreteStatsTable[Maximum]))</f>
        <v>23.621620498770401</v>
      </c>
      <c r="V734" s="5" cm="1">
        <f t="array" ref="V734">IFERROR(AVERAGE(IF((DiscreteStatsTable[GroupByKey]=DiscreteStatsTable[[#This Row],[GroupByKey]]),(DiscreteStatsTable[GroupByKey]=DiscreteStatsTable[[#This Row],[GroupByKey]])*DiscreteStatsTable[NumberObservations])),0)</f>
        <v>67.94736842105263</v>
      </c>
      <c r="W734" s="5">
        <f>IF((DiscreteStatsTable[[#This Row],[RepsRequested]]&gt;1),DiscreteStatsTable[[#This Row],[HalfWidth]],DiscreteStatsTable[[#This Row],[BatchMeansHalfWidth]])</f>
        <v>0.78276324780868989</v>
      </c>
      <c r="X734" s="5" cm="1">
        <f t="array" ref="X734">COUNT(IF((DiscreteStatsTable[GroupByKey]=DiscreteStatsTable[[#This Row],[GroupByKey]]),(DiscreteStatsTable[GroupByKey]=DiscreteStatsTable[[#This Row],[GroupByKey]])*DiscreteStatsTable[Replication]))</f>
        <v>19</v>
      </c>
      <c r="Y734" s="5">
        <f>IF(DiscreteStatsTable[[#This Row],[RepsRequested]]=DiscreteStatsTable[[#This Row],[RepsWithStatObserved]],1,0)</f>
        <v>1</v>
      </c>
    </row>
    <row r="735" spans="1:25" x14ac:dyDescent="0.25">
      <c r="A735" t="s">
        <v>67</v>
      </c>
      <c r="B735" t="s">
        <v>69</v>
      </c>
      <c r="C735">
        <v>12</v>
      </c>
      <c r="D735" t="s">
        <v>109</v>
      </c>
      <c r="E735" t="s">
        <v>107</v>
      </c>
      <c r="F735" t="s">
        <v>80</v>
      </c>
      <c r="G735">
        <v>3.7632747458388298</v>
      </c>
      <c r="H735">
        <v>2E+20</v>
      </c>
      <c r="I735">
        <v>0.58058425662665103</v>
      </c>
      <c r="J735">
        <v>17.431341451623702</v>
      </c>
      <c r="K735">
        <v>69</v>
      </c>
      <c r="L73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compartida)TiempoEnSistemaNoMesaCantProd1IntervalUser Specified</v>
      </c>
      <c r="M735" s="5" cm="1">
        <f t="array" ref="M735">MAX(IF((ProjectInfoTable[ProjectName]=DiscreteStatsTable[[#This Row],[ProjectName]]),(ProjectInfoTable[ProjectName]=DiscreteStatsTable[[#This Row],[ProjectName]])*ProjectInfoTable[NumberOfReplications]))</f>
        <v>19</v>
      </c>
      <c r="N735" s="5" cm="1">
        <f t="array" ref="N735">IFERROR(AVERAGE(IF((DiscreteStatsTable[GroupByKey]=DiscreteStatsTable[[#This Row],[GroupByKey]]),(DiscreteStatsTable[GroupByKey]=DiscreteStatsTable[[#This Row],[GroupByKey]])*DiscreteStatsTable[Average])),0)</f>
        <v>3.1564420087893303</v>
      </c>
      <c r="O735" s="5" cm="1">
        <f t="array" ref="O735">IFERROR(_xlfn.STDEV.S(IF((DiscreteStatsTable[GroupByKey]=DiscreteStatsTable[[#This Row],[GroupByKey]]),(DiscreteStatsTable[GroupByKey]=DiscreteStatsTable[[#This Row],[GroupByKey]])*DiscreteStatsTable[Average])),0)</f>
        <v>1.6240421246303407</v>
      </c>
      <c r="P735" s="5" cm="1">
        <f t="array" ref="P735">MAX(IF((ProjectInfoTable[ProjectName]=DiscreteStatsTable[[#This Row],[ProjectName]]),(ProjectInfoTable[ProjectName]=DiscreteStatsTable[[#This Row],[ProjectName]])*ProjectInfoTable[ConfidenceInterval]))</f>
        <v>0.95</v>
      </c>
      <c r="Q735" s="5">
        <f>IF(AND(DiscreteStatsTable[[#This Row],[RepsWithStatObserved]]=1,Y735=0),200000000000000000000,IFERROR(_xlfn.T.INV.2T(1 -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0.78276324780868989</v>
      </c>
      <c r="R735" s="5" cm="1">
        <f t="array" ref="R735">MIN(IF((DiscreteStatsTable[GroupByKey]=DiscreteStatsTable[[#This Row],[GroupByKey]]),(DiscreteStatsTable[GroupByKey]=DiscreteStatsTable[[#This Row],[GroupByKey]])*DiscreteStatsTable[Average]))</f>
        <v>1.88473174296347</v>
      </c>
      <c r="S735" s="5" cm="1">
        <f t="array" ref="S735">MAX(IF((DiscreteStatsTable[GroupByKey]=DiscreteStatsTable[[#This Row],[GroupByKey]]),(DiscreteStatsTable[GroupByKey]=DiscreteStatsTable[[#This Row],[GroupByKey]])*DiscreteStatsTable[Average]))</f>
        <v>9.0779071428284901</v>
      </c>
      <c r="T735" s="5" cm="1">
        <f t="array" ref="T735">MIN(IF((DiscreteStatsTable[GroupByKey]=DiscreteStatsTable[[#This Row],[GroupByKey]]),(DiscreteStatsTable[GroupByKey]=DiscreteStatsTable[[#This Row],[GroupByKey]])*DiscreteStatsTable[Minimum]))</f>
        <v>0.343771589355995</v>
      </c>
      <c r="U735" s="5" cm="1">
        <f t="array" ref="U735">MAX(IF((DiscreteStatsTable[GroupByKey]=DiscreteStatsTable[[#This Row],[GroupByKey]]),(DiscreteStatsTable[GroupByKey]=DiscreteStatsTable[[#This Row],[GroupByKey]])*DiscreteStatsTable[Maximum]))</f>
        <v>23.621620498770401</v>
      </c>
      <c r="V735" s="5" cm="1">
        <f t="array" ref="V735">IFERROR(AVERAGE(IF((DiscreteStatsTable[GroupByKey]=DiscreteStatsTable[[#This Row],[GroupByKey]]),(DiscreteStatsTable[GroupByKey]=DiscreteStatsTable[[#This Row],[GroupByKey]])*DiscreteStatsTable[NumberObservations])),0)</f>
        <v>67.94736842105263</v>
      </c>
      <c r="W735" s="5">
        <f>IF((DiscreteStatsTable[[#This Row],[RepsRequested]]&gt;1),DiscreteStatsTable[[#This Row],[HalfWidth]],DiscreteStatsTable[[#This Row],[BatchMeansHalfWidth]])</f>
        <v>0.78276324780868989</v>
      </c>
      <c r="X735" s="5" cm="1">
        <f t="array" ref="X735">COUNT(IF((DiscreteStatsTable[GroupByKey]=DiscreteStatsTable[[#This Row],[GroupByKey]]),(DiscreteStatsTable[GroupByKey]=DiscreteStatsTable[[#This Row],[GroupByKey]])*DiscreteStatsTable[Replication]))</f>
        <v>19</v>
      </c>
      <c r="Y735" s="5">
        <f>IF(DiscreteStatsTable[[#This Row],[RepsRequested]]=DiscreteStatsTable[[#This Row],[RepsWithStatObserved]],1,0)</f>
        <v>1</v>
      </c>
    </row>
    <row r="736" spans="1:25" x14ac:dyDescent="0.25">
      <c r="A736" t="s">
        <v>67</v>
      </c>
      <c r="B736" t="s">
        <v>69</v>
      </c>
      <c r="C736">
        <v>13</v>
      </c>
      <c r="D736" t="s">
        <v>109</v>
      </c>
      <c r="E736" t="s">
        <v>107</v>
      </c>
      <c r="F736" t="s">
        <v>80</v>
      </c>
      <c r="G736">
        <v>2.8217154096506198</v>
      </c>
      <c r="H736">
        <v>2E+20</v>
      </c>
      <c r="I736">
        <v>0.58399138362214797</v>
      </c>
      <c r="J736">
        <v>8.2793948200808796</v>
      </c>
      <c r="K736">
        <v>72</v>
      </c>
      <c r="L73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compartida)TiempoEnSistemaNoMesaCantProd1IntervalUser Specified</v>
      </c>
      <c r="M736" s="5" cm="1">
        <f t="array" ref="M736">MAX(IF((ProjectInfoTable[ProjectName]=DiscreteStatsTable[[#This Row],[ProjectName]]),(ProjectInfoTable[ProjectName]=DiscreteStatsTable[[#This Row],[ProjectName]])*ProjectInfoTable[NumberOfReplications]))</f>
        <v>19</v>
      </c>
      <c r="N736" s="5" cm="1">
        <f t="array" ref="N736">IFERROR(AVERAGE(IF((DiscreteStatsTable[GroupByKey]=DiscreteStatsTable[[#This Row],[GroupByKey]]),(DiscreteStatsTable[GroupByKey]=DiscreteStatsTable[[#This Row],[GroupByKey]])*DiscreteStatsTable[Average])),0)</f>
        <v>3.1564420087893303</v>
      </c>
      <c r="O736" s="5" cm="1">
        <f t="array" ref="O736">IFERROR(_xlfn.STDEV.S(IF((DiscreteStatsTable[GroupByKey]=DiscreteStatsTable[[#This Row],[GroupByKey]]),(DiscreteStatsTable[GroupByKey]=DiscreteStatsTable[[#This Row],[GroupByKey]])*DiscreteStatsTable[Average])),0)</f>
        <v>1.6240421246303407</v>
      </c>
      <c r="P736" s="5" cm="1">
        <f t="array" ref="P736">MAX(IF((ProjectInfoTable[ProjectName]=DiscreteStatsTable[[#This Row],[ProjectName]]),(ProjectInfoTable[ProjectName]=DiscreteStatsTable[[#This Row],[ProjectName]])*ProjectInfoTable[ConfidenceInterval]))</f>
        <v>0.95</v>
      </c>
      <c r="Q736" s="5">
        <f>IF(AND(DiscreteStatsTable[[#This Row],[RepsWithStatObserved]]=1,Y736=0),200000000000000000000,IFERROR(_xlfn.T.INV.2T(1 -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0.78276324780868989</v>
      </c>
      <c r="R736" s="5" cm="1">
        <f t="array" ref="R736">MIN(IF((DiscreteStatsTable[GroupByKey]=DiscreteStatsTable[[#This Row],[GroupByKey]]),(DiscreteStatsTable[GroupByKey]=DiscreteStatsTable[[#This Row],[GroupByKey]])*DiscreteStatsTable[Average]))</f>
        <v>1.88473174296347</v>
      </c>
      <c r="S736" s="5" cm="1">
        <f t="array" ref="S736">MAX(IF((DiscreteStatsTable[GroupByKey]=DiscreteStatsTable[[#This Row],[GroupByKey]]),(DiscreteStatsTable[GroupByKey]=DiscreteStatsTable[[#This Row],[GroupByKey]])*DiscreteStatsTable[Average]))</f>
        <v>9.0779071428284901</v>
      </c>
      <c r="T736" s="5" cm="1">
        <f t="array" ref="T736">MIN(IF((DiscreteStatsTable[GroupByKey]=DiscreteStatsTable[[#This Row],[GroupByKey]]),(DiscreteStatsTable[GroupByKey]=DiscreteStatsTable[[#This Row],[GroupByKey]])*DiscreteStatsTable[Minimum]))</f>
        <v>0.343771589355995</v>
      </c>
      <c r="U736" s="5" cm="1">
        <f t="array" ref="U736">MAX(IF((DiscreteStatsTable[GroupByKey]=DiscreteStatsTable[[#This Row],[GroupByKey]]),(DiscreteStatsTable[GroupByKey]=DiscreteStatsTable[[#This Row],[GroupByKey]])*DiscreteStatsTable[Maximum]))</f>
        <v>23.621620498770401</v>
      </c>
      <c r="V736" s="5" cm="1">
        <f t="array" ref="V736">IFERROR(AVERAGE(IF((DiscreteStatsTable[GroupByKey]=DiscreteStatsTable[[#This Row],[GroupByKey]]),(DiscreteStatsTable[GroupByKey]=DiscreteStatsTable[[#This Row],[GroupByKey]])*DiscreteStatsTable[NumberObservations])),0)</f>
        <v>67.94736842105263</v>
      </c>
      <c r="W736" s="5">
        <f>IF((DiscreteStatsTable[[#This Row],[RepsRequested]]&gt;1),DiscreteStatsTable[[#This Row],[HalfWidth]],DiscreteStatsTable[[#This Row],[BatchMeansHalfWidth]])</f>
        <v>0.78276324780868989</v>
      </c>
      <c r="X736" s="5" cm="1">
        <f t="array" ref="X736">COUNT(IF((DiscreteStatsTable[GroupByKey]=DiscreteStatsTable[[#This Row],[GroupByKey]]),(DiscreteStatsTable[GroupByKey]=DiscreteStatsTable[[#This Row],[GroupByKey]])*DiscreteStatsTable[Replication]))</f>
        <v>19</v>
      </c>
      <c r="Y736" s="5">
        <f>IF(DiscreteStatsTable[[#This Row],[RepsRequested]]=DiscreteStatsTable[[#This Row],[RepsWithStatObserved]],1,0)</f>
        <v>1</v>
      </c>
    </row>
    <row r="737" spans="1:25" x14ac:dyDescent="0.25">
      <c r="A737" t="s">
        <v>67</v>
      </c>
      <c r="B737" t="s">
        <v>69</v>
      </c>
      <c r="C737">
        <v>14</v>
      </c>
      <c r="D737" t="s">
        <v>109</v>
      </c>
      <c r="E737" t="s">
        <v>107</v>
      </c>
      <c r="F737" t="s">
        <v>80</v>
      </c>
      <c r="G737">
        <v>2.90194661879285</v>
      </c>
      <c r="H737">
        <v>2E+20</v>
      </c>
      <c r="I737">
        <v>0.46231343756090798</v>
      </c>
      <c r="J737">
        <v>9.3016865991511999</v>
      </c>
      <c r="K737">
        <v>77</v>
      </c>
      <c r="L73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compartida)TiempoEnSistemaNoMesaCantProd1IntervalUser Specified</v>
      </c>
      <c r="M737" s="5" cm="1">
        <f t="array" ref="M737">MAX(IF((ProjectInfoTable[ProjectName]=DiscreteStatsTable[[#This Row],[ProjectName]]),(ProjectInfoTable[ProjectName]=DiscreteStatsTable[[#This Row],[ProjectName]])*ProjectInfoTable[NumberOfReplications]))</f>
        <v>19</v>
      </c>
      <c r="N737" s="5" cm="1">
        <f t="array" ref="N737">IFERROR(AVERAGE(IF((DiscreteStatsTable[GroupByKey]=DiscreteStatsTable[[#This Row],[GroupByKey]]),(DiscreteStatsTable[GroupByKey]=DiscreteStatsTable[[#This Row],[GroupByKey]])*DiscreteStatsTable[Average])),0)</f>
        <v>3.1564420087893303</v>
      </c>
      <c r="O737" s="5" cm="1">
        <f t="array" ref="O737">IFERROR(_xlfn.STDEV.S(IF((DiscreteStatsTable[GroupByKey]=DiscreteStatsTable[[#This Row],[GroupByKey]]),(DiscreteStatsTable[GroupByKey]=DiscreteStatsTable[[#This Row],[GroupByKey]])*DiscreteStatsTable[Average])),0)</f>
        <v>1.6240421246303407</v>
      </c>
      <c r="P737" s="5" cm="1">
        <f t="array" ref="P737">MAX(IF((ProjectInfoTable[ProjectName]=DiscreteStatsTable[[#This Row],[ProjectName]]),(ProjectInfoTable[ProjectName]=DiscreteStatsTable[[#This Row],[ProjectName]])*ProjectInfoTable[ConfidenceInterval]))</f>
        <v>0.95</v>
      </c>
      <c r="Q737" s="5">
        <f>IF(AND(DiscreteStatsTable[[#This Row],[RepsWithStatObserved]]=1,Y737=0),200000000000000000000,IFERROR(_xlfn.T.INV.2T(1 -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0.78276324780868989</v>
      </c>
      <c r="R737" s="5" cm="1">
        <f t="array" ref="R737">MIN(IF((DiscreteStatsTable[GroupByKey]=DiscreteStatsTable[[#This Row],[GroupByKey]]),(DiscreteStatsTable[GroupByKey]=DiscreteStatsTable[[#This Row],[GroupByKey]])*DiscreteStatsTable[Average]))</f>
        <v>1.88473174296347</v>
      </c>
      <c r="S737" s="5" cm="1">
        <f t="array" ref="S737">MAX(IF((DiscreteStatsTable[GroupByKey]=DiscreteStatsTable[[#This Row],[GroupByKey]]),(DiscreteStatsTable[GroupByKey]=DiscreteStatsTable[[#This Row],[GroupByKey]])*DiscreteStatsTable[Average]))</f>
        <v>9.0779071428284901</v>
      </c>
      <c r="T737" s="5" cm="1">
        <f t="array" ref="T737">MIN(IF((DiscreteStatsTable[GroupByKey]=DiscreteStatsTable[[#This Row],[GroupByKey]]),(DiscreteStatsTable[GroupByKey]=DiscreteStatsTable[[#This Row],[GroupByKey]])*DiscreteStatsTable[Minimum]))</f>
        <v>0.343771589355995</v>
      </c>
      <c r="U737" s="5" cm="1">
        <f t="array" ref="U737">MAX(IF((DiscreteStatsTable[GroupByKey]=DiscreteStatsTable[[#This Row],[GroupByKey]]),(DiscreteStatsTable[GroupByKey]=DiscreteStatsTable[[#This Row],[GroupByKey]])*DiscreteStatsTable[Maximum]))</f>
        <v>23.621620498770401</v>
      </c>
      <c r="V737" s="5" cm="1">
        <f t="array" ref="V737">IFERROR(AVERAGE(IF((DiscreteStatsTable[GroupByKey]=DiscreteStatsTable[[#This Row],[GroupByKey]]),(DiscreteStatsTable[GroupByKey]=DiscreteStatsTable[[#This Row],[GroupByKey]])*DiscreteStatsTable[NumberObservations])),0)</f>
        <v>67.94736842105263</v>
      </c>
      <c r="W737" s="5">
        <f>IF((DiscreteStatsTable[[#This Row],[RepsRequested]]&gt;1),DiscreteStatsTable[[#This Row],[HalfWidth]],DiscreteStatsTable[[#This Row],[BatchMeansHalfWidth]])</f>
        <v>0.78276324780868989</v>
      </c>
      <c r="X737" s="5" cm="1">
        <f t="array" ref="X737">COUNT(IF((DiscreteStatsTable[GroupByKey]=DiscreteStatsTable[[#This Row],[GroupByKey]]),(DiscreteStatsTable[GroupByKey]=DiscreteStatsTable[[#This Row],[GroupByKey]])*DiscreteStatsTable[Replication]))</f>
        <v>19</v>
      </c>
      <c r="Y737" s="5">
        <f>IF(DiscreteStatsTable[[#This Row],[RepsRequested]]=DiscreteStatsTable[[#This Row],[RepsWithStatObserved]],1,0)</f>
        <v>1</v>
      </c>
    </row>
    <row r="738" spans="1:25" x14ac:dyDescent="0.25">
      <c r="A738" t="s">
        <v>67</v>
      </c>
      <c r="B738" t="s">
        <v>69</v>
      </c>
      <c r="C738">
        <v>15</v>
      </c>
      <c r="D738" t="s">
        <v>109</v>
      </c>
      <c r="E738" t="s">
        <v>107</v>
      </c>
      <c r="F738" t="s">
        <v>80</v>
      </c>
      <c r="G738">
        <v>2.5113108726798998</v>
      </c>
      <c r="H738">
        <v>2E+20</v>
      </c>
      <c r="I738">
        <v>0.343771589355995</v>
      </c>
      <c r="J738">
        <v>6.8403072295512004</v>
      </c>
      <c r="K738">
        <v>74</v>
      </c>
      <c r="L73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compartida)TiempoEnSistemaNoMesaCantProd1IntervalUser Specified</v>
      </c>
      <c r="M738" s="5" cm="1">
        <f t="array" ref="M738">MAX(IF((ProjectInfoTable[ProjectName]=DiscreteStatsTable[[#This Row],[ProjectName]]),(ProjectInfoTable[ProjectName]=DiscreteStatsTable[[#This Row],[ProjectName]])*ProjectInfoTable[NumberOfReplications]))</f>
        <v>19</v>
      </c>
      <c r="N738" s="5" cm="1">
        <f t="array" ref="N738">IFERROR(AVERAGE(IF((DiscreteStatsTable[GroupByKey]=DiscreteStatsTable[[#This Row],[GroupByKey]]),(DiscreteStatsTable[GroupByKey]=DiscreteStatsTable[[#This Row],[GroupByKey]])*DiscreteStatsTable[Average])),0)</f>
        <v>3.1564420087893303</v>
      </c>
      <c r="O738" s="5" cm="1">
        <f t="array" ref="O738">IFERROR(_xlfn.STDEV.S(IF((DiscreteStatsTable[GroupByKey]=DiscreteStatsTable[[#This Row],[GroupByKey]]),(DiscreteStatsTable[GroupByKey]=DiscreteStatsTable[[#This Row],[GroupByKey]])*DiscreteStatsTable[Average])),0)</f>
        <v>1.6240421246303407</v>
      </c>
      <c r="P738" s="5" cm="1">
        <f t="array" ref="P738">MAX(IF((ProjectInfoTable[ProjectName]=DiscreteStatsTable[[#This Row],[ProjectName]]),(ProjectInfoTable[ProjectName]=DiscreteStatsTable[[#This Row],[ProjectName]])*ProjectInfoTable[ConfidenceInterval]))</f>
        <v>0.95</v>
      </c>
      <c r="Q738" s="5">
        <f>IF(AND(DiscreteStatsTable[[#This Row],[RepsWithStatObserved]]=1,Y738=0),200000000000000000000,IFERROR(_xlfn.T.INV.2T(1 -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0.78276324780868989</v>
      </c>
      <c r="R738" s="5" cm="1">
        <f t="array" ref="R738">MIN(IF((DiscreteStatsTable[GroupByKey]=DiscreteStatsTable[[#This Row],[GroupByKey]]),(DiscreteStatsTable[GroupByKey]=DiscreteStatsTable[[#This Row],[GroupByKey]])*DiscreteStatsTable[Average]))</f>
        <v>1.88473174296347</v>
      </c>
      <c r="S738" s="5" cm="1">
        <f t="array" ref="S738">MAX(IF((DiscreteStatsTable[GroupByKey]=DiscreteStatsTable[[#This Row],[GroupByKey]]),(DiscreteStatsTable[GroupByKey]=DiscreteStatsTable[[#This Row],[GroupByKey]])*DiscreteStatsTable[Average]))</f>
        <v>9.0779071428284901</v>
      </c>
      <c r="T738" s="5" cm="1">
        <f t="array" ref="T738">MIN(IF((DiscreteStatsTable[GroupByKey]=DiscreteStatsTable[[#This Row],[GroupByKey]]),(DiscreteStatsTable[GroupByKey]=DiscreteStatsTable[[#This Row],[GroupByKey]])*DiscreteStatsTable[Minimum]))</f>
        <v>0.343771589355995</v>
      </c>
      <c r="U738" s="5" cm="1">
        <f t="array" ref="U738">MAX(IF((DiscreteStatsTable[GroupByKey]=DiscreteStatsTable[[#This Row],[GroupByKey]]),(DiscreteStatsTable[GroupByKey]=DiscreteStatsTable[[#This Row],[GroupByKey]])*DiscreteStatsTable[Maximum]))</f>
        <v>23.621620498770401</v>
      </c>
      <c r="V738" s="5" cm="1">
        <f t="array" ref="V738">IFERROR(AVERAGE(IF((DiscreteStatsTable[GroupByKey]=DiscreteStatsTable[[#This Row],[GroupByKey]]),(DiscreteStatsTable[GroupByKey]=DiscreteStatsTable[[#This Row],[GroupByKey]])*DiscreteStatsTable[NumberObservations])),0)</f>
        <v>67.94736842105263</v>
      </c>
      <c r="W738" s="5">
        <f>IF((DiscreteStatsTable[[#This Row],[RepsRequested]]&gt;1),DiscreteStatsTable[[#This Row],[HalfWidth]],DiscreteStatsTable[[#This Row],[BatchMeansHalfWidth]])</f>
        <v>0.78276324780868989</v>
      </c>
      <c r="X738" s="5" cm="1">
        <f t="array" ref="X738">COUNT(IF((DiscreteStatsTable[GroupByKey]=DiscreteStatsTable[[#This Row],[GroupByKey]]),(DiscreteStatsTable[GroupByKey]=DiscreteStatsTable[[#This Row],[GroupByKey]])*DiscreteStatsTable[Replication]))</f>
        <v>19</v>
      </c>
      <c r="Y738" s="5">
        <f>IF(DiscreteStatsTable[[#This Row],[RepsRequested]]=DiscreteStatsTable[[#This Row],[RepsWithStatObserved]],1,0)</f>
        <v>1</v>
      </c>
    </row>
    <row r="739" spans="1:25" x14ac:dyDescent="0.25">
      <c r="A739" t="s">
        <v>67</v>
      </c>
      <c r="B739" t="s">
        <v>69</v>
      </c>
      <c r="C739">
        <v>16</v>
      </c>
      <c r="D739" t="s">
        <v>109</v>
      </c>
      <c r="E739" t="s">
        <v>107</v>
      </c>
      <c r="F739" t="s">
        <v>80</v>
      </c>
      <c r="G739">
        <v>2.0332676663029798</v>
      </c>
      <c r="H739">
        <v>2E+20</v>
      </c>
      <c r="I739">
        <v>0.42567273086399399</v>
      </c>
      <c r="J739">
        <v>5.4963626311315297</v>
      </c>
      <c r="K739">
        <v>78</v>
      </c>
      <c r="L73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compartida)TiempoEnSistemaNoMesaCantProd1IntervalUser Specified</v>
      </c>
      <c r="M739" s="5" cm="1">
        <f t="array" ref="M739">MAX(IF((ProjectInfoTable[ProjectName]=DiscreteStatsTable[[#This Row],[ProjectName]]),(ProjectInfoTable[ProjectName]=DiscreteStatsTable[[#This Row],[ProjectName]])*ProjectInfoTable[NumberOfReplications]))</f>
        <v>19</v>
      </c>
      <c r="N739" s="5" cm="1">
        <f t="array" ref="N739">IFERROR(AVERAGE(IF((DiscreteStatsTable[GroupByKey]=DiscreteStatsTable[[#This Row],[GroupByKey]]),(DiscreteStatsTable[GroupByKey]=DiscreteStatsTable[[#This Row],[GroupByKey]])*DiscreteStatsTable[Average])),0)</f>
        <v>3.1564420087893303</v>
      </c>
      <c r="O739" s="5" cm="1">
        <f t="array" ref="O739">IFERROR(_xlfn.STDEV.S(IF((DiscreteStatsTable[GroupByKey]=DiscreteStatsTable[[#This Row],[GroupByKey]]),(DiscreteStatsTable[GroupByKey]=DiscreteStatsTable[[#This Row],[GroupByKey]])*DiscreteStatsTable[Average])),0)</f>
        <v>1.6240421246303407</v>
      </c>
      <c r="P739" s="5" cm="1">
        <f t="array" ref="P739">MAX(IF((ProjectInfoTable[ProjectName]=DiscreteStatsTable[[#This Row],[ProjectName]]),(ProjectInfoTable[ProjectName]=DiscreteStatsTable[[#This Row],[ProjectName]])*ProjectInfoTable[ConfidenceInterval]))</f>
        <v>0.95</v>
      </c>
      <c r="Q739" s="5">
        <f>IF(AND(DiscreteStatsTable[[#This Row],[RepsWithStatObserved]]=1,Y739=0),200000000000000000000,IFERROR(_xlfn.T.INV.2T(1 -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0.78276324780868989</v>
      </c>
      <c r="R739" s="5" cm="1">
        <f t="array" ref="R739">MIN(IF((DiscreteStatsTable[GroupByKey]=DiscreteStatsTable[[#This Row],[GroupByKey]]),(DiscreteStatsTable[GroupByKey]=DiscreteStatsTable[[#This Row],[GroupByKey]])*DiscreteStatsTable[Average]))</f>
        <v>1.88473174296347</v>
      </c>
      <c r="S739" s="5" cm="1">
        <f t="array" ref="S739">MAX(IF((DiscreteStatsTable[GroupByKey]=DiscreteStatsTable[[#This Row],[GroupByKey]]),(DiscreteStatsTable[GroupByKey]=DiscreteStatsTable[[#This Row],[GroupByKey]])*DiscreteStatsTable[Average]))</f>
        <v>9.0779071428284901</v>
      </c>
      <c r="T739" s="5" cm="1">
        <f t="array" ref="T739">MIN(IF((DiscreteStatsTable[GroupByKey]=DiscreteStatsTable[[#This Row],[GroupByKey]]),(DiscreteStatsTable[GroupByKey]=DiscreteStatsTable[[#This Row],[GroupByKey]])*DiscreteStatsTable[Minimum]))</f>
        <v>0.343771589355995</v>
      </c>
      <c r="U739" s="5" cm="1">
        <f t="array" ref="U739">MAX(IF((DiscreteStatsTable[GroupByKey]=DiscreteStatsTable[[#This Row],[GroupByKey]]),(DiscreteStatsTable[GroupByKey]=DiscreteStatsTable[[#This Row],[GroupByKey]])*DiscreteStatsTable[Maximum]))</f>
        <v>23.621620498770401</v>
      </c>
      <c r="V739" s="5" cm="1">
        <f t="array" ref="V739">IFERROR(AVERAGE(IF((DiscreteStatsTable[GroupByKey]=DiscreteStatsTable[[#This Row],[GroupByKey]]),(DiscreteStatsTable[GroupByKey]=DiscreteStatsTable[[#This Row],[GroupByKey]])*DiscreteStatsTable[NumberObservations])),0)</f>
        <v>67.94736842105263</v>
      </c>
      <c r="W739" s="5">
        <f>IF((DiscreteStatsTable[[#This Row],[RepsRequested]]&gt;1),DiscreteStatsTable[[#This Row],[HalfWidth]],DiscreteStatsTable[[#This Row],[BatchMeansHalfWidth]])</f>
        <v>0.78276324780868989</v>
      </c>
      <c r="X739" s="5" cm="1">
        <f t="array" ref="X739">COUNT(IF((DiscreteStatsTable[GroupByKey]=DiscreteStatsTable[[#This Row],[GroupByKey]]),(DiscreteStatsTable[GroupByKey]=DiscreteStatsTable[[#This Row],[GroupByKey]])*DiscreteStatsTable[Replication]))</f>
        <v>19</v>
      </c>
      <c r="Y739" s="5">
        <f>IF(DiscreteStatsTable[[#This Row],[RepsRequested]]=DiscreteStatsTable[[#This Row],[RepsWithStatObserved]],1,0)</f>
        <v>1</v>
      </c>
    </row>
    <row r="740" spans="1:25" x14ac:dyDescent="0.25">
      <c r="A740" t="s">
        <v>67</v>
      </c>
      <c r="B740" t="s">
        <v>69</v>
      </c>
      <c r="C740">
        <v>17</v>
      </c>
      <c r="D740" t="s">
        <v>109</v>
      </c>
      <c r="E740" t="s">
        <v>107</v>
      </c>
      <c r="F740" t="s">
        <v>80</v>
      </c>
      <c r="G740">
        <v>2.8657878915163</v>
      </c>
      <c r="H740">
        <v>2E+20</v>
      </c>
      <c r="I740">
        <v>0.48868870900758998</v>
      </c>
      <c r="J740">
        <v>8.9311062395517808</v>
      </c>
      <c r="K740">
        <v>73</v>
      </c>
      <c r="L74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compartida)TiempoEnSistemaNoMesaCantProd1IntervalUser Specified</v>
      </c>
      <c r="M740" s="5" cm="1">
        <f t="array" ref="M740">MAX(IF((ProjectInfoTable[ProjectName]=DiscreteStatsTable[[#This Row],[ProjectName]]),(ProjectInfoTable[ProjectName]=DiscreteStatsTable[[#This Row],[ProjectName]])*ProjectInfoTable[NumberOfReplications]))</f>
        <v>19</v>
      </c>
      <c r="N740" s="5" cm="1">
        <f t="array" ref="N740">IFERROR(AVERAGE(IF((DiscreteStatsTable[GroupByKey]=DiscreteStatsTable[[#This Row],[GroupByKey]]),(DiscreteStatsTable[GroupByKey]=DiscreteStatsTable[[#This Row],[GroupByKey]])*DiscreteStatsTable[Average])),0)</f>
        <v>3.1564420087893303</v>
      </c>
      <c r="O740" s="5" cm="1">
        <f t="array" ref="O740">IFERROR(_xlfn.STDEV.S(IF((DiscreteStatsTable[GroupByKey]=DiscreteStatsTable[[#This Row],[GroupByKey]]),(DiscreteStatsTable[GroupByKey]=DiscreteStatsTable[[#This Row],[GroupByKey]])*DiscreteStatsTable[Average])),0)</f>
        <v>1.6240421246303407</v>
      </c>
      <c r="P740" s="5" cm="1">
        <f t="array" ref="P740">MAX(IF((ProjectInfoTable[ProjectName]=DiscreteStatsTable[[#This Row],[ProjectName]]),(ProjectInfoTable[ProjectName]=DiscreteStatsTable[[#This Row],[ProjectName]])*ProjectInfoTable[ConfidenceInterval]))</f>
        <v>0.95</v>
      </c>
      <c r="Q740" s="5">
        <f>IF(AND(DiscreteStatsTable[[#This Row],[RepsWithStatObserved]]=1,Y740=0),200000000000000000000,IFERROR(_xlfn.T.INV.2T(1 -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0.78276324780868989</v>
      </c>
      <c r="R740" s="5" cm="1">
        <f t="array" ref="R740">MIN(IF((DiscreteStatsTable[GroupByKey]=DiscreteStatsTable[[#This Row],[GroupByKey]]),(DiscreteStatsTable[GroupByKey]=DiscreteStatsTable[[#This Row],[GroupByKey]])*DiscreteStatsTable[Average]))</f>
        <v>1.88473174296347</v>
      </c>
      <c r="S740" s="5" cm="1">
        <f t="array" ref="S740">MAX(IF((DiscreteStatsTable[GroupByKey]=DiscreteStatsTable[[#This Row],[GroupByKey]]),(DiscreteStatsTable[GroupByKey]=DiscreteStatsTable[[#This Row],[GroupByKey]])*DiscreteStatsTable[Average]))</f>
        <v>9.0779071428284901</v>
      </c>
      <c r="T740" s="5" cm="1">
        <f t="array" ref="T740">MIN(IF((DiscreteStatsTable[GroupByKey]=DiscreteStatsTable[[#This Row],[GroupByKey]]),(DiscreteStatsTable[GroupByKey]=DiscreteStatsTable[[#This Row],[GroupByKey]])*DiscreteStatsTable[Minimum]))</f>
        <v>0.343771589355995</v>
      </c>
      <c r="U740" s="5" cm="1">
        <f t="array" ref="U740">MAX(IF((DiscreteStatsTable[GroupByKey]=DiscreteStatsTable[[#This Row],[GroupByKey]]),(DiscreteStatsTable[GroupByKey]=DiscreteStatsTable[[#This Row],[GroupByKey]])*DiscreteStatsTable[Maximum]))</f>
        <v>23.621620498770401</v>
      </c>
      <c r="V740" s="5" cm="1">
        <f t="array" ref="V740">IFERROR(AVERAGE(IF((DiscreteStatsTable[GroupByKey]=DiscreteStatsTable[[#This Row],[GroupByKey]]),(DiscreteStatsTable[GroupByKey]=DiscreteStatsTable[[#This Row],[GroupByKey]])*DiscreteStatsTable[NumberObservations])),0)</f>
        <v>67.94736842105263</v>
      </c>
      <c r="W740" s="5">
        <f>IF((DiscreteStatsTable[[#This Row],[RepsRequested]]&gt;1),DiscreteStatsTable[[#This Row],[HalfWidth]],DiscreteStatsTable[[#This Row],[BatchMeansHalfWidth]])</f>
        <v>0.78276324780868989</v>
      </c>
      <c r="X740" s="5" cm="1">
        <f t="array" ref="X740">COUNT(IF((DiscreteStatsTable[GroupByKey]=DiscreteStatsTable[[#This Row],[GroupByKey]]),(DiscreteStatsTable[GroupByKey]=DiscreteStatsTable[[#This Row],[GroupByKey]])*DiscreteStatsTable[Replication]))</f>
        <v>19</v>
      </c>
      <c r="Y740" s="5">
        <f>IF(DiscreteStatsTable[[#This Row],[RepsRequested]]=DiscreteStatsTable[[#This Row],[RepsWithStatObserved]],1,0)</f>
        <v>1</v>
      </c>
    </row>
    <row r="741" spans="1:25" x14ac:dyDescent="0.25">
      <c r="A741" t="s">
        <v>67</v>
      </c>
      <c r="B741" t="s">
        <v>69</v>
      </c>
      <c r="C741">
        <v>18</v>
      </c>
      <c r="D741" t="s">
        <v>109</v>
      </c>
      <c r="E741" t="s">
        <v>107</v>
      </c>
      <c r="F741" t="s">
        <v>80</v>
      </c>
      <c r="G741">
        <v>3.62914355947574</v>
      </c>
      <c r="H741">
        <v>2E+20</v>
      </c>
      <c r="I741">
        <v>0.37049348617418298</v>
      </c>
      <c r="J741">
        <v>13.740882909636699</v>
      </c>
      <c r="K741">
        <v>61</v>
      </c>
      <c r="L74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compartida)TiempoEnSistemaNoMesaCantProd1IntervalUser Specified</v>
      </c>
      <c r="M741" s="5" cm="1">
        <f t="array" ref="M741">MAX(IF((ProjectInfoTable[ProjectName]=DiscreteStatsTable[[#This Row],[ProjectName]]),(ProjectInfoTable[ProjectName]=DiscreteStatsTable[[#This Row],[ProjectName]])*ProjectInfoTable[NumberOfReplications]))</f>
        <v>19</v>
      </c>
      <c r="N741" s="5" cm="1">
        <f t="array" ref="N741">IFERROR(AVERAGE(IF((DiscreteStatsTable[GroupByKey]=DiscreteStatsTable[[#This Row],[GroupByKey]]),(DiscreteStatsTable[GroupByKey]=DiscreteStatsTable[[#This Row],[GroupByKey]])*DiscreteStatsTable[Average])),0)</f>
        <v>3.1564420087893303</v>
      </c>
      <c r="O741" s="5" cm="1">
        <f t="array" ref="O741">IFERROR(_xlfn.STDEV.S(IF((DiscreteStatsTable[GroupByKey]=DiscreteStatsTable[[#This Row],[GroupByKey]]),(DiscreteStatsTable[GroupByKey]=DiscreteStatsTable[[#This Row],[GroupByKey]])*DiscreteStatsTable[Average])),0)</f>
        <v>1.6240421246303407</v>
      </c>
      <c r="P741" s="5" cm="1">
        <f t="array" ref="P741">MAX(IF((ProjectInfoTable[ProjectName]=DiscreteStatsTable[[#This Row],[ProjectName]]),(ProjectInfoTable[ProjectName]=DiscreteStatsTable[[#This Row],[ProjectName]])*ProjectInfoTable[ConfidenceInterval]))</f>
        <v>0.95</v>
      </c>
      <c r="Q741" s="5">
        <f>IF(AND(DiscreteStatsTable[[#This Row],[RepsWithStatObserved]]=1,Y741=0),200000000000000000000,IFERROR(_xlfn.T.INV.2T(1 -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0.78276324780868989</v>
      </c>
      <c r="R741" s="5" cm="1">
        <f t="array" ref="R741">MIN(IF((DiscreteStatsTable[GroupByKey]=DiscreteStatsTable[[#This Row],[GroupByKey]]),(DiscreteStatsTable[GroupByKey]=DiscreteStatsTable[[#This Row],[GroupByKey]])*DiscreteStatsTable[Average]))</f>
        <v>1.88473174296347</v>
      </c>
      <c r="S741" s="5" cm="1">
        <f t="array" ref="S741">MAX(IF((DiscreteStatsTable[GroupByKey]=DiscreteStatsTable[[#This Row],[GroupByKey]]),(DiscreteStatsTable[GroupByKey]=DiscreteStatsTable[[#This Row],[GroupByKey]])*DiscreteStatsTable[Average]))</f>
        <v>9.0779071428284901</v>
      </c>
      <c r="T741" s="5" cm="1">
        <f t="array" ref="T741">MIN(IF((DiscreteStatsTable[GroupByKey]=DiscreteStatsTable[[#This Row],[GroupByKey]]),(DiscreteStatsTable[GroupByKey]=DiscreteStatsTable[[#This Row],[GroupByKey]])*DiscreteStatsTable[Minimum]))</f>
        <v>0.343771589355995</v>
      </c>
      <c r="U741" s="5" cm="1">
        <f t="array" ref="U741">MAX(IF((DiscreteStatsTable[GroupByKey]=DiscreteStatsTable[[#This Row],[GroupByKey]]),(DiscreteStatsTable[GroupByKey]=DiscreteStatsTable[[#This Row],[GroupByKey]])*DiscreteStatsTable[Maximum]))</f>
        <v>23.621620498770401</v>
      </c>
      <c r="V741" s="5" cm="1">
        <f t="array" ref="V741">IFERROR(AVERAGE(IF((DiscreteStatsTable[GroupByKey]=DiscreteStatsTable[[#This Row],[GroupByKey]]),(DiscreteStatsTable[GroupByKey]=DiscreteStatsTable[[#This Row],[GroupByKey]])*DiscreteStatsTable[NumberObservations])),0)</f>
        <v>67.94736842105263</v>
      </c>
      <c r="W741" s="5">
        <f>IF((DiscreteStatsTable[[#This Row],[RepsRequested]]&gt;1),DiscreteStatsTable[[#This Row],[HalfWidth]],DiscreteStatsTable[[#This Row],[BatchMeansHalfWidth]])</f>
        <v>0.78276324780868989</v>
      </c>
      <c r="X741" s="5" cm="1">
        <f t="array" ref="X741">COUNT(IF((DiscreteStatsTable[GroupByKey]=DiscreteStatsTable[[#This Row],[GroupByKey]]),(DiscreteStatsTable[GroupByKey]=DiscreteStatsTable[[#This Row],[GroupByKey]])*DiscreteStatsTable[Replication]))</f>
        <v>19</v>
      </c>
      <c r="Y741" s="5">
        <f>IF(DiscreteStatsTable[[#This Row],[RepsRequested]]=DiscreteStatsTable[[#This Row],[RepsWithStatObserved]],1,0)</f>
        <v>1</v>
      </c>
    </row>
    <row r="742" spans="1:25" x14ac:dyDescent="0.25">
      <c r="A742" t="s">
        <v>67</v>
      </c>
      <c r="B742" t="s">
        <v>69</v>
      </c>
      <c r="C742">
        <v>19</v>
      </c>
      <c r="D742" t="s">
        <v>109</v>
      </c>
      <c r="E742" t="s">
        <v>107</v>
      </c>
      <c r="F742" t="s">
        <v>80</v>
      </c>
      <c r="G742">
        <v>2.4807236587133099</v>
      </c>
      <c r="H742">
        <v>2E+20</v>
      </c>
      <c r="I742">
        <v>0.55412039253906198</v>
      </c>
      <c r="J742">
        <v>10.3378185004101</v>
      </c>
      <c r="K742">
        <v>69</v>
      </c>
      <c r="L74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compartida)TiempoEnSistemaNoMesaCantProd1IntervalUser Specified</v>
      </c>
      <c r="M742" s="5" cm="1">
        <f t="array" ref="M742">MAX(IF((ProjectInfoTable[ProjectName]=DiscreteStatsTable[[#This Row],[ProjectName]]),(ProjectInfoTable[ProjectName]=DiscreteStatsTable[[#This Row],[ProjectName]])*ProjectInfoTable[NumberOfReplications]))</f>
        <v>19</v>
      </c>
      <c r="N742" s="5" cm="1">
        <f t="array" ref="N742">IFERROR(AVERAGE(IF((DiscreteStatsTable[GroupByKey]=DiscreteStatsTable[[#This Row],[GroupByKey]]),(DiscreteStatsTable[GroupByKey]=DiscreteStatsTable[[#This Row],[GroupByKey]])*DiscreteStatsTable[Average])),0)</f>
        <v>3.1564420087893303</v>
      </c>
      <c r="O742" s="5" cm="1">
        <f t="array" ref="O742">IFERROR(_xlfn.STDEV.S(IF((DiscreteStatsTable[GroupByKey]=DiscreteStatsTable[[#This Row],[GroupByKey]]),(DiscreteStatsTable[GroupByKey]=DiscreteStatsTable[[#This Row],[GroupByKey]])*DiscreteStatsTable[Average])),0)</f>
        <v>1.6240421246303407</v>
      </c>
      <c r="P742" s="5" cm="1">
        <f t="array" ref="P742">MAX(IF((ProjectInfoTable[ProjectName]=DiscreteStatsTable[[#This Row],[ProjectName]]),(ProjectInfoTable[ProjectName]=DiscreteStatsTable[[#This Row],[ProjectName]])*ProjectInfoTable[ConfidenceInterval]))</f>
        <v>0.95</v>
      </c>
      <c r="Q742" s="5">
        <f>IF(AND(DiscreteStatsTable[[#This Row],[RepsWithStatObserved]]=1,Y742=0),200000000000000000000,IFERROR(_xlfn.T.INV.2T(1 -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0.78276324780868989</v>
      </c>
      <c r="R742" s="5" cm="1">
        <f t="array" ref="R742">MIN(IF((DiscreteStatsTable[GroupByKey]=DiscreteStatsTable[[#This Row],[GroupByKey]]),(DiscreteStatsTable[GroupByKey]=DiscreteStatsTable[[#This Row],[GroupByKey]])*DiscreteStatsTable[Average]))</f>
        <v>1.88473174296347</v>
      </c>
      <c r="S742" s="5" cm="1">
        <f t="array" ref="S742">MAX(IF((DiscreteStatsTable[GroupByKey]=DiscreteStatsTable[[#This Row],[GroupByKey]]),(DiscreteStatsTable[GroupByKey]=DiscreteStatsTable[[#This Row],[GroupByKey]])*DiscreteStatsTable[Average]))</f>
        <v>9.0779071428284901</v>
      </c>
      <c r="T742" s="5" cm="1">
        <f t="array" ref="T742">MIN(IF((DiscreteStatsTable[GroupByKey]=DiscreteStatsTable[[#This Row],[GroupByKey]]),(DiscreteStatsTable[GroupByKey]=DiscreteStatsTable[[#This Row],[GroupByKey]])*DiscreteStatsTable[Minimum]))</f>
        <v>0.343771589355995</v>
      </c>
      <c r="U742" s="5" cm="1">
        <f t="array" ref="U742">MAX(IF((DiscreteStatsTable[GroupByKey]=DiscreteStatsTable[[#This Row],[GroupByKey]]),(DiscreteStatsTable[GroupByKey]=DiscreteStatsTable[[#This Row],[GroupByKey]])*DiscreteStatsTable[Maximum]))</f>
        <v>23.621620498770401</v>
      </c>
      <c r="V742" s="5" cm="1">
        <f t="array" ref="V742">IFERROR(AVERAGE(IF((DiscreteStatsTable[GroupByKey]=DiscreteStatsTable[[#This Row],[GroupByKey]]),(DiscreteStatsTable[GroupByKey]=DiscreteStatsTable[[#This Row],[GroupByKey]])*DiscreteStatsTable[NumberObservations])),0)</f>
        <v>67.94736842105263</v>
      </c>
      <c r="W742" s="5">
        <f>IF((DiscreteStatsTable[[#This Row],[RepsRequested]]&gt;1),DiscreteStatsTable[[#This Row],[HalfWidth]],DiscreteStatsTable[[#This Row],[BatchMeansHalfWidth]])</f>
        <v>0.78276324780868989</v>
      </c>
      <c r="X742" s="5" cm="1">
        <f t="array" ref="X742">COUNT(IF((DiscreteStatsTable[GroupByKey]=DiscreteStatsTable[[#This Row],[GroupByKey]]),(DiscreteStatsTable[GroupByKey]=DiscreteStatsTable[[#This Row],[GroupByKey]])*DiscreteStatsTable[Replication]))</f>
        <v>19</v>
      </c>
      <c r="Y742" s="5">
        <f>IF(DiscreteStatsTable[[#This Row],[RepsRequested]]=DiscreteStatsTable[[#This Row],[RepsWithStatObserved]],1,0)</f>
        <v>1</v>
      </c>
    </row>
    <row r="743" spans="1:25" x14ac:dyDescent="0.25">
      <c r="A743" t="s">
        <v>67</v>
      </c>
      <c r="B743" t="s">
        <v>69</v>
      </c>
      <c r="C743">
        <v>1</v>
      </c>
      <c r="D743" t="s">
        <v>110</v>
      </c>
      <c r="E743" t="s">
        <v>107</v>
      </c>
      <c r="F743" t="s">
        <v>80</v>
      </c>
      <c r="G743">
        <v>8.2425388076728598</v>
      </c>
      <c r="H743">
        <v>2E+20</v>
      </c>
      <c r="I743">
        <v>1.5633740117352799</v>
      </c>
      <c r="J743">
        <v>28.676361280594399</v>
      </c>
      <c r="K743">
        <v>39</v>
      </c>
      <c r="L74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compartida)TiempoEnSistemaNoMesaCantProd2IntervalUser Specified</v>
      </c>
      <c r="M743" s="5" cm="1">
        <f t="array" ref="M743">MAX(IF((ProjectInfoTable[ProjectName]=DiscreteStatsTable[[#This Row],[ProjectName]]),(ProjectInfoTable[ProjectName]=DiscreteStatsTable[[#This Row],[ProjectName]])*ProjectInfoTable[NumberOfReplications]))</f>
        <v>19</v>
      </c>
      <c r="N743" s="5" cm="1">
        <f t="array" ref="N743">IFERROR(AVERAGE(IF((DiscreteStatsTable[GroupByKey]=DiscreteStatsTable[[#This Row],[GroupByKey]]),(DiscreteStatsTable[GroupByKey]=DiscreteStatsTable[[#This Row],[GroupByKey]])*DiscreteStatsTable[Average])),0)</f>
        <v>3.9983565371792786</v>
      </c>
      <c r="O743" s="5" cm="1">
        <f t="array" ref="O743">IFERROR(_xlfn.STDEV.S(IF((DiscreteStatsTable[GroupByKey]=DiscreteStatsTable[[#This Row],[GroupByKey]]),(DiscreteStatsTable[GroupByKey]=DiscreteStatsTable[[#This Row],[GroupByKey]])*DiscreteStatsTable[Average])),0)</f>
        <v>1.3719461737846819</v>
      </c>
      <c r="P743" s="5" cm="1">
        <f t="array" ref="P743">MAX(IF((ProjectInfoTable[ProjectName]=DiscreteStatsTable[[#This Row],[ProjectName]]),(ProjectInfoTable[ProjectName]=DiscreteStatsTable[[#This Row],[ProjectName]])*ProjectInfoTable[ConfidenceInterval]))</f>
        <v>0.95</v>
      </c>
      <c r="Q743" s="5">
        <f>IF(AND(DiscreteStatsTable[[#This Row],[RepsWithStatObserved]]=1,Y743=0),200000000000000000000,IFERROR(_xlfn.T.INV.2T(1 -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0.66125688892142653</v>
      </c>
      <c r="R743" s="5" cm="1">
        <f t="array" ref="R743">MIN(IF((DiscreteStatsTable[GroupByKey]=DiscreteStatsTable[[#This Row],[GroupByKey]]),(DiscreteStatsTable[GroupByKey]=DiscreteStatsTable[[#This Row],[GroupByKey]])*DiscreteStatsTable[Average]))</f>
        <v>2.57025351162503</v>
      </c>
      <c r="S743" s="5" cm="1">
        <f t="array" ref="S743">MAX(IF((DiscreteStatsTable[GroupByKey]=DiscreteStatsTable[[#This Row],[GroupByKey]]),(DiscreteStatsTable[GroupByKey]=DiscreteStatsTable[[#This Row],[GroupByKey]])*DiscreteStatsTable[Average]))</f>
        <v>8.2425388076728598</v>
      </c>
      <c r="T743" s="5" cm="1">
        <f t="array" ref="T743">MIN(IF((DiscreteStatsTable[GroupByKey]=DiscreteStatsTable[[#This Row],[GroupByKey]]),(DiscreteStatsTable[GroupByKey]=DiscreteStatsTable[[#This Row],[GroupByKey]])*DiscreteStatsTable[Minimum]))</f>
        <v>0.79107086020877704</v>
      </c>
      <c r="U743" s="5" cm="1">
        <f t="array" ref="U743">MAX(IF((DiscreteStatsTable[GroupByKey]=DiscreteStatsTable[[#This Row],[GroupByKey]]),(DiscreteStatsTable[GroupByKey]=DiscreteStatsTable[[#This Row],[GroupByKey]])*DiscreteStatsTable[Maximum]))</f>
        <v>28.676361280594399</v>
      </c>
      <c r="V743" s="5" cm="1">
        <f t="array" ref="V743">IFERROR(AVERAGE(IF((DiscreteStatsTable[GroupByKey]=DiscreteStatsTable[[#This Row],[GroupByKey]]),(DiscreteStatsTable[GroupByKey]=DiscreteStatsTable[[#This Row],[GroupByKey]])*DiscreteStatsTable[NumberObservations])),0)</f>
        <v>26.421052631578949</v>
      </c>
      <c r="W743" s="5">
        <f>IF((DiscreteStatsTable[[#This Row],[RepsRequested]]&gt;1),DiscreteStatsTable[[#This Row],[HalfWidth]],DiscreteStatsTable[[#This Row],[BatchMeansHalfWidth]])</f>
        <v>0.66125688892142653</v>
      </c>
      <c r="X743" s="5" cm="1">
        <f t="array" ref="X743">COUNT(IF((DiscreteStatsTable[GroupByKey]=DiscreteStatsTable[[#This Row],[GroupByKey]]),(DiscreteStatsTable[GroupByKey]=DiscreteStatsTable[[#This Row],[GroupByKey]])*DiscreteStatsTable[Replication]))</f>
        <v>19</v>
      </c>
      <c r="Y743" s="5">
        <f>IF(DiscreteStatsTable[[#This Row],[RepsRequested]]=DiscreteStatsTable[[#This Row],[RepsWithStatObserved]],1,0)</f>
        <v>1</v>
      </c>
    </row>
    <row r="744" spans="1:25" x14ac:dyDescent="0.25">
      <c r="A744" t="s">
        <v>67</v>
      </c>
      <c r="B744" t="s">
        <v>69</v>
      </c>
      <c r="C744">
        <v>2</v>
      </c>
      <c r="D744" t="s">
        <v>110</v>
      </c>
      <c r="E744" t="s">
        <v>107</v>
      </c>
      <c r="F744" t="s">
        <v>80</v>
      </c>
      <c r="G744">
        <v>3.1446593504687899</v>
      </c>
      <c r="H744">
        <v>2E+20</v>
      </c>
      <c r="I744">
        <v>0.98049387885649297</v>
      </c>
      <c r="J744">
        <v>7.4611774564191098</v>
      </c>
      <c r="K744">
        <v>27</v>
      </c>
      <c r="L74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compartida)TiempoEnSistemaNoMesaCantProd2IntervalUser Specified</v>
      </c>
      <c r="M744" s="5" cm="1">
        <f t="array" ref="M744">MAX(IF((ProjectInfoTable[ProjectName]=DiscreteStatsTable[[#This Row],[ProjectName]]),(ProjectInfoTable[ProjectName]=DiscreteStatsTable[[#This Row],[ProjectName]])*ProjectInfoTable[NumberOfReplications]))</f>
        <v>19</v>
      </c>
      <c r="N744" s="5" cm="1">
        <f t="array" ref="N744">IFERROR(AVERAGE(IF((DiscreteStatsTable[GroupByKey]=DiscreteStatsTable[[#This Row],[GroupByKey]]),(DiscreteStatsTable[GroupByKey]=DiscreteStatsTable[[#This Row],[GroupByKey]])*DiscreteStatsTable[Average])),0)</f>
        <v>3.9983565371792786</v>
      </c>
      <c r="O744" s="5" cm="1">
        <f t="array" ref="O744">IFERROR(_xlfn.STDEV.S(IF((DiscreteStatsTable[GroupByKey]=DiscreteStatsTable[[#This Row],[GroupByKey]]),(DiscreteStatsTable[GroupByKey]=DiscreteStatsTable[[#This Row],[GroupByKey]])*DiscreteStatsTable[Average])),0)</f>
        <v>1.3719461737846819</v>
      </c>
      <c r="P744" s="5" cm="1">
        <f t="array" ref="P744">MAX(IF((ProjectInfoTable[ProjectName]=DiscreteStatsTable[[#This Row],[ProjectName]]),(ProjectInfoTable[ProjectName]=DiscreteStatsTable[[#This Row],[ProjectName]])*ProjectInfoTable[ConfidenceInterval]))</f>
        <v>0.95</v>
      </c>
      <c r="Q744" s="5">
        <f>IF(AND(DiscreteStatsTable[[#This Row],[RepsWithStatObserved]]=1,Y744=0),200000000000000000000,IFERROR(_xlfn.T.INV.2T(1 -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0.66125688892142653</v>
      </c>
      <c r="R744" s="5" cm="1">
        <f t="array" ref="R744">MIN(IF((DiscreteStatsTable[GroupByKey]=DiscreteStatsTable[[#This Row],[GroupByKey]]),(DiscreteStatsTable[GroupByKey]=DiscreteStatsTable[[#This Row],[GroupByKey]])*DiscreteStatsTable[Average]))</f>
        <v>2.57025351162503</v>
      </c>
      <c r="S744" s="5" cm="1">
        <f t="array" ref="S744">MAX(IF((DiscreteStatsTable[GroupByKey]=DiscreteStatsTable[[#This Row],[GroupByKey]]),(DiscreteStatsTable[GroupByKey]=DiscreteStatsTable[[#This Row],[GroupByKey]])*DiscreteStatsTable[Average]))</f>
        <v>8.2425388076728598</v>
      </c>
      <c r="T744" s="5" cm="1">
        <f t="array" ref="T744">MIN(IF((DiscreteStatsTable[GroupByKey]=DiscreteStatsTable[[#This Row],[GroupByKey]]),(DiscreteStatsTable[GroupByKey]=DiscreteStatsTable[[#This Row],[GroupByKey]])*DiscreteStatsTable[Minimum]))</f>
        <v>0.79107086020877704</v>
      </c>
      <c r="U744" s="5" cm="1">
        <f t="array" ref="U744">MAX(IF((DiscreteStatsTable[GroupByKey]=DiscreteStatsTable[[#This Row],[GroupByKey]]),(DiscreteStatsTable[GroupByKey]=DiscreteStatsTable[[#This Row],[GroupByKey]])*DiscreteStatsTable[Maximum]))</f>
        <v>28.676361280594399</v>
      </c>
      <c r="V744" s="5" cm="1">
        <f t="array" ref="V744">IFERROR(AVERAGE(IF((DiscreteStatsTable[GroupByKey]=DiscreteStatsTable[[#This Row],[GroupByKey]]),(DiscreteStatsTable[GroupByKey]=DiscreteStatsTable[[#This Row],[GroupByKey]])*DiscreteStatsTable[NumberObservations])),0)</f>
        <v>26.421052631578949</v>
      </c>
      <c r="W744" s="5">
        <f>IF((DiscreteStatsTable[[#This Row],[RepsRequested]]&gt;1),DiscreteStatsTable[[#This Row],[HalfWidth]],DiscreteStatsTable[[#This Row],[BatchMeansHalfWidth]])</f>
        <v>0.66125688892142653</v>
      </c>
      <c r="X744" s="5" cm="1">
        <f t="array" ref="X744">COUNT(IF((DiscreteStatsTable[GroupByKey]=DiscreteStatsTable[[#This Row],[GroupByKey]]),(DiscreteStatsTable[GroupByKey]=DiscreteStatsTable[[#This Row],[GroupByKey]])*DiscreteStatsTable[Replication]))</f>
        <v>19</v>
      </c>
      <c r="Y744" s="5">
        <f>IF(DiscreteStatsTable[[#This Row],[RepsRequested]]=DiscreteStatsTable[[#This Row],[RepsWithStatObserved]],1,0)</f>
        <v>1</v>
      </c>
    </row>
    <row r="745" spans="1:25" x14ac:dyDescent="0.25">
      <c r="A745" t="s">
        <v>67</v>
      </c>
      <c r="B745" t="s">
        <v>69</v>
      </c>
      <c r="C745">
        <v>3</v>
      </c>
      <c r="D745" t="s">
        <v>110</v>
      </c>
      <c r="E745" t="s">
        <v>107</v>
      </c>
      <c r="F745" t="s">
        <v>80</v>
      </c>
      <c r="G745">
        <v>6.2636518364630298</v>
      </c>
      <c r="H745">
        <v>2E+20</v>
      </c>
      <c r="I745">
        <v>0.99224873909628297</v>
      </c>
      <c r="J745">
        <v>19.107244973239101</v>
      </c>
      <c r="K745">
        <v>29</v>
      </c>
      <c r="L74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compartida)TiempoEnSistemaNoMesaCantProd2IntervalUser Specified</v>
      </c>
      <c r="M745" s="5" cm="1">
        <f t="array" ref="M745">MAX(IF((ProjectInfoTable[ProjectName]=DiscreteStatsTable[[#This Row],[ProjectName]]),(ProjectInfoTable[ProjectName]=DiscreteStatsTable[[#This Row],[ProjectName]])*ProjectInfoTable[NumberOfReplications]))</f>
        <v>19</v>
      </c>
      <c r="N745" s="5" cm="1">
        <f t="array" ref="N745">IFERROR(AVERAGE(IF((DiscreteStatsTable[GroupByKey]=DiscreteStatsTable[[#This Row],[GroupByKey]]),(DiscreteStatsTable[GroupByKey]=DiscreteStatsTable[[#This Row],[GroupByKey]])*DiscreteStatsTable[Average])),0)</f>
        <v>3.9983565371792786</v>
      </c>
      <c r="O745" s="5" cm="1">
        <f t="array" ref="O745">IFERROR(_xlfn.STDEV.S(IF((DiscreteStatsTable[GroupByKey]=DiscreteStatsTable[[#This Row],[GroupByKey]]),(DiscreteStatsTable[GroupByKey]=DiscreteStatsTable[[#This Row],[GroupByKey]])*DiscreteStatsTable[Average])),0)</f>
        <v>1.3719461737846819</v>
      </c>
      <c r="P745" s="5" cm="1">
        <f t="array" ref="P745">MAX(IF((ProjectInfoTable[ProjectName]=DiscreteStatsTable[[#This Row],[ProjectName]]),(ProjectInfoTable[ProjectName]=DiscreteStatsTable[[#This Row],[ProjectName]])*ProjectInfoTable[ConfidenceInterval]))</f>
        <v>0.95</v>
      </c>
      <c r="Q745" s="5">
        <f>IF(AND(DiscreteStatsTable[[#This Row],[RepsWithStatObserved]]=1,Y745=0),200000000000000000000,IFERROR(_xlfn.T.INV.2T(1 -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0.66125688892142653</v>
      </c>
      <c r="R745" s="5" cm="1">
        <f t="array" ref="R745">MIN(IF((DiscreteStatsTable[GroupByKey]=DiscreteStatsTable[[#This Row],[GroupByKey]]),(DiscreteStatsTable[GroupByKey]=DiscreteStatsTable[[#This Row],[GroupByKey]])*DiscreteStatsTable[Average]))</f>
        <v>2.57025351162503</v>
      </c>
      <c r="S745" s="5" cm="1">
        <f t="array" ref="S745">MAX(IF((DiscreteStatsTable[GroupByKey]=DiscreteStatsTable[[#This Row],[GroupByKey]]),(DiscreteStatsTable[GroupByKey]=DiscreteStatsTable[[#This Row],[GroupByKey]])*DiscreteStatsTable[Average]))</f>
        <v>8.2425388076728598</v>
      </c>
      <c r="T745" s="5" cm="1">
        <f t="array" ref="T745">MIN(IF((DiscreteStatsTable[GroupByKey]=DiscreteStatsTable[[#This Row],[GroupByKey]]),(DiscreteStatsTable[GroupByKey]=DiscreteStatsTable[[#This Row],[GroupByKey]])*DiscreteStatsTable[Minimum]))</f>
        <v>0.79107086020877704</v>
      </c>
      <c r="U745" s="5" cm="1">
        <f t="array" ref="U745">MAX(IF((DiscreteStatsTable[GroupByKey]=DiscreteStatsTable[[#This Row],[GroupByKey]]),(DiscreteStatsTable[GroupByKey]=DiscreteStatsTable[[#This Row],[GroupByKey]])*DiscreteStatsTable[Maximum]))</f>
        <v>28.676361280594399</v>
      </c>
      <c r="V745" s="5" cm="1">
        <f t="array" ref="V745">IFERROR(AVERAGE(IF((DiscreteStatsTable[GroupByKey]=DiscreteStatsTable[[#This Row],[GroupByKey]]),(DiscreteStatsTable[GroupByKey]=DiscreteStatsTable[[#This Row],[GroupByKey]])*DiscreteStatsTable[NumberObservations])),0)</f>
        <v>26.421052631578949</v>
      </c>
      <c r="W745" s="5">
        <f>IF((DiscreteStatsTable[[#This Row],[RepsRequested]]&gt;1),DiscreteStatsTable[[#This Row],[HalfWidth]],DiscreteStatsTable[[#This Row],[BatchMeansHalfWidth]])</f>
        <v>0.66125688892142653</v>
      </c>
      <c r="X745" s="5" cm="1">
        <f t="array" ref="X745">COUNT(IF((DiscreteStatsTable[GroupByKey]=DiscreteStatsTable[[#This Row],[GroupByKey]]),(DiscreteStatsTable[GroupByKey]=DiscreteStatsTable[[#This Row],[GroupByKey]])*DiscreteStatsTable[Replication]))</f>
        <v>19</v>
      </c>
      <c r="Y745" s="5">
        <f>IF(DiscreteStatsTable[[#This Row],[RepsRequested]]=DiscreteStatsTable[[#This Row],[RepsWithStatObserved]],1,0)</f>
        <v>1</v>
      </c>
    </row>
    <row r="746" spans="1:25" x14ac:dyDescent="0.25">
      <c r="A746" t="s">
        <v>67</v>
      </c>
      <c r="B746" t="s">
        <v>69</v>
      </c>
      <c r="C746">
        <v>4</v>
      </c>
      <c r="D746" t="s">
        <v>110</v>
      </c>
      <c r="E746" t="s">
        <v>107</v>
      </c>
      <c r="F746" t="s">
        <v>80</v>
      </c>
      <c r="G746">
        <v>3.22280159592645</v>
      </c>
      <c r="H746">
        <v>2E+20</v>
      </c>
      <c r="I746">
        <v>0.99819795973385805</v>
      </c>
      <c r="J746">
        <v>7.9996986341013496</v>
      </c>
      <c r="K746">
        <v>24</v>
      </c>
      <c r="L74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compartida)TiempoEnSistemaNoMesaCantProd2IntervalUser Specified</v>
      </c>
      <c r="M746" s="5" cm="1">
        <f t="array" ref="M746">MAX(IF((ProjectInfoTable[ProjectName]=DiscreteStatsTable[[#This Row],[ProjectName]]),(ProjectInfoTable[ProjectName]=DiscreteStatsTable[[#This Row],[ProjectName]])*ProjectInfoTable[NumberOfReplications]))</f>
        <v>19</v>
      </c>
      <c r="N746" s="5" cm="1">
        <f t="array" ref="N746">IFERROR(AVERAGE(IF((DiscreteStatsTable[GroupByKey]=DiscreteStatsTable[[#This Row],[GroupByKey]]),(DiscreteStatsTable[GroupByKey]=DiscreteStatsTable[[#This Row],[GroupByKey]])*DiscreteStatsTable[Average])),0)</f>
        <v>3.9983565371792786</v>
      </c>
      <c r="O746" s="5" cm="1">
        <f t="array" ref="O746">IFERROR(_xlfn.STDEV.S(IF((DiscreteStatsTable[GroupByKey]=DiscreteStatsTable[[#This Row],[GroupByKey]]),(DiscreteStatsTable[GroupByKey]=DiscreteStatsTable[[#This Row],[GroupByKey]])*DiscreteStatsTable[Average])),0)</f>
        <v>1.3719461737846819</v>
      </c>
      <c r="P746" s="5" cm="1">
        <f t="array" ref="P746">MAX(IF((ProjectInfoTable[ProjectName]=DiscreteStatsTable[[#This Row],[ProjectName]]),(ProjectInfoTable[ProjectName]=DiscreteStatsTable[[#This Row],[ProjectName]])*ProjectInfoTable[ConfidenceInterval]))</f>
        <v>0.95</v>
      </c>
      <c r="Q746" s="5">
        <f>IF(AND(DiscreteStatsTable[[#This Row],[RepsWithStatObserved]]=1,Y746=0),200000000000000000000,IFERROR(_xlfn.T.INV.2T(1 -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0.66125688892142653</v>
      </c>
      <c r="R746" s="5" cm="1">
        <f t="array" ref="R746">MIN(IF((DiscreteStatsTable[GroupByKey]=DiscreteStatsTable[[#This Row],[GroupByKey]]),(DiscreteStatsTable[GroupByKey]=DiscreteStatsTable[[#This Row],[GroupByKey]])*DiscreteStatsTable[Average]))</f>
        <v>2.57025351162503</v>
      </c>
      <c r="S746" s="5" cm="1">
        <f t="array" ref="S746">MAX(IF((DiscreteStatsTable[GroupByKey]=DiscreteStatsTable[[#This Row],[GroupByKey]]),(DiscreteStatsTable[GroupByKey]=DiscreteStatsTable[[#This Row],[GroupByKey]])*DiscreteStatsTable[Average]))</f>
        <v>8.2425388076728598</v>
      </c>
      <c r="T746" s="5" cm="1">
        <f t="array" ref="T746">MIN(IF((DiscreteStatsTable[GroupByKey]=DiscreteStatsTable[[#This Row],[GroupByKey]]),(DiscreteStatsTable[GroupByKey]=DiscreteStatsTable[[#This Row],[GroupByKey]])*DiscreteStatsTable[Minimum]))</f>
        <v>0.79107086020877704</v>
      </c>
      <c r="U746" s="5" cm="1">
        <f t="array" ref="U746">MAX(IF((DiscreteStatsTable[GroupByKey]=DiscreteStatsTable[[#This Row],[GroupByKey]]),(DiscreteStatsTable[GroupByKey]=DiscreteStatsTable[[#This Row],[GroupByKey]])*DiscreteStatsTable[Maximum]))</f>
        <v>28.676361280594399</v>
      </c>
      <c r="V746" s="5" cm="1">
        <f t="array" ref="V746">IFERROR(AVERAGE(IF((DiscreteStatsTable[GroupByKey]=DiscreteStatsTable[[#This Row],[GroupByKey]]),(DiscreteStatsTable[GroupByKey]=DiscreteStatsTable[[#This Row],[GroupByKey]])*DiscreteStatsTable[NumberObservations])),0)</f>
        <v>26.421052631578949</v>
      </c>
      <c r="W746" s="5">
        <f>IF((DiscreteStatsTable[[#This Row],[RepsRequested]]&gt;1),DiscreteStatsTable[[#This Row],[HalfWidth]],DiscreteStatsTable[[#This Row],[BatchMeansHalfWidth]])</f>
        <v>0.66125688892142653</v>
      </c>
      <c r="X746" s="5" cm="1">
        <f t="array" ref="X746">COUNT(IF((DiscreteStatsTable[GroupByKey]=DiscreteStatsTable[[#This Row],[GroupByKey]]),(DiscreteStatsTable[GroupByKey]=DiscreteStatsTable[[#This Row],[GroupByKey]])*DiscreteStatsTable[Replication]))</f>
        <v>19</v>
      </c>
      <c r="Y746" s="5">
        <f>IF(DiscreteStatsTable[[#This Row],[RepsRequested]]=DiscreteStatsTable[[#This Row],[RepsWithStatObserved]],1,0)</f>
        <v>1</v>
      </c>
    </row>
    <row r="747" spans="1:25" x14ac:dyDescent="0.25">
      <c r="A747" t="s">
        <v>67</v>
      </c>
      <c r="B747" t="s">
        <v>69</v>
      </c>
      <c r="C747">
        <v>5</v>
      </c>
      <c r="D747" t="s">
        <v>110</v>
      </c>
      <c r="E747" t="s">
        <v>107</v>
      </c>
      <c r="F747" t="s">
        <v>80</v>
      </c>
      <c r="G747">
        <v>2.6302112201626699</v>
      </c>
      <c r="H747">
        <v>2E+20</v>
      </c>
      <c r="I747">
        <v>0.87856724224636196</v>
      </c>
      <c r="J747">
        <v>5.5878140287058802</v>
      </c>
      <c r="K747">
        <v>27</v>
      </c>
      <c r="L74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compartida)TiempoEnSistemaNoMesaCantProd2IntervalUser Specified</v>
      </c>
      <c r="M747" s="5" cm="1">
        <f t="array" ref="M747">MAX(IF((ProjectInfoTable[ProjectName]=DiscreteStatsTable[[#This Row],[ProjectName]]),(ProjectInfoTable[ProjectName]=DiscreteStatsTable[[#This Row],[ProjectName]])*ProjectInfoTable[NumberOfReplications]))</f>
        <v>19</v>
      </c>
      <c r="N747" s="5" cm="1">
        <f t="array" ref="N747">IFERROR(AVERAGE(IF((DiscreteStatsTable[GroupByKey]=DiscreteStatsTable[[#This Row],[GroupByKey]]),(DiscreteStatsTable[GroupByKey]=DiscreteStatsTable[[#This Row],[GroupByKey]])*DiscreteStatsTable[Average])),0)</f>
        <v>3.9983565371792786</v>
      </c>
      <c r="O747" s="5" cm="1">
        <f t="array" ref="O747">IFERROR(_xlfn.STDEV.S(IF((DiscreteStatsTable[GroupByKey]=DiscreteStatsTable[[#This Row],[GroupByKey]]),(DiscreteStatsTable[GroupByKey]=DiscreteStatsTable[[#This Row],[GroupByKey]])*DiscreteStatsTable[Average])),0)</f>
        <v>1.3719461737846819</v>
      </c>
      <c r="P747" s="5" cm="1">
        <f t="array" ref="P747">MAX(IF((ProjectInfoTable[ProjectName]=DiscreteStatsTable[[#This Row],[ProjectName]]),(ProjectInfoTable[ProjectName]=DiscreteStatsTable[[#This Row],[ProjectName]])*ProjectInfoTable[ConfidenceInterval]))</f>
        <v>0.95</v>
      </c>
      <c r="Q747" s="5">
        <f>IF(AND(DiscreteStatsTable[[#This Row],[RepsWithStatObserved]]=1,Y747=0),200000000000000000000,IFERROR(_xlfn.T.INV.2T(1 -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0.66125688892142653</v>
      </c>
      <c r="R747" s="5" cm="1">
        <f t="array" ref="R747">MIN(IF((DiscreteStatsTable[GroupByKey]=DiscreteStatsTable[[#This Row],[GroupByKey]]),(DiscreteStatsTable[GroupByKey]=DiscreteStatsTable[[#This Row],[GroupByKey]])*DiscreteStatsTable[Average]))</f>
        <v>2.57025351162503</v>
      </c>
      <c r="S747" s="5" cm="1">
        <f t="array" ref="S747">MAX(IF((DiscreteStatsTable[GroupByKey]=DiscreteStatsTable[[#This Row],[GroupByKey]]),(DiscreteStatsTable[GroupByKey]=DiscreteStatsTable[[#This Row],[GroupByKey]])*DiscreteStatsTable[Average]))</f>
        <v>8.2425388076728598</v>
      </c>
      <c r="T747" s="5" cm="1">
        <f t="array" ref="T747">MIN(IF((DiscreteStatsTable[GroupByKey]=DiscreteStatsTable[[#This Row],[GroupByKey]]),(DiscreteStatsTable[GroupByKey]=DiscreteStatsTable[[#This Row],[GroupByKey]])*DiscreteStatsTable[Minimum]))</f>
        <v>0.79107086020877704</v>
      </c>
      <c r="U747" s="5" cm="1">
        <f t="array" ref="U747">MAX(IF((DiscreteStatsTable[GroupByKey]=DiscreteStatsTable[[#This Row],[GroupByKey]]),(DiscreteStatsTable[GroupByKey]=DiscreteStatsTable[[#This Row],[GroupByKey]])*DiscreteStatsTable[Maximum]))</f>
        <v>28.676361280594399</v>
      </c>
      <c r="V747" s="5" cm="1">
        <f t="array" ref="V747">IFERROR(AVERAGE(IF((DiscreteStatsTable[GroupByKey]=DiscreteStatsTable[[#This Row],[GroupByKey]]),(DiscreteStatsTable[GroupByKey]=DiscreteStatsTable[[#This Row],[GroupByKey]])*DiscreteStatsTable[NumberObservations])),0)</f>
        <v>26.421052631578949</v>
      </c>
      <c r="W747" s="5">
        <f>IF((DiscreteStatsTable[[#This Row],[RepsRequested]]&gt;1),DiscreteStatsTable[[#This Row],[HalfWidth]],DiscreteStatsTable[[#This Row],[BatchMeansHalfWidth]])</f>
        <v>0.66125688892142653</v>
      </c>
      <c r="X747" s="5" cm="1">
        <f t="array" ref="X747">COUNT(IF((DiscreteStatsTable[GroupByKey]=DiscreteStatsTable[[#This Row],[GroupByKey]]),(DiscreteStatsTable[GroupByKey]=DiscreteStatsTable[[#This Row],[GroupByKey]])*DiscreteStatsTable[Replication]))</f>
        <v>19</v>
      </c>
      <c r="Y747" s="5">
        <f>IF(DiscreteStatsTable[[#This Row],[RepsRequested]]=DiscreteStatsTable[[#This Row],[RepsWithStatObserved]],1,0)</f>
        <v>1</v>
      </c>
    </row>
    <row r="748" spans="1:25" x14ac:dyDescent="0.25">
      <c r="A748" t="s">
        <v>67</v>
      </c>
      <c r="B748" t="s">
        <v>69</v>
      </c>
      <c r="C748">
        <v>6</v>
      </c>
      <c r="D748" t="s">
        <v>110</v>
      </c>
      <c r="E748" t="s">
        <v>107</v>
      </c>
      <c r="F748" t="s">
        <v>80</v>
      </c>
      <c r="G748">
        <v>3.41603518954948</v>
      </c>
      <c r="H748">
        <v>2E+20</v>
      </c>
      <c r="I748">
        <v>1.2518834858929599</v>
      </c>
      <c r="J748">
        <v>7.2890540910401302</v>
      </c>
      <c r="K748">
        <v>21</v>
      </c>
      <c r="L74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compartida)TiempoEnSistemaNoMesaCantProd2IntervalUser Specified</v>
      </c>
      <c r="M748" s="5" cm="1">
        <f t="array" ref="M748">MAX(IF((ProjectInfoTable[ProjectName]=DiscreteStatsTable[[#This Row],[ProjectName]]),(ProjectInfoTable[ProjectName]=DiscreteStatsTable[[#This Row],[ProjectName]])*ProjectInfoTable[NumberOfReplications]))</f>
        <v>19</v>
      </c>
      <c r="N748" s="5" cm="1">
        <f t="array" ref="N748">IFERROR(AVERAGE(IF((DiscreteStatsTable[GroupByKey]=DiscreteStatsTable[[#This Row],[GroupByKey]]),(DiscreteStatsTable[GroupByKey]=DiscreteStatsTable[[#This Row],[GroupByKey]])*DiscreteStatsTable[Average])),0)</f>
        <v>3.9983565371792786</v>
      </c>
      <c r="O748" s="5" cm="1">
        <f t="array" ref="O748">IFERROR(_xlfn.STDEV.S(IF((DiscreteStatsTable[GroupByKey]=DiscreteStatsTable[[#This Row],[GroupByKey]]),(DiscreteStatsTable[GroupByKey]=DiscreteStatsTable[[#This Row],[GroupByKey]])*DiscreteStatsTable[Average])),0)</f>
        <v>1.3719461737846819</v>
      </c>
      <c r="P748" s="5" cm="1">
        <f t="array" ref="P748">MAX(IF((ProjectInfoTable[ProjectName]=DiscreteStatsTable[[#This Row],[ProjectName]]),(ProjectInfoTable[ProjectName]=DiscreteStatsTable[[#This Row],[ProjectName]])*ProjectInfoTable[ConfidenceInterval]))</f>
        <v>0.95</v>
      </c>
      <c r="Q748" s="5">
        <f>IF(AND(DiscreteStatsTable[[#This Row],[RepsWithStatObserved]]=1,Y748=0),200000000000000000000,IFERROR(_xlfn.T.INV.2T(1 -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0.66125688892142653</v>
      </c>
      <c r="R748" s="5" cm="1">
        <f t="array" ref="R748">MIN(IF((DiscreteStatsTable[GroupByKey]=DiscreteStatsTable[[#This Row],[GroupByKey]]),(DiscreteStatsTable[GroupByKey]=DiscreteStatsTable[[#This Row],[GroupByKey]])*DiscreteStatsTable[Average]))</f>
        <v>2.57025351162503</v>
      </c>
      <c r="S748" s="5" cm="1">
        <f t="array" ref="S748">MAX(IF((DiscreteStatsTable[GroupByKey]=DiscreteStatsTable[[#This Row],[GroupByKey]]),(DiscreteStatsTable[GroupByKey]=DiscreteStatsTable[[#This Row],[GroupByKey]])*DiscreteStatsTable[Average]))</f>
        <v>8.2425388076728598</v>
      </c>
      <c r="T748" s="5" cm="1">
        <f t="array" ref="T748">MIN(IF((DiscreteStatsTable[GroupByKey]=DiscreteStatsTable[[#This Row],[GroupByKey]]),(DiscreteStatsTable[GroupByKey]=DiscreteStatsTable[[#This Row],[GroupByKey]])*DiscreteStatsTable[Minimum]))</f>
        <v>0.79107086020877704</v>
      </c>
      <c r="U748" s="5" cm="1">
        <f t="array" ref="U748">MAX(IF((DiscreteStatsTable[GroupByKey]=DiscreteStatsTable[[#This Row],[GroupByKey]]),(DiscreteStatsTable[GroupByKey]=DiscreteStatsTable[[#This Row],[GroupByKey]])*DiscreteStatsTable[Maximum]))</f>
        <v>28.676361280594399</v>
      </c>
      <c r="V748" s="5" cm="1">
        <f t="array" ref="V748">IFERROR(AVERAGE(IF((DiscreteStatsTable[GroupByKey]=DiscreteStatsTable[[#This Row],[GroupByKey]]),(DiscreteStatsTable[GroupByKey]=DiscreteStatsTable[[#This Row],[GroupByKey]])*DiscreteStatsTable[NumberObservations])),0)</f>
        <v>26.421052631578949</v>
      </c>
      <c r="W748" s="5">
        <f>IF((DiscreteStatsTable[[#This Row],[RepsRequested]]&gt;1),DiscreteStatsTable[[#This Row],[HalfWidth]],DiscreteStatsTable[[#This Row],[BatchMeansHalfWidth]])</f>
        <v>0.66125688892142653</v>
      </c>
      <c r="X748" s="5" cm="1">
        <f t="array" ref="X748">COUNT(IF((DiscreteStatsTable[GroupByKey]=DiscreteStatsTable[[#This Row],[GroupByKey]]),(DiscreteStatsTable[GroupByKey]=DiscreteStatsTable[[#This Row],[GroupByKey]])*DiscreteStatsTable[Replication]))</f>
        <v>19</v>
      </c>
      <c r="Y748" s="5">
        <f>IF(DiscreteStatsTable[[#This Row],[RepsRequested]]=DiscreteStatsTable[[#This Row],[RepsWithStatObserved]],1,0)</f>
        <v>1</v>
      </c>
    </row>
    <row r="749" spans="1:25" x14ac:dyDescent="0.25">
      <c r="A749" t="s">
        <v>67</v>
      </c>
      <c r="B749" t="s">
        <v>69</v>
      </c>
      <c r="C749">
        <v>7</v>
      </c>
      <c r="D749" t="s">
        <v>110</v>
      </c>
      <c r="E749" t="s">
        <v>107</v>
      </c>
      <c r="F749" t="s">
        <v>80</v>
      </c>
      <c r="G749">
        <v>2.80555733196225</v>
      </c>
      <c r="H749">
        <v>2E+20</v>
      </c>
      <c r="I749">
        <v>1.0576742520727</v>
      </c>
      <c r="J749">
        <v>6.7561511662560196</v>
      </c>
      <c r="K749">
        <v>26</v>
      </c>
      <c r="L74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compartida)TiempoEnSistemaNoMesaCantProd2IntervalUser Specified</v>
      </c>
      <c r="M749" s="5" cm="1">
        <f t="array" ref="M749">MAX(IF((ProjectInfoTable[ProjectName]=DiscreteStatsTable[[#This Row],[ProjectName]]),(ProjectInfoTable[ProjectName]=DiscreteStatsTable[[#This Row],[ProjectName]])*ProjectInfoTable[NumberOfReplications]))</f>
        <v>19</v>
      </c>
      <c r="N749" s="5" cm="1">
        <f t="array" ref="N749">IFERROR(AVERAGE(IF((DiscreteStatsTable[GroupByKey]=DiscreteStatsTable[[#This Row],[GroupByKey]]),(DiscreteStatsTable[GroupByKey]=DiscreteStatsTable[[#This Row],[GroupByKey]])*DiscreteStatsTable[Average])),0)</f>
        <v>3.9983565371792786</v>
      </c>
      <c r="O749" s="5" cm="1">
        <f t="array" ref="O749">IFERROR(_xlfn.STDEV.S(IF((DiscreteStatsTable[GroupByKey]=DiscreteStatsTable[[#This Row],[GroupByKey]]),(DiscreteStatsTable[GroupByKey]=DiscreteStatsTable[[#This Row],[GroupByKey]])*DiscreteStatsTable[Average])),0)</f>
        <v>1.3719461737846819</v>
      </c>
      <c r="P749" s="5" cm="1">
        <f t="array" ref="P749">MAX(IF((ProjectInfoTable[ProjectName]=DiscreteStatsTable[[#This Row],[ProjectName]]),(ProjectInfoTable[ProjectName]=DiscreteStatsTable[[#This Row],[ProjectName]])*ProjectInfoTable[ConfidenceInterval]))</f>
        <v>0.95</v>
      </c>
      <c r="Q749" s="5">
        <f>IF(AND(DiscreteStatsTable[[#This Row],[RepsWithStatObserved]]=1,Y749=0),200000000000000000000,IFERROR(_xlfn.T.INV.2T(1 -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0.66125688892142653</v>
      </c>
      <c r="R749" s="5" cm="1">
        <f t="array" ref="R749">MIN(IF((DiscreteStatsTable[GroupByKey]=DiscreteStatsTable[[#This Row],[GroupByKey]]),(DiscreteStatsTable[GroupByKey]=DiscreteStatsTable[[#This Row],[GroupByKey]])*DiscreteStatsTable[Average]))</f>
        <v>2.57025351162503</v>
      </c>
      <c r="S749" s="5" cm="1">
        <f t="array" ref="S749">MAX(IF((DiscreteStatsTable[GroupByKey]=DiscreteStatsTable[[#This Row],[GroupByKey]]),(DiscreteStatsTable[GroupByKey]=DiscreteStatsTable[[#This Row],[GroupByKey]])*DiscreteStatsTable[Average]))</f>
        <v>8.2425388076728598</v>
      </c>
      <c r="T749" s="5" cm="1">
        <f t="array" ref="T749">MIN(IF((DiscreteStatsTable[GroupByKey]=DiscreteStatsTable[[#This Row],[GroupByKey]]),(DiscreteStatsTable[GroupByKey]=DiscreteStatsTable[[#This Row],[GroupByKey]])*DiscreteStatsTable[Minimum]))</f>
        <v>0.79107086020877704</v>
      </c>
      <c r="U749" s="5" cm="1">
        <f t="array" ref="U749">MAX(IF((DiscreteStatsTable[GroupByKey]=DiscreteStatsTable[[#This Row],[GroupByKey]]),(DiscreteStatsTable[GroupByKey]=DiscreteStatsTable[[#This Row],[GroupByKey]])*DiscreteStatsTable[Maximum]))</f>
        <v>28.676361280594399</v>
      </c>
      <c r="V749" s="5" cm="1">
        <f t="array" ref="V749">IFERROR(AVERAGE(IF((DiscreteStatsTable[GroupByKey]=DiscreteStatsTable[[#This Row],[GroupByKey]]),(DiscreteStatsTable[GroupByKey]=DiscreteStatsTable[[#This Row],[GroupByKey]])*DiscreteStatsTable[NumberObservations])),0)</f>
        <v>26.421052631578949</v>
      </c>
      <c r="W749" s="5">
        <f>IF((DiscreteStatsTable[[#This Row],[RepsRequested]]&gt;1),DiscreteStatsTable[[#This Row],[HalfWidth]],DiscreteStatsTable[[#This Row],[BatchMeansHalfWidth]])</f>
        <v>0.66125688892142653</v>
      </c>
      <c r="X749" s="5" cm="1">
        <f t="array" ref="X749">COUNT(IF((DiscreteStatsTable[GroupByKey]=DiscreteStatsTable[[#This Row],[GroupByKey]]),(DiscreteStatsTable[GroupByKey]=DiscreteStatsTable[[#This Row],[GroupByKey]])*DiscreteStatsTable[Replication]))</f>
        <v>19</v>
      </c>
      <c r="Y749" s="5">
        <f>IF(DiscreteStatsTable[[#This Row],[RepsRequested]]=DiscreteStatsTable[[#This Row],[RepsWithStatObserved]],1,0)</f>
        <v>1</v>
      </c>
    </row>
    <row r="750" spans="1:25" x14ac:dyDescent="0.25">
      <c r="A750" t="s">
        <v>67</v>
      </c>
      <c r="B750" t="s">
        <v>69</v>
      </c>
      <c r="C750">
        <v>8</v>
      </c>
      <c r="D750" t="s">
        <v>110</v>
      </c>
      <c r="E750" t="s">
        <v>107</v>
      </c>
      <c r="F750" t="s">
        <v>80</v>
      </c>
      <c r="G750">
        <v>4.13245986986652</v>
      </c>
      <c r="H750">
        <v>2E+20</v>
      </c>
      <c r="I750">
        <v>1.05661896582843</v>
      </c>
      <c r="J750">
        <v>7.4151637396185199</v>
      </c>
      <c r="K750">
        <v>30</v>
      </c>
      <c r="L75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compartida)TiempoEnSistemaNoMesaCantProd2IntervalUser Specified</v>
      </c>
      <c r="M750" s="5" cm="1">
        <f t="array" ref="M750">MAX(IF((ProjectInfoTable[ProjectName]=DiscreteStatsTable[[#This Row],[ProjectName]]),(ProjectInfoTable[ProjectName]=DiscreteStatsTable[[#This Row],[ProjectName]])*ProjectInfoTable[NumberOfReplications]))</f>
        <v>19</v>
      </c>
      <c r="N750" s="5" cm="1">
        <f t="array" ref="N750">IFERROR(AVERAGE(IF((DiscreteStatsTable[GroupByKey]=DiscreteStatsTable[[#This Row],[GroupByKey]]),(DiscreteStatsTable[GroupByKey]=DiscreteStatsTable[[#This Row],[GroupByKey]])*DiscreteStatsTable[Average])),0)</f>
        <v>3.9983565371792786</v>
      </c>
      <c r="O750" s="5" cm="1">
        <f t="array" ref="O750">IFERROR(_xlfn.STDEV.S(IF((DiscreteStatsTable[GroupByKey]=DiscreteStatsTable[[#This Row],[GroupByKey]]),(DiscreteStatsTable[GroupByKey]=DiscreteStatsTable[[#This Row],[GroupByKey]])*DiscreteStatsTable[Average])),0)</f>
        <v>1.3719461737846819</v>
      </c>
      <c r="P750" s="5" cm="1">
        <f t="array" ref="P750">MAX(IF((ProjectInfoTable[ProjectName]=DiscreteStatsTable[[#This Row],[ProjectName]]),(ProjectInfoTable[ProjectName]=DiscreteStatsTable[[#This Row],[ProjectName]])*ProjectInfoTable[ConfidenceInterval]))</f>
        <v>0.95</v>
      </c>
      <c r="Q750" s="5">
        <f>IF(AND(DiscreteStatsTable[[#This Row],[RepsWithStatObserved]]=1,Y750=0),200000000000000000000,IFERROR(_xlfn.T.INV.2T(1 -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0.66125688892142653</v>
      </c>
      <c r="R750" s="5" cm="1">
        <f t="array" ref="R750">MIN(IF((DiscreteStatsTable[GroupByKey]=DiscreteStatsTable[[#This Row],[GroupByKey]]),(DiscreteStatsTable[GroupByKey]=DiscreteStatsTable[[#This Row],[GroupByKey]])*DiscreteStatsTable[Average]))</f>
        <v>2.57025351162503</v>
      </c>
      <c r="S750" s="5" cm="1">
        <f t="array" ref="S750">MAX(IF((DiscreteStatsTable[GroupByKey]=DiscreteStatsTable[[#This Row],[GroupByKey]]),(DiscreteStatsTable[GroupByKey]=DiscreteStatsTable[[#This Row],[GroupByKey]])*DiscreteStatsTable[Average]))</f>
        <v>8.2425388076728598</v>
      </c>
      <c r="T750" s="5" cm="1">
        <f t="array" ref="T750">MIN(IF((DiscreteStatsTable[GroupByKey]=DiscreteStatsTable[[#This Row],[GroupByKey]]),(DiscreteStatsTable[GroupByKey]=DiscreteStatsTable[[#This Row],[GroupByKey]])*DiscreteStatsTable[Minimum]))</f>
        <v>0.79107086020877704</v>
      </c>
      <c r="U750" s="5" cm="1">
        <f t="array" ref="U750">MAX(IF((DiscreteStatsTable[GroupByKey]=DiscreteStatsTable[[#This Row],[GroupByKey]]),(DiscreteStatsTable[GroupByKey]=DiscreteStatsTable[[#This Row],[GroupByKey]])*DiscreteStatsTable[Maximum]))</f>
        <v>28.676361280594399</v>
      </c>
      <c r="V750" s="5" cm="1">
        <f t="array" ref="V750">IFERROR(AVERAGE(IF((DiscreteStatsTable[GroupByKey]=DiscreteStatsTable[[#This Row],[GroupByKey]]),(DiscreteStatsTable[GroupByKey]=DiscreteStatsTable[[#This Row],[GroupByKey]])*DiscreteStatsTable[NumberObservations])),0)</f>
        <v>26.421052631578949</v>
      </c>
      <c r="W750" s="5">
        <f>IF((DiscreteStatsTable[[#This Row],[RepsRequested]]&gt;1),DiscreteStatsTable[[#This Row],[HalfWidth]],DiscreteStatsTable[[#This Row],[BatchMeansHalfWidth]])</f>
        <v>0.66125688892142653</v>
      </c>
      <c r="X750" s="5" cm="1">
        <f t="array" ref="X750">COUNT(IF((DiscreteStatsTable[GroupByKey]=DiscreteStatsTable[[#This Row],[GroupByKey]]),(DiscreteStatsTable[GroupByKey]=DiscreteStatsTable[[#This Row],[GroupByKey]])*DiscreteStatsTable[Replication]))</f>
        <v>19</v>
      </c>
      <c r="Y750" s="5">
        <f>IF(DiscreteStatsTable[[#This Row],[RepsRequested]]=DiscreteStatsTable[[#This Row],[RepsWithStatObserved]],1,0)</f>
        <v>1</v>
      </c>
    </row>
    <row r="751" spans="1:25" x14ac:dyDescent="0.25">
      <c r="A751" t="s">
        <v>67</v>
      </c>
      <c r="B751" t="s">
        <v>69</v>
      </c>
      <c r="C751">
        <v>9</v>
      </c>
      <c r="D751" t="s">
        <v>110</v>
      </c>
      <c r="E751" t="s">
        <v>107</v>
      </c>
      <c r="F751" t="s">
        <v>80</v>
      </c>
      <c r="G751">
        <v>3.6158006544472499</v>
      </c>
      <c r="H751">
        <v>2E+20</v>
      </c>
      <c r="I751">
        <v>1.2908236732782801</v>
      </c>
      <c r="J751">
        <v>7.8121911289489097</v>
      </c>
      <c r="K751">
        <v>29</v>
      </c>
      <c r="L75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compartida)TiempoEnSistemaNoMesaCantProd2IntervalUser Specified</v>
      </c>
      <c r="M751" s="5" cm="1">
        <f t="array" ref="M751">MAX(IF((ProjectInfoTable[ProjectName]=DiscreteStatsTable[[#This Row],[ProjectName]]),(ProjectInfoTable[ProjectName]=DiscreteStatsTable[[#This Row],[ProjectName]])*ProjectInfoTable[NumberOfReplications]))</f>
        <v>19</v>
      </c>
      <c r="N751" s="5" cm="1">
        <f t="array" ref="N751">IFERROR(AVERAGE(IF((DiscreteStatsTable[GroupByKey]=DiscreteStatsTable[[#This Row],[GroupByKey]]),(DiscreteStatsTable[GroupByKey]=DiscreteStatsTable[[#This Row],[GroupByKey]])*DiscreteStatsTable[Average])),0)</f>
        <v>3.9983565371792786</v>
      </c>
      <c r="O751" s="5" cm="1">
        <f t="array" ref="O751">IFERROR(_xlfn.STDEV.S(IF((DiscreteStatsTable[GroupByKey]=DiscreteStatsTable[[#This Row],[GroupByKey]]),(DiscreteStatsTable[GroupByKey]=DiscreteStatsTable[[#This Row],[GroupByKey]])*DiscreteStatsTable[Average])),0)</f>
        <v>1.3719461737846819</v>
      </c>
      <c r="P751" s="5" cm="1">
        <f t="array" ref="P751">MAX(IF((ProjectInfoTable[ProjectName]=DiscreteStatsTable[[#This Row],[ProjectName]]),(ProjectInfoTable[ProjectName]=DiscreteStatsTable[[#This Row],[ProjectName]])*ProjectInfoTable[ConfidenceInterval]))</f>
        <v>0.95</v>
      </c>
      <c r="Q751" s="5">
        <f>IF(AND(DiscreteStatsTable[[#This Row],[RepsWithStatObserved]]=1,Y751=0),200000000000000000000,IFERROR(_xlfn.T.INV.2T(1 -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0.66125688892142653</v>
      </c>
      <c r="R751" s="5" cm="1">
        <f t="array" ref="R751">MIN(IF((DiscreteStatsTable[GroupByKey]=DiscreteStatsTable[[#This Row],[GroupByKey]]),(DiscreteStatsTable[GroupByKey]=DiscreteStatsTable[[#This Row],[GroupByKey]])*DiscreteStatsTable[Average]))</f>
        <v>2.57025351162503</v>
      </c>
      <c r="S751" s="5" cm="1">
        <f t="array" ref="S751">MAX(IF((DiscreteStatsTable[GroupByKey]=DiscreteStatsTable[[#This Row],[GroupByKey]]),(DiscreteStatsTable[GroupByKey]=DiscreteStatsTable[[#This Row],[GroupByKey]])*DiscreteStatsTable[Average]))</f>
        <v>8.2425388076728598</v>
      </c>
      <c r="T751" s="5" cm="1">
        <f t="array" ref="T751">MIN(IF((DiscreteStatsTable[GroupByKey]=DiscreteStatsTable[[#This Row],[GroupByKey]]),(DiscreteStatsTable[GroupByKey]=DiscreteStatsTable[[#This Row],[GroupByKey]])*DiscreteStatsTable[Minimum]))</f>
        <v>0.79107086020877704</v>
      </c>
      <c r="U751" s="5" cm="1">
        <f t="array" ref="U751">MAX(IF((DiscreteStatsTable[GroupByKey]=DiscreteStatsTable[[#This Row],[GroupByKey]]),(DiscreteStatsTable[GroupByKey]=DiscreteStatsTable[[#This Row],[GroupByKey]])*DiscreteStatsTable[Maximum]))</f>
        <v>28.676361280594399</v>
      </c>
      <c r="V751" s="5" cm="1">
        <f t="array" ref="V751">IFERROR(AVERAGE(IF((DiscreteStatsTable[GroupByKey]=DiscreteStatsTable[[#This Row],[GroupByKey]]),(DiscreteStatsTable[GroupByKey]=DiscreteStatsTable[[#This Row],[GroupByKey]])*DiscreteStatsTable[NumberObservations])),0)</f>
        <v>26.421052631578949</v>
      </c>
      <c r="W751" s="5">
        <f>IF((DiscreteStatsTable[[#This Row],[RepsRequested]]&gt;1),DiscreteStatsTable[[#This Row],[HalfWidth]],DiscreteStatsTable[[#This Row],[BatchMeansHalfWidth]])</f>
        <v>0.66125688892142653</v>
      </c>
      <c r="X751" s="5" cm="1">
        <f t="array" ref="X751">COUNT(IF((DiscreteStatsTable[GroupByKey]=DiscreteStatsTable[[#This Row],[GroupByKey]]),(DiscreteStatsTable[GroupByKey]=DiscreteStatsTable[[#This Row],[GroupByKey]])*DiscreteStatsTable[Replication]))</f>
        <v>19</v>
      </c>
      <c r="Y751" s="5">
        <f>IF(DiscreteStatsTable[[#This Row],[RepsRequested]]=DiscreteStatsTable[[#This Row],[RepsWithStatObserved]],1,0)</f>
        <v>1</v>
      </c>
    </row>
    <row r="752" spans="1:25" x14ac:dyDescent="0.25">
      <c r="A752" t="s">
        <v>67</v>
      </c>
      <c r="B752" t="s">
        <v>69</v>
      </c>
      <c r="C752">
        <v>10</v>
      </c>
      <c r="D752" t="s">
        <v>110</v>
      </c>
      <c r="E752" t="s">
        <v>107</v>
      </c>
      <c r="F752" t="s">
        <v>80</v>
      </c>
      <c r="G752">
        <v>4.7684541106724998</v>
      </c>
      <c r="H752">
        <v>2E+20</v>
      </c>
      <c r="I752">
        <v>1.1454731599886101</v>
      </c>
      <c r="J752">
        <v>10.1102553415142</v>
      </c>
      <c r="K752">
        <v>24</v>
      </c>
      <c r="L75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compartida)TiempoEnSistemaNoMesaCantProd2IntervalUser Specified</v>
      </c>
      <c r="M752" s="5" cm="1">
        <f t="array" ref="M752">MAX(IF((ProjectInfoTable[ProjectName]=DiscreteStatsTable[[#This Row],[ProjectName]]),(ProjectInfoTable[ProjectName]=DiscreteStatsTable[[#This Row],[ProjectName]])*ProjectInfoTable[NumberOfReplications]))</f>
        <v>19</v>
      </c>
      <c r="N752" s="5" cm="1">
        <f t="array" ref="N752">IFERROR(AVERAGE(IF((DiscreteStatsTable[GroupByKey]=DiscreteStatsTable[[#This Row],[GroupByKey]]),(DiscreteStatsTable[GroupByKey]=DiscreteStatsTable[[#This Row],[GroupByKey]])*DiscreteStatsTable[Average])),0)</f>
        <v>3.9983565371792786</v>
      </c>
      <c r="O752" s="5" cm="1">
        <f t="array" ref="O752">IFERROR(_xlfn.STDEV.S(IF((DiscreteStatsTable[GroupByKey]=DiscreteStatsTable[[#This Row],[GroupByKey]]),(DiscreteStatsTable[GroupByKey]=DiscreteStatsTable[[#This Row],[GroupByKey]])*DiscreteStatsTable[Average])),0)</f>
        <v>1.3719461737846819</v>
      </c>
      <c r="P752" s="5" cm="1">
        <f t="array" ref="P752">MAX(IF((ProjectInfoTable[ProjectName]=DiscreteStatsTable[[#This Row],[ProjectName]]),(ProjectInfoTable[ProjectName]=DiscreteStatsTable[[#This Row],[ProjectName]])*ProjectInfoTable[ConfidenceInterval]))</f>
        <v>0.95</v>
      </c>
      <c r="Q752" s="5">
        <f>IF(AND(DiscreteStatsTable[[#This Row],[RepsWithStatObserved]]=1,Y752=0),200000000000000000000,IFERROR(_xlfn.T.INV.2T(1 -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0.66125688892142653</v>
      </c>
      <c r="R752" s="5" cm="1">
        <f t="array" ref="R752">MIN(IF((DiscreteStatsTable[GroupByKey]=DiscreteStatsTable[[#This Row],[GroupByKey]]),(DiscreteStatsTable[GroupByKey]=DiscreteStatsTable[[#This Row],[GroupByKey]])*DiscreteStatsTable[Average]))</f>
        <v>2.57025351162503</v>
      </c>
      <c r="S752" s="5" cm="1">
        <f t="array" ref="S752">MAX(IF((DiscreteStatsTable[GroupByKey]=DiscreteStatsTable[[#This Row],[GroupByKey]]),(DiscreteStatsTable[GroupByKey]=DiscreteStatsTable[[#This Row],[GroupByKey]])*DiscreteStatsTable[Average]))</f>
        <v>8.2425388076728598</v>
      </c>
      <c r="T752" s="5" cm="1">
        <f t="array" ref="T752">MIN(IF((DiscreteStatsTable[GroupByKey]=DiscreteStatsTable[[#This Row],[GroupByKey]]),(DiscreteStatsTable[GroupByKey]=DiscreteStatsTable[[#This Row],[GroupByKey]])*DiscreteStatsTable[Minimum]))</f>
        <v>0.79107086020877704</v>
      </c>
      <c r="U752" s="5" cm="1">
        <f t="array" ref="U752">MAX(IF((DiscreteStatsTable[GroupByKey]=DiscreteStatsTable[[#This Row],[GroupByKey]]),(DiscreteStatsTable[GroupByKey]=DiscreteStatsTable[[#This Row],[GroupByKey]])*DiscreteStatsTable[Maximum]))</f>
        <v>28.676361280594399</v>
      </c>
      <c r="V752" s="5" cm="1">
        <f t="array" ref="V752">IFERROR(AVERAGE(IF((DiscreteStatsTable[GroupByKey]=DiscreteStatsTable[[#This Row],[GroupByKey]]),(DiscreteStatsTable[GroupByKey]=DiscreteStatsTable[[#This Row],[GroupByKey]])*DiscreteStatsTable[NumberObservations])),0)</f>
        <v>26.421052631578949</v>
      </c>
      <c r="W752" s="5">
        <f>IF((DiscreteStatsTable[[#This Row],[RepsRequested]]&gt;1),DiscreteStatsTable[[#This Row],[HalfWidth]],DiscreteStatsTable[[#This Row],[BatchMeansHalfWidth]])</f>
        <v>0.66125688892142653</v>
      </c>
      <c r="X752" s="5" cm="1">
        <f t="array" ref="X752">COUNT(IF((DiscreteStatsTable[GroupByKey]=DiscreteStatsTable[[#This Row],[GroupByKey]]),(DiscreteStatsTable[GroupByKey]=DiscreteStatsTable[[#This Row],[GroupByKey]])*DiscreteStatsTable[Replication]))</f>
        <v>19</v>
      </c>
      <c r="Y752" s="5">
        <f>IF(DiscreteStatsTable[[#This Row],[RepsRequested]]=DiscreteStatsTable[[#This Row],[RepsWithStatObserved]],1,0)</f>
        <v>1</v>
      </c>
    </row>
    <row r="753" spans="1:25" x14ac:dyDescent="0.25">
      <c r="A753" t="s">
        <v>67</v>
      </c>
      <c r="B753" t="s">
        <v>69</v>
      </c>
      <c r="C753">
        <v>11</v>
      </c>
      <c r="D753" t="s">
        <v>110</v>
      </c>
      <c r="E753" t="s">
        <v>107</v>
      </c>
      <c r="F753" t="s">
        <v>80</v>
      </c>
      <c r="G753">
        <v>4.5011821689848599</v>
      </c>
      <c r="H753">
        <v>2E+20</v>
      </c>
      <c r="I753">
        <v>1.0904645489758</v>
      </c>
      <c r="J753">
        <v>13.1620486081399</v>
      </c>
      <c r="K753">
        <v>20</v>
      </c>
      <c r="L75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compartida)TiempoEnSistemaNoMesaCantProd2IntervalUser Specified</v>
      </c>
      <c r="M753" s="5" cm="1">
        <f t="array" ref="M753">MAX(IF((ProjectInfoTable[ProjectName]=DiscreteStatsTable[[#This Row],[ProjectName]]),(ProjectInfoTable[ProjectName]=DiscreteStatsTable[[#This Row],[ProjectName]])*ProjectInfoTable[NumberOfReplications]))</f>
        <v>19</v>
      </c>
      <c r="N753" s="5" cm="1">
        <f t="array" ref="N753">IFERROR(AVERAGE(IF((DiscreteStatsTable[GroupByKey]=DiscreteStatsTable[[#This Row],[GroupByKey]]),(DiscreteStatsTable[GroupByKey]=DiscreteStatsTable[[#This Row],[GroupByKey]])*DiscreteStatsTable[Average])),0)</f>
        <v>3.9983565371792786</v>
      </c>
      <c r="O753" s="5" cm="1">
        <f t="array" ref="O753">IFERROR(_xlfn.STDEV.S(IF((DiscreteStatsTable[GroupByKey]=DiscreteStatsTable[[#This Row],[GroupByKey]]),(DiscreteStatsTable[GroupByKey]=DiscreteStatsTable[[#This Row],[GroupByKey]])*DiscreteStatsTable[Average])),0)</f>
        <v>1.3719461737846819</v>
      </c>
      <c r="P753" s="5" cm="1">
        <f t="array" ref="P753">MAX(IF((ProjectInfoTable[ProjectName]=DiscreteStatsTable[[#This Row],[ProjectName]]),(ProjectInfoTable[ProjectName]=DiscreteStatsTable[[#This Row],[ProjectName]])*ProjectInfoTable[ConfidenceInterval]))</f>
        <v>0.95</v>
      </c>
      <c r="Q753" s="5">
        <f>IF(AND(DiscreteStatsTable[[#This Row],[RepsWithStatObserved]]=1,Y753=0),200000000000000000000,IFERROR(_xlfn.T.INV.2T(1 -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0.66125688892142653</v>
      </c>
      <c r="R753" s="5" cm="1">
        <f t="array" ref="R753">MIN(IF((DiscreteStatsTable[GroupByKey]=DiscreteStatsTable[[#This Row],[GroupByKey]]),(DiscreteStatsTable[GroupByKey]=DiscreteStatsTable[[#This Row],[GroupByKey]])*DiscreteStatsTable[Average]))</f>
        <v>2.57025351162503</v>
      </c>
      <c r="S753" s="5" cm="1">
        <f t="array" ref="S753">MAX(IF((DiscreteStatsTable[GroupByKey]=DiscreteStatsTable[[#This Row],[GroupByKey]]),(DiscreteStatsTable[GroupByKey]=DiscreteStatsTable[[#This Row],[GroupByKey]])*DiscreteStatsTable[Average]))</f>
        <v>8.2425388076728598</v>
      </c>
      <c r="T753" s="5" cm="1">
        <f t="array" ref="T753">MIN(IF((DiscreteStatsTable[GroupByKey]=DiscreteStatsTable[[#This Row],[GroupByKey]]),(DiscreteStatsTable[GroupByKey]=DiscreteStatsTable[[#This Row],[GroupByKey]])*DiscreteStatsTable[Minimum]))</f>
        <v>0.79107086020877704</v>
      </c>
      <c r="U753" s="5" cm="1">
        <f t="array" ref="U753">MAX(IF((DiscreteStatsTable[GroupByKey]=DiscreteStatsTable[[#This Row],[GroupByKey]]),(DiscreteStatsTable[GroupByKey]=DiscreteStatsTable[[#This Row],[GroupByKey]])*DiscreteStatsTable[Maximum]))</f>
        <v>28.676361280594399</v>
      </c>
      <c r="V753" s="5" cm="1">
        <f t="array" ref="V753">IFERROR(AVERAGE(IF((DiscreteStatsTable[GroupByKey]=DiscreteStatsTable[[#This Row],[GroupByKey]]),(DiscreteStatsTable[GroupByKey]=DiscreteStatsTable[[#This Row],[GroupByKey]])*DiscreteStatsTable[NumberObservations])),0)</f>
        <v>26.421052631578949</v>
      </c>
      <c r="W753" s="5">
        <f>IF((DiscreteStatsTable[[#This Row],[RepsRequested]]&gt;1),DiscreteStatsTable[[#This Row],[HalfWidth]],DiscreteStatsTable[[#This Row],[BatchMeansHalfWidth]])</f>
        <v>0.66125688892142653</v>
      </c>
      <c r="X753" s="5" cm="1">
        <f t="array" ref="X753">COUNT(IF((DiscreteStatsTable[GroupByKey]=DiscreteStatsTable[[#This Row],[GroupByKey]]),(DiscreteStatsTable[GroupByKey]=DiscreteStatsTable[[#This Row],[GroupByKey]])*DiscreteStatsTable[Replication]))</f>
        <v>19</v>
      </c>
      <c r="Y753" s="5">
        <f>IF(DiscreteStatsTable[[#This Row],[RepsRequested]]=DiscreteStatsTable[[#This Row],[RepsWithStatObserved]],1,0)</f>
        <v>1</v>
      </c>
    </row>
    <row r="754" spans="1:25" x14ac:dyDescent="0.25">
      <c r="A754" t="s">
        <v>67</v>
      </c>
      <c r="B754" t="s">
        <v>69</v>
      </c>
      <c r="C754">
        <v>12</v>
      </c>
      <c r="D754" t="s">
        <v>110</v>
      </c>
      <c r="E754" t="s">
        <v>107</v>
      </c>
      <c r="F754" t="s">
        <v>80</v>
      </c>
      <c r="G754">
        <v>4.1186364115776302</v>
      </c>
      <c r="H754">
        <v>2E+20</v>
      </c>
      <c r="I754">
        <v>1.2950955103362101</v>
      </c>
      <c r="J754">
        <v>12.961252976243699</v>
      </c>
      <c r="K754">
        <v>28</v>
      </c>
      <c r="L75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compartida)TiempoEnSistemaNoMesaCantProd2IntervalUser Specified</v>
      </c>
      <c r="M754" s="5" cm="1">
        <f t="array" ref="M754">MAX(IF((ProjectInfoTable[ProjectName]=DiscreteStatsTable[[#This Row],[ProjectName]]),(ProjectInfoTable[ProjectName]=DiscreteStatsTable[[#This Row],[ProjectName]])*ProjectInfoTable[NumberOfReplications]))</f>
        <v>19</v>
      </c>
      <c r="N754" s="5" cm="1">
        <f t="array" ref="N754">IFERROR(AVERAGE(IF((DiscreteStatsTable[GroupByKey]=DiscreteStatsTable[[#This Row],[GroupByKey]]),(DiscreteStatsTable[GroupByKey]=DiscreteStatsTable[[#This Row],[GroupByKey]])*DiscreteStatsTable[Average])),0)</f>
        <v>3.9983565371792786</v>
      </c>
      <c r="O754" s="5" cm="1">
        <f t="array" ref="O754">IFERROR(_xlfn.STDEV.S(IF((DiscreteStatsTable[GroupByKey]=DiscreteStatsTable[[#This Row],[GroupByKey]]),(DiscreteStatsTable[GroupByKey]=DiscreteStatsTable[[#This Row],[GroupByKey]])*DiscreteStatsTable[Average])),0)</f>
        <v>1.3719461737846819</v>
      </c>
      <c r="P754" s="5" cm="1">
        <f t="array" ref="P754">MAX(IF((ProjectInfoTable[ProjectName]=DiscreteStatsTable[[#This Row],[ProjectName]]),(ProjectInfoTable[ProjectName]=DiscreteStatsTable[[#This Row],[ProjectName]])*ProjectInfoTable[ConfidenceInterval]))</f>
        <v>0.95</v>
      </c>
      <c r="Q754" s="5">
        <f>IF(AND(DiscreteStatsTable[[#This Row],[RepsWithStatObserved]]=1,Y754=0),200000000000000000000,IFERROR(_xlfn.T.INV.2T(1 -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0.66125688892142653</v>
      </c>
      <c r="R754" s="5" cm="1">
        <f t="array" ref="R754">MIN(IF((DiscreteStatsTable[GroupByKey]=DiscreteStatsTable[[#This Row],[GroupByKey]]),(DiscreteStatsTable[GroupByKey]=DiscreteStatsTable[[#This Row],[GroupByKey]])*DiscreteStatsTable[Average]))</f>
        <v>2.57025351162503</v>
      </c>
      <c r="S754" s="5" cm="1">
        <f t="array" ref="S754">MAX(IF((DiscreteStatsTable[GroupByKey]=DiscreteStatsTable[[#This Row],[GroupByKey]]),(DiscreteStatsTable[GroupByKey]=DiscreteStatsTable[[#This Row],[GroupByKey]])*DiscreteStatsTable[Average]))</f>
        <v>8.2425388076728598</v>
      </c>
      <c r="T754" s="5" cm="1">
        <f t="array" ref="T754">MIN(IF((DiscreteStatsTable[GroupByKey]=DiscreteStatsTable[[#This Row],[GroupByKey]]),(DiscreteStatsTable[GroupByKey]=DiscreteStatsTable[[#This Row],[GroupByKey]])*DiscreteStatsTable[Minimum]))</f>
        <v>0.79107086020877704</v>
      </c>
      <c r="U754" s="5" cm="1">
        <f t="array" ref="U754">MAX(IF((DiscreteStatsTable[GroupByKey]=DiscreteStatsTable[[#This Row],[GroupByKey]]),(DiscreteStatsTable[GroupByKey]=DiscreteStatsTable[[#This Row],[GroupByKey]])*DiscreteStatsTable[Maximum]))</f>
        <v>28.676361280594399</v>
      </c>
      <c r="V754" s="5" cm="1">
        <f t="array" ref="V754">IFERROR(AVERAGE(IF((DiscreteStatsTable[GroupByKey]=DiscreteStatsTable[[#This Row],[GroupByKey]]),(DiscreteStatsTable[GroupByKey]=DiscreteStatsTable[[#This Row],[GroupByKey]])*DiscreteStatsTable[NumberObservations])),0)</f>
        <v>26.421052631578949</v>
      </c>
      <c r="W754" s="5">
        <f>IF((DiscreteStatsTable[[#This Row],[RepsRequested]]&gt;1),DiscreteStatsTable[[#This Row],[HalfWidth]],DiscreteStatsTable[[#This Row],[BatchMeansHalfWidth]])</f>
        <v>0.66125688892142653</v>
      </c>
      <c r="X754" s="5" cm="1">
        <f t="array" ref="X754">COUNT(IF((DiscreteStatsTable[GroupByKey]=DiscreteStatsTable[[#This Row],[GroupByKey]]),(DiscreteStatsTable[GroupByKey]=DiscreteStatsTable[[#This Row],[GroupByKey]])*DiscreteStatsTable[Replication]))</f>
        <v>19</v>
      </c>
      <c r="Y754" s="5">
        <f>IF(DiscreteStatsTable[[#This Row],[RepsRequested]]=DiscreteStatsTable[[#This Row],[RepsWithStatObserved]],1,0)</f>
        <v>1</v>
      </c>
    </row>
    <row r="755" spans="1:25" x14ac:dyDescent="0.25">
      <c r="A755" t="s">
        <v>67</v>
      </c>
      <c r="B755" t="s">
        <v>69</v>
      </c>
      <c r="C755">
        <v>13</v>
      </c>
      <c r="D755" t="s">
        <v>110</v>
      </c>
      <c r="E755" t="s">
        <v>107</v>
      </c>
      <c r="F755" t="s">
        <v>80</v>
      </c>
      <c r="G755">
        <v>4.2310921790923004</v>
      </c>
      <c r="H755">
        <v>2E+20</v>
      </c>
      <c r="I755">
        <v>1.4330704143505499</v>
      </c>
      <c r="J755">
        <v>9.7551273377462699</v>
      </c>
      <c r="K755">
        <v>17</v>
      </c>
      <c r="L75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compartida)TiempoEnSistemaNoMesaCantProd2IntervalUser Specified</v>
      </c>
      <c r="M755" s="5" cm="1">
        <f t="array" ref="M755">MAX(IF((ProjectInfoTable[ProjectName]=DiscreteStatsTable[[#This Row],[ProjectName]]),(ProjectInfoTable[ProjectName]=DiscreteStatsTable[[#This Row],[ProjectName]])*ProjectInfoTable[NumberOfReplications]))</f>
        <v>19</v>
      </c>
      <c r="N755" s="5" cm="1">
        <f t="array" ref="N755">IFERROR(AVERAGE(IF((DiscreteStatsTable[GroupByKey]=DiscreteStatsTable[[#This Row],[GroupByKey]]),(DiscreteStatsTable[GroupByKey]=DiscreteStatsTable[[#This Row],[GroupByKey]])*DiscreteStatsTable[Average])),0)</f>
        <v>3.9983565371792786</v>
      </c>
      <c r="O755" s="5" cm="1">
        <f t="array" ref="O755">IFERROR(_xlfn.STDEV.S(IF((DiscreteStatsTable[GroupByKey]=DiscreteStatsTable[[#This Row],[GroupByKey]]),(DiscreteStatsTable[GroupByKey]=DiscreteStatsTable[[#This Row],[GroupByKey]])*DiscreteStatsTable[Average])),0)</f>
        <v>1.3719461737846819</v>
      </c>
      <c r="P755" s="5" cm="1">
        <f t="array" ref="P755">MAX(IF((ProjectInfoTable[ProjectName]=DiscreteStatsTable[[#This Row],[ProjectName]]),(ProjectInfoTable[ProjectName]=DiscreteStatsTable[[#This Row],[ProjectName]])*ProjectInfoTable[ConfidenceInterval]))</f>
        <v>0.95</v>
      </c>
      <c r="Q755" s="5">
        <f>IF(AND(DiscreteStatsTable[[#This Row],[RepsWithStatObserved]]=1,Y755=0),200000000000000000000,IFERROR(_xlfn.T.INV.2T(1 -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0.66125688892142653</v>
      </c>
      <c r="R755" s="5" cm="1">
        <f t="array" ref="R755">MIN(IF((DiscreteStatsTable[GroupByKey]=DiscreteStatsTable[[#This Row],[GroupByKey]]),(DiscreteStatsTable[GroupByKey]=DiscreteStatsTable[[#This Row],[GroupByKey]])*DiscreteStatsTable[Average]))</f>
        <v>2.57025351162503</v>
      </c>
      <c r="S755" s="5" cm="1">
        <f t="array" ref="S755">MAX(IF((DiscreteStatsTable[GroupByKey]=DiscreteStatsTable[[#This Row],[GroupByKey]]),(DiscreteStatsTable[GroupByKey]=DiscreteStatsTable[[#This Row],[GroupByKey]])*DiscreteStatsTable[Average]))</f>
        <v>8.2425388076728598</v>
      </c>
      <c r="T755" s="5" cm="1">
        <f t="array" ref="T755">MIN(IF((DiscreteStatsTable[GroupByKey]=DiscreteStatsTable[[#This Row],[GroupByKey]]),(DiscreteStatsTable[GroupByKey]=DiscreteStatsTable[[#This Row],[GroupByKey]])*DiscreteStatsTable[Minimum]))</f>
        <v>0.79107086020877704</v>
      </c>
      <c r="U755" s="5" cm="1">
        <f t="array" ref="U755">MAX(IF((DiscreteStatsTable[GroupByKey]=DiscreteStatsTable[[#This Row],[GroupByKey]]),(DiscreteStatsTable[GroupByKey]=DiscreteStatsTable[[#This Row],[GroupByKey]])*DiscreteStatsTable[Maximum]))</f>
        <v>28.676361280594399</v>
      </c>
      <c r="V755" s="5" cm="1">
        <f t="array" ref="V755">IFERROR(AVERAGE(IF((DiscreteStatsTable[GroupByKey]=DiscreteStatsTable[[#This Row],[GroupByKey]]),(DiscreteStatsTable[GroupByKey]=DiscreteStatsTable[[#This Row],[GroupByKey]])*DiscreteStatsTable[NumberObservations])),0)</f>
        <v>26.421052631578949</v>
      </c>
      <c r="W755" s="5">
        <f>IF((DiscreteStatsTable[[#This Row],[RepsRequested]]&gt;1),DiscreteStatsTable[[#This Row],[HalfWidth]],DiscreteStatsTable[[#This Row],[BatchMeansHalfWidth]])</f>
        <v>0.66125688892142653</v>
      </c>
      <c r="X755" s="5" cm="1">
        <f t="array" ref="X755">COUNT(IF((DiscreteStatsTable[GroupByKey]=DiscreteStatsTable[[#This Row],[GroupByKey]]),(DiscreteStatsTable[GroupByKey]=DiscreteStatsTable[[#This Row],[GroupByKey]])*DiscreteStatsTable[Replication]))</f>
        <v>19</v>
      </c>
      <c r="Y755" s="5">
        <f>IF(DiscreteStatsTable[[#This Row],[RepsRequested]]=DiscreteStatsTable[[#This Row],[RepsWithStatObserved]],1,0)</f>
        <v>1</v>
      </c>
    </row>
    <row r="756" spans="1:25" x14ac:dyDescent="0.25">
      <c r="A756" t="s">
        <v>67</v>
      </c>
      <c r="B756" t="s">
        <v>69</v>
      </c>
      <c r="C756">
        <v>14</v>
      </c>
      <c r="D756" t="s">
        <v>110</v>
      </c>
      <c r="E756" t="s">
        <v>107</v>
      </c>
      <c r="F756" t="s">
        <v>80</v>
      </c>
      <c r="G756">
        <v>4.4142735922071399</v>
      </c>
      <c r="H756">
        <v>2E+20</v>
      </c>
      <c r="I756">
        <v>0.90626582299365999</v>
      </c>
      <c r="J756">
        <v>9.6132112456618906</v>
      </c>
      <c r="K756">
        <v>29</v>
      </c>
      <c r="L75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compartida)TiempoEnSistemaNoMesaCantProd2IntervalUser Specified</v>
      </c>
      <c r="M756" s="5" cm="1">
        <f t="array" ref="M756">MAX(IF((ProjectInfoTable[ProjectName]=DiscreteStatsTable[[#This Row],[ProjectName]]),(ProjectInfoTable[ProjectName]=DiscreteStatsTable[[#This Row],[ProjectName]])*ProjectInfoTable[NumberOfReplications]))</f>
        <v>19</v>
      </c>
      <c r="N756" s="5" cm="1">
        <f t="array" ref="N756">IFERROR(AVERAGE(IF((DiscreteStatsTable[GroupByKey]=DiscreteStatsTable[[#This Row],[GroupByKey]]),(DiscreteStatsTable[GroupByKey]=DiscreteStatsTable[[#This Row],[GroupByKey]])*DiscreteStatsTable[Average])),0)</f>
        <v>3.9983565371792786</v>
      </c>
      <c r="O756" s="5" cm="1">
        <f t="array" ref="O756">IFERROR(_xlfn.STDEV.S(IF((DiscreteStatsTable[GroupByKey]=DiscreteStatsTable[[#This Row],[GroupByKey]]),(DiscreteStatsTable[GroupByKey]=DiscreteStatsTable[[#This Row],[GroupByKey]])*DiscreteStatsTable[Average])),0)</f>
        <v>1.3719461737846819</v>
      </c>
      <c r="P756" s="5" cm="1">
        <f t="array" ref="P756">MAX(IF((ProjectInfoTable[ProjectName]=DiscreteStatsTable[[#This Row],[ProjectName]]),(ProjectInfoTable[ProjectName]=DiscreteStatsTable[[#This Row],[ProjectName]])*ProjectInfoTable[ConfidenceInterval]))</f>
        <v>0.95</v>
      </c>
      <c r="Q756" s="5">
        <f>IF(AND(DiscreteStatsTable[[#This Row],[RepsWithStatObserved]]=1,Y756=0),200000000000000000000,IFERROR(_xlfn.T.INV.2T(1 -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0.66125688892142653</v>
      </c>
      <c r="R756" s="5" cm="1">
        <f t="array" ref="R756">MIN(IF((DiscreteStatsTable[GroupByKey]=DiscreteStatsTable[[#This Row],[GroupByKey]]),(DiscreteStatsTable[GroupByKey]=DiscreteStatsTable[[#This Row],[GroupByKey]])*DiscreteStatsTable[Average]))</f>
        <v>2.57025351162503</v>
      </c>
      <c r="S756" s="5" cm="1">
        <f t="array" ref="S756">MAX(IF((DiscreteStatsTable[GroupByKey]=DiscreteStatsTable[[#This Row],[GroupByKey]]),(DiscreteStatsTable[GroupByKey]=DiscreteStatsTable[[#This Row],[GroupByKey]])*DiscreteStatsTable[Average]))</f>
        <v>8.2425388076728598</v>
      </c>
      <c r="T756" s="5" cm="1">
        <f t="array" ref="T756">MIN(IF((DiscreteStatsTable[GroupByKey]=DiscreteStatsTable[[#This Row],[GroupByKey]]),(DiscreteStatsTable[GroupByKey]=DiscreteStatsTable[[#This Row],[GroupByKey]])*DiscreteStatsTable[Minimum]))</f>
        <v>0.79107086020877704</v>
      </c>
      <c r="U756" s="5" cm="1">
        <f t="array" ref="U756">MAX(IF((DiscreteStatsTable[GroupByKey]=DiscreteStatsTable[[#This Row],[GroupByKey]]),(DiscreteStatsTable[GroupByKey]=DiscreteStatsTable[[#This Row],[GroupByKey]])*DiscreteStatsTable[Maximum]))</f>
        <v>28.676361280594399</v>
      </c>
      <c r="V756" s="5" cm="1">
        <f t="array" ref="V756">IFERROR(AVERAGE(IF((DiscreteStatsTable[GroupByKey]=DiscreteStatsTable[[#This Row],[GroupByKey]]),(DiscreteStatsTable[GroupByKey]=DiscreteStatsTable[[#This Row],[GroupByKey]])*DiscreteStatsTable[NumberObservations])),0)</f>
        <v>26.421052631578949</v>
      </c>
      <c r="W756" s="5">
        <f>IF((DiscreteStatsTable[[#This Row],[RepsRequested]]&gt;1),DiscreteStatsTable[[#This Row],[HalfWidth]],DiscreteStatsTable[[#This Row],[BatchMeansHalfWidth]])</f>
        <v>0.66125688892142653</v>
      </c>
      <c r="X756" s="5" cm="1">
        <f t="array" ref="X756">COUNT(IF((DiscreteStatsTable[GroupByKey]=DiscreteStatsTable[[#This Row],[GroupByKey]]),(DiscreteStatsTable[GroupByKey]=DiscreteStatsTable[[#This Row],[GroupByKey]])*DiscreteStatsTable[Replication]))</f>
        <v>19</v>
      </c>
      <c r="Y756" s="5">
        <f>IF(DiscreteStatsTable[[#This Row],[RepsRequested]]=DiscreteStatsTable[[#This Row],[RepsWithStatObserved]],1,0)</f>
        <v>1</v>
      </c>
    </row>
    <row r="757" spans="1:25" x14ac:dyDescent="0.25">
      <c r="A757" t="s">
        <v>67</v>
      </c>
      <c r="B757" t="s">
        <v>69</v>
      </c>
      <c r="C757">
        <v>15</v>
      </c>
      <c r="D757" t="s">
        <v>110</v>
      </c>
      <c r="E757" t="s">
        <v>107</v>
      </c>
      <c r="F757" t="s">
        <v>80</v>
      </c>
      <c r="G757">
        <v>4.2051238455995303</v>
      </c>
      <c r="H757">
        <v>2E+20</v>
      </c>
      <c r="I757">
        <v>1.1547950808032701</v>
      </c>
      <c r="J757">
        <v>9.35924763372293</v>
      </c>
      <c r="K757">
        <v>31</v>
      </c>
      <c r="L75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compartida)TiempoEnSistemaNoMesaCantProd2IntervalUser Specified</v>
      </c>
      <c r="M757" s="5" cm="1">
        <f t="array" ref="M757">MAX(IF((ProjectInfoTable[ProjectName]=DiscreteStatsTable[[#This Row],[ProjectName]]),(ProjectInfoTable[ProjectName]=DiscreteStatsTable[[#This Row],[ProjectName]])*ProjectInfoTable[NumberOfReplications]))</f>
        <v>19</v>
      </c>
      <c r="N757" s="5" cm="1">
        <f t="array" ref="N757">IFERROR(AVERAGE(IF((DiscreteStatsTable[GroupByKey]=DiscreteStatsTable[[#This Row],[GroupByKey]]),(DiscreteStatsTable[GroupByKey]=DiscreteStatsTable[[#This Row],[GroupByKey]])*DiscreteStatsTable[Average])),0)</f>
        <v>3.9983565371792786</v>
      </c>
      <c r="O757" s="5" cm="1">
        <f t="array" ref="O757">IFERROR(_xlfn.STDEV.S(IF((DiscreteStatsTable[GroupByKey]=DiscreteStatsTable[[#This Row],[GroupByKey]]),(DiscreteStatsTable[GroupByKey]=DiscreteStatsTable[[#This Row],[GroupByKey]])*DiscreteStatsTable[Average])),0)</f>
        <v>1.3719461737846819</v>
      </c>
      <c r="P757" s="5" cm="1">
        <f t="array" ref="P757">MAX(IF((ProjectInfoTable[ProjectName]=DiscreteStatsTable[[#This Row],[ProjectName]]),(ProjectInfoTable[ProjectName]=DiscreteStatsTable[[#This Row],[ProjectName]])*ProjectInfoTable[ConfidenceInterval]))</f>
        <v>0.95</v>
      </c>
      <c r="Q757" s="5">
        <f>IF(AND(DiscreteStatsTable[[#This Row],[RepsWithStatObserved]]=1,Y757=0),200000000000000000000,IFERROR(_xlfn.T.INV.2T(1 -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0.66125688892142653</v>
      </c>
      <c r="R757" s="5" cm="1">
        <f t="array" ref="R757">MIN(IF((DiscreteStatsTable[GroupByKey]=DiscreteStatsTable[[#This Row],[GroupByKey]]),(DiscreteStatsTable[GroupByKey]=DiscreteStatsTable[[#This Row],[GroupByKey]])*DiscreteStatsTable[Average]))</f>
        <v>2.57025351162503</v>
      </c>
      <c r="S757" s="5" cm="1">
        <f t="array" ref="S757">MAX(IF((DiscreteStatsTable[GroupByKey]=DiscreteStatsTable[[#This Row],[GroupByKey]]),(DiscreteStatsTable[GroupByKey]=DiscreteStatsTable[[#This Row],[GroupByKey]])*DiscreteStatsTable[Average]))</f>
        <v>8.2425388076728598</v>
      </c>
      <c r="T757" s="5" cm="1">
        <f t="array" ref="T757">MIN(IF((DiscreteStatsTable[GroupByKey]=DiscreteStatsTable[[#This Row],[GroupByKey]]),(DiscreteStatsTable[GroupByKey]=DiscreteStatsTable[[#This Row],[GroupByKey]])*DiscreteStatsTable[Minimum]))</f>
        <v>0.79107086020877704</v>
      </c>
      <c r="U757" s="5" cm="1">
        <f t="array" ref="U757">MAX(IF((DiscreteStatsTable[GroupByKey]=DiscreteStatsTable[[#This Row],[GroupByKey]]),(DiscreteStatsTable[GroupByKey]=DiscreteStatsTable[[#This Row],[GroupByKey]])*DiscreteStatsTable[Maximum]))</f>
        <v>28.676361280594399</v>
      </c>
      <c r="V757" s="5" cm="1">
        <f t="array" ref="V757">IFERROR(AVERAGE(IF((DiscreteStatsTable[GroupByKey]=DiscreteStatsTable[[#This Row],[GroupByKey]]),(DiscreteStatsTable[GroupByKey]=DiscreteStatsTable[[#This Row],[GroupByKey]])*DiscreteStatsTable[NumberObservations])),0)</f>
        <v>26.421052631578949</v>
      </c>
      <c r="W757" s="5">
        <f>IF((DiscreteStatsTable[[#This Row],[RepsRequested]]&gt;1),DiscreteStatsTable[[#This Row],[HalfWidth]],DiscreteStatsTable[[#This Row],[BatchMeansHalfWidth]])</f>
        <v>0.66125688892142653</v>
      </c>
      <c r="X757" s="5" cm="1">
        <f t="array" ref="X757">COUNT(IF((DiscreteStatsTable[GroupByKey]=DiscreteStatsTable[[#This Row],[GroupByKey]]),(DiscreteStatsTable[GroupByKey]=DiscreteStatsTable[[#This Row],[GroupByKey]])*DiscreteStatsTable[Replication]))</f>
        <v>19</v>
      </c>
      <c r="Y757" s="5">
        <f>IF(DiscreteStatsTable[[#This Row],[RepsRequested]]=DiscreteStatsTable[[#This Row],[RepsWithStatObserved]],1,0)</f>
        <v>1</v>
      </c>
    </row>
    <row r="758" spans="1:25" x14ac:dyDescent="0.25">
      <c r="A758" t="s">
        <v>67</v>
      </c>
      <c r="B758" t="s">
        <v>69</v>
      </c>
      <c r="C758">
        <v>16</v>
      </c>
      <c r="D758" t="s">
        <v>110</v>
      </c>
      <c r="E758" t="s">
        <v>107</v>
      </c>
      <c r="F758" t="s">
        <v>80</v>
      </c>
      <c r="G758">
        <v>2.57025351162503</v>
      </c>
      <c r="H758">
        <v>2E+20</v>
      </c>
      <c r="I758">
        <v>1.1392686782118899</v>
      </c>
      <c r="J758">
        <v>6.3855704945601097</v>
      </c>
      <c r="K758">
        <v>24</v>
      </c>
      <c r="L75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compartida)TiempoEnSistemaNoMesaCantProd2IntervalUser Specified</v>
      </c>
      <c r="M758" s="5" cm="1">
        <f t="array" ref="M758">MAX(IF((ProjectInfoTable[ProjectName]=DiscreteStatsTable[[#This Row],[ProjectName]]),(ProjectInfoTable[ProjectName]=DiscreteStatsTable[[#This Row],[ProjectName]])*ProjectInfoTable[NumberOfReplications]))</f>
        <v>19</v>
      </c>
      <c r="N758" s="5" cm="1">
        <f t="array" ref="N758">IFERROR(AVERAGE(IF((DiscreteStatsTable[GroupByKey]=DiscreteStatsTable[[#This Row],[GroupByKey]]),(DiscreteStatsTable[GroupByKey]=DiscreteStatsTable[[#This Row],[GroupByKey]])*DiscreteStatsTable[Average])),0)</f>
        <v>3.9983565371792786</v>
      </c>
      <c r="O758" s="5" cm="1">
        <f t="array" ref="O758">IFERROR(_xlfn.STDEV.S(IF((DiscreteStatsTable[GroupByKey]=DiscreteStatsTable[[#This Row],[GroupByKey]]),(DiscreteStatsTable[GroupByKey]=DiscreteStatsTable[[#This Row],[GroupByKey]])*DiscreteStatsTable[Average])),0)</f>
        <v>1.3719461737846819</v>
      </c>
      <c r="P758" s="5" cm="1">
        <f t="array" ref="P758">MAX(IF((ProjectInfoTable[ProjectName]=DiscreteStatsTable[[#This Row],[ProjectName]]),(ProjectInfoTable[ProjectName]=DiscreteStatsTable[[#This Row],[ProjectName]])*ProjectInfoTable[ConfidenceInterval]))</f>
        <v>0.95</v>
      </c>
      <c r="Q758" s="5">
        <f>IF(AND(DiscreteStatsTable[[#This Row],[RepsWithStatObserved]]=1,Y758=0),200000000000000000000,IFERROR(_xlfn.T.INV.2T(1 -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0.66125688892142653</v>
      </c>
      <c r="R758" s="5" cm="1">
        <f t="array" ref="R758">MIN(IF((DiscreteStatsTable[GroupByKey]=DiscreteStatsTable[[#This Row],[GroupByKey]]),(DiscreteStatsTable[GroupByKey]=DiscreteStatsTable[[#This Row],[GroupByKey]])*DiscreteStatsTable[Average]))</f>
        <v>2.57025351162503</v>
      </c>
      <c r="S758" s="5" cm="1">
        <f t="array" ref="S758">MAX(IF((DiscreteStatsTable[GroupByKey]=DiscreteStatsTable[[#This Row],[GroupByKey]]),(DiscreteStatsTable[GroupByKey]=DiscreteStatsTable[[#This Row],[GroupByKey]])*DiscreteStatsTable[Average]))</f>
        <v>8.2425388076728598</v>
      </c>
      <c r="T758" s="5" cm="1">
        <f t="array" ref="T758">MIN(IF((DiscreteStatsTable[GroupByKey]=DiscreteStatsTable[[#This Row],[GroupByKey]]),(DiscreteStatsTable[GroupByKey]=DiscreteStatsTable[[#This Row],[GroupByKey]])*DiscreteStatsTable[Minimum]))</f>
        <v>0.79107086020877704</v>
      </c>
      <c r="U758" s="5" cm="1">
        <f t="array" ref="U758">MAX(IF((DiscreteStatsTable[GroupByKey]=DiscreteStatsTable[[#This Row],[GroupByKey]]),(DiscreteStatsTable[GroupByKey]=DiscreteStatsTable[[#This Row],[GroupByKey]])*DiscreteStatsTable[Maximum]))</f>
        <v>28.676361280594399</v>
      </c>
      <c r="V758" s="5" cm="1">
        <f t="array" ref="V758">IFERROR(AVERAGE(IF((DiscreteStatsTable[GroupByKey]=DiscreteStatsTable[[#This Row],[GroupByKey]]),(DiscreteStatsTable[GroupByKey]=DiscreteStatsTable[[#This Row],[GroupByKey]])*DiscreteStatsTable[NumberObservations])),0)</f>
        <v>26.421052631578949</v>
      </c>
      <c r="W758" s="5">
        <f>IF((DiscreteStatsTable[[#This Row],[RepsRequested]]&gt;1),DiscreteStatsTable[[#This Row],[HalfWidth]],DiscreteStatsTable[[#This Row],[BatchMeansHalfWidth]])</f>
        <v>0.66125688892142653</v>
      </c>
      <c r="X758" s="5" cm="1">
        <f t="array" ref="X758">COUNT(IF((DiscreteStatsTable[GroupByKey]=DiscreteStatsTable[[#This Row],[GroupByKey]]),(DiscreteStatsTable[GroupByKey]=DiscreteStatsTable[[#This Row],[GroupByKey]])*DiscreteStatsTable[Replication]))</f>
        <v>19</v>
      </c>
      <c r="Y758" s="5">
        <f>IF(DiscreteStatsTable[[#This Row],[RepsRequested]]=DiscreteStatsTable[[#This Row],[RepsWithStatObserved]],1,0)</f>
        <v>1</v>
      </c>
    </row>
    <row r="759" spans="1:25" x14ac:dyDescent="0.25">
      <c r="A759" t="s">
        <v>67</v>
      </c>
      <c r="B759" t="s">
        <v>69</v>
      </c>
      <c r="C759">
        <v>17</v>
      </c>
      <c r="D759" t="s">
        <v>110</v>
      </c>
      <c r="E759" t="s">
        <v>107</v>
      </c>
      <c r="F759" t="s">
        <v>80</v>
      </c>
      <c r="G759">
        <v>3.6681524596270898</v>
      </c>
      <c r="H759">
        <v>2E+20</v>
      </c>
      <c r="I759">
        <v>0.79107086020877704</v>
      </c>
      <c r="J759">
        <v>9.4592384965350806</v>
      </c>
      <c r="K759">
        <v>27</v>
      </c>
      <c r="L75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compartida)TiempoEnSistemaNoMesaCantProd2IntervalUser Specified</v>
      </c>
      <c r="M759" s="5" cm="1">
        <f t="array" ref="M759">MAX(IF((ProjectInfoTable[ProjectName]=DiscreteStatsTable[[#This Row],[ProjectName]]),(ProjectInfoTable[ProjectName]=DiscreteStatsTable[[#This Row],[ProjectName]])*ProjectInfoTable[NumberOfReplications]))</f>
        <v>19</v>
      </c>
      <c r="N759" s="5" cm="1">
        <f t="array" ref="N759">IFERROR(AVERAGE(IF((DiscreteStatsTable[GroupByKey]=DiscreteStatsTable[[#This Row],[GroupByKey]]),(DiscreteStatsTable[GroupByKey]=DiscreteStatsTable[[#This Row],[GroupByKey]])*DiscreteStatsTable[Average])),0)</f>
        <v>3.9983565371792786</v>
      </c>
      <c r="O759" s="5" cm="1">
        <f t="array" ref="O759">IFERROR(_xlfn.STDEV.S(IF((DiscreteStatsTable[GroupByKey]=DiscreteStatsTable[[#This Row],[GroupByKey]]),(DiscreteStatsTable[GroupByKey]=DiscreteStatsTable[[#This Row],[GroupByKey]])*DiscreteStatsTable[Average])),0)</f>
        <v>1.3719461737846819</v>
      </c>
      <c r="P759" s="5" cm="1">
        <f t="array" ref="P759">MAX(IF((ProjectInfoTable[ProjectName]=DiscreteStatsTable[[#This Row],[ProjectName]]),(ProjectInfoTable[ProjectName]=DiscreteStatsTable[[#This Row],[ProjectName]])*ProjectInfoTable[ConfidenceInterval]))</f>
        <v>0.95</v>
      </c>
      <c r="Q759" s="5">
        <f>IF(AND(DiscreteStatsTable[[#This Row],[RepsWithStatObserved]]=1,Y759=0),200000000000000000000,IFERROR(_xlfn.T.INV.2T(1 -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0.66125688892142653</v>
      </c>
      <c r="R759" s="5" cm="1">
        <f t="array" ref="R759">MIN(IF((DiscreteStatsTable[GroupByKey]=DiscreteStatsTable[[#This Row],[GroupByKey]]),(DiscreteStatsTable[GroupByKey]=DiscreteStatsTable[[#This Row],[GroupByKey]])*DiscreteStatsTable[Average]))</f>
        <v>2.57025351162503</v>
      </c>
      <c r="S759" s="5" cm="1">
        <f t="array" ref="S759">MAX(IF((DiscreteStatsTable[GroupByKey]=DiscreteStatsTable[[#This Row],[GroupByKey]]),(DiscreteStatsTable[GroupByKey]=DiscreteStatsTable[[#This Row],[GroupByKey]])*DiscreteStatsTable[Average]))</f>
        <v>8.2425388076728598</v>
      </c>
      <c r="T759" s="5" cm="1">
        <f t="array" ref="T759">MIN(IF((DiscreteStatsTable[GroupByKey]=DiscreteStatsTable[[#This Row],[GroupByKey]]),(DiscreteStatsTable[GroupByKey]=DiscreteStatsTable[[#This Row],[GroupByKey]])*DiscreteStatsTable[Minimum]))</f>
        <v>0.79107086020877704</v>
      </c>
      <c r="U759" s="5" cm="1">
        <f t="array" ref="U759">MAX(IF((DiscreteStatsTable[GroupByKey]=DiscreteStatsTable[[#This Row],[GroupByKey]]),(DiscreteStatsTable[GroupByKey]=DiscreteStatsTable[[#This Row],[GroupByKey]])*DiscreteStatsTable[Maximum]))</f>
        <v>28.676361280594399</v>
      </c>
      <c r="V759" s="5" cm="1">
        <f t="array" ref="V759">IFERROR(AVERAGE(IF((DiscreteStatsTable[GroupByKey]=DiscreteStatsTable[[#This Row],[GroupByKey]]),(DiscreteStatsTable[GroupByKey]=DiscreteStatsTable[[#This Row],[GroupByKey]])*DiscreteStatsTable[NumberObservations])),0)</f>
        <v>26.421052631578949</v>
      </c>
      <c r="W759" s="5">
        <f>IF((DiscreteStatsTable[[#This Row],[RepsRequested]]&gt;1),DiscreteStatsTable[[#This Row],[HalfWidth]],DiscreteStatsTable[[#This Row],[BatchMeansHalfWidth]])</f>
        <v>0.66125688892142653</v>
      </c>
      <c r="X759" s="5" cm="1">
        <f t="array" ref="X759">COUNT(IF((DiscreteStatsTable[GroupByKey]=DiscreteStatsTable[[#This Row],[GroupByKey]]),(DiscreteStatsTable[GroupByKey]=DiscreteStatsTable[[#This Row],[GroupByKey]])*DiscreteStatsTable[Replication]))</f>
        <v>19</v>
      </c>
      <c r="Y759" s="5">
        <f>IF(DiscreteStatsTable[[#This Row],[RepsRequested]]=DiscreteStatsTable[[#This Row],[RepsWithStatObserved]],1,0)</f>
        <v>1</v>
      </c>
    </row>
    <row r="760" spans="1:25" x14ac:dyDescent="0.25">
      <c r="A760" t="s">
        <v>67</v>
      </c>
      <c r="B760" t="s">
        <v>69</v>
      </c>
      <c r="C760">
        <v>18</v>
      </c>
      <c r="D760" t="s">
        <v>110</v>
      </c>
      <c r="E760" t="s">
        <v>107</v>
      </c>
      <c r="F760" t="s">
        <v>80</v>
      </c>
      <c r="G760">
        <v>3.4394452137487699</v>
      </c>
      <c r="H760">
        <v>2E+20</v>
      </c>
      <c r="I760">
        <v>1.0155913816741999</v>
      </c>
      <c r="J760">
        <v>13.608286167777701</v>
      </c>
      <c r="K760">
        <v>27</v>
      </c>
      <c r="L76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compartida)TiempoEnSistemaNoMesaCantProd2IntervalUser Specified</v>
      </c>
      <c r="M760" s="5" cm="1">
        <f t="array" ref="M760">MAX(IF((ProjectInfoTable[ProjectName]=DiscreteStatsTable[[#This Row],[ProjectName]]),(ProjectInfoTable[ProjectName]=DiscreteStatsTable[[#This Row],[ProjectName]])*ProjectInfoTable[NumberOfReplications]))</f>
        <v>19</v>
      </c>
      <c r="N760" s="5" cm="1">
        <f t="array" ref="N760">IFERROR(AVERAGE(IF((DiscreteStatsTable[GroupByKey]=DiscreteStatsTable[[#This Row],[GroupByKey]]),(DiscreteStatsTable[GroupByKey]=DiscreteStatsTable[[#This Row],[GroupByKey]])*DiscreteStatsTable[Average])),0)</f>
        <v>3.9983565371792786</v>
      </c>
      <c r="O760" s="5" cm="1">
        <f t="array" ref="O760">IFERROR(_xlfn.STDEV.S(IF((DiscreteStatsTable[GroupByKey]=DiscreteStatsTable[[#This Row],[GroupByKey]]),(DiscreteStatsTable[GroupByKey]=DiscreteStatsTable[[#This Row],[GroupByKey]])*DiscreteStatsTable[Average])),0)</f>
        <v>1.3719461737846819</v>
      </c>
      <c r="P760" s="5" cm="1">
        <f t="array" ref="P760">MAX(IF((ProjectInfoTable[ProjectName]=DiscreteStatsTable[[#This Row],[ProjectName]]),(ProjectInfoTable[ProjectName]=DiscreteStatsTable[[#This Row],[ProjectName]])*ProjectInfoTable[ConfidenceInterval]))</f>
        <v>0.95</v>
      </c>
      <c r="Q760" s="5">
        <f>IF(AND(DiscreteStatsTable[[#This Row],[RepsWithStatObserved]]=1,Y760=0),200000000000000000000,IFERROR(_xlfn.T.INV.2T(1 -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0.66125688892142653</v>
      </c>
      <c r="R760" s="5" cm="1">
        <f t="array" ref="R760">MIN(IF((DiscreteStatsTable[GroupByKey]=DiscreteStatsTable[[#This Row],[GroupByKey]]),(DiscreteStatsTable[GroupByKey]=DiscreteStatsTable[[#This Row],[GroupByKey]])*DiscreteStatsTable[Average]))</f>
        <v>2.57025351162503</v>
      </c>
      <c r="S760" s="5" cm="1">
        <f t="array" ref="S760">MAX(IF((DiscreteStatsTable[GroupByKey]=DiscreteStatsTable[[#This Row],[GroupByKey]]),(DiscreteStatsTable[GroupByKey]=DiscreteStatsTable[[#This Row],[GroupByKey]])*DiscreteStatsTable[Average]))</f>
        <v>8.2425388076728598</v>
      </c>
      <c r="T760" s="5" cm="1">
        <f t="array" ref="T760">MIN(IF((DiscreteStatsTable[GroupByKey]=DiscreteStatsTable[[#This Row],[GroupByKey]]),(DiscreteStatsTable[GroupByKey]=DiscreteStatsTable[[#This Row],[GroupByKey]])*DiscreteStatsTable[Minimum]))</f>
        <v>0.79107086020877704</v>
      </c>
      <c r="U760" s="5" cm="1">
        <f t="array" ref="U760">MAX(IF((DiscreteStatsTable[GroupByKey]=DiscreteStatsTable[[#This Row],[GroupByKey]]),(DiscreteStatsTable[GroupByKey]=DiscreteStatsTable[[#This Row],[GroupByKey]])*DiscreteStatsTable[Maximum]))</f>
        <v>28.676361280594399</v>
      </c>
      <c r="V760" s="5" cm="1">
        <f t="array" ref="V760">IFERROR(AVERAGE(IF((DiscreteStatsTable[GroupByKey]=DiscreteStatsTable[[#This Row],[GroupByKey]]),(DiscreteStatsTable[GroupByKey]=DiscreteStatsTable[[#This Row],[GroupByKey]])*DiscreteStatsTable[NumberObservations])),0)</f>
        <v>26.421052631578949</v>
      </c>
      <c r="W760" s="5">
        <f>IF((DiscreteStatsTable[[#This Row],[RepsRequested]]&gt;1),DiscreteStatsTable[[#This Row],[HalfWidth]],DiscreteStatsTable[[#This Row],[BatchMeansHalfWidth]])</f>
        <v>0.66125688892142653</v>
      </c>
      <c r="X760" s="5" cm="1">
        <f t="array" ref="X760">COUNT(IF((DiscreteStatsTable[GroupByKey]=DiscreteStatsTable[[#This Row],[GroupByKey]]),(DiscreteStatsTable[GroupByKey]=DiscreteStatsTable[[#This Row],[GroupByKey]])*DiscreteStatsTable[Replication]))</f>
        <v>19</v>
      </c>
      <c r="Y760" s="5">
        <f>IF(DiscreteStatsTable[[#This Row],[RepsRequested]]=DiscreteStatsTable[[#This Row],[RepsWithStatObserved]],1,0)</f>
        <v>1</v>
      </c>
    </row>
    <row r="761" spans="1:25" x14ac:dyDescent="0.25">
      <c r="A761" t="s">
        <v>67</v>
      </c>
      <c r="B761" t="s">
        <v>69</v>
      </c>
      <c r="C761">
        <v>19</v>
      </c>
      <c r="D761" t="s">
        <v>110</v>
      </c>
      <c r="E761" t="s">
        <v>107</v>
      </c>
      <c r="F761" t="s">
        <v>80</v>
      </c>
      <c r="G761">
        <v>2.5784448567521299</v>
      </c>
      <c r="H761">
        <v>2E+20</v>
      </c>
      <c r="I761">
        <v>1.1575743007591901</v>
      </c>
      <c r="J761">
        <v>5.3691953179989298</v>
      </c>
      <c r="K761">
        <v>23</v>
      </c>
      <c r="L76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compartida)TiempoEnSistemaNoMesaCantProd2IntervalUser Specified</v>
      </c>
      <c r="M761" s="5" cm="1">
        <f t="array" ref="M761">MAX(IF((ProjectInfoTable[ProjectName]=DiscreteStatsTable[[#This Row],[ProjectName]]),(ProjectInfoTable[ProjectName]=DiscreteStatsTable[[#This Row],[ProjectName]])*ProjectInfoTable[NumberOfReplications]))</f>
        <v>19</v>
      </c>
      <c r="N761" s="5" cm="1">
        <f t="array" ref="N761">IFERROR(AVERAGE(IF((DiscreteStatsTable[GroupByKey]=DiscreteStatsTable[[#This Row],[GroupByKey]]),(DiscreteStatsTable[GroupByKey]=DiscreteStatsTable[[#This Row],[GroupByKey]])*DiscreteStatsTable[Average])),0)</f>
        <v>3.9983565371792786</v>
      </c>
      <c r="O761" s="5" cm="1">
        <f t="array" ref="O761">IFERROR(_xlfn.STDEV.S(IF((DiscreteStatsTable[GroupByKey]=DiscreteStatsTable[[#This Row],[GroupByKey]]),(DiscreteStatsTable[GroupByKey]=DiscreteStatsTable[[#This Row],[GroupByKey]])*DiscreteStatsTable[Average])),0)</f>
        <v>1.3719461737846819</v>
      </c>
      <c r="P761" s="5" cm="1">
        <f t="array" ref="P761">MAX(IF((ProjectInfoTable[ProjectName]=DiscreteStatsTable[[#This Row],[ProjectName]]),(ProjectInfoTable[ProjectName]=DiscreteStatsTable[[#This Row],[ProjectName]])*ProjectInfoTable[ConfidenceInterval]))</f>
        <v>0.95</v>
      </c>
      <c r="Q761" s="5">
        <f>IF(AND(DiscreteStatsTable[[#This Row],[RepsWithStatObserved]]=1,Y761=0),200000000000000000000,IFERROR(_xlfn.T.INV.2T(1 -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0.66125688892142653</v>
      </c>
      <c r="R761" s="5" cm="1">
        <f t="array" ref="R761">MIN(IF((DiscreteStatsTable[GroupByKey]=DiscreteStatsTable[[#This Row],[GroupByKey]]),(DiscreteStatsTable[GroupByKey]=DiscreteStatsTable[[#This Row],[GroupByKey]])*DiscreteStatsTable[Average]))</f>
        <v>2.57025351162503</v>
      </c>
      <c r="S761" s="5" cm="1">
        <f t="array" ref="S761">MAX(IF((DiscreteStatsTable[GroupByKey]=DiscreteStatsTable[[#This Row],[GroupByKey]]),(DiscreteStatsTable[GroupByKey]=DiscreteStatsTable[[#This Row],[GroupByKey]])*DiscreteStatsTable[Average]))</f>
        <v>8.2425388076728598</v>
      </c>
      <c r="T761" s="5" cm="1">
        <f t="array" ref="T761">MIN(IF((DiscreteStatsTable[GroupByKey]=DiscreteStatsTable[[#This Row],[GroupByKey]]),(DiscreteStatsTable[GroupByKey]=DiscreteStatsTable[[#This Row],[GroupByKey]])*DiscreteStatsTable[Minimum]))</f>
        <v>0.79107086020877704</v>
      </c>
      <c r="U761" s="5" cm="1">
        <f t="array" ref="U761">MAX(IF((DiscreteStatsTable[GroupByKey]=DiscreteStatsTable[[#This Row],[GroupByKey]]),(DiscreteStatsTable[GroupByKey]=DiscreteStatsTable[[#This Row],[GroupByKey]])*DiscreteStatsTable[Maximum]))</f>
        <v>28.676361280594399</v>
      </c>
      <c r="V761" s="5" cm="1">
        <f t="array" ref="V761">IFERROR(AVERAGE(IF((DiscreteStatsTable[GroupByKey]=DiscreteStatsTable[[#This Row],[GroupByKey]]),(DiscreteStatsTable[GroupByKey]=DiscreteStatsTable[[#This Row],[GroupByKey]])*DiscreteStatsTable[NumberObservations])),0)</f>
        <v>26.421052631578949</v>
      </c>
      <c r="W761" s="5">
        <f>IF((DiscreteStatsTable[[#This Row],[RepsRequested]]&gt;1),DiscreteStatsTable[[#This Row],[HalfWidth]],DiscreteStatsTable[[#This Row],[BatchMeansHalfWidth]])</f>
        <v>0.66125688892142653</v>
      </c>
      <c r="X761" s="5" cm="1">
        <f t="array" ref="X761">COUNT(IF((DiscreteStatsTable[GroupByKey]=DiscreteStatsTable[[#This Row],[GroupByKey]]),(DiscreteStatsTable[GroupByKey]=DiscreteStatsTable[[#This Row],[GroupByKey]])*DiscreteStatsTable[Replication]))</f>
        <v>19</v>
      </c>
      <c r="Y761" s="5">
        <f>IF(DiscreteStatsTable[[#This Row],[RepsRequested]]=DiscreteStatsTable[[#This Row],[RepsWithStatObserved]],1,0)</f>
        <v>1</v>
      </c>
    </row>
    <row r="762" spans="1:25" x14ac:dyDescent="0.25">
      <c r="A762" t="s">
        <v>67</v>
      </c>
      <c r="B762" t="s">
        <v>69</v>
      </c>
      <c r="C762">
        <v>1</v>
      </c>
      <c r="D762" t="s">
        <v>111</v>
      </c>
      <c r="E762" t="s">
        <v>107</v>
      </c>
      <c r="F762" t="s">
        <v>80</v>
      </c>
      <c r="G762">
        <v>10.505033326075599</v>
      </c>
      <c r="H762">
        <v>2E+20</v>
      </c>
      <c r="I762">
        <v>1.74456312590783</v>
      </c>
      <c r="J762">
        <v>23.748706291307901</v>
      </c>
      <c r="K762">
        <v>9</v>
      </c>
      <c r="L76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compartida)TiempoEnSistemaNoMesaCantProd3IntervalUser Specified</v>
      </c>
      <c r="M762" s="5" cm="1">
        <f t="array" ref="M762">MAX(IF((ProjectInfoTable[ProjectName]=DiscreteStatsTable[[#This Row],[ProjectName]]),(ProjectInfoTable[ProjectName]=DiscreteStatsTable[[#This Row],[ProjectName]])*ProjectInfoTable[NumberOfReplications]))</f>
        <v>19</v>
      </c>
      <c r="N762" s="5" cm="1">
        <f t="array" ref="N762">IFERROR(AVERAGE(IF((DiscreteStatsTable[GroupByKey]=DiscreteStatsTable[[#This Row],[GroupByKey]]),(DiscreteStatsTable[GroupByKey]=DiscreteStatsTable[[#This Row],[GroupByKey]])*DiscreteStatsTable[Average])),0)</f>
        <v>4.6916077746929048</v>
      </c>
      <c r="O762" s="5" cm="1">
        <f t="array" ref="O762">IFERROR(_xlfn.STDEV.S(IF((DiscreteStatsTable[GroupByKey]=DiscreteStatsTable[[#This Row],[GroupByKey]]),(DiscreteStatsTable[GroupByKey]=DiscreteStatsTable[[#This Row],[GroupByKey]])*DiscreteStatsTable[Average])),0)</f>
        <v>1.692674069693535</v>
      </c>
      <c r="P762" s="5" cm="1">
        <f t="array" ref="P762">MAX(IF((ProjectInfoTable[ProjectName]=DiscreteStatsTable[[#This Row],[ProjectName]]),(ProjectInfoTable[ProjectName]=DiscreteStatsTable[[#This Row],[ProjectName]])*ProjectInfoTable[ConfidenceInterval]))</f>
        <v>0.95</v>
      </c>
      <c r="Q762" s="5">
        <f>IF(AND(DiscreteStatsTable[[#This Row],[RepsWithStatObserved]]=1,Y762=0),200000000000000000000,IFERROR(_xlfn.T.INV.2T(1 -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0.81584278645262853</v>
      </c>
      <c r="R762" s="5" cm="1">
        <f t="array" ref="R762">MIN(IF((DiscreteStatsTable[GroupByKey]=DiscreteStatsTable[[#This Row],[GroupByKey]]),(DiscreteStatsTable[GroupByKey]=DiscreteStatsTable[[#This Row],[GroupByKey]])*DiscreteStatsTable[Average]))</f>
        <v>3.2109546257116102</v>
      </c>
      <c r="S762" s="5" cm="1">
        <f t="array" ref="S762">MAX(IF((DiscreteStatsTable[GroupByKey]=DiscreteStatsTable[[#This Row],[GroupByKey]]),(DiscreteStatsTable[GroupByKey]=DiscreteStatsTable[[#This Row],[GroupByKey]])*DiscreteStatsTable[Average]))</f>
        <v>10.505033326075599</v>
      </c>
      <c r="T762" s="5" cm="1">
        <f t="array" ref="T762">MIN(IF((DiscreteStatsTable[GroupByKey]=DiscreteStatsTable[[#This Row],[GroupByKey]]),(DiscreteStatsTable[GroupByKey]=DiscreteStatsTable[[#This Row],[GroupByKey]])*DiscreteStatsTable[Minimum]))</f>
        <v>0.92811877614322202</v>
      </c>
      <c r="U762" s="5" cm="1">
        <f t="array" ref="U762">MAX(IF((DiscreteStatsTable[GroupByKey]=DiscreteStatsTable[[#This Row],[GroupByKey]]),(DiscreteStatsTable[GroupByKey]=DiscreteStatsTable[[#This Row],[GroupByKey]])*DiscreteStatsTable[Maximum]))</f>
        <v>23.748706291307901</v>
      </c>
      <c r="V762" s="5" cm="1">
        <f t="array" ref="V762">IFERROR(AVERAGE(IF((DiscreteStatsTable[GroupByKey]=DiscreteStatsTable[[#This Row],[GroupByKey]]),(DiscreteStatsTable[GroupByKey]=DiscreteStatsTable[[#This Row],[GroupByKey]])*DiscreteStatsTable[NumberObservations])),0)</f>
        <v>7.2631578947368425</v>
      </c>
      <c r="W762" s="5">
        <f>IF((DiscreteStatsTable[[#This Row],[RepsRequested]]&gt;1),DiscreteStatsTable[[#This Row],[HalfWidth]],DiscreteStatsTable[[#This Row],[BatchMeansHalfWidth]])</f>
        <v>0.81584278645262853</v>
      </c>
      <c r="X762" s="5" cm="1">
        <f t="array" ref="X762">COUNT(IF((DiscreteStatsTable[GroupByKey]=DiscreteStatsTable[[#This Row],[GroupByKey]]),(DiscreteStatsTable[GroupByKey]=DiscreteStatsTable[[#This Row],[GroupByKey]])*DiscreteStatsTable[Replication]))</f>
        <v>19</v>
      </c>
      <c r="Y762" s="5">
        <f>IF(DiscreteStatsTable[[#This Row],[RepsRequested]]=DiscreteStatsTable[[#This Row],[RepsWithStatObserved]],1,0)</f>
        <v>1</v>
      </c>
    </row>
    <row r="763" spans="1:25" x14ac:dyDescent="0.25">
      <c r="A763" t="s">
        <v>67</v>
      </c>
      <c r="B763" t="s">
        <v>69</v>
      </c>
      <c r="C763">
        <v>2</v>
      </c>
      <c r="D763" t="s">
        <v>111</v>
      </c>
      <c r="E763" t="s">
        <v>107</v>
      </c>
      <c r="F763" t="s">
        <v>80</v>
      </c>
      <c r="G763">
        <v>4.9673157515860602</v>
      </c>
      <c r="H763">
        <v>2E+20</v>
      </c>
      <c r="I763">
        <v>1.7256877584082</v>
      </c>
      <c r="J763">
        <v>11.326578842878</v>
      </c>
      <c r="K763">
        <v>10</v>
      </c>
      <c r="L76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compartida)TiempoEnSistemaNoMesaCantProd3IntervalUser Specified</v>
      </c>
      <c r="M763" s="5" cm="1">
        <f t="array" ref="M763">MAX(IF((ProjectInfoTable[ProjectName]=DiscreteStatsTable[[#This Row],[ProjectName]]),(ProjectInfoTable[ProjectName]=DiscreteStatsTable[[#This Row],[ProjectName]])*ProjectInfoTable[NumberOfReplications]))</f>
        <v>19</v>
      </c>
      <c r="N763" s="5" cm="1">
        <f t="array" ref="N763">IFERROR(AVERAGE(IF((DiscreteStatsTable[GroupByKey]=DiscreteStatsTable[[#This Row],[GroupByKey]]),(DiscreteStatsTable[GroupByKey]=DiscreteStatsTable[[#This Row],[GroupByKey]])*DiscreteStatsTable[Average])),0)</f>
        <v>4.6916077746929048</v>
      </c>
      <c r="O763" s="5" cm="1">
        <f t="array" ref="O763">IFERROR(_xlfn.STDEV.S(IF((DiscreteStatsTable[GroupByKey]=DiscreteStatsTable[[#This Row],[GroupByKey]]),(DiscreteStatsTable[GroupByKey]=DiscreteStatsTable[[#This Row],[GroupByKey]])*DiscreteStatsTable[Average])),0)</f>
        <v>1.692674069693535</v>
      </c>
      <c r="P763" s="5" cm="1">
        <f t="array" ref="P763">MAX(IF((ProjectInfoTable[ProjectName]=DiscreteStatsTable[[#This Row],[ProjectName]]),(ProjectInfoTable[ProjectName]=DiscreteStatsTable[[#This Row],[ProjectName]])*ProjectInfoTable[ConfidenceInterval]))</f>
        <v>0.95</v>
      </c>
      <c r="Q763" s="5">
        <f>IF(AND(DiscreteStatsTable[[#This Row],[RepsWithStatObserved]]=1,Y763=0),200000000000000000000,IFERROR(_xlfn.T.INV.2T(1 -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0.81584278645262853</v>
      </c>
      <c r="R763" s="5" cm="1">
        <f t="array" ref="R763">MIN(IF((DiscreteStatsTable[GroupByKey]=DiscreteStatsTable[[#This Row],[GroupByKey]]),(DiscreteStatsTable[GroupByKey]=DiscreteStatsTable[[#This Row],[GroupByKey]])*DiscreteStatsTable[Average]))</f>
        <v>3.2109546257116102</v>
      </c>
      <c r="S763" s="5" cm="1">
        <f t="array" ref="S763">MAX(IF((DiscreteStatsTable[GroupByKey]=DiscreteStatsTable[[#This Row],[GroupByKey]]),(DiscreteStatsTable[GroupByKey]=DiscreteStatsTable[[#This Row],[GroupByKey]])*DiscreteStatsTable[Average]))</f>
        <v>10.505033326075599</v>
      </c>
      <c r="T763" s="5" cm="1">
        <f t="array" ref="T763">MIN(IF((DiscreteStatsTable[GroupByKey]=DiscreteStatsTable[[#This Row],[GroupByKey]]),(DiscreteStatsTable[GroupByKey]=DiscreteStatsTable[[#This Row],[GroupByKey]])*DiscreteStatsTable[Minimum]))</f>
        <v>0.92811877614322202</v>
      </c>
      <c r="U763" s="5" cm="1">
        <f t="array" ref="U763">MAX(IF((DiscreteStatsTable[GroupByKey]=DiscreteStatsTable[[#This Row],[GroupByKey]]),(DiscreteStatsTable[GroupByKey]=DiscreteStatsTable[[#This Row],[GroupByKey]])*DiscreteStatsTable[Maximum]))</f>
        <v>23.748706291307901</v>
      </c>
      <c r="V763" s="5" cm="1">
        <f t="array" ref="V763">IFERROR(AVERAGE(IF((DiscreteStatsTable[GroupByKey]=DiscreteStatsTable[[#This Row],[GroupByKey]]),(DiscreteStatsTable[GroupByKey]=DiscreteStatsTable[[#This Row],[GroupByKey]])*DiscreteStatsTable[NumberObservations])),0)</f>
        <v>7.2631578947368425</v>
      </c>
      <c r="W763" s="5">
        <f>IF((DiscreteStatsTable[[#This Row],[RepsRequested]]&gt;1),DiscreteStatsTable[[#This Row],[HalfWidth]],DiscreteStatsTable[[#This Row],[BatchMeansHalfWidth]])</f>
        <v>0.81584278645262853</v>
      </c>
      <c r="X763" s="5" cm="1">
        <f t="array" ref="X763">COUNT(IF((DiscreteStatsTable[GroupByKey]=DiscreteStatsTable[[#This Row],[GroupByKey]]),(DiscreteStatsTable[GroupByKey]=DiscreteStatsTable[[#This Row],[GroupByKey]])*DiscreteStatsTable[Replication]))</f>
        <v>19</v>
      </c>
      <c r="Y763" s="5">
        <f>IF(DiscreteStatsTable[[#This Row],[RepsRequested]]=DiscreteStatsTable[[#This Row],[RepsWithStatObserved]],1,0)</f>
        <v>1</v>
      </c>
    </row>
    <row r="764" spans="1:25" x14ac:dyDescent="0.25">
      <c r="A764" t="s">
        <v>67</v>
      </c>
      <c r="B764" t="s">
        <v>69</v>
      </c>
      <c r="C764">
        <v>3</v>
      </c>
      <c r="D764" t="s">
        <v>111</v>
      </c>
      <c r="E764" t="s">
        <v>107</v>
      </c>
      <c r="F764" t="s">
        <v>80</v>
      </c>
      <c r="G764">
        <v>3.7602302906304002</v>
      </c>
      <c r="H764">
        <v>2E+20</v>
      </c>
      <c r="I764">
        <v>1.77260651393505</v>
      </c>
      <c r="J764">
        <v>5.3658885041759303</v>
      </c>
      <c r="K764">
        <v>3</v>
      </c>
      <c r="L76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compartida)TiempoEnSistemaNoMesaCantProd3IntervalUser Specified</v>
      </c>
      <c r="M764" s="5" cm="1">
        <f t="array" ref="M764">MAX(IF((ProjectInfoTable[ProjectName]=DiscreteStatsTable[[#This Row],[ProjectName]]),(ProjectInfoTable[ProjectName]=DiscreteStatsTable[[#This Row],[ProjectName]])*ProjectInfoTable[NumberOfReplications]))</f>
        <v>19</v>
      </c>
      <c r="N764" s="5" cm="1">
        <f t="array" ref="N764">IFERROR(AVERAGE(IF((DiscreteStatsTable[GroupByKey]=DiscreteStatsTable[[#This Row],[GroupByKey]]),(DiscreteStatsTable[GroupByKey]=DiscreteStatsTable[[#This Row],[GroupByKey]])*DiscreteStatsTable[Average])),0)</f>
        <v>4.6916077746929048</v>
      </c>
      <c r="O764" s="5" cm="1">
        <f t="array" ref="O764">IFERROR(_xlfn.STDEV.S(IF((DiscreteStatsTable[GroupByKey]=DiscreteStatsTable[[#This Row],[GroupByKey]]),(DiscreteStatsTable[GroupByKey]=DiscreteStatsTable[[#This Row],[GroupByKey]])*DiscreteStatsTable[Average])),0)</f>
        <v>1.692674069693535</v>
      </c>
      <c r="P764" s="5" cm="1">
        <f t="array" ref="P764">MAX(IF((ProjectInfoTable[ProjectName]=DiscreteStatsTable[[#This Row],[ProjectName]]),(ProjectInfoTable[ProjectName]=DiscreteStatsTable[[#This Row],[ProjectName]])*ProjectInfoTable[ConfidenceInterval]))</f>
        <v>0.95</v>
      </c>
      <c r="Q764" s="5">
        <f>IF(AND(DiscreteStatsTable[[#This Row],[RepsWithStatObserved]]=1,Y764=0),200000000000000000000,IFERROR(_xlfn.T.INV.2T(1 -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0.81584278645262853</v>
      </c>
      <c r="R764" s="5" cm="1">
        <f t="array" ref="R764">MIN(IF((DiscreteStatsTable[GroupByKey]=DiscreteStatsTable[[#This Row],[GroupByKey]]),(DiscreteStatsTable[GroupByKey]=DiscreteStatsTable[[#This Row],[GroupByKey]])*DiscreteStatsTable[Average]))</f>
        <v>3.2109546257116102</v>
      </c>
      <c r="S764" s="5" cm="1">
        <f t="array" ref="S764">MAX(IF((DiscreteStatsTable[GroupByKey]=DiscreteStatsTable[[#This Row],[GroupByKey]]),(DiscreteStatsTable[GroupByKey]=DiscreteStatsTable[[#This Row],[GroupByKey]])*DiscreteStatsTable[Average]))</f>
        <v>10.505033326075599</v>
      </c>
      <c r="T764" s="5" cm="1">
        <f t="array" ref="T764">MIN(IF((DiscreteStatsTable[GroupByKey]=DiscreteStatsTable[[#This Row],[GroupByKey]]),(DiscreteStatsTable[GroupByKey]=DiscreteStatsTable[[#This Row],[GroupByKey]])*DiscreteStatsTable[Minimum]))</f>
        <v>0.92811877614322202</v>
      </c>
      <c r="U764" s="5" cm="1">
        <f t="array" ref="U764">MAX(IF((DiscreteStatsTable[GroupByKey]=DiscreteStatsTable[[#This Row],[GroupByKey]]),(DiscreteStatsTable[GroupByKey]=DiscreteStatsTable[[#This Row],[GroupByKey]])*DiscreteStatsTable[Maximum]))</f>
        <v>23.748706291307901</v>
      </c>
      <c r="V764" s="5" cm="1">
        <f t="array" ref="V764">IFERROR(AVERAGE(IF((DiscreteStatsTable[GroupByKey]=DiscreteStatsTable[[#This Row],[GroupByKey]]),(DiscreteStatsTable[GroupByKey]=DiscreteStatsTable[[#This Row],[GroupByKey]])*DiscreteStatsTable[NumberObservations])),0)</f>
        <v>7.2631578947368425</v>
      </c>
      <c r="W764" s="5">
        <f>IF((DiscreteStatsTable[[#This Row],[RepsRequested]]&gt;1),DiscreteStatsTable[[#This Row],[HalfWidth]],DiscreteStatsTable[[#This Row],[BatchMeansHalfWidth]])</f>
        <v>0.81584278645262853</v>
      </c>
      <c r="X764" s="5" cm="1">
        <f t="array" ref="X764">COUNT(IF((DiscreteStatsTable[GroupByKey]=DiscreteStatsTable[[#This Row],[GroupByKey]]),(DiscreteStatsTable[GroupByKey]=DiscreteStatsTable[[#This Row],[GroupByKey]])*DiscreteStatsTable[Replication]))</f>
        <v>19</v>
      </c>
      <c r="Y764" s="5">
        <f>IF(DiscreteStatsTable[[#This Row],[RepsRequested]]=DiscreteStatsTable[[#This Row],[RepsWithStatObserved]],1,0)</f>
        <v>1</v>
      </c>
    </row>
    <row r="765" spans="1:25" x14ac:dyDescent="0.25">
      <c r="A765" t="s">
        <v>67</v>
      </c>
      <c r="B765" t="s">
        <v>69</v>
      </c>
      <c r="C765">
        <v>4</v>
      </c>
      <c r="D765" t="s">
        <v>111</v>
      </c>
      <c r="E765" t="s">
        <v>107</v>
      </c>
      <c r="F765" t="s">
        <v>80</v>
      </c>
      <c r="G765">
        <v>3.51101901564431</v>
      </c>
      <c r="H765">
        <v>2E+20</v>
      </c>
      <c r="I765">
        <v>1.63864791194413</v>
      </c>
      <c r="J765">
        <v>7.2974386156073097</v>
      </c>
      <c r="K765">
        <v>10</v>
      </c>
      <c r="L76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compartida)TiempoEnSistemaNoMesaCantProd3IntervalUser Specified</v>
      </c>
      <c r="M765" s="5" cm="1">
        <f t="array" ref="M765">MAX(IF((ProjectInfoTable[ProjectName]=DiscreteStatsTable[[#This Row],[ProjectName]]),(ProjectInfoTable[ProjectName]=DiscreteStatsTable[[#This Row],[ProjectName]])*ProjectInfoTable[NumberOfReplications]))</f>
        <v>19</v>
      </c>
      <c r="N765" s="5" cm="1">
        <f t="array" ref="N765">IFERROR(AVERAGE(IF((DiscreteStatsTable[GroupByKey]=DiscreteStatsTable[[#This Row],[GroupByKey]]),(DiscreteStatsTable[GroupByKey]=DiscreteStatsTable[[#This Row],[GroupByKey]])*DiscreteStatsTable[Average])),0)</f>
        <v>4.6916077746929048</v>
      </c>
      <c r="O765" s="5" cm="1">
        <f t="array" ref="O765">IFERROR(_xlfn.STDEV.S(IF((DiscreteStatsTable[GroupByKey]=DiscreteStatsTable[[#This Row],[GroupByKey]]),(DiscreteStatsTable[GroupByKey]=DiscreteStatsTable[[#This Row],[GroupByKey]])*DiscreteStatsTable[Average])),0)</f>
        <v>1.692674069693535</v>
      </c>
      <c r="P765" s="5" cm="1">
        <f t="array" ref="P765">MAX(IF((ProjectInfoTable[ProjectName]=DiscreteStatsTable[[#This Row],[ProjectName]]),(ProjectInfoTable[ProjectName]=DiscreteStatsTable[[#This Row],[ProjectName]])*ProjectInfoTable[ConfidenceInterval]))</f>
        <v>0.95</v>
      </c>
      <c r="Q765" s="5">
        <f>IF(AND(DiscreteStatsTable[[#This Row],[RepsWithStatObserved]]=1,Y765=0),200000000000000000000,IFERROR(_xlfn.T.INV.2T(1 -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0.81584278645262853</v>
      </c>
      <c r="R765" s="5" cm="1">
        <f t="array" ref="R765">MIN(IF((DiscreteStatsTable[GroupByKey]=DiscreteStatsTable[[#This Row],[GroupByKey]]),(DiscreteStatsTable[GroupByKey]=DiscreteStatsTable[[#This Row],[GroupByKey]])*DiscreteStatsTable[Average]))</f>
        <v>3.2109546257116102</v>
      </c>
      <c r="S765" s="5" cm="1">
        <f t="array" ref="S765">MAX(IF((DiscreteStatsTable[GroupByKey]=DiscreteStatsTable[[#This Row],[GroupByKey]]),(DiscreteStatsTable[GroupByKey]=DiscreteStatsTable[[#This Row],[GroupByKey]])*DiscreteStatsTable[Average]))</f>
        <v>10.505033326075599</v>
      </c>
      <c r="T765" s="5" cm="1">
        <f t="array" ref="T765">MIN(IF((DiscreteStatsTable[GroupByKey]=DiscreteStatsTable[[#This Row],[GroupByKey]]),(DiscreteStatsTable[GroupByKey]=DiscreteStatsTable[[#This Row],[GroupByKey]])*DiscreteStatsTable[Minimum]))</f>
        <v>0.92811877614322202</v>
      </c>
      <c r="U765" s="5" cm="1">
        <f t="array" ref="U765">MAX(IF((DiscreteStatsTable[GroupByKey]=DiscreteStatsTable[[#This Row],[GroupByKey]]),(DiscreteStatsTable[GroupByKey]=DiscreteStatsTable[[#This Row],[GroupByKey]])*DiscreteStatsTable[Maximum]))</f>
        <v>23.748706291307901</v>
      </c>
      <c r="V765" s="5" cm="1">
        <f t="array" ref="V765">IFERROR(AVERAGE(IF((DiscreteStatsTable[GroupByKey]=DiscreteStatsTable[[#This Row],[GroupByKey]]),(DiscreteStatsTable[GroupByKey]=DiscreteStatsTable[[#This Row],[GroupByKey]])*DiscreteStatsTable[NumberObservations])),0)</f>
        <v>7.2631578947368425</v>
      </c>
      <c r="W765" s="5">
        <f>IF((DiscreteStatsTable[[#This Row],[RepsRequested]]&gt;1),DiscreteStatsTable[[#This Row],[HalfWidth]],DiscreteStatsTable[[#This Row],[BatchMeansHalfWidth]])</f>
        <v>0.81584278645262853</v>
      </c>
      <c r="X765" s="5" cm="1">
        <f t="array" ref="X765">COUNT(IF((DiscreteStatsTable[GroupByKey]=DiscreteStatsTable[[#This Row],[GroupByKey]]),(DiscreteStatsTable[GroupByKey]=DiscreteStatsTable[[#This Row],[GroupByKey]])*DiscreteStatsTable[Replication]))</f>
        <v>19</v>
      </c>
      <c r="Y765" s="5">
        <f>IF(DiscreteStatsTable[[#This Row],[RepsRequested]]=DiscreteStatsTable[[#This Row],[RepsWithStatObserved]],1,0)</f>
        <v>1</v>
      </c>
    </row>
    <row r="766" spans="1:25" x14ac:dyDescent="0.25">
      <c r="A766" t="s">
        <v>67</v>
      </c>
      <c r="B766" t="s">
        <v>69</v>
      </c>
      <c r="C766">
        <v>5</v>
      </c>
      <c r="D766" t="s">
        <v>111</v>
      </c>
      <c r="E766" t="s">
        <v>107</v>
      </c>
      <c r="F766" t="s">
        <v>80</v>
      </c>
      <c r="G766">
        <v>5.0295855939118104</v>
      </c>
      <c r="H766">
        <v>2E+20</v>
      </c>
      <c r="I766">
        <v>3.2628553426746101</v>
      </c>
      <c r="J766">
        <v>6.6363069063213</v>
      </c>
      <c r="K766">
        <v>6</v>
      </c>
      <c r="L76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compartida)TiempoEnSistemaNoMesaCantProd3IntervalUser Specified</v>
      </c>
      <c r="M766" s="5" cm="1">
        <f t="array" ref="M766">MAX(IF((ProjectInfoTable[ProjectName]=DiscreteStatsTable[[#This Row],[ProjectName]]),(ProjectInfoTable[ProjectName]=DiscreteStatsTable[[#This Row],[ProjectName]])*ProjectInfoTable[NumberOfReplications]))</f>
        <v>19</v>
      </c>
      <c r="N766" s="5" cm="1">
        <f t="array" ref="N766">IFERROR(AVERAGE(IF((DiscreteStatsTable[GroupByKey]=DiscreteStatsTable[[#This Row],[GroupByKey]]),(DiscreteStatsTable[GroupByKey]=DiscreteStatsTable[[#This Row],[GroupByKey]])*DiscreteStatsTable[Average])),0)</f>
        <v>4.6916077746929048</v>
      </c>
      <c r="O766" s="5" cm="1">
        <f t="array" ref="O766">IFERROR(_xlfn.STDEV.S(IF((DiscreteStatsTable[GroupByKey]=DiscreteStatsTable[[#This Row],[GroupByKey]]),(DiscreteStatsTable[GroupByKey]=DiscreteStatsTable[[#This Row],[GroupByKey]])*DiscreteStatsTable[Average])),0)</f>
        <v>1.692674069693535</v>
      </c>
      <c r="P766" s="5" cm="1">
        <f t="array" ref="P766">MAX(IF((ProjectInfoTable[ProjectName]=DiscreteStatsTable[[#This Row],[ProjectName]]),(ProjectInfoTable[ProjectName]=DiscreteStatsTable[[#This Row],[ProjectName]])*ProjectInfoTable[ConfidenceInterval]))</f>
        <v>0.95</v>
      </c>
      <c r="Q766" s="5">
        <f>IF(AND(DiscreteStatsTable[[#This Row],[RepsWithStatObserved]]=1,Y766=0),200000000000000000000,IFERROR(_xlfn.T.INV.2T(1 -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0.81584278645262853</v>
      </c>
      <c r="R766" s="5" cm="1">
        <f t="array" ref="R766">MIN(IF((DiscreteStatsTable[GroupByKey]=DiscreteStatsTable[[#This Row],[GroupByKey]]),(DiscreteStatsTable[GroupByKey]=DiscreteStatsTable[[#This Row],[GroupByKey]])*DiscreteStatsTable[Average]))</f>
        <v>3.2109546257116102</v>
      </c>
      <c r="S766" s="5" cm="1">
        <f t="array" ref="S766">MAX(IF((DiscreteStatsTable[GroupByKey]=DiscreteStatsTable[[#This Row],[GroupByKey]]),(DiscreteStatsTable[GroupByKey]=DiscreteStatsTable[[#This Row],[GroupByKey]])*DiscreteStatsTable[Average]))</f>
        <v>10.505033326075599</v>
      </c>
      <c r="T766" s="5" cm="1">
        <f t="array" ref="T766">MIN(IF((DiscreteStatsTable[GroupByKey]=DiscreteStatsTable[[#This Row],[GroupByKey]]),(DiscreteStatsTable[GroupByKey]=DiscreteStatsTable[[#This Row],[GroupByKey]])*DiscreteStatsTable[Minimum]))</f>
        <v>0.92811877614322202</v>
      </c>
      <c r="U766" s="5" cm="1">
        <f t="array" ref="U766">MAX(IF((DiscreteStatsTable[GroupByKey]=DiscreteStatsTable[[#This Row],[GroupByKey]]),(DiscreteStatsTable[GroupByKey]=DiscreteStatsTable[[#This Row],[GroupByKey]])*DiscreteStatsTable[Maximum]))</f>
        <v>23.748706291307901</v>
      </c>
      <c r="V766" s="5" cm="1">
        <f t="array" ref="V766">IFERROR(AVERAGE(IF((DiscreteStatsTable[GroupByKey]=DiscreteStatsTable[[#This Row],[GroupByKey]]),(DiscreteStatsTable[GroupByKey]=DiscreteStatsTable[[#This Row],[GroupByKey]])*DiscreteStatsTable[NumberObservations])),0)</f>
        <v>7.2631578947368425</v>
      </c>
      <c r="W766" s="5">
        <f>IF((DiscreteStatsTable[[#This Row],[RepsRequested]]&gt;1),DiscreteStatsTable[[#This Row],[HalfWidth]],DiscreteStatsTable[[#This Row],[BatchMeansHalfWidth]])</f>
        <v>0.81584278645262853</v>
      </c>
      <c r="X766" s="5" cm="1">
        <f t="array" ref="X766">COUNT(IF((DiscreteStatsTable[GroupByKey]=DiscreteStatsTable[[#This Row],[GroupByKey]]),(DiscreteStatsTable[GroupByKey]=DiscreteStatsTable[[#This Row],[GroupByKey]])*DiscreteStatsTable[Replication]))</f>
        <v>19</v>
      </c>
      <c r="Y766" s="5">
        <f>IF(DiscreteStatsTable[[#This Row],[RepsRequested]]=DiscreteStatsTable[[#This Row],[RepsWithStatObserved]],1,0)</f>
        <v>1</v>
      </c>
    </row>
    <row r="767" spans="1:25" x14ac:dyDescent="0.25">
      <c r="A767" t="s">
        <v>67</v>
      </c>
      <c r="B767" t="s">
        <v>69</v>
      </c>
      <c r="C767">
        <v>6</v>
      </c>
      <c r="D767" t="s">
        <v>111</v>
      </c>
      <c r="E767" t="s">
        <v>107</v>
      </c>
      <c r="F767" t="s">
        <v>80</v>
      </c>
      <c r="G767">
        <v>3.2109546257116102</v>
      </c>
      <c r="H767">
        <v>2E+20</v>
      </c>
      <c r="I767">
        <v>1.3688537006875401</v>
      </c>
      <c r="J767">
        <v>5.5750818133899402</v>
      </c>
      <c r="K767">
        <v>7</v>
      </c>
      <c r="L76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compartida)TiempoEnSistemaNoMesaCantProd3IntervalUser Specified</v>
      </c>
      <c r="M767" s="5" cm="1">
        <f t="array" ref="M767">MAX(IF((ProjectInfoTable[ProjectName]=DiscreteStatsTable[[#This Row],[ProjectName]]),(ProjectInfoTable[ProjectName]=DiscreteStatsTable[[#This Row],[ProjectName]])*ProjectInfoTable[NumberOfReplications]))</f>
        <v>19</v>
      </c>
      <c r="N767" s="5" cm="1">
        <f t="array" ref="N767">IFERROR(AVERAGE(IF((DiscreteStatsTable[GroupByKey]=DiscreteStatsTable[[#This Row],[GroupByKey]]),(DiscreteStatsTable[GroupByKey]=DiscreteStatsTable[[#This Row],[GroupByKey]])*DiscreteStatsTable[Average])),0)</f>
        <v>4.6916077746929048</v>
      </c>
      <c r="O767" s="5" cm="1">
        <f t="array" ref="O767">IFERROR(_xlfn.STDEV.S(IF((DiscreteStatsTable[GroupByKey]=DiscreteStatsTable[[#This Row],[GroupByKey]]),(DiscreteStatsTable[GroupByKey]=DiscreteStatsTable[[#This Row],[GroupByKey]])*DiscreteStatsTable[Average])),0)</f>
        <v>1.692674069693535</v>
      </c>
      <c r="P767" s="5" cm="1">
        <f t="array" ref="P767">MAX(IF((ProjectInfoTable[ProjectName]=DiscreteStatsTable[[#This Row],[ProjectName]]),(ProjectInfoTable[ProjectName]=DiscreteStatsTable[[#This Row],[ProjectName]])*ProjectInfoTable[ConfidenceInterval]))</f>
        <v>0.95</v>
      </c>
      <c r="Q767" s="5">
        <f>IF(AND(DiscreteStatsTable[[#This Row],[RepsWithStatObserved]]=1,Y767=0),200000000000000000000,IFERROR(_xlfn.T.INV.2T(1 -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0.81584278645262853</v>
      </c>
      <c r="R767" s="5" cm="1">
        <f t="array" ref="R767">MIN(IF((DiscreteStatsTable[GroupByKey]=DiscreteStatsTable[[#This Row],[GroupByKey]]),(DiscreteStatsTable[GroupByKey]=DiscreteStatsTable[[#This Row],[GroupByKey]])*DiscreteStatsTable[Average]))</f>
        <v>3.2109546257116102</v>
      </c>
      <c r="S767" s="5" cm="1">
        <f t="array" ref="S767">MAX(IF((DiscreteStatsTable[GroupByKey]=DiscreteStatsTable[[#This Row],[GroupByKey]]),(DiscreteStatsTable[GroupByKey]=DiscreteStatsTable[[#This Row],[GroupByKey]])*DiscreteStatsTable[Average]))</f>
        <v>10.505033326075599</v>
      </c>
      <c r="T767" s="5" cm="1">
        <f t="array" ref="T767">MIN(IF((DiscreteStatsTable[GroupByKey]=DiscreteStatsTable[[#This Row],[GroupByKey]]),(DiscreteStatsTable[GroupByKey]=DiscreteStatsTable[[#This Row],[GroupByKey]])*DiscreteStatsTable[Minimum]))</f>
        <v>0.92811877614322202</v>
      </c>
      <c r="U767" s="5" cm="1">
        <f t="array" ref="U767">MAX(IF((DiscreteStatsTable[GroupByKey]=DiscreteStatsTable[[#This Row],[GroupByKey]]),(DiscreteStatsTable[GroupByKey]=DiscreteStatsTable[[#This Row],[GroupByKey]])*DiscreteStatsTable[Maximum]))</f>
        <v>23.748706291307901</v>
      </c>
      <c r="V767" s="5" cm="1">
        <f t="array" ref="V767">IFERROR(AVERAGE(IF((DiscreteStatsTable[GroupByKey]=DiscreteStatsTable[[#This Row],[GroupByKey]]),(DiscreteStatsTable[GroupByKey]=DiscreteStatsTable[[#This Row],[GroupByKey]])*DiscreteStatsTable[NumberObservations])),0)</f>
        <v>7.2631578947368425</v>
      </c>
      <c r="W767" s="5">
        <f>IF((DiscreteStatsTable[[#This Row],[RepsRequested]]&gt;1),DiscreteStatsTable[[#This Row],[HalfWidth]],DiscreteStatsTable[[#This Row],[BatchMeansHalfWidth]])</f>
        <v>0.81584278645262853</v>
      </c>
      <c r="X767" s="5" cm="1">
        <f t="array" ref="X767">COUNT(IF((DiscreteStatsTable[GroupByKey]=DiscreteStatsTable[[#This Row],[GroupByKey]]),(DiscreteStatsTable[GroupByKey]=DiscreteStatsTable[[#This Row],[GroupByKey]])*DiscreteStatsTable[Replication]))</f>
        <v>19</v>
      </c>
      <c r="Y767" s="5">
        <f>IF(DiscreteStatsTable[[#This Row],[RepsRequested]]=DiscreteStatsTable[[#This Row],[RepsWithStatObserved]],1,0)</f>
        <v>1</v>
      </c>
    </row>
    <row r="768" spans="1:25" x14ac:dyDescent="0.25">
      <c r="A768" t="s">
        <v>67</v>
      </c>
      <c r="B768" t="s">
        <v>69</v>
      </c>
      <c r="C768">
        <v>7</v>
      </c>
      <c r="D768" t="s">
        <v>111</v>
      </c>
      <c r="E768" t="s">
        <v>107</v>
      </c>
      <c r="F768" t="s">
        <v>80</v>
      </c>
      <c r="G768">
        <v>3.9959996028031699</v>
      </c>
      <c r="H768">
        <v>2E+20</v>
      </c>
      <c r="I768">
        <v>1.4350728451088099</v>
      </c>
      <c r="J768">
        <v>7.0572066376264804</v>
      </c>
      <c r="K768">
        <v>5</v>
      </c>
      <c r="L76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compartida)TiempoEnSistemaNoMesaCantProd3IntervalUser Specified</v>
      </c>
      <c r="M768" s="5" cm="1">
        <f t="array" ref="M768">MAX(IF((ProjectInfoTable[ProjectName]=DiscreteStatsTable[[#This Row],[ProjectName]]),(ProjectInfoTable[ProjectName]=DiscreteStatsTable[[#This Row],[ProjectName]])*ProjectInfoTable[NumberOfReplications]))</f>
        <v>19</v>
      </c>
      <c r="N768" s="5" cm="1">
        <f t="array" ref="N768">IFERROR(AVERAGE(IF((DiscreteStatsTable[GroupByKey]=DiscreteStatsTable[[#This Row],[GroupByKey]]),(DiscreteStatsTable[GroupByKey]=DiscreteStatsTable[[#This Row],[GroupByKey]])*DiscreteStatsTable[Average])),0)</f>
        <v>4.6916077746929048</v>
      </c>
      <c r="O768" s="5" cm="1">
        <f t="array" ref="O768">IFERROR(_xlfn.STDEV.S(IF((DiscreteStatsTable[GroupByKey]=DiscreteStatsTable[[#This Row],[GroupByKey]]),(DiscreteStatsTable[GroupByKey]=DiscreteStatsTable[[#This Row],[GroupByKey]])*DiscreteStatsTable[Average])),0)</f>
        <v>1.692674069693535</v>
      </c>
      <c r="P768" s="5" cm="1">
        <f t="array" ref="P768">MAX(IF((ProjectInfoTable[ProjectName]=DiscreteStatsTable[[#This Row],[ProjectName]]),(ProjectInfoTable[ProjectName]=DiscreteStatsTable[[#This Row],[ProjectName]])*ProjectInfoTable[ConfidenceInterval]))</f>
        <v>0.95</v>
      </c>
      <c r="Q768" s="5">
        <f>IF(AND(DiscreteStatsTable[[#This Row],[RepsWithStatObserved]]=1,Y768=0),200000000000000000000,IFERROR(_xlfn.T.INV.2T(1 -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0.81584278645262853</v>
      </c>
      <c r="R768" s="5" cm="1">
        <f t="array" ref="R768">MIN(IF((DiscreteStatsTable[GroupByKey]=DiscreteStatsTable[[#This Row],[GroupByKey]]),(DiscreteStatsTable[GroupByKey]=DiscreteStatsTable[[#This Row],[GroupByKey]])*DiscreteStatsTable[Average]))</f>
        <v>3.2109546257116102</v>
      </c>
      <c r="S768" s="5" cm="1">
        <f t="array" ref="S768">MAX(IF((DiscreteStatsTable[GroupByKey]=DiscreteStatsTable[[#This Row],[GroupByKey]]),(DiscreteStatsTable[GroupByKey]=DiscreteStatsTable[[#This Row],[GroupByKey]])*DiscreteStatsTable[Average]))</f>
        <v>10.505033326075599</v>
      </c>
      <c r="T768" s="5" cm="1">
        <f t="array" ref="T768">MIN(IF((DiscreteStatsTable[GroupByKey]=DiscreteStatsTable[[#This Row],[GroupByKey]]),(DiscreteStatsTable[GroupByKey]=DiscreteStatsTable[[#This Row],[GroupByKey]])*DiscreteStatsTable[Minimum]))</f>
        <v>0.92811877614322202</v>
      </c>
      <c r="U768" s="5" cm="1">
        <f t="array" ref="U768">MAX(IF((DiscreteStatsTable[GroupByKey]=DiscreteStatsTable[[#This Row],[GroupByKey]]),(DiscreteStatsTable[GroupByKey]=DiscreteStatsTable[[#This Row],[GroupByKey]])*DiscreteStatsTable[Maximum]))</f>
        <v>23.748706291307901</v>
      </c>
      <c r="V768" s="5" cm="1">
        <f t="array" ref="V768">IFERROR(AVERAGE(IF((DiscreteStatsTable[GroupByKey]=DiscreteStatsTable[[#This Row],[GroupByKey]]),(DiscreteStatsTable[GroupByKey]=DiscreteStatsTable[[#This Row],[GroupByKey]])*DiscreteStatsTable[NumberObservations])),0)</f>
        <v>7.2631578947368425</v>
      </c>
      <c r="W768" s="5">
        <f>IF((DiscreteStatsTable[[#This Row],[RepsRequested]]&gt;1),DiscreteStatsTable[[#This Row],[HalfWidth]],DiscreteStatsTable[[#This Row],[BatchMeansHalfWidth]])</f>
        <v>0.81584278645262853</v>
      </c>
      <c r="X768" s="5" cm="1">
        <f t="array" ref="X768">COUNT(IF((DiscreteStatsTable[GroupByKey]=DiscreteStatsTable[[#This Row],[GroupByKey]]),(DiscreteStatsTable[GroupByKey]=DiscreteStatsTable[[#This Row],[GroupByKey]])*DiscreteStatsTable[Replication]))</f>
        <v>19</v>
      </c>
      <c r="Y768" s="5">
        <f>IF(DiscreteStatsTable[[#This Row],[RepsRequested]]=DiscreteStatsTable[[#This Row],[RepsWithStatObserved]],1,0)</f>
        <v>1</v>
      </c>
    </row>
    <row r="769" spans="1:25" x14ac:dyDescent="0.25">
      <c r="A769" t="s">
        <v>67</v>
      </c>
      <c r="B769" t="s">
        <v>69</v>
      </c>
      <c r="C769">
        <v>8</v>
      </c>
      <c r="D769" t="s">
        <v>111</v>
      </c>
      <c r="E769" t="s">
        <v>107</v>
      </c>
      <c r="F769" t="s">
        <v>80</v>
      </c>
      <c r="G769">
        <v>4.6675021237296503</v>
      </c>
      <c r="H769">
        <v>2E+20</v>
      </c>
      <c r="I769">
        <v>1.45253303140473</v>
      </c>
      <c r="J769">
        <v>10.4788765301382</v>
      </c>
      <c r="K769">
        <v>11</v>
      </c>
      <c r="L76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compartida)TiempoEnSistemaNoMesaCantProd3IntervalUser Specified</v>
      </c>
      <c r="M769" s="5" cm="1">
        <f t="array" ref="M769">MAX(IF((ProjectInfoTable[ProjectName]=DiscreteStatsTable[[#This Row],[ProjectName]]),(ProjectInfoTable[ProjectName]=DiscreteStatsTable[[#This Row],[ProjectName]])*ProjectInfoTable[NumberOfReplications]))</f>
        <v>19</v>
      </c>
      <c r="N769" s="5" cm="1">
        <f t="array" ref="N769">IFERROR(AVERAGE(IF((DiscreteStatsTable[GroupByKey]=DiscreteStatsTable[[#This Row],[GroupByKey]]),(DiscreteStatsTable[GroupByKey]=DiscreteStatsTable[[#This Row],[GroupByKey]])*DiscreteStatsTable[Average])),0)</f>
        <v>4.6916077746929048</v>
      </c>
      <c r="O769" s="5" cm="1">
        <f t="array" ref="O769">IFERROR(_xlfn.STDEV.S(IF((DiscreteStatsTable[GroupByKey]=DiscreteStatsTable[[#This Row],[GroupByKey]]),(DiscreteStatsTable[GroupByKey]=DiscreteStatsTable[[#This Row],[GroupByKey]])*DiscreteStatsTable[Average])),0)</f>
        <v>1.692674069693535</v>
      </c>
      <c r="P769" s="5" cm="1">
        <f t="array" ref="P769">MAX(IF((ProjectInfoTable[ProjectName]=DiscreteStatsTable[[#This Row],[ProjectName]]),(ProjectInfoTable[ProjectName]=DiscreteStatsTable[[#This Row],[ProjectName]])*ProjectInfoTable[ConfidenceInterval]))</f>
        <v>0.95</v>
      </c>
      <c r="Q769" s="5">
        <f>IF(AND(DiscreteStatsTable[[#This Row],[RepsWithStatObserved]]=1,Y769=0),200000000000000000000,IFERROR(_xlfn.T.INV.2T(1 -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0.81584278645262853</v>
      </c>
      <c r="R769" s="5" cm="1">
        <f t="array" ref="R769">MIN(IF((DiscreteStatsTable[GroupByKey]=DiscreteStatsTable[[#This Row],[GroupByKey]]),(DiscreteStatsTable[GroupByKey]=DiscreteStatsTable[[#This Row],[GroupByKey]])*DiscreteStatsTable[Average]))</f>
        <v>3.2109546257116102</v>
      </c>
      <c r="S769" s="5" cm="1">
        <f t="array" ref="S769">MAX(IF((DiscreteStatsTable[GroupByKey]=DiscreteStatsTable[[#This Row],[GroupByKey]]),(DiscreteStatsTable[GroupByKey]=DiscreteStatsTable[[#This Row],[GroupByKey]])*DiscreteStatsTable[Average]))</f>
        <v>10.505033326075599</v>
      </c>
      <c r="T769" s="5" cm="1">
        <f t="array" ref="T769">MIN(IF((DiscreteStatsTable[GroupByKey]=DiscreteStatsTable[[#This Row],[GroupByKey]]),(DiscreteStatsTable[GroupByKey]=DiscreteStatsTable[[#This Row],[GroupByKey]])*DiscreteStatsTable[Minimum]))</f>
        <v>0.92811877614322202</v>
      </c>
      <c r="U769" s="5" cm="1">
        <f t="array" ref="U769">MAX(IF((DiscreteStatsTable[GroupByKey]=DiscreteStatsTable[[#This Row],[GroupByKey]]),(DiscreteStatsTable[GroupByKey]=DiscreteStatsTable[[#This Row],[GroupByKey]])*DiscreteStatsTable[Maximum]))</f>
        <v>23.748706291307901</v>
      </c>
      <c r="V769" s="5" cm="1">
        <f t="array" ref="V769">IFERROR(AVERAGE(IF((DiscreteStatsTable[GroupByKey]=DiscreteStatsTable[[#This Row],[GroupByKey]]),(DiscreteStatsTable[GroupByKey]=DiscreteStatsTable[[#This Row],[GroupByKey]])*DiscreteStatsTable[NumberObservations])),0)</f>
        <v>7.2631578947368425</v>
      </c>
      <c r="W769" s="5">
        <f>IF((DiscreteStatsTable[[#This Row],[RepsRequested]]&gt;1),DiscreteStatsTable[[#This Row],[HalfWidth]],DiscreteStatsTable[[#This Row],[BatchMeansHalfWidth]])</f>
        <v>0.81584278645262853</v>
      </c>
      <c r="X769" s="5" cm="1">
        <f t="array" ref="X769">COUNT(IF((DiscreteStatsTable[GroupByKey]=DiscreteStatsTable[[#This Row],[GroupByKey]]),(DiscreteStatsTable[GroupByKey]=DiscreteStatsTable[[#This Row],[GroupByKey]])*DiscreteStatsTable[Replication]))</f>
        <v>19</v>
      </c>
      <c r="Y769" s="5">
        <f>IF(DiscreteStatsTable[[#This Row],[RepsRequested]]=DiscreteStatsTable[[#This Row],[RepsWithStatObserved]],1,0)</f>
        <v>1</v>
      </c>
    </row>
    <row r="770" spans="1:25" x14ac:dyDescent="0.25">
      <c r="A770" t="s">
        <v>67</v>
      </c>
      <c r="B770" t="s">
        <v>69</v>
      </c>
      <c r="C770">
        <v>9</v>
      </c>
      <c r="D770" t="s">
        <v>111</v>
      </c>
      <c r="E770" t="s">
        <v>107</v>
      </c>
      <c r="F770" t="s">
        <v>80</v>
      </c>
      <c r="G770">
        <v>5.3040894473270601</v>
      </c>
      <c r="H770">
        <v>2E+20</v>
      </c>
      <c r="I770">
        <v>2.7882385006347898</v>
      </c>
      <c r="J770">
        <v>9.7826778195312407</v>
      </c>
      <c r="K770">
        <v>7</v>
      </c>
      <c r="L77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compartida)TiempoEnSistemaNoMesaCantProd3IntervalUser Specified</v>
      </c>
      <c r="M770" s="5" cm="1">
        <f t="array" ref="M770">MAX(IF((ProjectInfoTable[ProjectName]=DiscreteStatsTable[[#This Row],[ProjectName]]),(ProjectInfoTable[ProjectName]=DiscreteStatsTable[[#This Row],[ProjectName]])*ProjectInfoTable[NumberOfReplications]))</f>
        <v>19</v>
      </c>
      <c r="N770" s="5" cm="1">
        <f t="array" ref="N770">IFERROR(AVERAGE(IF((DiscreteStatsTable[GroupByKey]=DiscreteStatsTable[[#This Row],[GroupByKey]]),(DiscreteStatsTable[GroupByKey]=DiscreteStatsTable[[#This Row],[GroupByKey]])*DiscreteStatsTable[Average])),0)</f>
        <v>4.6916077746929048</v>
      </c>
      <c r="O770" s="5" cm="1">
        <f t="array" ref="O770">IFERROR(_xlfn.STDEV.S(IF((DiscreteStatsTable[GroupByKey]=DiscreteStatsTable[[#This Row],[GroupByKey]]),(DiscreteStatsTable[GroupByKey]=DiscreteStatsTable[[#This Row],[GroupByKey]])*DiscreteStatsTable[Average])),0)</f>
        <v>1.692674069693535</v>
      </c>
      <c r="P770" s="5" cm="1">
        <f t="array" ref="P770">MAX(IF((ProjectInfoTable[ProjectName]=DiscreteStatsTable[[#This Row],[ProjectName]]),(ProjectInfoTable[ProjectName]=DiscreteStatsTable[[#This Row],[ProjectName]])*ProjectInfoTable[ConfidenceInterval]))</f>
        <v>0.95</v>
      </c>
      <c r="Q770" s="5">
        <f>IF(AND(DiscreteStatsTable[[#This Row],[RepsWithStatObserved]]=1,Y770=0),200000000000000000000,IFERROR(_xlfn.T.INV.2T(1 -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0.81584278645262853</v>
      </c>
      <c r="R770" s="5" cm="1">
        <f t="array" ref="R770">MIN(IF((DiscreteStatsTable[GroupByKey]=DiscreteStatsTable[[#This Row],[GroupByKey]]),(DiscreteStatsTable[GroupByKey]=DiscreteStatsTable[[#This Row],[GroupByKey]])*DiscreteStatsTable[Average]))</f>
        <v>3.2109546257116102</v>
      </c>
      <c r="S770" s="5" cm="1">
        <f t="array" ref="S770">MAX(IF((DiscreteStatsTable[GroupByKey]=DiscreteStatsTable[[#This Row],[GroupByKey]]),(DiscreteStatsTable[GroupByKey]=DiscreteStatsTable[[#This Row],[GroupByKey]])*DiscreteStatsTable[Average]))</f>
        <v>10.505033326075599</v>
      </c>
      <c r="T770" s="5" cm="1">
        <f t="array" ref="T770">MIN(IF((DiscreteStatsTable[GroupByKey]=DiscreteStatsTable[[#This Row],[GroupByKey]]),(DiscreteStatsTable[GroupByKey]=DiscreteStatsTable[[#This Row],[GroupByKey]])*DiscreteStatsTable[Minimum]))</f>
        <v>0.92811877614322202</v>
      </c>
      <c r="U770" s="5" cm="1">
        <f t="array" ref="U770">MAX(IF((DiscreteStatsTable[GroupByKey]=DiscreteStatsTable[[#This Row],[GroupByKey]]),(DiscreteStatsTable[GroupByKey]=DiscreteStatsTable[[#This Row],[GroupByKey]])*DiscreteStatsTable[Maximum]))</f>
        <v>23.748706291307901</v>
      </c>
      <c r="V770" s="5" cm="1">
        <f t="array" ref="V770">IFERROR(AVERAGE(IF((DiscreteStatsTable[GroupByKey]=DiscreteStatsTable[[#This Row],[GroupByKey]]),(DiscreteStatsTable[GroupByKey]=DiscreteStatsTable[[#This Row],[GroupByKey]])*DiscreteStatsTable[NumberObservations])),0)</f>
        <v>7.2631578947368425</v>
      </c>
      <c r="W770" s="5">
        <f>IF((DiscreteStatsTable[[#This Row],[RepsRequested]]&gt;1),DiscreteStatsTable[[#This Row],[HalfWidth]],DiscreteStatsTable[[#This Row],[BatchMeansHalfWidth]])</f>
        <v>0.81584278645262853</v>
      </c>
      <c r="X770" s="5" cm="1">
        <f t="array" ref="X770">COUNT(IF((DiscreteStatsTable[GroupByKey]=DiscreteStatsTable[[#This Row],[GroupByKey]]),(DiscreteStatsTable[GroupByKey]=DiscreteStatsTable[[#This Row],[GroupByKey]])*DiscreteStatsTable[Replication]))</f>
        <v>19</v>
      </c>
      <c r="Y770" s="5">
        <f>IF(DiscreteStatsTable[[#This Row],[RepsRequested]]=DiscreteStatsTable[[#This Row],[RepsWithStatObserved]],1,0)</f>
        <v>1</v>
      </c>
    </row>
    <row r="771" spans="1:25" x14ac:dyDescent="0.25">
      <c r="A771" t="s">
        <v>67</v>
      </c>
      <c r="B771" t="s">
        <v>69</v>
      </c>
      <c r="C771">
        <v>10</v>
      </c>
      <c r="D771" t="s">
        <v>111</v>
      </c>
      <c r="E771" t="s">
        <v>107</v>
      </c>
      <c r="F771" t="s">
        <v>80</v>
      </c>
      <c r="G771">
        <v>3.9871297134532999</v>
      </c>
      <c r="H771">
        <v>2E+20</v>
      </c>
      <c r="I771">
        <v>1.03716936645546</v>
      </c>
      <c r="J771">
        <v>7.7244758280859598</v>
      </c>
      <c r="K771">
        <v>7</v>
      </c>
      <c r="L77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compartida)TiempoEnSistemaNoMesaCantProd3IntervalUser Specified</v>
      </c>
      <c r="M771" s="5" cm="1">
        <f t="array" ref="M771">MAX(IF((ProjectInfoTable[ProjectName]=DiscreteStatsTable[[#This Row],[ProjectName]]),(ProjectInfoTable[ProjectName]=DiscreteStatsTable[[#This Row],[ProjectName]])*ProjectInfoTable[NumberOfReplications]))</f>
        <v>19</v>
      </c>
      <c r="N771" s="5" cm="1">
        <f t="array" ref="N771">IFERROR(AVERAGE(IF((DiscreteStatsTable[GroupByKey]=DiscreteStatsTable[[#This Row],[GroupByKey]]),(DiscreteStatsTable[GroupByKey]=DiscreteStatsTable[[#This Row],[GroupByKey]])*DiscreteStatsTable[Average])),0)</f>
        <v>4.6916077746929048</v>
      </c>
      <c r="O771" s="5" cm="1">
        <f t="array" ref="O771">IFERROR(_xlfn.STDEV.S(IF((DiscreteStatsTable[GroupByKey]=DiscreteStatsTable[[#This Row],[GroupByKey]]),(DiscreteStatsTable[GroupByKey]=DiscreteStatsTable[[#This Row],[GroupByKey]])*DiscreteStatsTable[Average])),0)</f>
        <v>1.692674069693535</v>
      </c>
      <c r="P771" s="5" cm="1">
        <f t="array" ref="P771">MAX(IF((ProjectInfoTable[ProjectName]=DiscreteStatsTable[[#This Row],[ProjectName]]),(ProjectInfoTable[ProjectName]=DiscreteStatsTable[[#This Row],[ProjectName]])*ProjectInfoTable[ConfidenceInterval]))</f>
        <v>0.95</v>
      </c>
      <c r="Q771" s="5">
        <f>IF(AND(DiscreteStatsTable[[#This Row],[RepsWithStatObserved]]=1,Y771=0),200000000000000000000,IFERROR(_xlfn.T.INV.2T(1 -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0.81584278645262853</v>
      </c>
      <c r="R771" s="5" cm="1">
        <f t="array" ref="R771">MIN(IF((DiscreteStatsTable[GroupByKey]=DiscreteStatsTable[[#This Row],[GroupByKey]]),(DiscreteStatsTable[GroupByKey]=DiscreteStatsTable[[#This Row],[GroupByKey]])*DiscreteStatsTable[Average]))</f>
        <v>3.2109546257116102</v>
      </c>
      <c r="S771" s="5" cm="1">
        <f t="array" ref="S771">MAX(IF((DiscreteStatsTable[GroupByKey]=DiscreteStatsTable[[#This Row],[GroupByKey]]),(DiscreteStatsTable[GroupByKey]=DiscreteStatsTable[[#This Row],[GroupByKey]])*DiscreteStatsTable[Average]))</f>
        <v>10.505033326075599</v>
      </c>
      <c r="T771" s="5" cm="1">
        <f t="array" ref="T771">MIN(IF((DiscreteStatsTable[GroupByKey]=DiscreteStatsTable[[#This Row],[GroupByKey]]),(DiscreteStatsTable[GroupByKey]=DiscreteStatsTable[[#This Row],[GroupByKey]])*DiscreteStatsTable[Minimum]))</f>
        <v>0.92811877614322202</v>
      </c>
      <c r="U771" s="5" cm="1">
        <f t="array" ref="U771">MAX(IF((DiscreteStatsTable[GroupByKey]=DiscreteStatsTable[[#This Row],[GroupByKey]]),(DiscreteStatsTable[GroupByKey]=DiscreteStatsTable[[#This Row],[GroupByKey]])*DiscreteStatsTable[Maximum]))</f>
        <v>23.748706291307901</v>
      </c>
      <c r="V771" s="5" cm="1">
        <f t="array" ref="V771">IFERROR(AVERAGE(IF((DiscreteStatsTable[GroupByKey]=DiscreteStatsTable[[#This Row],[GroupByKey]]),(DiscreteStatsTable[GroupByKey]=DiscreteStatsTable[[#This Row],[GroupByKey]])*DiscreteStatsTable[NumberObservations])),0)</f>
        <v>7.2631578947368425</v>
      </c>
      <c r="W771" s="5">
        <f>IF((DiscreteStatsTable[[#This Row],[RepsRequested]]&gt;1),DiscreteStatsTable[[#This Row],[HalfWidth]],DiscreteStatsTable[[#This Row],[BatchMeansHalfWidth]])</f>
        <v>0.81584278645262853</v>
      </c>
      <c r="X771" s="5" cm="1">
        <f t="array" ref="X771">COUNT(IF((DiscreteStatsTable[GroupByKey]=DiscreteStatsTable[[#This Row],[GroupByKey]]),(DiscreteStatsTable[GroupByKey]=DiscreteStatsTable[[#This Row],[GroupByKey]])*DiscreteStatsTable[Replication]))</f>
        <v>19</v>
      </c>
      <c r="Y771" s="5">
        <f>IF(DiscreteStatsTable[[#This Row],[RepsRequested]]=DiscreteStatsTable[[#This Row],[RepsWithStatObserved]],1,0)</f>
        <v>1</v>
      </c>
    </row>
    <row r="772" spans="1:25" x14ac:dyDescent="0.25">
      <c r="A772" t="s">
        <v>67</v>
      </c>
      <c r="B772" t="s">
        <v>69</v>
      </c>
      <c r="C772">
        <v>11</v>
      </c>
      <c r="D772" t="s">
        <v>111</v>
      </c>
      <c r="E772" t="s">
        <v>107</v>
      </c>
      <c r="F772" t="s">
        <v>80</v>
      </c>
      <c r="G772">
        <v>4.21995423371754</v>
      </c>
      <c r="H772">
        <v>2E+20</v>
      </c>
      <c r="I772">
        <v>2.3747281373490701</v>
      </c>
      <c r="J772">
        <v>5.8972480031228498</v>
      </c>
      <c r="K772">
        <v>5</v>
      </c>
      <c r="L77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compartida)TiempoEnSistemaNoMesaCantProd3IntervalUser Specified</v>
      </c>
      <c r="M772" s="5" cm="1">
        <f t="array" ref="M772">MAX(IF((ProjectInfoTable[ProjectName]=DiscreteStatsTable[[#This Row],[ProjectName]]),(ProjectInfoTable[ProjectName]=DiscreteStatsTable[[#This Row],[ProjectName]])*ProjectInfoTable[NumberOfReplications]))</f>
        <v>19</v>
      </c>
      <c r="N772" s="5" cm="1">
        <f t="array" ref="N772">IFERROR(AVERAGE(IF((DiscreteStatsTable[GroupByKey]=DiscreteStatsTable[[#This Row],[GroupByKey]]),(DiscreteStatsTable[GroupByKey]=DiscreteStatsTable[[#This Row],[GroupByKey]])*DiscreteStatsTable[Average])),0)</f>
        <v>4.6916077746929048</v>
      </c>
      <c r="O772" s="5" cm="1">
        <f t="array" ref="O772">IFERROR(_xlfn.STDEV.S(IF((DiscreteStatsTable[GroupByKey]=DiscreteStatsTable[[#This Row],[GroupByKey]]),(DiscreteStatsTable[GroupByKey]=DiscreteStatsTable[[#This Row],[GroupByKey]])*DiscreteStatsTable[Average])),0)</f>
        <v>1.692674069693535</v>
      </c>
      <c r="P772" s="5" cm="1">
        <f t="array" ref="P772">MAX(IF((ProjectInfoTable[ProjectName]=DiscreteStatsTable[[#This Row],[ProjectName]]),(ProjectInfoTable[ProjectName]=DiscreteStatsTable[[#This Row],[ProjectName]])*ProjectInfoTable[ConfidenceInterval]))</f>
        <v>0.95</v>
      </c>
      <c r="Q772" s="5">
        <f>IF(AND(DiscreteStatsTable[[#This Row],[RepsWithStatObserved]]=1,Y772=0),200000000000000000000,IFERROR(_xlfn.T.INV.2T(1 -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0.81584278645262853</v>
      </c>
      <c r="R772" s="5" cm="1">
        <f t="array" ref="R772">MIN(IF((DiscreteStatsTable[GroupByKey]=DiscreteStatsTable[[#This Row],[GroupByKey]]),(DiscreteStatsTable[GroupByKey]=DiscreteStatsTable[[#This Row],[GroupByKey]])*DiscreteStatsTable[Average]))</f>
        <v>3.2109546257116102</v>
      </c>
      <c r="S772" s="5" cm="1">
        <f t="array" ref="S772">MAX(IF((DiscreteStatsTable[GroupByKey]=DiscreteStatsTable[[#This Row],[GroupByKey]]),(DiscreteStatsTable[GroupByKey]=DiscreteStatsTable[[#This Row],[GroupByKey]])*DiscreteStatsTable[Average]))</f>
        <v>10.505033326075599</v>
      </c>
      <c r="T772" s="5" cm="1">
        <f t="array" ref="T772">MIN(IF((DiscreteStatsTable[GroupByKey]=DiscreteStatsTable[[#This Row],[GroupByKey]]),(DiscreteStatsTable[GroupByKey]=DiscreteStatsTable[[#This Row],[GroupByKey]])*DiscreteStatsTable[Minimum]))</f>
        <v>0.92811877614322202</v>
      </c>
      <c r="U772" s="5" cm="1">
        <f t="array" ref="U772">MAX(IF((DiscreteStatsTable[GroupByKey]=DiscreteStatsTable[[#This Row],[GroupByKey]]),(DiscreteStatsTable[GroupByKey]=DiscreteStatsTable[[#This Row],[GroupByKey]])*DiscreteStatsTable[Maximum]))</f>
        <v>23.748706291307901</v>
      </c>
      <c r="V772" s="5" cm="1">
        <f t="array" ref="V772">IFERROR(AVERAGE(IF((DiscreteStatsTable[GroupByKey]=DiscreteStatsTable[[#This Row],[GroupByKey]]),(DiscreteStatsTable[GroupByKey]=DiscreteStatsTable[[#This Row],[GroupByKey]])*DiscreteStatsTable[NumberObservations])),0)</f>
        <v>7.2631578947368425</v>
      </c>
      <c r="W772" s="5">
        <f>IF((DiscreteStatsTable[[#This Row],[RepsRequested]]&gt;1),DiscreteStatsTable[[#This Row],[HalfWidth]],DiscreteStatsTable[[#This Row],[BatchMeansHalfWidth]])</f>
        <v>0.81584278645262853</v>
      </c>
      <c r="X772" s="5" cm="1">
        <f t="array" ref="X772">COUNT(IF((DiscreteStatsTable[GroupByKey]=DiscreteStatsTable[[#This Row],[GroupByKey]]),(DiscreteStatsTable[GroupByKey]=DiscreteStatsTable[[#This Row],[GroupByKey]])*DiscreteStatsTable[Replication]))</f>
        <v>19</v>
      </c>
      <c r="Y772" s="5">
        <f>IF(DiscreteStatsTable[[#This Row],[RepsRequested]]=DiscreteStatsTable[[#This Row],[RepsWithStatObserved]],1,0)</f>
        <v>1</v>
      </c>
    </row>
    <row r="773" spans="1:25" x14ac:dyDescent="0.25">
      <c r="A773" t="s">
        <v>67</v>
      </c>
      <c r="B773" t="s">
        <v>69</v>
      </c>
      <c r="C773">
        <v>12</v>
      </c>
      <c r="D773" t="s">
        <v>111</v>
      </c>
      <c r="E773" t="s">
        <v>107</v>
      </c>
      <c r="F773" t="s">
        <v>80</v>
      </c>
      <c r="G773">
        <v>3.8863538288780601</v>
      </c>
      <c r="H773">
        <v>2E+20</v>
      </c>
      <c r="I773">
        <v>0.92811877614322202</v>
      </c>
      <c r="J773">
        <v>7.27133959610308</v>
      </c>
      <c r="K773">
        <v>7</v>
      </c>
      <c r="L77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compartida)TiempoEnSistemaNoMesaCantProd3IntervalUser Specified</v>
      </c>
      <c r="M773" s="5" cm="1">
        <f t="array" ref="M773">MAX(IF((ProjectInfoTable[ProjectName]=DiscreteStatsTable[[#This Row],[ProjectName]]),(ProjectInfoTable[ProjectName]=DiscreteStatsTable[[#This Row],[ProjectName]])*ProjectInfoTable[NumberOfReplications]))</f>
        <v>19</v>
      </c>
      <c r="N773" s="5" cm="1">
        <f t="array" ref="N773">IFERROR(AVERAGE(IF((DiscreteStatsTable[GroupByKey]=DiscreteStatsTable[[#This Row],[GroupByKey]]),(DiscreteStatsTable[GroupByKey]=DiscreteStatsTable[[#This Row],[GroupByKey]])*DiscreteStatsTable[Average])),0)</f>
        <v>4.6916077746929048</v>
      </c>
      <c r="O773" s="5" cm="1">
        <f t="array" ref="O773">IFERROR(_xlfn.STDEV.S(IF((DiscreteStatsTable[GroupByKey]=DiscreteStatsTable[[#This Row],[GroupByKey]]),(DiscreteStatsTable[GroupByKey]=DiscreteStatsTable[[#This Row],[GroupByKey]])*DiscreteStatsTable[Average])),0)</f>
        <v>1.692674069693535</v>
      </c>
      <c r="P773" s="5" cm="1">
        <f t="array" ref="P773">MAX(IF((ProjectInfoTable[ProjectName]=DiscreteStatsTable[[#This Row],[ProjectName]]),(ProjectInfoTable[ProjectName]=DiscreteStatsTable[[#This Row],[ProjectName]])*ProjectInfoTable[ConfidenceInterval]))</f>
        <v>0.95</v>
      </c>
      <c r="Q773" s="5">
        <f>IF(AND(DiscreteStatsTable[[#This Row],[RepsWithStatObserved]]=1,Y773=0),200000000000000000000,IFERROR(_xlfn.T.INV.2T(1 -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0.81584278645262853</v>
      </c>
      <c r="R773" s="5" cm="1">
        <f t="array" ref="R773">MIN(IF((DiscreteStatsTable[GroupByKey]=DiscreteStatsTable[[#This Row],[GroupByKey]]),(DiscreteStatsTable[GroupByKey]=DiscreteStatsTable[[#This Row],[GroupByKey]])*DiscreteStatsTable[Average]))</f>
        <v>3.2109546257116102</v>
      </c>
      <c r="S773" s="5" cm="1">
        <f t="array" ref="S773">MAX(IF((DiscreteStatsTable[GroupByKey]=DiscreteStatsTable[[#This Row],[GroupByKey]]),(DiscreteStatsTable[GroupByKey]=DiscreteStatsTable[[#This Row],[GroupByKey]])*DiscreteStatsTable[Average]))</f>
        <v>10.505033326075599</v>
      </c>
      <c r="T773" s="5" cm="1">
        <f t="array" ref="T773">MIN(IF((DiscreteStatsTable[GroupByKey]=DiscreteStatsTable[[#This Row],[GroupByKey]]),(DiscreteStatsTable[GroupByKey]=DiscreteStatsTable[[#This Row],[GroupByKey]])*DiscreteStatsTable[Minimum]))</f>
        <v>0.92811877614322202</v>
      </c>
      <c r="U773" s="5" cm="1">
        <f t="array" ref="U773">MAX(IF((DiscreteStatsTable[GroupByKey]=DiscreteStatsTable[[#This Row],[GroupByKey]]),(DiscreteStatsTable[GroupByKey]=DiscreteStatsTable[[#This Row],[GroupByKey]])*DiscreteStatsTable[Maximum]))</f>
        <v>23.748706291307901</v>
      </c>
      <c r="V773" s="5" cm="1">
        <f t="array" ref="V773">IFERROR(AVERAGE(IF((DiscreteStatsTable[GroupByKey]=DiscreteStatsTable[[#This Row],[GroupByKey]]),(DiscreteStatsTable[GroupByKey]=DiscreteStatsTable[[#This Row],[GroupByKey]])*DiscreteStatsTable[NumberObservations])),0)</f>
        <v>7.2631578947368425</v>
      </c>
      <c r="W773" s="5">
        <f>IF((DiscreteStatsTable[[#This Row],[RepsRequested]]&gt;1),DiscreteStatsTable[[#This Row],[HalfWidth]],DiscreteStatsTable[[#This Row],[BatchMeansHalfWidth]])</f>
        <v>0.81584278645262853</v>
      </c>
      <c r="X773" s="5" cm="1">
        <f t="array" ref="X773">COUNT(IF((DiscreteStatsTable[GroupByKey]=DiscreteStatsTable[[#This Row],[GroupByKey]]),(DiscreteStatsTable[GroupByKey]=DiscreteStatsTable[[#This Row],[GroupByKey]])*DiscreteStatsTable[Replication]))</f>
        <v>19</v>
      </c>
      <c r="Y773" s="5">
        <f>IF(DiscreteStatsTable[[#This Row],[RepsRequested]]=DiscreteStatsTable[[#This Row],[RepsWithStatObserved]],1,0)</f>
        <v>1</v>
      </c>
    </row>
    <row r="774" spans="1:25" x14ac:dyDescent="0.25">
      <c r="A774" t="s">
        <v>67</v>
      </c>
      <c r="B774" t="s">
        <v>69</v>
      </c>
      <c r="C774">
        <v>13</v>
      </c>
      <c r="D774" t="s">
        <v>111</v>
      </c>
      <c r="E774" t="s">
        <v>107</v>
      </c>
      <c r="F774" t="s">
        <v>80</v>
      </c>
      <c r="G774">
        <v>4.4878718554981303</v>
      </c>
      <c r="H774">
        <v>2E+20</v>
      </c>
      <c r="I774">
        <v>1.77562070776207</v>
      </c>
      <c r="J774">
        <v>6.4019226419042603</v>
      </c>
      <c r="K774">
        <v>8</v>
      </c>
      <c r="L77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compartida)TiempoEnSistemaNoMesaCantProd3IntervalUser Specified</v>
      </c>
      <c r="M774" s="5" cm="1">
        <f t="array" ref="M774">MAX(IF((ProjectInfoTable[ProjectName]=DiscreteStatsTable[[#This Row],[ProjectName]]),(ProjectInfoTable[ProjectName]=DiscreteStatsTable[[#This Row],[ProjectName]])*ProjectInfoTable[NumberOfReplications]))</f>
        <v>19</v>
      </c>
      <c r="N774" s="5" cm="1">
        <f t="array" ref="N774">IFERROR(AVERAGE(IF((DiscreteStatsTable[GroupByKey]=DiscreteStatsTable[[#This Row],[GroupByKey]]),(DiscreteStatsTable[GroupByKey]=DiscreteStatsTable[[#This Row],[GroupByKey]])*DiscreteStatsTable[Average])),0)</f>
        <v>4.6916077746929048</v>
      </c>
      <c r="O774" s="5" cm="1">
        <f t="array" ref="O774">IFERROR(_xlfn.STDEV.S(IF((DiscreteStatsTable[GroupByKey]=DiscreteStatsTable[[#This Row],[GroupByKey]]),(DiscreteStatsTable[GroupByKey]=DiscreteStatsTable[[#This Row],[GroupByKey]])*DiscreteStatsTable[Average])),0)</f>
        <v>1.692674069693535</v>
      </c>
      <c r="P774" s="5" cm="1">
        <f t="array" ref="P774">MAX(IF((ProjectInfoTable[ProjectName]=DiscreteStatsTable[[#This Row],[ProjectName]]),(ProjectInfoTable[ProjectName]=DiscreteStatsTable[[#This Row],[ProjectName]])*ProjectInfoTable[ConfidenceInterval]))</f>
        <v>0.95</v>
      </c>
      <c r="Q774" s="5">
        <f>IF(AND(DiscreteStatsTable[[#This Row],[RepsWithStatObserved]]=1,Y774=0),200000000000000000000,IFERROR(_xlfn.T.INV.2T(1 -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0.81584278645262853</v>
      </c>
      <c r="R774" s="5" cm="1">
        <f t="array" ref="R774">MIN(IF((DiscreteStatsTable[GroupByKey]=DiscreteStatsTable[[#This Row],[GroupByKey]]),(DiscreteStatsTable[GroupByKey]=DiscreteStatsTable[[#This Row],[GroupByKey]])*DiscreteStatsTable[Average]))</f>
        <v>3.2109546257116102</v>
      </c>
      <c r="S774" s="5" cm="1">
        <f t="array" ref="S774">MAX(IF((DiscreteStatsTable[GroupByKey]=DiscreteStatsTable[[#This Row],[GroupByKey]]),(DiscreteStatsTable[GroupByKey]=DiscreteStatsTable[[#This Row],[GroupByKey]])*DiscreteStatsTable[Average]))</f>
        <v>10.505033326075599</v>
      </c>
      <c r="T774" s="5" cm="1">
        <f t="array" ref="T774">MIN(IF((DiscreteStatsTable[GroupByKey]=DiscreteStatsTable[[#This Row],[GroupByKey]]),(DiscreteStatsTable[GroupByKey]=DiscreteStatsTable[[#This Row],[GroupByKey]])*DiscreteStatsTable[Minimum]))</f>
        <v>0.92811877614322202</v>
      </c>
      <c r="U774" s="5" cm="1">
        <f t="array" ref="U774">MAX(IF((DiscreteStatsTable[GroupByKey]=DiscreteStatsTable[[#This Row],[GroupByKey]]),(DiscreteStatsTable[GroupByKey]=DiscreteStatsTable[[#This Row],[GroupByKey]])*DiscreteStatsTable[Maximum]))</f>
        <v>23.748706291307901</v>
      </c>
      <c r="V774" s="5" cm="1">
        <f t="array" ref="V774">IFERROR(AVERAGE(IF((DiscreteStatsTable[GroupByKey]=DiscreteStatsTable[[#This Row],[GroupByKey]]),(DiscreteStatsTable[GroupByKey]=DiscreteStatsTable[[#This Row],[GroupByKey]])*DiscreteStatsTable[NumberObservations])),0)</f>
        <v>7.2631578947368425</v>
      </c>
      <c r="W774" s="5">
        <f>IF((DiscreteStatsTable[[#This Row],[RepsRequested]]&gt;1),DiscreteStatsTable[[#This Row],[HalfWidth]],DiscreteStatsTable[[#This Row],[BatchMeansHalfWidth]])</f>
        <v>0.81584278645262853</v>
      </c>
      <c r="X774" s="5" cm="1">
        <f t="array" ref="X774">COUNT(IF((DiscreteStatsTable[GroupByKey]=DiscreteStatsTable[[#This Row],[GroupByKey]]),(DiscreteStatsTable[GroupByKey]=DiscreteStatsTable[[#This Row],[GroupByKey]])*DiscreteStatsTable[Replication]))</f>
        <v>19</v>
      </c>
      <c r="Y774" s="5">
        <f>IF(DiscreteStatsTable[[#This Row],[RepsRequested]]=DiscreteStatsTable[[#This Row],[RepsWithStatObserved]],1,0)</f>
        <v>1</v>
      </c>
    </row>
    <row r="775" spans="1:25" x14ac:dyDescent="0.25">
      <c r="A775" t="s">
        <v>67</v>
      </c>
      <c r="B775" t="s">
        <v>69</v>
      </c>
      <c r="C775">
        <v>14</v>
      </c>
      <c r="D775" t="s">
        <v>111</v>
      </c>
      <c r="E775" t="s">
        <v>107</v>
      </c>
      <c r="F775" t="s">
        <v>80</v>
      </c>
      <c r="G775">
        <v>7.2893332518797296</v>
      </c>
      <c r="H775">
        <v>2E+20</v>
      </c>
      <c r="I775">
        <v>4.0565280146237503</v>
      </c>
      <c r="J775">
        <v>9.9311745364599293</v>
      </c>
      <c r="K775">
        <v>5</v>
      </c>
      <c r="L77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compartida)TiempoEnSistemaNoMesaCantProd3IntervalUser Specified</v>
      </c>
      <c r="M775" s="5" cm="1">
        <f t="array" ref="M775">MAX(IF((ProjectInfoTable[ProjectName]=DiscreteStatsTable[[#This Row],[ProjectName]]),(ProjectInfoTable[ProjectName]=DiscreteStatsTable[[#This Row],[ProjectName]])*ProjectInfoTable[NumberOfReplications]))</f>
        <v>19</v>
      </c>
      <c r="N775" s="5" cm="1">
        <f t="array" ref="N775">IFERROR(AVERAGE(IF((DiscreteStatsTable[GroupByKey]=DiscreteStatsTable[[#This Row],[GroupByKey]]),(DiscreteStatsTable[GroupByKey]=DiscreteStatsTable[[#This Row],[GroupByKey]])*DiscreteStatsTable[Average])),0)</f>
        <v>4.6916077746929048</v>
      </c>
      <c r="O775" s="5" cm="1">
        <f t="array" ref="O775">IFERROR(_xlfn.STDEV.S(IF((DiscreteStatsTable[GroupByKey]=DiscreteStatsTable[[#This Row],[GroupByKey]]),(DiscreteStatsTable[GroupByKey]=DiscreteStatsTable[[#This Row],[GroupByKey]])*DiscreteStatsTable[Average])),0)</f>
        <v>1.692674069693535</v>
      </c>
      <c r="P775" s="5" cm="1">
        <f t="array" ref="P775">MAX(IF((ProjectInfoTable[ProjectName]=DiscreteStatsTable[[#This Row],[ProjectName]]),(ProjectInfoTable[ProjectName]=DiscreteStatsTable[[#This Row],[ProjectName]])*ProjectInfoTable[ConfidenceInterval]))</f>
        <v>0.95</v>
      </c>
      <c r="Q775" s="5">
        <f>IF(AND(DiscreteStatsTable[[#This Row],[RepsWithStatObserved]]=1,Y775=0),200000000000000000000,IFERROR(_xlfn.T.INV.2T(1 -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0.81584278645262853</v>
      </c>
      <c r="R775" s="5" cm="1">
        <f t="array" ref="R775">MIN(IF((DiscreteStatsTable[GroupByKey]=DiscreteStatsTable[[#This Row],[GroupByKey]]),(DiscreteStatsTable[GroupByKey]=DiscreteStatsTable[[#This Row],[GroupByKey]])*DiscreteStatsTable[Average]))</f>
        <v>3.2109546257116102</v>
      </c>
      <c r="S775" s="5" cm="1">
        <f t="array" ref="S775">MAX(IF((DiscreteStatsTable[GroupByKey]=DiscreteStatsTable[[#This Row],[GroupByKey]]),(DiscreteStatsTable[GroupByKey]=DiscreteStatsTable[[#This Row],[GroupByKey]])*DiscreteStatsTable[Average]))</f>
        <v>10.505033326075599</v>
      </c>
      <c r="T775" s="5" cm="1">
        <f t="array" ref="T775">MIN(IF((DiscreteStatsTable[GroupByKey]=DiscreteStatsTable[[#This Row],[GroupByKey]]),(DiscreteStatsTable[GroupByKey]=DiscreteStatsTable[[#This Row],[GroupByKey]])*DiscreteStatsTable[Minimum]))</f>
        <v>0.92811877614322202</v>
      </c>
      <c r="U775" s="5" cm="1">
        <f t="array" ref="U775">MAX(IF((DiscreteStatsTable[GroupByKey]=DiscreteStatsTable[[#This Row],[GroupByKey]]),(DiscreteStatsTable[GroupByKey]=DiscreteStatsTable[[#This Row],[GroupByKey]])*DiscreteStatsTable[Maximum]))</f>
        <v>23.748706291307901</v>
      </c>
      <c r="V775" s="5" cm="1">
        <f t="array" ref="V775">IFERROR(AVERAGE(IF((DiscreteStatsTable[GroupByKey]=DiscreteStatsTable[[#This Row],[GroupByKey]]),(DiscreteStatsTable[GroupByKey]=DiscreteStatsTable[[#This Row],[GroupByKey]])*DiscreteStatsTable[NumberObservations])),0)</f>
        <v>7.2631578947368425</v>
      </c>
      <c r="W775" s="5">
        <f>IF((DiscreteStatsTable[[#This Row],[RepsRequested]]&gt;1),DiscreteStatsTable[[#This Row],[HalfWidth]],DiscreteStatsTable[[#This Row],[BatchMeansHalfWidth]])</f>
        <v>0.81584278645262853</v>
      </c>
      <c r="X775" s="5" cm="1">
        <f t="array" ref="X775">COUNT(IF((DiscreteStatsTable[GroupByKey]=DiscreteStatsTable[[#This Row],[GroupByKey]]),(DiscreteStatsTable[GroupByKey]=DiscreteStatsTable[[#This Row],[GroupByKey]])*DiscreteStatsTable[Replication]))</f>
        <v>19</v>
      </c>
      <c r="Y775" s="5">
        <f>IF(DiscreteStatsTable[[#This Row],[RepsRequested]]=DiscreteStatsTable[[#This Row],[RepsWithStatObserved]],1,0)</f>
        <v>1</v>
      </c>
    </row>
    <row r="776" spans="1:25" x14ac:dyDescent="0.25">
      <c r="A776" t="s">
        <v>67</v>
      </c>
      <c r="B776" t="s">
        <v>69</v>
      </c>
      <c r="C776">
        <v>15</v>
      </c>
      <c r="D776" t="s">
        <v>111</v>
      </c>
      <c r="E776" t="s">
        <v>107</v>
      </c>
      <c r="F776" t="s">
        <v>80</v>
      </c>
      <c r="G776">
        <v>4.1573732549829101</v>
      </c>
      <c r="H776">
        <v>2E+20</v>
      </c>
      <c r="I776">
        <v>1.5417479497529301</v>
      </c>
      <c r="J776">
        <v>7.4973072292442904</v>
      </c>
      <c r="K776">
        <v>7</v>
      </c>
      <c r="L77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compartida)TiempoEnSistemaNoMesaCantProd3IntervalUser Specified</v>
      </c>
      <c r="M776" s="5" cm="1">
        <f t="array" ref="M776">MAX(IF((ProjectInfoTable[ProjectName]=DiscreteStatsTable[[#This Row],[ProjectName]]),(ProjectInfoTable[ProjectName]=DiscreteStatsTable[[#This Row],[ProjectName]])*ProjectInfoTable[NumberOfReplications]))</f>
        <v>19</v>
      </c>
      <c r="N776" s="5" cm="1">
        <f t="array" ref="N776">IFERROR(AVERAGE(IF((DiscreteStatsTable[GroupByKey]=DiscreteStatsTable[[#This Row],[GroupByKey]]),(DiscreteStatsTable[GroupByKey]=DiscreteStatsTable[[#This Row],[GroupByKey]])*DiscreteStatsTable[Average])),0)</f>
        <v>4.6916077746929048</v>
      </c>
      <c r="O776" s="5" cm="1">
        <f t="array" ref="O776">IFERROR(_xlfn.STDEV.S(IF((DiscreteStatsTable[GroupByKey]=DiscreteStatsTable[[#This Row],[GroupByKey]]),(DiscreteStatsTable[GroupByKey]=DiscreteStatsTable[[#This Row],[GroupByKey]])*DiscreteStatsTable[Average])),0)</f>
        <v>1.692674069693535</v>
      </c>
      <c r="P776" s="5" cm="1">
        <f t="array" ref="P776">MAX(IF((ProjectInfoTable[ProjectName]=DiscreteStatsTable[[#This Row],[ProjectName]]),(ProjectInfoTable[ProjectName]=DiscreteStatsTable[[#This Row],[ProjectName]])*ProjectInfoTable[ConfidenceInterval]))</f>
        <v>0.95</v>
      </c>
      <c r="Q776" s="5">
        <f>IF(AND(DiscreteStatsTable[[#This Row],[RepsWithStatObserved]]=1,Y776=0),200000000000000000000,IFERROR(_xlfn.T.INV.2T(1 -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0.81584278645262853</v>
      </c>
      <c r="R776" s="5" cm="1">
        <f t="array" ref="R776">MIN(IF((DiscreteStatsTable[GroupByKey]=DiscreteStatsTable[[#This Row],[GroupByKey]]),(DiscreteStatsTable[GroupByKey]=DiscreteStatsTable[[#This Row],[GroupByKey]])*DiscreteStatsTable[Average]))</f>
        <v>3.2109546257116102</v>
      </c>
      <c r="S776" s="5" cm="1">
        <f t="array" ref="S776">MAX(IF((DiscreteStatsTable[GroupByKey]=DiscreteStatsTable[[#This Row],[GroupByKey]]),(DiscreteStatsTable[GroupByKey]=DiscreteStatsTable[[#This Row],[GroupByKey]])*DiscreteStatsTable[Average]))</f>
        <v>10.505033326075599</v>
      </c>
      <c r="T776" s="5" cm="1">
        <f t="array" ref="T776">MIN(IF((DiscreteStatsTable[GroupByKey]=DiscreteStatsTable[[#This Row],[GroupByKey]]),(DiscreteStatsTable[GroupByKey]=DiscreteStatsTable[[#This Row],[GroupByKey]])*DiscreteStatsTable[Minimum]))</f>
        <v>0.92811877614322202</v>
      </c>
      <c r="U776" s="5" cm="1">
        <f t="array" ref="U776">MAX(IF((DiscreteStatsTable[GroupByKey]=DiscreteStatsTable[[#This Row],[GroupByKey]]),(DiscreteStatsTable[GroupByKey]=DiscreteStatsTable[[#This Row],[GroupByKey]])*DiscreteStatsTable[Maximum]))</f>
        <v>23.748706291307901</v>
      </c>
      <c r="V776" s="5" cm="1">
        <f t="array" ref="V776">IFERROR(AVERAGE(IF((DiscreteStatsTable[GroupByKey]=DiscreteStatsTable[[#This Row],[GroupByKey]]),(DiscreteStatsTable[GroupByKey]=DiscreteStatsTable[[#This Row],[GroupByKey]])*DiscreteStatsTable[NumberObservations])),0)</f>
        <v>7.2631578947368425</v>
      </c>
      <c r="W776" s="5">
        <f>IF((DiscreteStatsTable[[#This Row],[RepsRequested]]&gt;1),DiscreteStatsTable[[#This Row],[HalfWidth]],DiscreteStatsTable[[#This Row],[BatchMeansHalfWidth]])</f>
        <v>0.81584278645262853</v>
      </c>
      <c r="X776" s="5" cm="1">
        <f t="array" ref="X776">COUNT(IF((DiscreteStatsTable[GroupByKey]=DiscreteStatsTable[[#This Row],[GroupByKey]]),(DiscreteStatsTable[GroupByKey]=DiscreteStatsTable[[#This Row],[GroupByKey]])*DiscreteStatsTable[Replication]))</f>
        <v>19</v>
      </c>
      <c r="Y776" s="5">
        <f>IF(DiscreteStatsTable[[#This Row],[RepsRequested]]=DiscreteStatsTable[[#This Row],[RepsWithStatObserved]],1,0)</f>
        <v>1</v>
      </c>
    </row>
    <row r="777" spans="1:25" x14ac:dyDescent="0.25">
      <c r="A777" t="s">
        <v>67</v>
      </c>
      <c r="B777" t="s">
        <v>69</v>
      </c>
      <c r="C777">
        <v>16</v>
      </c>
      <c r="D777" t="s">
        <v>111</v>
      </c>
      <c r="E777" t="s">
        <v>107</v>
      </c>
      <c r="F777" t="s">
        <v>80</v>
      </c>
      <c r="G777">
        <v>3.6283600208341702</v>
      </c>
      <c r="H777">
        <v>2E+20</v>
      </c>
      <c r="I777">
        <v>1.6032141394294399</v>
      </c>
      <c r="J777">
        <v>5.9439403200795597</v>
      </c>
      <c r="K777">
        <v>4</v>
      </c>
      <c r="L77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compartida)TiempoEnSistemaNoMesaCantProd3IntervalUser Specified</v>
      </c>
      <c r="M777" s="5" cm="1">
        <f t="array" ref="M777">MAX(IF((ProjectInfoTable[ProjectName]=DiscreteStatsTable[[#This Row],[ProjectName]]),(ProjectInfoTable[ProjectName]=DiscreteStatsTable[[#This Row],[ProjectName]])*ProjectInfoTable[NumberOfReplications]))</f>
        <v>19</v>
      </c>
      <c r="N777" s="5" cm="1">
        <f t="array" ref="N777">IFERROR(AVERAGE(IF((DiscreteStatsTable[GroupByKey]=DiscreteStatsTable[[#This Row],[GroupByKey]]),(DiscreteStatsTable[GroupByKey]=DiscreteStatsTable[[#This Row],[GroupByKey]])*DiscreteStatsTable[Average])),0)</f>
        <v>4.6916077746929048</v>
      </c>
      <c r="O777" s="5" cm="1">
        <f t="array" ref="O777">IFERROR(_xlfn.STDEV.S(IF((DiscreteStatsTable[GroupByKey]=DiscreteStatsTable[[#This Row],[GroupByKey]]),(DiscreteStatsTable[GroupByKey]=DiscreteStatsTable[[#This Row],[GroupByKey]])*DiscreteStatsTable[Average])),0)</f>
        <v>1.692674069693535</v>
      </c>
      <c r="P777" s="5" cm="1">
        <f t="array" ref="P777">MAX(IF((ProjectInfoTable[ProjectName]=DiscreteStatsTable[[#This Row],[ProjectName]]),(ProjectInfoTable[ProjectName]=DiscreteStatsTable[[#This Row],[ProjectName]])*ProjectInfoTable[ConfidenceInterval]))</f>
        <v>0.95</v>
      </c>
      <c r="Q777" s="5">
        <f>IF(AND(DiscreteStatsTable[[#This Row],[RepsWithStatObserved]]=1,Y777=0),200000000000000000000,IFERROR(_xlfn.T.INV.2T(1 -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0.81584278645262853</v>
      </c>
      <c r="R777" s="5" cm="1">
        <f t="array" ref="R777">MIN(IF((DiscreteStatsTable[GroupByKey]=DiscreteStatsTable[[#This Row],[GroupByKey]]),(DiscreteStatsTable[GroupByKey]=DiscreteStatsTable[[#This Row],[GroupByKey]])*DiscreteStatsTable[Average]))</f>
        <v>3.2109546257116102</v>
      </c>
      <c r="S777" s="5" cm="1">
        <f t="array" ref="S777">MAX(IF((DiscreteStatsTable[GroupByKey]=DiscreteStatsTable[[#This Row],[GroupByKey]]),(DiscreteStatsTable[GroupByKey]=DiscreteStatsTable[[#This Row],[GroupByKey]])*DiscreteStatsTable[Average]))</f>
        <v>10.505033326075599</v>
      </c>
      <c r="T777" s="5" cm="1">
        <f t="array" ref="T777">MIN(IF((DiscreteStatsTable[GroupByKey]=DiscreteStatsTable[[#This Row],[GroupByKey]]),(DiscreteStatsTable[GroupByKey]=DiscreteStatsTable[[#This Row],[GroupByKey]])*DiscreteStatsTable[Minimum]))</f>
        <v>0.92811877614322202</v>
      </c>
      <c r="U777" s="5" cm="1">
        <f t="array" ref="U777">MAX(IF((DiscreteStatsTable[GroupByKey]=DiscreteStatsTable[[#This Row],[GroupByKey]]),(DiscreteStatsTable[GroupByKey]=DiscreteStatsTable[[#This Row],[GroupByKey]])*DiscreteStatsTable[Maximum]))</f>
        <v>23.748706291307901</v>
      </c>
      <c r="V777" s="5" cm="1">
        <f t="array" ref="V777">IFERROR(AVERAGE(IF((DiscreteStatsTable[GroupByKey]=DiscreteStatsTable[[#This Row],[GroupByKey]]),(DiscreteStatsTable[GroupByKey]=DiscreteStatsTable[[#This Row],[GroupByKey]])*DiscreteStatsTable[NumberObservations])),0)</f>
        <v>7.2631578947368425</v>
      </c>
      <c r="W777" s="5">
        <f>IF((DiscreteStatsTable[[#This Row],[RepsRequested]]&gt;1),DiscreteStatsTable[[#This Row],[HalfWidth]],DiscreteStatsTable[[#This Row],[BatchMeansHalfWidth]])</f>
        <v>0.81584278645262853</v>
      </c>
      <c r="X777" s="5" cm="1">
        <f t="array" ref="X777">COUNT(IF((DiscreteStatsTable[GroupByKey]=DiscreteStatsTable[[#This Row],[GroupByKey]]),(DiscreteStatsTable[GroupByKey]=DiscreteStatsTable[[#This Row],[GroupByKey]])*DiscreteStatsTable[Replication]))</f>
        <v>19</v>
      </c>
      <c r="Y777" s="5">
        <f>IF(DiscreteStatsTable[[#This Row],[RepsRequested]]=DiscreteStatsTable[[#This Row],[RepsWithStatObserved]],1,0)</f>
        <v>1</v>
      </c>
    </row>
    <row r="778" spans="1:25" x14ac:dyDescent="0.25">
      <c r="A778" t="s">
        <v>67</v>
      </c>
      <c r="B778" t="s">
        <v>69</v>
      </c>
      <c r="C778">
        <v>17</v>
      </c>
      <c r="D778" t="s">
        <v>111</v>
      </c>
      <c r="E778" t="s">
        <v>107</v>
      </c>
      <c r="F778" t="s">
        <v>80</v>
      </c>
      <c r="G778">
        <v>3.4758843930179602</v>
      </c>
      <c r="H778">
        <v>2E+20</v>
      </c>
      <c r="I778">
        <v>1.84222025118427</v>
      </c>
      <c r="J778">
        <v>5.1788835531424402</v>
      </c>
      <c r="K778">
        <v>5</v>
      </c>
      <c r="L77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compartida)TiempoEnSistemaNoMesaCantProd3IntervalUser Specified</v>
      </c>
      <c r="M778" s="5" cm="1">
        <f t="array" ref="M778">MAX(IF((ProjectInfoTable[ProjectName]=DiscreteStatsTable[[#This Row],[ProjectName]]),(ProjectInfoTable[ProjectName]=DiscreteStatsTable[[#This Row],[ProjectName]])*ProjectInfoTable[NumberOfReplications]))</f>
        <v>19</v>
      </c>
      <c r="N778" s="5" cm="1">
        <f t="array" ref="N778">IFERROR(AVERAGE(IF((DiscreteStatsTable[GroupByKey]=DiscreteStatsTable[[#This Row],[GroupByKey]]),(DiscreteStatsTable[GroupByKey]=DiscreteStatsTable[[#This Row],[GroupByKey]])*DiscreteStatsTable[Average])),0)</f>
        <v>4.6916077746929048</v>
      </c>
      <c r="O778" s="5" cm="1">
        <f t="array" ref="O778">IFERROR(_xlfn.STDEV.S(IF((DiscreteStatsTable[GroupByKey]=DiscreteStatsTable[[#This Row],[GroupByKey]]),(DiscreteStatsTable[GroupByKey]=DiscreteStatsTable[[#This Row],[GroupByKey]])*DiscreteStatsTable[Average])),0)</f>
        <v>1.692674069693535</v>
      </c>
      <c r="P778" s="5" cm="1">
        <f t="array" ref="P778">MAX(IF((ProjectInfoTable[ProjectName]=DiscreteStatsTable[[#This Row],[ProjectName]]),(ProjectInfoTable[ProjectName]=DiscreteStatsTable[[#This Row],[ProjectName]])*ProjectInfoTable[ConfidenceInterval]))</f>
        <v>0.95</v>
      </c>
      <c r="Q778" s="5">
        <f>IF(AND(DiscreteStatsTable[[#This Row],[RepsWithStatObserved]]=1,Y778=0),200000000000000000000,IFERROR(_xlfn.T.INV.2T(1 -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0.81584278645262853</v>
      </c>
      <c r="R778" s="5" cm="1">
        <f t="array" ref="R778">MIN(IF((DiscreteStatsTable[GroupByKey]=DiscreteStatsTable[[#This Row],[GroupByKey]]),(DiscreteStatsTable[GroupByKey]=DiscreteStatsTable[[#This Row],[GroupByKey]])*DiscreteStatsTable[Average]))</f>
        <v>3.2109546257116102</v>
      </c>
      <c r="S778" s="5" cm="1">
        <f t="array" ref="S778">MAX(IF((DiscreteStatsTable[GroupByKey]=DiscreteStatsTable[[#This Row],[GroupByKey]]),(DiscreteStatsTable[GroupByKey]=DiscreteStatsTable[[#This Row],[GroupByKey]])*DiscreteStatsTable[Average]))</f>
        <v>10.505033326075599</v>
      </c>
      <c r="T778" s="5" cm="1">
        <f t="array" ref="T778">MIN(IF((DiscreteStatsTable[GroupByKey]=DiscreteStatsTable[[#This Row],[GroupByKey]]),(DiscreteStatsTable[GroupByKey]=DiscreteStatsTable[[#This Row],[GroupByKey]])*DiscreteStatsTable[Minimum]))</f>
        <v>0.92811877614322202</v>
      </c>
      <c r="U778" s="5" cm="1">
        <f t="array" ref="U778">MAX(IF((DiscreteStatsTable[GroupByKey]=DiscreteStatsTable[[#This Row],[GroupByKey]]),(DiscreteStatsTable[GroupByKey]=DiscreteStatsTable[[#This Row],[GroupByKey]])*DiscreteStatsTable[Maximum]))</f>
        <v>23.748706291307901</v>
      </c>
      <c r="V778" s="5" cm="1">
        <f t="array" ref="V778">IFERROR(AVERAGE(IF((DiscreteStatsTable[GroupByKey]=DiscreteStatsTable[[#This Row],[GroupByKey]]),(DiscreteStatsTable[GroupByKey]=DiscreteStatsTable[[#This Row],[GroupByKey]])*DiscreteStatsTable[NumberObservations])),0)</f>
        <v>7.2631578947368425</v>
      </c>
      <c r="W778" s="5">
        <f>IF((DiscreteStatsTable[[#This Row],[RepsRequested]]&gt;1),DiscreteStatsTable[[#This Row],[HalfWidth]],DiscreteStatsTable[[#This Row],[BatchMeansHalfWidth]])</f>
        <v>0.81584278645262853</v>
      </c>
      <c r="X778" s="5" cm="1">
        <f t="array" ref="X778">COUNT(IF((DiscreteStatsTable[GroupByKey]=DiscreteStatsTable[[#This Row],[GroupByKey]]),(DiscreteStatsTable[GroupByKey]=DiscreteStatsTable[[#This Row],[GroupByKey]])*DiscreteStatsTable[Replication]))</f>
        <v>19</v>
      </c>
      <c r="Y778" s="5">
        <f>IF(DiscreteStatsTable[[#This Row],[RepsRequested]]=DiscreteStatsTable[[#This Row],[RepsWithStatObserved]],1,0)</f>
        <v>1</v>
      </c>
    </row>
    <row r="779" spans="1:25" x14ac:dyDescent="0.25">
      <c r="A779" t="s">
        <v>67</v>
      </c>
      <c r="B779" t="s">
        <v>69</v>
      </c>
      <c r="C779">
        <v>18</v>
      </c>
      <c r="D779" t="s">
        <v>111</v>
      </c>
      <c r="E779" t="s">
        <v>107</v>
      </c>
      <c r="F779" t="s">
        <v>80</v>
      </c>
      <c r="G779">
        <v>5.29286376447119</v>
      </c>
      <c r="H779">
        <v>2E+20</v>
      </c>
      <c r="I779">
        <v>2.06716984979494</v>
      </c>
      <c r="J779">
        <v>15.025553497874199</v>
      </c>
      <c r="K779">
        <v>14</v>
      </c>
      <c r="L77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compartida)TiempoEnSistemaNoMesaCantProd3IntervalUser Specified</v>
      </c>
      <c r="M779" s="5" cm="1">
        <f t="array" ref="M779">MAX(IF((ProjectInfoTable[ProjectName]=DiscreteStatsTable[[#This Row],[ProjectName]]),(ProjectInfoTable[ProjectName]=DiscreteStatsTable[[#This Row],[ProjectName]])*ProjectInfoTable[NumberOfReplications]))</f>
        <v>19</v>
      </c>
      <c r="N779" s="5" cm="1">
        <f t="array" ref="N779">IFERROR(AVERAGE(IF((DiscreteStatsTable[GroupByKey]=DiscreteStatsTable[[#This Row],[GroupByKey]]),(DiscreteStatsTable[GroupByKey]=DiscreteStatsTable[[#This Row],[GroupByKey]])*DiscreteStatsTable[Average])),0)</f>
        <v>4.6916077746929048</v>
      </c>
      <c r="O779" s="5" cm="1">
        <f t="array" ref="O779">IFERROR(_xlfn.STDEV.S(IF((DiscreteStatsTable[GroupByKey]=DiscreteStatsTable[[#This Row],[GroupByKey]]),(DiscreteStatsTable[GroupByKey]=DiscreteStatsTable[[#This Row],[GroupByKey]])*DiscreteStatsTable[Average])),0)</f>
        <v>1.692674069693535</v>
      </c>
      <c r="P779" s="5" cm="1">
        <f t="array" ref="P779">MAX(IF((ProjectInfoTable[ProjectName]=DiscreteStatsTable[[#This Row],[ProjectName]]),(ProjectInfoTable[ProjectName]=DiscreteStatsTable[[#This Row],[ProjectName]])*ProjectInfoTable[ConfidenceInterval]))</f>
        <v>0.95</v>
      </c>
      <c r="Q779" s="5">
        <f>IF(AND(DiscreteStatsTable[[#This Row],[RepsWithStatObserved]]=1,Y779=0),200000000000000000000,IFERROR(_xlfn.T.INV.2T(1 -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0.81584278645262853</v>
      </c>
      <c r="R779" s="5" cm="1">
        <f t="array" ref="R779">MIN(IF((DiscreteStatsTable[GroupByKey]=DiscreteStatsTable[[#This Row],[GroupByKey]]),(DiscreteStatsTable[GroupByKey]=DiscreteStatsTable[[#This Row],[GroupByKey]])*DiscreteStatsTable[Average]))</f>
        <v>3.2109546257116102</v>
      </c>
      <c r="S779" s="5" cm="1">
        <f t="array" ref="S779">MAX(IF((DiscreteStatsTable[GroupByKey]=DiscreteStatsTable[[#This Row],[GroupByKey]]),(DiscreteStatsTable[GroupByKey]=DiscreteStatsTable[[#This Row],[GroupByKey]])*DiscreteStatsTable[Average]))</f>
        <v>10.505033326075599</v>
      </c>
      <c r="T779" s="5" cm="1">
        <f t="array" ref="T779">MIN(IF((DiscreteStatsTable[GroupByKey]=DiscreteStatsTable[[#This Row],[GroupByKey]]),(DiscreteStatsTable[GroupByKey]=DiscreteStatsTable[[#This Row],[GroupByKey]])*DiscreteStatsTable[Minimum]))</f>
        <v>0.92811877614322202</v>
      </c>
      <c r="U779" s="5" cm="1">
        <f t="array" ref="U779">MAX(IF((DiscreteStatsTable[GroupByKey]=DiscreteStatsTable[[#This Row],[GroupByKey]]),(DiscreteStatsTable[GroupByKey]=DiscreteStatsTable[[#This Row],[GroupByKey]])*DiscreteStatsTable[Maximum]))</f>
        <v>23.748706291307901</v>
      </c>
      <c r="V779" s="5" cm="1">
        <f t="array" ref="V779">IFERROR(AVERAGE(IF((DiscreteStatsTable[GroupByKey]=DiscreteStatsTable[[#This Row],[GroupByKey]]),(DiscreteStatsTable[GroupByKey]=DiscreteStatsTable[[#This Row],[GroupByKey]])*DiscreteStatsTable[NumberObservations])),0)</f>
        <v>7.2631578947368425</v>
      </c>
      <c r="W779" s="5">
        <f>IF((DiscreteStatsTable[[#This Row],[RepsRequested]]&gt;1),DiscreteStatsTable[[#This Row],[HalfWidth]],DiscreteStatsTable[[#This Row],[BatchMeansHalfWidth]])</f>
        <v>0.81584278645262853</v>
      </c>
      <c r="X779" s="5" cm="1">
        <f t="array" ref="X779">COUNT(IF((DiscreteStatsTable[GroupByKey]=DiscreteStatsTable[[#This Row],[GroupByKey]]),(DiscreteStatsTable[GroupByKey]=DiscreteStatsTable[[#This Row],[GroupByKey]])*DiscreteStatsTable[Replication]))</f>
        <v>19</v>
      </c>
      <c r="Y779" s="5">
        <f>IF(DiscreteStatsTable[[#This Row],[RepsRequested]]=DiscreteStatsTable[[#This Row],[RepsWithStatObserved]],1,0)</f>
        <v>1</v>
      </c>
    </row>
    <row r="780" spans="1:25" x14ac:dyDescent="0.25">
      <c r="A780" t="s">
        <v>67</v>
      </c>
      <c r="B780" t="s">
        <v>69</v>
      </c>
      <c r="C780">
        <v>19</v>
      </c>
      <c r="D780" t="s">
        <v>111</v>
      </c>
      <c r="E780" t="s">
        <v>107</v>
      </c>
      <c r="F780" t="s">
        <v>80</v>
      </c>
      <c r="G780">
        <v>3.7636936250125399</v>
      </c>
      <c r="H780">
        <v>2E+20</v>
      </c>
      <c r="I780">
        <v>2.4104538854659001</v>
      </c>
      <c r="J780">
        <v>7.3876511191450103</v>
      </c>
      <c r="K780">
        <v>8</v>
      </c>
      <c r="L78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compartida)TiempoEnSistemaNoMesaCantProd3IntervalUser Specified</v>
      </c>
      <c r="M780" s="5" cm="1">
        <f t="array" ref="M780">MAX(IF((ProjectInfoTable[ProjectName]=DiscreteStatsTable[[#This Row],[ProjectName]]),(ProjectInfoTable[ProjectName]=DiscreteStatsTable[[#This Row],[ProjectName]])*ProjectInfoTable[NumberOfReplications]))</f>
        <v>19</v>
      </c>
      <c r="N780" s="5" cm="1">
        <f t="array" ref="N780">IFERROR(AVERAGE(IF((DiscreteStatsTable[GroupByKey]=DiscreteStatsTable[[#This Row],[GroupByKey]]),(DiscreteStatsTable[GroupByKey]=DiscreteStatsTable[[#This Row],[GroupByKey]])*DiscreteStatsTable[Average])),0)</f>
        <v>4.6916077746929048</v>
      </c>
      <c r="O780" s="5" cm="1">
        <f t="array" ref="O780">IFERROR(_xlfn.STDEV.S(IF((DiscreteStatsTable[GroupByKey]=DiscreteStatsTable[[#This Row],[GroupByKey]]),(DiscreteStatsTable[GroupByKey]=DiscreteStatsTable[[#This Row],[GroupByKey]])*DiscreteStatsTable[Average])),0)</f>
        <v>1.692674069693535</v>
      </c>
      <c r="P780" s="5" cm="1">
        <f t="array" ref="P780">MAX(IF((ProjectInfoTable[ProjectName]=DiscreteStatsTable[[#This Row],[ProjectName]]),(ProjectInfoTable[ProjectName]=DiscreteStatsTable[[#This Row],[ProjectName]])*ProjectInfoTable[ConfidenceInterval]))</f>
        <v>0.95</v>
      </c>
      <c r="Q780" s="5">
        <f>IF(AND(DiscreteStatsTable[[#This Row],[RepsWithStatObserved]]=1,Y780=0),200000000000000000000,IFERROR(_xlfn.T.INV.2T(1 -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0.81584278645262853</v>
      </c>
      <c r="R780" s="5" cm="1">
        <f t="array" ref="R780">MIN(IF((DiscreteStatsTable[GroupByKey]=DiscreteStatsTable[[#This Row],[GroupByKey]]),(DiscreteStatsTable[GroupByKey]=DiscreteStatsTable[[#This Row],[GroupByKey]])*DiscreteStatsTable[Average]))</f>
        <v>3.2109546257116102</v>
      </c>
      <c r="S780" s="5" cm="1">
        <f t="array" ref="S780">MAX(IF((DiscreteStatsTable[GroupByKey]=DiscreteStatsTable[[#This Row],[GroupByKey]]),(DiscreteStatsTable[GroupByKey]=DiscreteStatsTable[[#This Row],[GroupByKey]])*DiscreteStatsTable[Average]))</f>
        <v>10.505033326075599</v>
      </c>
      <c r="T780" s="5" cm="1">
        <f t="array" ref="T780">MIN(IF((DiscreteStatsTable[GroupByKey]=DiscreteStatsTable[[#This Row],[GroupByKey]]),(DiscreteStatsTable[GroupByKey]=DiscreteStatsTable[[#This Row],[GroupByKey]])*DiscreteStatsTable[Minimum]))</f>
        <v>0.92811877614322202</v>
      </c>
      <c r="U780" s="5" cm="1">
        <f t="array" ref="U780">MAX(IF((DiscreteStatsTable[GroupByKey]=DiscreteStatsTable[[#This Row],[GroupByKey]]),(DiscreteStatsTable[GroupByKey]=DiscreteStatsTable[[#This Row],[GroupByKey]])*DiscreteStatsTable[Maximum]))</f>
        <v>23.748706291307901</v>
      </c>
      <c r="V780" s="5" cm="1">
        <f t="array" ref="V780">IFERROR(AVERAGE(IF((DiscreteStatsTable[GroupByKey]=DiscreteStatsTable[[#This Row],[GroupByKey]]),(DiscreteStatsTable[GroupByKey]=DiscreteStatsTable[[#This Row],[GroupByKey]])*DiscreteStatsTable[NumberObservations])),0)</f>
        <v>7.2631578947368425</v>
      </c>
      <c r="W780" s="5">
        <f>IF((DiscreteStatsTable[[#This Row],[RepsRequested]]&gt;1),DiscreteStatsTable[[#This Row],[HalfWidth]],DiscreteStatsTable[[#This Row],[BatchMeansHalfWidth]])</f>
        <v>0.81584278645262853</v>
      </c>
      <c r="X780" s="5" cm="1">
        <f t="array" ref="X780">COUNT(IF((DiscreteStatsTable[GroupByKey]=DiscreteStatsTable[[#This Row],[GroupByKey]]),(DiscreteStatsTable[GroupByKey]=DiscreteStatsTable[[#This Row],[GroupByKey]])*DiscreteStatsTable[Replication]))</f>
        <v>19</v>
      </c>
      <c r="Y780" s="5">
        <f>IF(DiscreteStatsTable[[#This Row],[RepsRequested]]=DiscreteStatsTable[[#This Row],[RepsWithStatObserved]],1,0)</f>
        <v>1</v>
      </c>
    </row>
    <row r="781" spans="1:25" x14ac:dyDescent="0.25">
      <c r="A781" t="s">
        <v>67</v>
      </c>
      <c r="B781" t="s">
        <v>69</v>
      </c>
      <c r="C781">
        <v>1</v>
      </c>
      <c r="D781" t="s">
        <v>112</v>
      </c>
      <c r="E781" t="s">
        <v>107</v>
      </c>
      <c r="F781" t="s">
        <v>80</v>
      </c>
      <c r="G781">
        <v>6.3892932831145499</v>
      </c>
      <c r="H781">
        <v>2E+20</v>
      </c>
      <c r="I781">
        <v>3.3815145512173799</v>
      </c>
      <c r="J781">
        <v>9.5100163075887902</v>
      </c>
      <c r="K781">
        <v>4</v>
      </c>
      <c r="L78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compartida)TiempoEnSistemaNoMesaCantProd4IntervalUser Specified</v>
      </c>
      <c r="M781" s="5" cm="1">
        <f t="array" ref="M781">MAX(IF((ProjectInfoTable[ProjectName]=DiscreteStatsTable[[#This Row],[ProjectName]]),(ProjectInfoTable[ProjectName]=DiscreteStatsTable[[#This Row],[ProjectName]])*ProjectInfoTable[NumberOfReplications]))</f>
        <v>19</v>
      </c>
      <c r="N781" s="5" cm="1">
        <f t="array" ref="N781">IFERROR(AVERAGE(IF((DiscreteStatsTable[GroupByKey]=DiscreteStatsTable[[#This Row],[GroupByKey]]),(DiscreteStatsTable[GroupByKey]=DiscreteStatsTable[[#This Row],[GroupByKey]])*DiscreteStatsTable[Average])),0)</f>
        <v>6.0285427713953732</v>
      </c>
      <c r="O781" s="5" cm="1">
        <f t="array" ref="O781">IFERROR(_xlfn.STDEV.S(IF((DiscreteStatsTable[GroupByKey]=DiscreteStatsTable[[#This Row],[GroupByKey]]),(DiscreteStatsTable[GroupByKey]=DiscreteStatsTable[[#This Row],[GroupByKey]])*DiscreteStatsTable[Average])),0)</f>
        <v>1.7749352051247906</v>
      </c>
      <c r="P781" s="5" cm="1">
        <f t="array" ref="P781">MAX(IF((ProjectInfoTable[ProjectName]=DiscreteStatsTable[[#This Row],[ProjectName]]),(ProjectInfoTable[ProjectName]=DiscreteStatsTable[[#This Row],[ProjectName]])*ProjectInfoTable[ConfidenceInterval]))</f>
        <v>0.95</v>
      </c>
      <c r="Q781" s="5">
        <f>IF(AND(DiscreteStatsTable[[#This Row],[RepsWithStatObserved]]=1,Y781=0),200000000000000000000,IFERROR(_xlfn.T.INV.2T(1 -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0.94579620909031992</v>
      </c>
      <c r="R781" s="5" cm="1">
        <f t="array" ref="R781">MIN(IF((DiscreteStatsTable[GroupByKey]=DiscreteStatsTable[[#This Row],[GroupByKey]]),(DiscreteStatsTable[GroupByKey]=DiscreteStatsTable[[#This Row],[GroupByKey]])*DiscreteStatsTable[Average]))</f>
        <v>3.6009919886175199</v>
      </c>
      <c r="S781" s="5" cm="1">
        <f t="array" ref="S781">MAX(IF((DiscreteStatsTable[GroupByKey]=DiscreteStatsTable[[#This Row],[GroupByKey]]),(DiscreteStatsTable[GroupByKey]=DiscreteStatsTable[[#This Row],[GroupByKey]])*DiscreteStatsTable[Average]))</f>
        <v>10.0000175511267</v>
      </c>
      <c r="T781" s="5" cm="1">
        <f t="array" ref="T781">MIN(IF((DiscreteStatsTable[GroupByKey]=DiscreteStatsTable[[#This Row],[GroupByKey]]),(DiscreteStatsTable[GroupByKey]=DiscreteStatsTable[[#This Row],[GroupByKey]])*DiscreteStatsTable[Minimum]))</f>
        <v>2.1260873755372098</v>
      </c>
      <c r="U781" s="5" cm="1">
        <f t="array" ref="U781">MAX(IF((DiscreteStatsTable[GroupByKey]=DiscreteStatsTable[[#This Row],[GroupByKey]]),(DiscreteStatsTable[GroupByKey]=DiscreteStatsTable[[#This Row],[GroupByKey]])*DiscreteStatsTable[Maximum]))</f>
        <v>18.396198344222</v>
      </c>
      <c r="V781" s="5" cm="1">
        <f t="array" ref="V781">IFERROR(AVERAGE(IF((DiscreteStatsTable[GroupByKey]=DiscreteStatsTable[[#This Row],[GroupByKey]]),(DiscreteStatsTable[GroupByKey]=DiscreteStatsTable[[#This Row],[GroupByKey]])*DiscreteStatsTable[NumberObservations])),0)</f>
        <v>3.625</v>
      </c>
      <c r="W781" s="5">
        <f>IF((DiscreteStatsTable[[#This Row],[RepsRequested]]&gt;1),DiscreteStatsTable[[#This Row],[HalfWidth]],DiscreteStatsTable[[#This Row],[BatchMeansHalfWidth]])</f>
        <v>0.94579620909031992</v>
      </c>
      <c r="X781" s="5" cm="1">
        <f t="array" ref="X781">COUNT(IF((DiscreteStatsTable[GroupByKey]=DiscreteStatsTable[[#This Row],[GroupByKey]]),(DiscreteStatsTable[GroupByKey]=DiscreteStatsTable[[#This Row],[GroupByKey]])*DiscreteStatsTable[Replication]))</f>
        <v>16</v>
      </c>
      <c r="Y781" s="5">
        <f>IF(DiscreteStatsTable[[#This Row],[RepsRequested]]=DiscreteStatsTable[[#This Row],[RepsWithStatObserved]],1,0)</f>
        <v>0</v>
      </c>
    </row>
    <row r="782" spans="1:25" x14ac:dyDescent="0.25">
      <c r="A782" t="s">
        <v>67</v>
      </c>
      <c r="B782" t="s">
        <v>69</v>
      </c>
      <c r="C782">
        <v>2</v>
      </c>
      <c r="D782" t="s">
        <v>112</v>
      </c>
      <c r="E782" t="s">
        <v>107</v>
      </c>
      <c r="F782" t="s">
        <v>80</v>
      </c>
      <c r="G782">
        <v>5.4534722430738896</v>
      </c>
      <c r="H782">
        <v>2E+20</v>
      </c>
      <c r="I782">
        <v>2.3174248280529901</v>
      </c>
      <c r="J782">
        <v>11.264544586272899</v>
      </c>
      <c r="K782">
        <v>6</v>
      </c>
      <c r="L78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compartida)TiempoEnSistemaNoMesaCantProd4IntervalUser Specified</v>
      </c>
      <c r="M782" s="5" cm="1">
        <f t="array" ref="M782">MAX(IF((ProjectInfoTable[ProjectName]=DiscreteStatsTable[[#This Row],[ProjectName]]),(ProjectInfoTable[ProjectName]=DiscreteStatsTable[[#This Row],[ProjectName]])*ProjectInfoTable[NumberOfReplications]))</f>
        <v>19</v>
      </c>
      <c r="N782" s="5" cm="1">
        <f t="array" ref="N782">IFERROR(AVERAGE(IF((DiscreteStatsTable[GroupByKey]=DiscreteStatsTable[[#This Row],[GroupByKey]]),(DiscreteStatsTable[GroupByKey]=DiscreteStatsTable[[#This Row],[GroupByKey]])*DiscreteStatsTable[Average])),0)</f>
        <v>6.0285427713953732</v>
      </c>
      <c r="O782" s="5" cm="1">
        <f t="array" ref="O782">IFERROR(_xlfn.STDEV.S(IF((DiscreteStatsTable[GroupByKey]=DiscreteStatsTable[[#This Row],[GroupByKey]]),(DiscreteStatsTable[GroupByKey]=DiscreteStatsTable[[#This Row],[GroupByKey]])*DiscreteStatsTable[Average])),0)</f>
        <v>1.7749352051247906</v>
      </c>
      <c r="P782" s="5" cm="1">
        <f t="array" ref="P782">MAX(IF((ProjectInfoTable[ProjectName]=DiscreteStatsTable[[#This Row],[ProjectName]]),(ProjectInfoTable[ProjectName]=DiscreteStatsTable[[#This Row],[ProjectName]])*ProjectInfoTable[ConfidenceInterval]))</f>
        <v>0.95</v>
      </c>
      <c r="Q782" s="5">
        <f>IF(AND(DiscreteStatsTable[[#This Row],[RepsWithStatObserved]]=1,Y782=0),200000000000000000000,IFERROR(_xlfn.T.INV.2T(1 -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0.94579620909031992</v>
      </c>
      <c r="R782" s="5" cm="1">
        <f t="array" ref="R782">MIN(IF((DiscreteStatsTable[GroupByKey]=DiscreteStatsTable[[#This Row],[GroupByKey]]),(DiscreteStatsTable[GroupByKey]=DiscreteStatsTable[[#This Row],[GroupByKey]])*DiscreteStatsTable[Average]))</f>
        <v>3.6009919886175199</v>
      </c>
      <c r="S782" s="5" cm="1">
        <f t="array" ref="S782">MAX(IF((DiscreteStatsTable[GroupByKey]=DiscreteStatsTable[[#This Row],[GroupByKey]]),(DiscreteStatsTable[GroupByKey]=DiscreteStatsTable[[#This Row],[GroupByKey]])*DiscreteStatsTable[Average]))</f>
        <v>10.0000175511267</v>
      </c>
      <c r="T782" s="5" cm="1">
        <f t="array" ref="T782">MIN(IF((DiscreteStatsTable[GroupByKey]=DiscreteStatsTable[[#This Row],[GroupByKey]]),(DiscreteStatsTable[GroupByKey]=DiscreteStatsTable[[#This Row],[GroupByKey]])*DiscreteStatsTable[Minimum]))</f>
        <v>2.1260873755372098</v>
      </c>
      <c r="U782" s="5" cm="1">
        <f t="array" ref="U782">MAX(IF((DiscreteStatsTable[GroupByKey]=DiscreteStatsTable[[#This Row],[GroupByKey]]),(DiscreteStatsTable[GroupByKey]=DiscreteStatsTable[[#This Row],[GroupByKey]])*DiscreteStatsTable[Maximum]))</f>
        <v>18.396198344222</v>
      </c>
      <c r="V782" s="5" cm="1">
        <f t="array" ref="V782">IFERROR(AVERAGE(IF((DiscreteStatsTable[GroupByKey]=DiscreteStatsTable[[#This Row],[GroupByKey]]),(DiscreteStatsTable[GroupByKey]=DiscreteStatsTable[[#This Row],[GroupByKey]])*DiscreteStatsTable[NumberObservations])),0)</f>
        <v>3.625</v>
      </c>
      <c r="W782" s="5">
        <f>IF((DiscreteStatsTable[[#This Row],[RepsRequested]]&gt;1),DiscreteStatsTable[[#This Row],[HalfWidth]],DiscreteStatsTable[[#This Row],[BatchMeansHalfWidth]])</f>
        <v>0.94579620909031992</v>
      </c>
      <c r="X782" s="5" cm="1">
        <f t="array" ref="X782">COUNT(IF((DiscreteStatsTable[GroupByKey]=DiscreteStatsTable[[#This Row],[GroupByKey]]),(DiscreteStatsTable[GroupByKey]=DiscreteStatsTable[[#This Row],[GroupByKey]])*DiscreteStatsTable[Replication]))</f>
        <v>16</v>
      </c>
      <c r="Y782" s="5">
        <f>IF(DiscreteStatsTable[[#This Row],[RepsRequested]]=DiscreteStatsTable[[#This Row],[RepsWithStatObserved]],1,0)</f>
        <v>0</v>
      </c>
    </row>
    <row r="783" spans="1:25" x14ac:dyDescent="0.25">
      <c r="A783" t="s">
        <v>67</v>
      </c>
      <c r="B783" t="s">
        <v>69</v>
      </c>
      <c r="C783">
        <v>3</v>
      </c>
      <c r="D783" t="s">
        <v>112</v>
      </c>
      <c r="E783" t="s">
        <v>107</v>
      </c>
      <c r="F783" t="s">
        <v>80</v>
      </c>
      <c r="G783">
        <v>10.0000175511267</v>
      </c>
      <c r="H783">
        <v>2E+20</v>
      </c>
      <c r="I783">
        <v>3.5852135449874298</v>
      </c>
      <c r="J783">
        <v>18.396198344222</v>
      </c>
      <c r="K783">
        <v>4</v>
      </c>
      <c r="L78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compartida)TiempoEnSistemaNoMesaCantProd4IntervalUser Specified</v>
      </c>
      <c r="M783" s="5" cm="1">
        <f t="array" ref="M783">MAX(IF((ProjectInfoTable[ProjectName]=DiscreteStatsTable[[#This Row],[ProjectName]]),(ProjectInfoTable[ProjectName]=DiscreteStatsTable[[#This Row],[ProjectName]])*ProjectInfoTable[NumberOfReplications]))</f>
        <v>19</v>
      </c>
      <c r="N783" s="5" cm="1">
        <f t="array" ref="N783">IFERROR(AVERAGE(IF((DiscreteStatsTable[GroupByKey]=DiscreteStatsTable[[#This Row],[GroupByKey]]),(DiscreteStatsTable[GroupByKey]=DiscreteStatsTable[[#This Row],[GroupByKey]])*DiscreteStatsTable[Average])),0)</f>
        <v>6.0285427713953732</v>
      </c>
      <c r="O783" s="5" cm="1">
        <f t="array" ref="O783">IFERROR(_xlfn.STDEV.S(IF((DiscreteStatsTable[GroupByKey]=DiscreteStatsTable[[#This Row],[GroupByKey]]),(DiscreteStatsTable[GroupByKey]=DiscreteStatsTable[[#This Row],[GroupByKey]])*DiscreteStatsTable[Average])),0)</f>
        <v>1.7749352051247906</v>
      </c>
      <c r="P783" s="5" cm="1">
        <f t="array" ref="P783">MAX(IF((ProjectInfoTable[ProjectName]=DiscreteStatsTable[[#This Row],[ProjectName]]),(ProjectInfoTable[ProjectName]=DiscreteStatsTable[[#This Row],[ProjectName]])*ProjectInfoTable[ConfidenceInterval]))</f>
        <v>0.95</v>
      </c>
      <c r="Q783" s="5">
        <f>IF(AND(DiscreteStatsTable[[#This Row],[RepsWithStatObserved]]=1,Y783=0),200000000000000000000,IFERROR(_xlfn.T.INV.2T(1 -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0.94579620909031992</v>
      </c>
      <c r="R783" s="5" cm="1">
        <f t="array" ref="R783">MIN(IF((DiscreteStatsTable[GroupByKey]=DiscreteStatsTable[[#This Row],[GroupByKey]]),(DiscreteStatsTable[GroupByKey]=DiscreteStatsTable[[#This Row],[GroupByKey]])*DiscreteStatsTable[Average]))</f>
        <v>3.6009919886175199</v>
      </c>
      <c r="S783" s="5" cm="1">
        <f t="array" ref="S783">MAX(IF((DiscreteStatsTable[GroupByKey]=DiscreteStatsTable[[#This Row],[GroupByKey]]),(DiscreteStatsTable[GroupByKey]=DiscreteStatsTable[[#This Row],[GroupByKey]])*DiscreteStatsTable[Average]))</f>
        <v>10.0000175511267</v>
      </c>
      <c r="T783" s="5" cm="1">
        <f t="array" ref="T783">MIN(IF((DiscreteStatsTable[GroupByKey]=DiscreteStatsTable[[#This Row],[GroupByKey]]),(DiscreteStatsTable[GroupByKey]=DiscreteStatsTable[[#This Row],[GroupByKey]])*DiscreteStatsTable[Minimum]))</f>
        <v>2.1260873755372098</v>
      </c>
      <c r="U783" s="5" cm="1">
        <f t="array" ref="U783">MAX(IF((DiscreteStatsTable[GroupByKey]=DiscreteStatsTable[[#This Row],[GroupByKey]]),(DiscreteStatsTable[GroupByKey]=DiscreteStatsTable[[#This Row],[GroupByKey]])*DiscreteStatsTable[Maximum]))</f>
        <v>18.396198344222</v>
      </c>
      <c r="V783" s="5" cm="1">
        <f t="array" ref="V783">IFERROR(AVERAGE(IF((DiscreteStatsTable[GroupByKey]=DiscreteStatsTable[[#This Row],[GroupByKey]]),(DiscreteStatsTable[GroupByKey]=DiscreteStatsTable[[#This Row],[GroupByKey]])*DiscreteStatsTable[NumberObservations])),0)</f>
        <v>3.625</v>
      </c>
      <c r="W783" s="5">
        <f>IF((DiscreteStatsTable[[#This Row],[RepsRequested]]&gt;1),DiscreteStatsTable[[#This Row],[HalfWidth]],DiscreteStatsTable[[#This Row],[BatchMeansHalfWidth]])</f>
        <v>0.94579620909031992</v>
      </c>
      <c r="X783" s="5" cm="1">
        <f t="array" ref="X783">COUNT(IF((DiscreteStatsTable[GroupByKey]=DiscreteStatsTable[[#This Row],[GroupByKey]]),(DiscreteStatsTable[GroupByKey]=DiscreteStatsTable[[#This Row],[GroupByKey]])*DiscreteStatsTable[Replication]))</f>
        <v>16</v>
      </c>
      <c r="Y783" s="5">
        <f>IF(DiscreteStatsTable[[#This Row],[RepsRequested]]=DiscreteStatsTable[[#This Row],[RepsWithStatObserved]],1,0)</f>
        <v>0</v>
      </c>
    </row>
    <row r="784" spans="1:25" x14ac:dyDescent="0.25">
      <c r="A784" t="s">
        <v>67</v>
      </c>
      <c r="B784" t="s">
        <v>69</v>
      </c>
      <c r="C784">
        <v>4</v>
      </c>
      <c r="D784" t="s">
        <v>112</v>
      </c>
      <c r="E784" t="s">
        <v>107</v>
      </c>
      <c r="F784" t="s">
        <v>80</v>
      </c>
      <c r="G784">
        <v>5.1741120716627398</v>
      </c>
      <c r="H784">
        <v>2E+20</v>
      </c>
      <c r="I784">
        <v>3.3508186310479</v>
      </c>
      <c r="J784">
        <v>7.4418409902236</v>
      </c>
      <c r="K784">
        <v>6</v>
      </c>
      <c r="L78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compartida)TiempoEnSistemaNoMesaCantProd4IntervalUser Specified</v>
      </c>
      <c r="M784" s="5" cm="1">
        <f t="array" ref="M784">MAX(IF((ProjectInfoTable[ProjectName]=DiscreteStatsTable[[#This Row],[ProjectName]]),(ProjectInfoTable[ProjectName]=DiscreteStatsTable[[#This Row],[ProjectName]])*ProjectInfoTable[NumberOfReplications]))</f>
        <v>19</v>
      </c>
      <c r="N784" s="5" cm="1">
        <f t="array" ref="N784">IFERROR(AVERAGE(IF((DiscreteStatsTable[GroupByKey]=DiscreteStatsTable[[#This Row],[GroupByKey]]),(DiscreteStatsTable[GroupByKey]=DiscreteStatsTable[[#This Row],[GroupByKey]])*DiscreteStatsTable[Average])),0)</f>
        <v>6.0285427713953732</v>
      </c>
      <c r="O784" s="5" cm="1">
        <f t="array" ref="O784">IFERROR(_xlfn.STDEV.S(IF((DiscreteStatsTable[GroupByKey]=DiscreteStatsTable[[#This Row],[GroupByKey]]),(DiscreteStatsTable[GroupByKey]=DiscreteStatsTable[[#This Row],[GroupByKey]])*DiscreteStatsTable[Average])),0)</f>
        <v>1.7749352051247906</v>
      </c>
      <c r="P784" s="5" cm="1">
        <f t="array" ref="P784">MAX(IF((ProjectInfoTable[ProjectName]=DiscreteStatsTable[[#This Row],[ProjectName]]),(ProjectInfoTable[ProjectName]=DiscreteStatsTable[[#This Row],[ProjectName]])*ProjectInfoTable[ConfidenceInterval]))</f>
        <v>0.95</v>
      </c>
      <c r="Q784" s="5">
        <f>IF(AND(DiscreteStatsTable[[#This Row],[RepsWithStatObserved]]=1,Y784=0),200000000000000000000,IFERROR(_xlfn.T.INV.2T(1 -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0.94579620909031992</v>
      </c>
      <c r="R784" s="5" cm="1">
        <f t="array" ref="R784">MIN(IF((DiscreteStatsTable[GroupByKey]=DiscreteStatsTable[[#This Row],[GroupByKey]]),(DiscreteStatsTable[GroupByKey]=DiscreteStatsTable[[#This Row],[GroupByKey]])*DiscreteStatsTable[Average]))</f>
        <v>3.6009919886175199</v>
      </c>
      <c r="S784" s="5" cm="1">
        <f t="array" ref="S784">MAX(IF((DiscreteStatsTable[GroupByKey]=DiscreteStatsTable[[#This Row],[GroupByKey]]),(DiscreteStatsTable[GroupByKey]=DiscreteStatsTable[[#This Row],[GroupByKey]])*DiscreteStatsTable[Average]))</f>
        <v>10.0000175511267</v>
      </c>
      <c r="T784" s="5" cm="1">
        <f t="array" ref="T784">MIN(IF((DiscreteStatsTable[GroupByKey]=DiscreteStatsTable[[#This Row],[GroupByKey]]),(DiscreteStatsTable[GroupByKey]=DiscreteStatsTable[[#This Row],[GroupByKey]])*DiscreteStatsTable[Minimum]))</f>
        <v>2.1260873755372098</v>
      </c>
      <c r="U784" s="5" cm="1">
        <f t="array" ref="U784">MAX(IF((DiscreteStatsTable[GroupByKey]=DiscreteStatsTable[[#This Row],[GroupByKey]]),(DiscreteStatsTable[GroupByKey]=DiscreteStatsTable[[#This Row],[GroupByKey]])*DiscreteStatsTable[Maximum]))</f>
        <v>18.396198344222</v>
      </c>
      <c r="V784" s="5" cm="1">
        <f t="array" ref="V784">IFERROR(AVERAGE(IF((DiscreteStatsTable[GroupByKey]=DiscreteStatsTable[[#This Row],[GroupByKey]]),(DiscreteStatsTable[GroupByKey]=DiscreteStatsTable[[#This Row],[GroupByKey]])*DiscreteStatsTable[NumberObservations])),0)</f>
        <v>3.625</v>
      </c>
      <c r="W784" s="5">
        <f>IF((DiscreteStatsTable[[#This Row],[RepsRequested]]&gt;1),DiscreteStatsTable[[#This Row],[HalfWidth]],DiscreteStatsTable[[#This Row],[BatchMeansHalfWidth]])</f>
        <v>0.94579620909031992</v>
      </c>
      <c r="X784" s="5" cm="1">
        <f t="array" ref="X784">COUNT(IF((DiscreteStatsTable[GroupByKey]=DiscreteStatsTable[[#This Row],[GroupByKey]]),(DiscreteStatsTable[GroupByKey]=DiscreteStatsTable[[#This Row],[GroupByKey]])*DiscreteStatsTable[Replication]))</f>
        <v>16</v>
      </c>
      <c r="Y784" s="5">
        <f>IF(DiscreteStatsTable[[#This Row],[RepsRequested]]=DiscreteStatsTable[[#This Row],[RepsWithStatObserved]],1,0)</f>
        <v>0</v>
      </c>
    </row>
    <row r="785" spans="1:25" x14ac:dyDescent="0.25">
      <c r="A785" t="s">
        <v>67</v>
      </c>
      <c r="B785" t="s">
        <v>69</v>
      </c>
      <c r="C785">
        <v>7</v>
      </c>
      <c r="D785" t="s">
        <v>112</v>
      </c>
      <c r="E785" t="s">
        <v>107</v>
      </c>
      <c r="F785" t="s">
        <v>80</v>
      </c>
      <c r="G785">
        <v>5.0278562635145398</v>
      </c>
      <c r="H785">
        <v>2E+20</v>
      </c>
      <c r="I785">
        <v>4.6017676299177896</v>
      </c>
      <c r="J785">
        <v>5.7955401768690296</v>
      </c>
      <c r="K785">
        <v>4</v>
      </c>
      <c r="L78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compartida)TiempoEnSistemaNoMesaCantProd4IntervalUser Specified</v>
      </c>
      <c r="M785" s="5" cm="1">
        <f t="array" ref="M785">MAX(IF((ProjectInfoTable[ProjectName]=DiscreteStatsTable[[#This Row],[ProjectName]]),(ProjectInfoTable[ProjectName]=DiscreteStatsTable[[#This Row],[ProjectName]])*ProjectInfoTable[NumberOfReplications]))</f>
        <v>19</v>
      </c>
      <c r="N785" s="5" cm="1">
        <f t="array" ref="N785">IFERROR(AVERAGE(IF((DiscreteStatsTable[GroupByKey]=DiscreteStatsTable[[#This Row],[GroupByKey]]),(DiscreteStatsTable[GroupByKey]=DiscreteStatsTable[[#This Row],[GroupByKey]])*DiscreteStatsTable[Average])),0)</f>
        <v>6.0285427713953732</v>
      </c>
      <c r="O785" s="5" cm="1">
        <f t="array" ref="O785">IFERROR(_xlfn.STDEV.S(IF((DiscreteStatsTable[GroupByKey]=DiscreteStatsTable[[#This Row],[GroupByKey]]),(DiscreteStatsTable[GroupByKey]=DiscreteStatsTable[[#This Row],[GroupByKey]])*DiscreteStatsTable[Average])),0)</f>
        <v>1.7749352051247906</v>
      </c>
      <c r="P785" s="5" cm="1">
        <f t="array" ref="P785">MAX(IF((ProjectInfoTable[ProjectName]=DiscreteStatsTable[[#This Row],[ProjectName]]),(ProjectInfoTable[ProjectName]=DiscreteStatsTable[[#This Row],[ProjectName]])*ProjectInfoTable[ConfidenceInterval]))</f>
        <v>0.95</v>
      </c>
      <c r="Q785" s="5">
        <f>IF(AND(DiscreteStatsTable[[#This Row],[RepsWithStatObserved]]=1,Y785=0),200000000000000000000,IFERROR(_xlfn.T.INV.2T(1 -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0.94579620909031992</v>
      </c>
      <c r="R785" s="5" cm="1">
        <f t="array" ref="R785">MIN(IF((DiscreteStatsTable[GroupByKey]=DiscreteStatsTable[[#This Row],[GroupByKey]]),(DiscreteStatsTable[GroupByKey]=DiscreteStatsTable[[#This Row],[GroupByKey]])*DiscreteStatsTable[Average]))</f>
        <v>3.6009919886175199</v>
      </c>
      <c r="S785" s="5" cm="1">
        <f t="array" ref="S785">MAX(IF((DiscreteStatsTable[GroupByKey]=DiscreteStatsTable[[#This Row],[GroupByKey]]),(DiscreteStatsTable[GroupByKey]=DiscreteStatsTable[[#This Row],[GroupByKey]])*DiscreteStatsTable[Average]))</f>
        <v>10.0000175511267</v>
      </c>
      <c r="T785" s="5" cm="1">
        <f t="array" ref="T785">MIN(IF((DiscreteStatsTable[GroupByKey]=DiscreteStatsTable[[#This Row],[GroupByKey]]),(DiscreteStatsTable[GroupByKey]=DiscreteStatsTable[[#This Row],[GroupByKey]])*DiscreteStatsTable[Minimum]))</f>
        <v>2.1260873755372098</v>
      </c>
      <c r="U785" s="5" cm="1">
        <f t="array" ref="U785">MAX(IF((DiscreteStatsTable[GroupByKey]=DiscreteStatsTable[[#This Row],[GroupByKey]]),(DiscreteStatsTable[GroupByKey]=DiscreteStatsTable[[#This Row],[GroupByKey]])*DiscreteStatsTable[Maximum]))</f>
        <v>18.396198344222</v>
      </c>
      <c r="V785" s="5" cm="1">
        <f t="array" ref="V785">IFERROR(AVERAGE(IF((DiscreteStatsTable[GroupByKey]=DiscreteStatsTable[[#This Row],[GroupByKey]]),(DiscreteStatsTable[GroupByKey]=DiscreteStatsTable[[#This Row],[GroupByKey]])*DiscreteStatsTable[NumberObservations])),0)</f>
        <v>3.625</v>
      </c>
      <c r="W785" s="5">
        <f>IF((DiscreteStatsTable[[#This Row],[RepsRequested]]&gt;1),DiscreteStatsTable[[#This Row],[HalfWidth]],DiscreteStatsTable[[#This Row],[BatchMeansHalfWidth]])</f>
        <v>0.94579620909031992</v>
      </c>
      <c r="X785" s="5" cm="1">
        <f t="array" ref="X785">COUNT(IF((DiscreteStatsTable[GroupByKey]=DiscreteStatsTable[[#This Row],[GroupByKey]]),(DiscreteStatsTable[GroupByKey]=DiscreteStatsTable[[#This Row],[GroupByKey]])*DiscreteStatsTable[Replication]))</f>
        <v>16</v>
      </c>
      <c r="Y785" s="5">
        <f>IF(DiscreteStatsTable[[#This Row],[RepsRequested]]=DiscreteStatsTable[[#This Row],[RepsWithStatObserved]],1,0)</f>
        <v>0</v>
      </c>
    </row>
    <row r="786" spans="1:25" x14ac:dyDescent="0.25">
      <c r="A786" t="s">
        <v>67</v>
      </c>
      <c r="B786" t="s">
        <v>69</v>
      </c>
      <c r="C786">
        <v>8</v>
      </c>
      <c r="D786" t="s">
        <v>112</v>
      </c>
      <c r="E786" t="s">
        <v>107</v>
      </c>
      <c r="F786" t="s">
        <v>80</v>
      </c>
      <c r="G786">
        <v>7.1381855101105103</v>
      </c>
      <c r="H786">
        <v>2E+20</v>
      </c>
      <c r="I786">
        <v>5.1931274980678497</v>
      </c>
      <c r="J786">
        <v>9.9071601677769401</v>
      </c>
      <c r="K786">
        <v>3</v>
      </c>
      <c r="L78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compartida)TiempoEnSistemaNoMesaCantProd4IntervalUser Specified</v>
      </c>
      <c r="M786" s="5" cm="1">
        <f t="array" ref="M786">MAX(IF((ProjectInfoTable[ProjectName]=DiscreteStatsTable[[#This Row],[ProjectName]]),(ProjectInfoTable[ProjectName]=DiscreteStatsTable[[#This Row],[ProjectName]])*ProjectInfoTable[NumberOfReplications]))</f>
        <v>19</v>
      </c>
      <c r="N786" s="5" cm="1">
        <f t="array" ref="N786">IFERROR(AVERAGE(IF((DiscreteStatsTable[GroupByKey]=DiscreteStatsTable[[#This Row],[GroupByKey]]),(DiscreteStatsTable[GroupByKey]=DiscreteStatsTable[[#This Row],[GroupByKey]])*DiscreteStatsTable[Average])),0)</f>
        <v>6.0285427713953732</v>
      </c>
      <c r="O786" s="5" cm="1">
        <f t="array" ref="O786">IFERROR(_xlfn.STDEV.S(IF((DiscreteStatsTable[GroupByKey]=DiscreteStatsTable[[#This Row],[GroupByKey]]),(DiscreteStatsTable[GroupByKey]=DiscreteStatsTable[[#This Row],[GroupByKey]])*DiscreteStatsTable[Average])),0)</f>
        <v>1.7749352051247906</v>
      </c>
      <c r="P786" s="5" cm="1">
        <f t="array" ref="P786">MAX(IF((ProjectInfoTable[ProjectName]=DiscreteStatsTable[[#This Row],[ProjectName]]),(ProjectInfoTable[ProjectName]=DiscreteStatsTable[[#This Row],[ProjectName]])*ProjectInfoTable[ConfidenceInterval]))</f>
        <v>0.95</v>
      </c>
      <c r="Q786" s="5">
        <f>IF(AND(DiscreteStatsTable[[#This Row],[RepsWithStatObserved]]=1,Y786=0),200000000000000000000,IFERROR(_xlfn.T.INV.2T(1 -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0.94579620909031992</v>
      </c>
      <c r="R786" s="5" cm="1">
        <f t="array" ref="R786">MIN(IF((DiscreteStatsTable[GroupByKey]=DiscreteStatsTable[[#This Row],[GroupByKey]]),(DiscreteStatsTable[GroupByKey]=DiscreteStatsTable[[#This Row],[GroupByKey]])*DiscreteStatsTable[Average]))</f>
        <v>3.6009919886175199</v>
      </c>
      <c r="S786" s="5" cm="1">
        <f t="array" ref="S786">MAX(IF((DiscreteStatsTable[GroupByKey]=DiscreteStatsTable[[#This Row],[GroupByKey]]),(DiscreteStatsTable[GroupByKey]=DiscreteStatsTable[[#This Row],[GroupByKey]])*DiscreteStatsTable[Average]))</f>
        <v>10.0000175511267</v>
      </c>
      <c r="T786" s="5" cm="1">
        <f t="array" ref="T786">MIN(IF((DiscreteStatsTable[GroupByKey]=DiscreteStatsTable[[#This Row],[GroupByKey]]),(DiscreteStatsTable[GroupByKey]=DiscreteStatsTable[[#This Row],[GroupByKey]])*DiscreteStatsTable[Minimum]))</f>
        <v>2.1260873755372098</v>
      </c>
      <c r="U786" s="5" cm="1">
        <f t="array" ref="U786">MAX(IF((DiscreteStatsTable[GroupByKey]=DiscreteStatsTable[[#This Row],[GroupByKey]]),(DiscreteStatsTable[GroupByKey]=DiscreteStatsTable[[#This Row],[GroupByKey]])*DiscreteStatsTable[Maximum]))</f>
        <v>18.396198344222</v>
      </c>
      <c r="V786" s="5" cm="1">
        <f t="array" ref="V786">IFERROR(AVERAGE(IF((DiscreteStatsTable[GroupByKey]=DiscreteStatsTable[[#This Row],[GroupByKey]]),(DiscreteStatsTable[GroupByKey]=DiscreteStatsTable[[#This Row],[GroupByKey]])*DiscreteStatsTable[NumberObservations])),0)</f>
        <v>3.625</v>
      </c>
      <c r="W786" s="5">
        <f>IF((DiscreteStatsTable[[#This Row],[RepsRequested]]&gt;1),DiscreteStatsTable[[#This Row],[HalfWidth]],DiscreteStatsTable[[#This Row],[BatchMeansHalfWidth]])</f>
        <v>0.94579620909031992</v>
      </c>
      <c r="X786" s="5" cm="1">
        <f t="array" ref="X786">COUNT(IF((DiscreteStatsTable[GroupByKey]=DiscreteStatsTable[[#This Row],[GroupByKey]]),(DiscreteStatsTable[GroupByKey]=DiscreteStatsTable[[#This Row],[GroupByKey]])*DiscreteStatsTable[Replication]))</f>
        <v>16</v>
      </c>
      <c r="Y786" s="5">
        <f>IF(DiscreteStatsTable[[#This Row],[RepsRequested]]=DiscreteStatsTable[[#This Row],[RepsWithStatObserved]],1,0)</f>
        <v>0</v>
      </c>
    </row>
    <row r="787" spans="1:25" x14ac:dyDescent="0.25">
      <c r="A787" t="s">
        <v>67</v>
      </c>
      <c r="B787" t="s">
        <v>69</v>
      </c>
      <c r="C787">
        <v>9</v>
      </c>
      <c r="D787" t="s">
        <v>112</v>
      </c>
      <c r="E787" t="s">
        <v>107</v>
      </c>
      <c r="F787" t="s">
        <v>80</v>
      </c>
      <c r="G787">
        <v>5.1730322813840797</v>
      </c>
      <c r="H787">
        <v>2E+20</v>
      </c>
      <c r="I787">
        <v>3.19481722296862</v>
      </c>
      <c r="J787">
        <v>6.4733682307519604</v>
      </c>
      <c r="K787">
        <v>3</v>
      </c>
      <c r="L78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compartida)TiempoEnSistemaNoMesaCantProd4IntervalUser Specified</v>
      </c>
      <c r="M787" s="5" cm="1">
        <f t="array" ref="M787">MAX(IF((ProjectInfoTable[ProjectName]=DiscreteStatsTable[[#This Row],[ProjectName]]),(ProjectInfoTable[ProjectName]=DiscreteStatsTable[[#This Row],[ProjectName]])*ProjectInfoTable[NumberOfReplications]))</f>
        <v>19</v>
      </c>
      <c r="N787" s="5" cm="1">
        <f t="array" ref="N787">IFERROR(AVERAGE(IF((DiscreteStatsTable[GroupByKey]=DiscreteStatsTable[[#This Row],[GroupByKey]]),(DiscreteStatsTable[GroupByKey]=DiscreteStatsTable[[#This Row],[GroupByKey]])*DiscreteStatsTable[Average])),0)</f>
        <v>6.0285427713953732</v>
      </c>
      <c r="O787" s="5" cm="1">
        <f t="array" ref="O787">IFERROR(_xlfn.STDEV.S(IF((DiscreteStatsTable[GroupByKey]=DiscreteStatsTable[[#This Row],[GroupByKey]]),(DiscreteStatsTable[GroupByKey]=DiscreteStatsTable[[#This Row],[GroupByKey]])*DiscreteStatsTable[Average])),0)</f>
        <v>1.7749352051247906</v>
      </c>
      <c r="P787" s="5" cm="1">
        <f t="array" ref="P787">MAX(IF((ProjectInfoTable[ProjectName]=DiscreteStatsTable[[#This Row],[ProjectName]]),(ProjectInfoTable[ProjectName]=DiscreteStatsTable[[#This Row],[ProjectName]])*ProjectInfoTable[ConfidenceInterval]))</f>
        <v>0.95</v>
      </c>
      <c r="Q787" s="5">
        <f>IF(AND(DiscreteStatsTable[[#This Row],[RepsWithStatObserved]]=1,Y787=0),200000000000000000000,IFERROR(_xlfn.T.INV.2T(1 -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0.94579620909031992</v>
      </c>
      <c r="R787" s="5" cm="1">
        <f t="array" ref="R787">MIN(IF((DiscreteStatsTable[GroupByKey]=DiscreteStatsTable[[#This Row],[GroupByKey]]),(DiscreteStatsTable[GroupByKey]=DiscreteStatsTable[[#This Row],[GroupByKey]])*DiscreteStatsTable[Average]))</f>
        <v>3.6009919886175199</v>
      </c>
      <c r="S787" s="5" cm="1">
        <f t="array" ref="S787">MAX(IF((DiscreteStatsTable[GroupByKey]=DiscreteStatsTable[[#This Row],[GroupByKey]]),(DiscreteStatsTable[GroupByKey]=DiscreteStatsTable[[#This Row],[GroupByKey]])*DiscreteStatsTable[Average]))</f>
        <v>10.0000175511267</v>
      </c>
      <c r="T787" s="5" cm="1">
        <f t="array" ref="T787">MIN(IF((DiscreteStatsTable[GroupByKey]=DiscreteStatsTable[[#This Row],[GroupByKey]]),(DiscreteStatsTable[GroupByKey]=DiscreteStatsTable[[#This Row],[GroupByKey]])*DiscreteStatsTable[Minimum]))</f>
        <v>2.1260873755372098</v>
      </c>
      <c r="U787" s="5" cm="1">
        <f t="array" ref="U787">MAX(IF((DiscreteStatsTable[GroupByKey]=DiscreteStatsTable[[#This Row],[GroupByKey]]),(DiscreteStatsTable[GroupByKey]=DiscreteStatsTable[[#This Row],[GroupByKey]])*DiscreteStatsTable[Maximum]))</f>
        <v>18.396198344222</v>
      </c>
      <c r="V787" s="5" cm="1">
        <f t="array" ref="V787">IFERROR(AVERAGE(IF((DiscreteStatsTable[GroupByKey]=DiscreteStatsTable[[#This Row],[GroupByKey]]),(DiscreteStatsTable[GroupByKey]=DiscreteStatsTable[[#This Row],[GroupByKey]])*DiscreteStatsTable[NumberObservations])),0)</f>
        <v>3.625</v>
      </c>
      <c r="W787" s="5">
        <f>IF((DiscreteStatsTable[[#This Row],[RepsRequested]]&gt;1),DiscreteStatsTable[[#This Row],[HalfWidth]],DiscreteStatsTable[[#This Row],[BatchMeansHalfWidth]])</f>
        <v>0.94579620909031992</v>
      </c>
      <c r="X787" s="5" cm="1">
        <f t="array" ref="X787">COUNT(IF((DiscreteStatsTable[GroupByKey]=DiscreteStatsTable[[#This Row],[GroupByKey]]),(DiscreteStatsTable[GroupByKey]=DiscreteStatsTable[[#This Row],[GroupByKey]])*DiscreteStatsTable[Replication]))</f>
        <v>16</v>
      </c>
      <c r="Y787" s="5">
        <f>IF(DiscreteStatsTable[[#This Row],[RepsRequested]]=DiscreteStatsTable[[#This Row],[RepsWithStatObserved]],1,0)</f>
        <v>0</v>
      </c>
    </row>
    <row r="788" spans="1:25" x14ac:dyDescent="0.25">
      <c r="A788" t="s">
        <v>67</v>
      </c>
      <c r="B788" t="s">
        <v>69</v>
      </c>
      <c r="C788">
        <v>10</v>
      </c>
      <c r="D788" t="s">
        <v>112</v>
      </c>
      <c r="E788" t="s">
        <v>107</v>
      </c>
      <c r="F788" t="s">
        <v>80</v>
      </c>
      <c r="G788">
        <v>8.2364781884174398</v>
      </c>
      <c r="H788">
        <v>2E+20</v>
      </c>
      <c r="I788">
        <v>3.34011485433096</v>
      </c>
      <c r="J788">
        <v>10.5233466665102</v>
      </c>
      <c r="K788">
        <v>5</v>
      </c>
      <c r="L78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compartida)TiempoEnSistemaNoMesaCantProd4IntervalUser Specified</v>
      </c>
      <c r="M788" s="5" cm="1">
        <f t="array" ref="M788">MAX(IF((ProjectInfoTable[ProjectName]=DiscreteStatsTable[[#This Row],[ProjectName]]),(ProjectInfoTable[ProjectName]=DiscreteStatsTable[[#This Row],[ProjectName]])*ProjectInfoTable[NumberOfReplications]))</f>
        <v>19</v>
      </c>
      <c r="N788" s="5" cm="1">
        <f t="array" ref="N788">IFERROR(AVERAGE(IF((DiscreteStatsTable[GroupByKey]=DiscreteStatsTable[[#This Row],[GroupByKey]]),(DiscreteStatsTable[GroupByKey]=DiscreteStatsTable[[#This Row],[GroupByKey]])*DiscreteStatsTable[Average])),0)</f>
        <v>6.0285427713953732</v>
      </c>
      <c r="O788" s="5" cm="1">
        <f t="array" ref="O788">IFERROR(_xlfn.STDEV.S(IF((DiscreteStatsTable[GroupByKey]=DiscreteStatsTable[[#This Row],[GroupByKey]]),(DiscreteStatsTable[GroupByKey]=DiscreteStatsTable[[#This Row],[GroupByKey]])*DiscreteStatsTable[Average])),0)</f>
        <v>1.7749352051247906</v>
      </c>
      <c r="P788" s="5" cm="1">
        <f t="array" ref="P788">MAX(IF((ProjectInfoTable[ProjectName]=DiscreteStatsTable[[#This Row],[ProjectName]]),(ProjectInfoTable[ProjectName]=DiscreteStatsTable[[#This Row],[ProjectName]])*ProjectInfoTable[ConfidenceInterval]))</f>
        <v>0.95</v>
      </c>
      <c r="Q788" s="5">
        <f>IF(AND(DiscreteStatsTable[[#This Row],[RepsWithStatObserved]]=1,Y788=0),200000000000000000000,IFERROR(_xlfn.T.INV.2T(1 -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0.94579620909031992</v>
      </c>
      <c r="R788" s="5" cm="1">
        <f t="array" ref="R788">MIN(IF((DiscreteStatsTable[GroupByKey]=DiscreteStatsTable[[#This Row],[GroupByKey]]),(DiscreteStatsTable[GroupByKey]=DiscreteStatsTable[[#This Row],[GroupByKey]])*DiscreteStatsTable[Average]))</f>
        <v>3.6009919886175199</v>
      </c>
      <c r="S788" s="5" cm="1">
        <f t="array" ref="S788">MAX(IF((DiscreteStatsTable[GroupByKey]=DiscreteStatsTable[[#This Row],[GroupByKey]]),(DiscreteStatsTable[GroupByKey]=DiscreteStatsTable[[#This Row],[GroupByKey]])*DiscreteStatsTable[Average]))</f>
        <v>10.0000175511267</v>
      </c>
      <c r="T788" s="5" cm="1">
        <f t="array" ref="T788">MIN(IF((DiscreteStatsTable[GroupByKey]=DiscreteStatsTable[[#This Row],[GroupByKey]]),(DiscreteStatsTable[GroupByKey]=DiscreteStatsTable[[#This Row],[GroupByKey]])*DiscreteStatsTable[Minimum]))</f>
        <v>2.1260873755372098</v>
      </c>
      <c r="U788" s="5" cm="1">
        <f t="array" ref="U788">MAX(IF((DiscreteStatsTable[GroupByKey]=DiscreteStatsTable[[#This Row],[GroupByKey]]),(DiscreteStatsTable[GroupByKey]=DiscreteStatsTable[[#This Row],[GroupByKey]])*DiscreteStatsTable[Maximum]))</f>
        <v>18.396198344222</v>
      </c>
      <c r="V788" s="5" cm="1">
        <f t="array" ref="V788">IFERROR(AVERAGE(IF((DiscreteStatsTable[GroupByKey]=DiscreteStatsTable[[#This Row],[GroupByKey]]),(DiscreteStatsTable[GroupByKey]=DiscreteStatsTable[[#This Row],[GroupByKey]])*DiscreteStatsTable[NumberObservations])),0)</f>
        <v>3.625</v>
      </c>
      <c r="W788" s="5">
        <f>IF((DiscreteStatsTable[[#This Row],[RepsRequested]]&gt;1),DiscreteStatsTable[[#This Row],[HalfWidth]],DiscreteStatsTable[[#This Row],[BatchMeansHalfWidth]])</f>
        <v>0.94579620909031992</v>
      </c>
      <c r="X788" s="5" cm="1">
        <f t="array" ref="X788">COUNT(IF((DiscreteStatsTable[GroupByKey]=DiscreteStatsTable[[#This Row],[GroupByKey]]),(DiscreteStatsTable[GroupByKey]=DiscreteStatsTable[[#This Row],[GroupByKey]])*DiscreteStatsTable[Replication]))</f>
        <v>16</v>
      </c>
      <c r="Y788" s="5">
        <f>IF(DiscreteStatsTable[[#This Row],[RepsRequested]]=DiscreteStatsTable[[#This Row],[RepsWithStatObserved]],1,0)</f>
        <v>0</v>
      </c>
    </row>
    <row r="789" spans="1:25" x14ac:dyDescent="0.25">
      <c r="A789" t="s">
        <v>67</v>
      </c>
      <c r="B789" t="s">
        <v>69</v>
      </c>
      <c r="C789">
        <v>11</v>
      </c>
      <c r="D789" t="s">
        <v>112</v>
      </c>
      <c r="E789" t="s">
        <v>107</v>
      </c>
      <c r="F789" t="s">
        <v>80</v>
      </c>
      <c r="G789">
        <v>3.8768242326103399</v>
      </c>
      <c r="H789">
        <v>2E+20</v>
      </c>
      <c r="I789">
        <v>2.17823468982201</v>
      </c>
      <c r="J789">
        <v>5.0188264013916903</v>
      </c>
      <c r="K789">
        <v>3</v>
      </c>
      <c r="L78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compartida)TiempoEnSistemaNoMesaCantProd4IntervalUser Specified</v>
      </c>
      <c r="M789" s="5" cm="1">
        <f t="array" ref="M789">MAX(IF((ProjectInfoTable[ProjectName]=DiscreteStatsTable[[#This Row],[ProjectName]]),(ProjectInfoTable[ProjectName]=DiscreteStatsTable[[#This Row],[ProjectName]])*ProjectInfoTable[NumberOfReplications]))</f>
        <v>19</v>
      </c>
      <c r="N789" s="5" cm="1">
        <f t="array" ref="N789">IFERROR(AVERAGE(IF((DiscreteStatsTable[GroupByKey]=DiscreteStatsTable[[#This Row],[GroupByKey]]),(DiscreteStatsTable[GroupByKey]=DiscreteStatsTable[[#This Row],[GroupByKey]])*DiscreteStatsTable[Average])),0)</f>
        <v>6.0285427713953732</v>
      </c>
      <c r="O789" s="5" cm="1">
        <f t="array" ref="O789">IFERROR(_xlfn.STDEV.S(IF((DiscreteStatsTable[GroupByKey]=DiscreteStatsTable[[#This Row],[GroupByKey]]),(DiscreteStatsTable[GroupByKey]=DiscreteStatsTable[[#This Row],[GroupByKey]])*DiscreteStatsTable[Average])),0)</f>
        <v>1.7749352051247906</v>
      </c>
      <c r="P789" s="5" cm="1">
        <f t="array" ref="P789">MAX(IF((ProjectInfoTable[ProjectName]=DiscreteStatsTable[[#This Row],[ProjectName]]),(ProjectInfoTable[ProjectName]=DiscreteStatsTable[[#This Row],[ProjectName]])*ProjectInfoTable[ConfidenceInterval]))</f>
        <v>0.95</v>
      </c>
      <c r="Q789" s="5">
        <f>IF(AND(DiscreteStatsTable[[#This Row],[RepsWithStatObserved]]=1,Y789=0),200000000000000000000,IFERROR(_xlfn.T.INV.2T(1 -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0.94579620909031992</v>
      </c>
      <c r="R789" s="5" cm="1">
        <f t="array" ref="R789">MIN(IF((DiscreteStatsTable[GroupByKey]=DiscreteStatsTable[[#This Row],[GroupByKey]]),(DiscreteStatsTable[GroupByKey]=DiscreteStatsTable[[#This Row],[GroupByKey]])*DiscreteStatsTable[Average]))</f>
        <v>3.6009919886175199</v>
      </c>
      <c r="S789" s="5" cm="1">
        <f t="array" ref="S789">MAX(IF((DiscreteStatsTable[GroupByKey]=DiscreteStatsTable[[#This Row],[GroupByKey]]),(DiscreteStatsTable[GroupByKey]=DiscreteStatsTable[[#This Row],[GroupByKey]])*DiscreteStatsTable[Average]))</f>
        <v>10.0000175511267</v>
      </c>
      <c r="T789" s="5" cm="1">
        <f t="array" ref="T789">MIN(IF((DiscreteStatsTable[GroupByKey]=DiscreteStatsTable[[#This Row],[GroupByKey]]),(DiscreteStatsTable[GroupByKey]=DiscreteStatsTable[[#This Row],[GroupByKey]])*DiscreteStatsTable[Minimum]))</f>
        <v>2.1260873755372098</v>
      </c>
      <c r="U789" s="5" cm="1">
        <f t="array" ref="U789">MAX(IF((DiscreteStatsTable[GroupByKey]=DiscreteStatsTable[[#This Row],[GroupByKey]]),(DiscreteStatsTable[GroupByKey]=DiscreteStatsTable[[#This Row],[GroupByKey]])*DiscreteStatsTable[Maximum]))</f>
        <v>18.396198344222</v>
      </c>
      <c r="V789" s="5" cm="1">
        <f t="array" ref="V789">IFERROR(AVERAGE(IF((DiscreteStatsTable[GroupByKey]=DiscreteStatsTable[[#This Row],[GroupByKey]]),(DiscreteStatsTable[GroupByKey]=DiscreteStatsTable[[#This Row],[GroupByKey]])*DiscreteStatsTable[NumberObservations])),0)</f>
        <v>3.625</v>
      </c>
      <c r="W789" s="5">
        <f>IF((DiscreteStatsTable[[#This Row],[RepsRequested]]&gt;1),DiscreteStatsTable[[#This Row],[HalfWidth]],DiscreteStatsTable[[#This Row],[BatchMeansHalfWidth]])</f>
        <v>0.94579620909031992</v>
      </c>
      <c r="X789" s="5" cm="1">
        <f t="array" ref="X789">COUNT(IF((DiscreteStatsTable[GroupByKey]=DiscreteStatsTable[[#This Row],[GroupByKey]]),(DiscreteStatsTable[GroupByKey]=DiscreteStatsTable[[#This Row],[GroupByKey]])*DiscreteStatsTable[Replication]))</f>
        <v>16</v>
      </c>
      <c r="Y789" s="5">
        <f>IF(DiscreteStatsTable[[#This Row],[RepsRequested]]=DiscreteStatsTable[[#This Row],[RepsWithStatObserved]],1,0)</f>
        <v>0</v>
      </c>
    </row>
    <row r="790" spans="1:25" x14ac:dyDescent="0.25">
      <c r="A790" t="s">
        <v>67</v>
      </c>
      <c r="B790" t="s">
        <v>69</v>
      </c>
      <c r="C790">
        <v>12</v>
      </c>
      <c r="D790" t="s">
        <v>112</v>
      </c>
      <c r="E790" t="s">
        <v>107</v>
      </c>
      <c r="F790" t="s">
        <v>80</v>
      </c>
      <c r="G790">
        <v>5.9918292474812596</v>
      </c>
      <c r="H790">
        <v>2E+20</v>
      </c>
      <c r="I790">
        <v>4.3380301226344802</v>
      </c>
      <c r="J790">
        <v>7.6456283723280496</v>
      </c>
      <c r="K790">
        <v>2</v>
      </c>
      <c r="L79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compartida)TiempoEnSistemaNoMesaCantProd4IntervalUser Specified</v>
      </c>
      <c r="M790" s="5" cm="1">
        <f t="array" ref="M790">MAX(IF((ProjectInfoTable[ProjectName]=DiscreteStatsTable[[#This Row],[ProjectName]]),(ProjectInfoTable[ProjectName]=DiscreteStatsTable[[#This Row],[ProjectName]])*ProjectInfoTable[NumberOfReplications]))</f>
        <v>19</v>
      </c>
      <c r="N790" s="5" cm="1">
        <f t="array" ref="N790">IFERROR(AVERAGE(IF((DiscreteStatsTable[GroupByKey]=DiscreteStatsTable[[#This Row],[GroupByKey]]),(DiscreteStatsTable[GroupByKey]=DiscreteStatsTable[[#This Row],[GroupByKey]])*DiscreteStatsTable[Average])),0)</f>
        <v>6.0285427713953732</v>
      </c>
      <c r="O790" s="5" cm="1">
        <f t="array" ref="O790">IFERROR(_xlfn.STDEV.S(IF((DiscreteStatsTable[GroupByKey]=DiscreteStatsTable[[#This Row],[GroupByKey]]),(DiscreteStatsTable[GroupByKey]=DiscreteStatsTable[[#This Row],[GroupByKey]])*DiscreteStatsTable[Average])),0)</f>
        <v>1.7749352051247906</v>
      </c>
      <c r="P790" s="5" cm="1">
        <f t="array" ref="P790">MAX(IF((ProjectInfoTable[ProjectName]=DiscreteStatsTable[[#This Row],[ProjectName]]),(ProjectInfoTable[ProjectName]=DiscreteStatsTable[[#This Row],[ProjectName]])*ProjectInfoTable[ConfidenceInterval]))</f>
        <v>0.95</v>
      </c>
      <c r="Q790" s="5">
        <f>IF(AND(DiscreteStatsTable[[#This Row],[RepsWithStatObserved]]=1,Y790=0),200000000000000000000,IFERROR(_xlfn.T.INV.2T(1 -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0.94579620909031992</v>
      </c>
      <c r="R790" s="5" cm="1">
        <f t="array" ref="R790">MIN(IF((DiscreteStatsTable[GroupByKey]=DiscreteStatsTable[[#This Row],[GroupByKey]]),(DiscreteStatsTable[GroupByKey]=DiscreteStatsTable[[#This Row],[GroupByKey]])*DiscreteStatsTable[Average]))</f>
        <v>3.6009919886175199</v>
      </c>
      <c r="S790" s="5" cm="1">
        <f t="array" ref="S790">MAX(IF((DiscreteStatsTable[GroupByKey]=DiscreteStatsTable[[#This Row],[GroupByKey]]),(DiscreteStatsTable[GroupByKey]=DiscreteStatsTable[[#This Row],[GroupByKey]])*DiscreteStatsTable[Average]))</f>
        <v>10.0000175511267</v>
      </c>
      <c r="T790" s="5" cm="1">
        <f t="array" ref="T790">MIN(IF((DiscreteStatsTable[GroupByKey]=DiscreteStatsTable[[#This Row],[GroupByKey]]),(DiscreteStatsTable[GroupByKey]=DiscreteStatsTable[[#This Row],[GroupByKey]])*DiscreteStatsTable[Minimum]))</f>
        <v>2.1260873755372098</v>
      </c>
      <c r="U790" s="5" cm="1">
        <f t="array" ref="U790">MAX(IF((DiscreteStatsTable[GroupByKey]=DiscreteStatsTable[[#This Row],[GroupByKey]]),(DiscreteStatsTable[GroupByKey]=DiscreteStatsTable[[#This Row],[GroupByKey]])*DiscreteStatsTable[Maximum]))</f>
        <v>18.396198344222</v>
      </c>
      <c r="V790" s="5" cm="1">
        <f t="array" ref="V790">IFERROR(AVERAGE(IF((DiscreteStatsTable[GroupByKey]=DiscreteStatsTable[[#This Row],[GroupByKey]]),(DiscreteStatsTable[GroupByKey]=DiscreteStatsTable[[#This Row],[GroupByKey]])*DiscreteStatsTable[NumberObservations])),0)</f>
        <v>3.625</v>
      </c>
      <c r="W790" s="5">
        <f>IF((DiscreteStatsTable[[#This Row],[RepsRequested]]&gt;1),DiscreteStatsTable[[#This Row],[HalfWidth]],DiscreteStatsTable[[#This Row],[BatchMeansHalfWidth]])</f>
        <v>0.94579620909031992</v>
      </c>
      <c r="X790" s="5" cm="1">
        <f t="array" ref="X790">COUNT(IF((DiscreteStatsTable[GroupByKey]=DiscreteStatsTable[[#This Row],[GroupByKey]]),(DiscreteStatsTable[GroupByKey]=DiscreteStatsTable[[#This Row],[GroupByKey]])*DiscreteStatsTable[Replication]))</f>
        <v>16</v>
      </c>
      <c r="Y790" s="5">
        <f>IF(DiscreteStatsTable[[#This Row],[RepsRequested]]=DiscreteStatsTable[[#This Row],[RepsWithStatObserved]],1,0)</f>
        <v>0</v>
      </c>
    </row>
    <row r="791" spans="1:25" x14ac:dyDescent="0.25">
      <c r="A791" t="s">
        <v>67</v>
      </c>
      <c r="B791" t="s">
        <v>69</v>
      </c>
      <c r="C791">
        <v>13</v>
      </c>
      <c r="D791" t="s">
        <v>112</v>
      </c>
      <c r="E791" t="s">
        <v>107</v>
      </c>
      <c r="F791" t="s">
        <v>80</v>
      </c>
      <c r="G791">
        <v>4.65547375370683</v>
      </c>
      <c r="H791">
        <v>2E+20</v>
      </c>
      <c r="I791">
        <v>2.6453588750785402</v>
      </c>
      <c r="J791">
        <v>7.8955755923568596</v>
      </c>
      <c r="K791">
        <v>7</v>
      </c>
      <c r="L79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compartida)TiempoEnSistemaNoMesaCantProd4IntervalUser Specified</v>
      </c>
      <c r="M791" s="5" cm="1">
        <f t="array" ref="M791">MAX(IF((ProjectInfoTable[ProjectName]=DiscreteStatsTable[[#This Row],[ProjectName]]),(ProjectInfoTable[ProjectName]=DiscreteStatsTable[[#This Row],[ProjectName]])*ProjectInfoTable[NumberOfReplications]))</f>
        <v>19</v>
      </c>
      <c r="N791" s="5" cm="1">
        <f t="array" ref="N791">IFERROR(AVERAGE(IF((DiscreteStatsTable[GroupByKey]=DiscreteStatsTable[[#This Row],[GroupByKey]]),(DiscreteStatsTable[GroupByKey]=DiscreteStatsTable[[#This Row],[GroupByKey]])*DiscreteStatsTable[Average])),0)</f>
        <v>6.0285427713953732</v>
      </c>
      <c r="O791" s="5" cm="1">
        <f t="array" ref="O791">IFERROR(_xlfn.STDEV.S(IF((DiscreteStatsTable[GroupByKey]=DiscreteStatsTable[[#This Row],[GroupByKey]]),(DiscreteStatsTable[GroupByKey]=DiscreteStatsTable[[#This Row],[GroupByKey]])*DiscreteStatsTable[Average])),0)</f>
        <v>1.7749352051247906</v>
      </c>
      <c r="P791" s="5" cm="1">
        <f t="array" ref="P791">MAX(IF((ProjectInfoTable[ProjectName]=DiscreteStatsTable[[#This Row],[ProjectName]]),(ProjectInfoTable[ProjectName]=DiscreteStatsTable[[#This Row],[ProjectName]])*ProjectInfoTable[ConfidenceInterval]))</f>
        <v>0.95</v>
      </c>
      <c r="Q791" s="5">
        <f>IF(AND(DiscreteStatsTable[[#This Row],[RepsWithStatObserved]]=1,Y791=0),200000000000000000000,IFERROR(_xlfn.T.INV.2T(1 -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0.94579620909031992</v>
      </c>
      <c r="R791" s="5" cm="1">
        <f t="array" ref="R791">MIN(IF((DiscreteStatsTable[GroupByKey]=DiscreteStatsTable[[#This Row],[GroupByKey]]),(DiscreteStatsTable[GroupByKey]=DiscreteStatsTable[[#This Row],[GroupByKey]])*DiscreteStatsTable[Average]))</f>
        <v>3.6009919886175199</v>
      </c>
      <c r="S791" s="5" cm="1">
        <f t="array" ref="S791">MAX(IF((DiscreteStatsTable[GroupByKey]=DiscreteStatsTable[[#This Row],[GroupByKey]]),(DiscreteStatsTable[GroupByKey]=DiscreteStatsTable[[#This Row],[GroupByKey]])*DiscreteStatsTable[Average]))</f>
        <v>10.0000175511267</v>
      </c>
      <c r="T791" s="5" cm="1">
        <f t="array" ref="T791">MIN(IF((DiscreteStatsTable[GroupByKey]=DiscreteStatsTable[[#This Row],[GroupByKey]]),(DiscreteStatsTable[GroupByKey]=DiscreteStatsTable[[#This Row],[GroupByKey]])*DiscreteStatsTable[Minimum]))</f>
        <v>2.1260873755372098</v>
      </c>
      <c r="U791" s="5" cm="1">
        <f t="array" ref="U791">MAX(IF((DiscreteStatsTable[GroupByKey]=DiscreteStatsTable[[#This Row],[GroupByKey]]),(DiscreteStatsTable[GroupByKey]=DiscreteStatsTable[[#This Row],[GroupByKey]])*DiscreteStatsTable[Maximum]))</f>
        <v>18.396198344222</v>
      </c>
      <c r="V791" s="5" cm="1">
        <f t="array" ref="V791">IFERROR(AVERAGE(IF((DiscreteStatsTable[GroupByKey]=DiscreteStatsTable[[#This Row],[GroupByKey]]),(DiscreteStatsTable[GroupByKey]=DiscreteStatsTable[[#This Row],[GroupByKey]])*DiscreteStatsTable[NumberObservations])),0)</f>
        <v>3.625</v>
      </c>
      <c r="W791" s="5">
        <f>IF((DiscreteStatsTable[[#This Row],[RepsRequested]]&gt;1),DiscreteStatsTable[[#This Row],[HalfWidth]],DiscreteStatsTable[[#This Row],[BatchMeansHalfWidth]])</f>
        <v>0.94579620909031992</v>
      </c>
      <c r="X791" s="5" cm="1">
        <f t="array" ref="X791">COUNT(IF((DiscreteStatsTable[GroupByKey]=DiscreteStatsTable[[#This Row],[GroupByKey]]),(DiscreteStatsTable[GroupByKey]=DiscreteStatsTable[[#This Row],[GroupByKey]])*DiscreteStatsTable[Replication]))</f>
        <v>16</v>
      </c>
      <c r="Y791" s="5">
        <f>IF(DiscreteStatsTable[[#This Row],[RepsRequested]]=DiscreteStatsTable[[#This Row],[RepsWithStatObserved]],1,0)</f>
        <v>0</v>
      </c>
    </row>
    <row r="792" spans="1:25" x14ac:dyDescent="0.25">
      <c r="A792" t="s">
        <v>67</v>
      </c>
      <c r="B792" t="s">
        <v>69</v>
      </c>
      <c r="C792">
        <v>14</v>
      </c>
      <c r="D792" t="s">
        <v>112</v>
      </c>
      <c r="E792" t="s">
        <v>107</v>
      </c>
      <c r="F792" t="s">
        <v>80</v>
      </c>
      <c r="G792">
        <v>5.2910817363868299</v>
      </c>
      <c r="H792">
        <v>2E+20</v>
      </c>
      <c r="I792">
        <v>2.1260873755372098</v>
      </c>
      <c r="J792">
        <v>8.1684442401226995</v>
      </c>
      <c r="K792">
        <v>5</v>
      </c>
      <c r="L79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compartida)TiempoEnSistemaNoMesaCantProd4IntervalUser Specified</v>
      </c>
      <c r="M792" s="5" cm="1">
        <f t="array" ref="M792">MAX(IF((ProjectInfoTable[ProjectName]=DiscreteStatsTable[[#This Row],[ProjectName]]),(ProjectInfoTable[ProjectName]=DiscreteStatsTable[[#This Row],[ProjectName]])*ProjectInfoTable[NumberOfReplications]))</f>
        <v>19</v>
      </c>
      <c r="N792" s="5" cm="1">
        <f t="array" ref="N792">IFERROR(AVERAGE(IF((DiscreteStatsTable[GroupByKey]=DiscreteStatsTable[[#This Row],[GroupByKey]]),(DiscreteStatsTable[GroupByKey]=DiscreteStatsTable[[#This Row],[GroupByKey]])*DiscreteStatsTable[Average])),0)</f>
        <v>6.0285427713953732</v>
      </c>
      <c r="O792" s="5" cm="1">
        <f t="array" ref="O792">IFERROR(_xlfn.STDEV.S(IF((DiscreteStatsTable[GroupByKey]=DiscreteStatsTable[[#This Row],[GroupByKey]]),(DiscreteStatsTable[GroupByKey]=DiscreteStatsTable[[#This Row],[GroupByKey]])*DiscreteStatsTable[Average])),0)</f>
        <v>1.7749352051247906</v>
      </c>
      <c r="P792" s="5" cm="1">
        <f t="array" ref="P792">MAX(IF((ProjectInfoTable[ProjectName]=DiscreteStatsTable[[#This Row],[ProjectName]]),(ProjectInfoTable[ProjectName]=DiscreteStatsTable[[#This Row],[ProjectName]])*ProjectInfoTable[ConfidenceInterval]))</f>
        <v>0.95</v>
      </c>
      <c r="Q792" s="5">
        <f>IF(AND(DiscreteStatsTable[[#This Row],[RepsWithStatObserved]]=1,Y792=0),200000000000000000000,IFERROR(_xlfn.T.INV.2T(1 -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0.94579620909031992</v>
      </c>
      <c r="R792" s="5" cm="1">
        <f t="array" ref="R792">MIN(IF((DiscreteStatsTable[GroupByKey]=DiscreteStatsTable[[#This Row],[GroupByKey]]),(DiscreteStatsTable[GroupByKey]=DiscreteStatsTable[[#This Row],[GroupByKey]])*DiscreteStatsTable[Average]))</f>
        <v>3.6009919886175199</v>
      </c>
      <c r="S792" s="5" cm="1">
        <f t="array" ref="S792">MAX(IF((DiscreteStatsTable[GroupByKey]=DiscreteStatsTable[[#This Row],[GroupByKey]]),(DiscreteStatsTable[GroupByKey]=DiscreteStatsTable[[#This Row],[GroupByKey]])*DiscreteStatsTable[Average]))</f>
        <v>10.0000175511267</v>
      </c>
      <c r="T792" s="5" cm="1">
        <f t="array" ref="T792">MIN(IF((DiscreteStatsTable[GroupByKey]=DiscreteStatsTable[[#This Row],[GroupByKey]]),(DiscreteStatsTable[GroupByKey]=DiscreteStatsTable[[#This Row],[GroupByKey]])*DiscreteStatsTable[Minimum]))</f>
        <v>2.1260873755372098</v>
      </c>
      <c r="U792" s="5" cm="1">
        <f t="array" ref="U792">MAX(IF((DiscreteStatsTable[GroupByKey]=DiscreteStatsTable[[#This Row],[GroupByKey]]),(DiscreteStatsTable[GroupByKey]=DiscreteStatsTable[[#This Row],[GroupByKey]])*DiscreteStatsTable[Maximum]))</f>
        <v>18.396198344222</v>
      </c>
      <c r="V792" s="5" cm="1">
        <f t="array" ref="V792">IFERROR(AVERAGE(IF((DiscreteStatsTable[GroupByKey]=DiscreteStatsTable[[#This Row],[GroupByKey]]),(DiscreteStatsTable[GroupByKey]=DiscreteStatsTable[[#This Row],[GroupByKey]])*DiscreteStatsTable[NumberObservations])),0)</f>
        <v>3.625</v>
      </c>
      <c r="W792" s="5">
        <f>IF((DiscreteStatsTable[[#This Row],[RepsRequested]]&gt;1),DiscreteStatsTable[[#This Row],[HalfWidth]],DiscreteStatsTable[[#This Row],[BatchMeansHalfWidth]])</f>
        <v>0.94579620909031992</v>
      </c>
      <c r="X792" s="5" cm="1">
        <f t="array" ref="X792">COUNT(IF((DiscreteStatsTable[GroupByKey]=DiscreteStatsTable[[#This Row],[GroupByKey]]),(DiscreteStatsTable[GroupByKey]=DiscreteStatsTable[[#This Row],[GroupByKey]])*DiscreteStatsTable[Replication]))</f>
        <v>16</v>
      </c>
      <c r="Y792" s="5">
        <f>IF(DiscreteStatsTable[[#This Row],[RepsRequested]]=DiscreteStatsTable[[#This Row],[RepsWithStatObserved]],1,0)</f>
        <v>0</v>
      </c>
    </row>
    <row r="793" spans="1:25" x14ac:dyDescent="0.25">
      <c r="A793" t="s">
        <v>67</v>
      </c>
      <c r="B793" t="s">
        <v>69</v>
      </c>
      <c r="C793">
        <v>15</v>
      </c>
      <c r="D793" t="s">
        <v>112</v>
      </c>
      <c r="E793" t="s">
        <v>107</v>
      </c>
      <c r="F793" t="s">
        <v>80</v>
      </c>
      <c r="G793">
        <v>4.8565005965647599</v>
      </c>
      <c r="H793">
        <v>2E+20</v>
      </c>
      <c r="I793">
        <v>4.8565005965647599</v>
      </c>
      <c r="J793">
        <v>4.8565005965647599</v>
      </c>
      <c r="K793">
        <v>1</v>
      </c>
      <c r="L79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compartida)TiempoEnSistemaNoMesaCantProd4IntervalUser Specified</v>
      </c>
      <c r="M793" s="5" cm="1">
        <f t="array" ref="M793">MAX(IF((ProjectInfoTable[ProjectName]=DiscreteStatsTable[[#This Row],[ProjectName]]),(ProjectInfoTable[ProjectName]=DiscreteStatsTable[[#This Row],[ProjectName]])*ProjectInfoTable[NumberOfReplications]))</f>
        <v>19</v>
      </c>
      <c r="N793" s="5" cm="1">
        <f t="array" ref="N793">IFERROR(AVERAGE(IF((DiscreteStatsTable[GroupByKey]=DiscreteStatsTable[[#This Row],[GroupByKey]]),(DiscreteStatsTable[GroupByKey]=DiscreteStatsTable[[#This Row],[GroupByKey]])*DiscreteStatsTable[Average])),0)</f>
        <v>6.0285427713953732</v>
      </c>
      <c r="O793" s="5" cm="1">
        <f t="array" ref="O793">IFERROR(_xlfn.STDEV.S(IF((DiscreteStatsTable[GroupByKey]=DiscreteStatsTable[[#This Row],[GroupByKey]]),(DiscreteStatsTable[GroupByKey]=DiscreteStatsTable[[#This Row],[GroupByKey]])*DiscreteStatsTable[Average])),0)</f>
        <v>1.7749352051247906</v>
      </c>
      <c r="P793" s="5" cm="1">
        <f t="array" ref="P793">MAX(IF((ProjectInfoTable[ProjectName]=DiscreteStatsTable[[#This Row],[ProjectName]]),(ProjectInfoTable[ProjectName]=DiscreteStatsTable[[#This Row],[ProjectName]])*ProjectInfoTable[ConfidenceInterval]))</f>
        <v>0.95</v>
      </c>
      <c r="Q793" s="5">
        <f>IF(AND(DiscreteStatsTable[[#This Row],[RepsWithStatObserved]]=1,Y793=0),200000000000000000000,IFERROR(_xlfn.T.INV.2T(1 -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0.94579620909031992</v>
      </c>
      <c r="R793" s="5" cm="1">
        <f t="array" ref="R793">MIN(IF((DiscreteStatsTable[GroupByKey]=DiscreteStatsTable[[#This Row],[GroupByKey]]),(DiscreteStatsTable[GroupByKey]=DiscreteStatsTable[[#This Row],[GroupByKey]])*DiscreteStatsTable[Average]))</f>
        <v>3.6009919886175199</v>
      </c>
      <c r="S793" s="5" cm="1">
        <f t="array" ref="S793">MAX(IF((DiscreteStatsTable[GroupByKey]=DiscreteStatsTable[[#This Row],[GroupByKey]]),(DiscreteStatsTable[GroupByKey]=DiscreteStatsTable[[#This Row],[GroupByKey]])*DiscreteStatsTable[Average]))</f>
        <v>10.0000175511267</v>
      </c>
      <c r="T793" s="5" cm="1">
        <f t="array" ref="T793">MIN(IF((DiscreteStatsTable[GroupByKey]=DiscreteStatsTable[[#This Row],[GroupByKey]]),(DiscreteStatsTable[GroupByKey]=DiscreteStatsTable[[#This Row],[GroupByKey]])*DiscreteStatsTable[Minimum]))</f>
        <v>2.1260873755372098</v>
      </c>
      <c r="U793" s="5" cm="1">
        <f t="array" ref="U793">MAX(IF((DiscreteStatsTable[GroupByKey]=DiscreteStatsTable[[#This Row],[GroupByKey]]),(DiscreteStatsTable[GroupByKey]=DiscreteStatsTable[[#This Row],[GroupByKey]])*DiscreteStatsTable[Maximum]))</f>
        <v>18.396198344222</v>
      </c>
      <c r="V793" s="5" cm="1">
        <f t="array" ref="V793">IFERROR(AVERAGE(IF((DiscreteStatsTable[GroupByKey]=DiscreteStatsTable[[#This Row],[GroupByKey]]),(DiscreteStatsTable[GroupByKey]=DiscreteStatsTable[[#This Row],[GroupByKey]])*DiscreteStatsTable[NumberObservations])),0)</f>
        <v>3.625</v>
      </c>
      <c r="W793" s="5">
        <f>IF((DiscreteStatsTable[[#This Row],[RepsRequested]]&gt;1),DiscreteStatsTable[[#This Row],[HalfWidth]],DiscreteStatsTable[[#This Row],[BatchMeansHalfWidth]])</f>
        <v>0.94579620909031992</v>
      </c>
      <c r="X793" s="5" cm="1">
        <f t="array" ref="X793">COUNT(IF((DiscreteStatsTable[GroupByKey]=DiscreteStatsTable[[#This Row],[GroupByKey]]),(DiscreteStatsTable[GroupByKey]=DiscreteStatsTable[[#This Row],[GroupByKey]])*DiscreteStatsTable[Replication]))</f>
        <v>16</v>
      </c>
      <c r="Y793" s="5">
        <f>IF(DiscreteStatsTable[[#This Row],[RepsRequested]]=DiscreteStatsTable[[#This Row],[RepsWithStatObserved]],1,0)</f>
        <v>0</v>
      </c>
    </row>
    <row r="794" spans="1:25" x14ac:dyDescent="0.25">
      <c r="A794" t="s">
        <v>67</v>
      </c>
      <c r="B794" t="s">
        <v>69</v>
      </c>
      <c r="C794">
        <v>17</v>
      </c>
      <c r="D794" t="s">
        <v>112</v>
      </c>
      <c r="E794" t="s">
        <v>107</v>
      </c>
      <c r="F794" t="s">
        <v>80</v>
      </c>
      <c r="G794">
        <v>6.8263361505207296</v>
      </c>
      <c r="H794">
        <v>2E+20</v>
      </c>
      <c r="I794">
        <v>3.9983688597264999</v>
      </c>
      <c r="J794">
        <v>9.6543034413149709</v>
      </c>
      <c r="K794">
        <v>2</v>
      </c>
      <c r="L79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compartida)TiempoEnSistemaNoMesaCantProd4IntervalUser Specified</v>
      </c>
      <c r="M794" s="5" cm="1">
        <f t="array" ref="M794">MAX(IF((ProjectInfoTable[ProjectName]=DiscreteStatsTable[[#This Row],[ProjectName]]),(ProjectInfoTable[ProjectName]=DiscreteStatsTable[[#This Row],[ProjectName]])*ProjectInfoTable[NumberOfReplications]))</f>
        <v>19</v>
      </c>
      <c r="N794" s="5" cm="1">
        <f t="array" ref="N794">IFERROR(AVERAGE(IF((DiscreteStatsTable[GroupByKey]=DiscreteStatsTable[[#This Row],[GroupByKey]]),(DiscreteStatsTable[GroupByKey]=DiscreteStatsTable[[#This Row],[GroupByKey]])*DiscreteStatsTable[Average])),0)</f>
        <v>6.0285427713953732</v>
      </c>
      <c r="O794" s="5" cm="1">
        <f t="array" ref="O794">IFERROR(_xlfn.STDEV.S(IF((DiscreteStatsTable[GroupByKey]=DiscreteStatsTable[[#This Row],[GroupByKey]]),(DiscreteStatsTable[GroupByKey]=DiscreteStatsTable[[#This Row],[GroupByKey]])*DiscreteStatsTable[Average])),0)</f>
        <v>1.7749352051247906</v>
      </c>
      <c r="P794" s="5" cm="1">
        <f t="array" ref="P794">MAX(IF((ProjectInfoTable[ProjectName]=DiscreteStatsTable[[#This Row],[ProjectName]]),(ProjectInfoTable[ProjectName]=DiscreteStatsTable[[#This Row],[ProjectName]])*ProjectInfoTable[ConfidenceInterval]))</f>
        <v>0.95</v>
      </c>
      <c r="Q794" s="5">
        <f>IF(AND(DiscreteStatsTable[[#This Row],[RepsWithStatObserved]]=1,Y794=0),200000000000000000000,IFERROR(_xlfn.T.INV.2T(1 -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0.94579620909031992</v>
      </c>
      <c r="R794" s="5" cm="1">
        <f t="array" ref="R794">MIN(IF((DiscreteStatsTable[GroupByKey]=DiscreteStatsTable[[#This Row],[GroupByKey]]),(DiscreteStatsTable[GroupByKey]=DiscreteStatsTable[[#This Row],[GroupByKey]])*DiscreteStatsTable[Average]))</f>
        <v>3.6009919886175199</v>
      </c>
      <c r="S794" s="5" cm="1">
        <f t="array" ref="S794">MAX(IF((DiscreteStatsTable[GroupByKey]=DiscreteStatsTable[[#This Row],[GroupByKey]]),(DiscreteStatsTable[GroupByKey]=DiscreteStatsTable[[#This Row],[GroupByKey]])*DiscreteStatsTable[Average]))</f>
        <v>10.0000175511267</v>
      </c>
      <c r="T794" s="5" cm="1">
        <f t="array" ref="T794">MIN(IF((DiscreteStatsTable[GroupByKey]=DiscreteStatsTable[[#This Row],[GroupByKey]]),(DiscreteStatsTable[GroupByKey]=DiscreteStatsTable[[#This Row],[GroupByKey]])*DiscreteStatsTable[Minimum]))</f>
        <v>2.1260873755372098</v>
      </c>
      <c r="U794" s="5" cm="1">
        <f t="array" ref="U794">MAX(IF((DiscreteStatsTable[GroupByKey]=DiscreteStatsTable[[#This Row],[GroupByKey]]),(DiscreteStatsTable[GroupByKey]=DiscreteStatsTable[[#This Row],[GroupByKey]])*DiscreteStatsTable[Maximum]))</f>
        <v>18.396198344222</v>
      </c>
      <c r="V794" s="5" cm="1">
        <f t="array" ref="V794">IFERROR(AVERAGE(IF((DiscreteStatsTable[GroupByKey]=DiscreteStatsTable[[#This Row],[GroupByKey]]),(DiscreteStatsTable[GroupByKey]=DiscreteStatsTable[[#This Row],[GroupByKey]])*DiscreteStatsTable[NumberObservations])),0)</f>
        <v>3.625</v>
      </c>
      <c r="W794" s="5">
        <f>IF((DiscreteStatsTable[[#This Row],[RepsRequested]]&gt;1),DiscreteStatsTable[[#This Row],[HalfWidth]],DiscreteStatsTable[[#This Row],[BatchMeansHalfWidth]])</f>
        <v>0.94579620909031992</v>
      </c>
      <c r="X794" s="5" cm="1">
        <f t="array" ref="X794">COUNT(IF((DiscreteStatsTable[GroupByKey]=DiscreteStatsTable[[#This Row],[GroupByKey]]),(DiscreteStatsTable[GroupByKey]=DiscreteStatsTable[[#This Row],[GroupByKey]])*DiscreteStatsTable[Replication]))</f>
        <v>16</v>
      </c>
      <c r="Y794" s="5">
        <f>IF(DiscreteStatsTable[[#This Row],[RepsRequested]]=DiscreteStatsTable[[#This Row],[RepsWithStatObserved]],1,0)</f>
        <v>0</v>
      </c>
    </row>
    <row r="795" spans="1:25" x14ac:dyDescent="0.25">
      <c r="A795" t="s">
        <v>67</v>
      </c>
      <c r="B795" t="s">
        <v>69</v>
      </c>
      <c r="C795">
        <v>18</v>
      </c>
      <c r="D795" t="s">
        <v>112</v>
      </c>
      <c r="E795" t="s">
        <v>107</v>
      </c>
      <c r="F795" t="s">
        <v>80</v>
      </c>
      <c r="G795">
        <v>8.7651992440332602</v>
      </c>
      <c r="H795">
        <v>2E+20</v>
      </c>
      <c r="I795">
        <v>8.7651992440332602</v>
      </c>
      <c r="J795">
        <v>8.7651992440332602</v>
      </c>
      <c r="K795">
        <v>1</v>
      </c>
      <c r="L79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compartida)TiempoEnSistemaNoMesaCantProd4IntervalUser Specified</v>
      </c>
      <c r="M795" s="5" cm="1">
        <f t="array" ref="M795">MAX(IF((ProjectInfoTable[ProjectName]=DiscreteStatsTable[[#This Row],[ProjectName]]),(ProjectInfoTable[ProjectName]=DiscreteStatsTable[[#This Row],[ProjectName]])*ProjectInfoTable[NumberOfReplications]))</f>
        <v>19</v>
      </c>
      <c r="N795" s="5" cm="1">
        <f t="array" ref="N795">IFERROR(AVERAGE(IF((DiscreteStatsTable[GroupByKey]=DiscreteStatsTable[[#This Row],[GroupByKey]]),(DiscreteStatsTable[GroupByKey]=DiscreteStatsTable[[#This Row],[GroupByKey]])*DiscreteStatsTable[Average])),0)</f>
        <v>6.0285427713953732</v>
      </c>
      <c r="O795" s="5" cm="1">
        <f t="array" ref="O795">IFERROR(_xlfn.STDEV.S(IF((DiscreteStatsTable[GroupByKey]=DiscreteStatsTable[[#This Row],[GroupByKey]]),(DiscreteStatsTable[GroupByKey]=DiscreteStatsTable[[#This Row],[GroupByKey]])*DiscreteStatsTable[Average])),0)</f>
        <v>1.7749352051247906</v>
      </c>
      <c r="P795" s="5" cm="1">
        <f t="array" ref="P795">MAX(IF((ProjectInfoTable[ProjectName]=DiscreteStatsTable[[#This Row],[ProjectName]]),(ProjectInfoTable[ProjectName]=DiscreteStatsTable[[#This Row],[ProjectName]])*ProjectInfoTable[ConfidenceInterval]))</f>
        <v>0.95</v>
      </c>
      <c r="Q795" s="5">
        <f>IF(AND(DiscreteStatsTable[[#This Row],[RepsWithStatObserved]]=1,Y795=0),200000000000000000000,IFERROR(_xlfn.T.INV.2T(1 -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0.94579620909031992</v>
      </c>
      <c r="R795" s="5" cm="1">
        <f t="array" ref="R795">MIN(IF((DiscreteStatsTable[GroupByKey]=DiscreteStatsTable[[#This Row],[GroupByKey]]),(DiscreteStatsTable[GroupByKey]=DiscreteStatsTable[[#This Row],[GroupByKey]])*DiscreteStatsTable[Average]))</f>
        <v>3.6009919886175199</v>
      </c>
      <c r="S795" s="5" cm="1">
        <f t="array" ref="S795">MAX(IF((DiscreteStatsTable[GroupByKey]=DiscreteStatsTable[[#This Row],[GroupByKey]]),(DiscreteStatsTable[GroupByKey]=DiscreteStatsTable[[#This Row],[GroupByKey]])*DiscreteStatsTable[Average]))</f>
        <v>10.0000175511267</v>
      </c>
      <c r="T795" s="5" cm="1">
        <f t="array" ref="T795">MIN(IF((DiscreteStatsTable[GroupByKey]=DiscreteStatsTable[[#This Row],[GroupByKey]]),(DiscreteStatsTable[GroupByKey]=DiscreteStatsTable[[#This Row],[GroupByKey]])*DiscreteStatsTable[Minimum]))</f>
        <v>2.1260873755372098</v>
      </c>
      <c r="U795" s="5" cm="1">
        <f t="array" ref="U795">MAX(IF((DiscreteStatsTable[GroupByKey]=DiscreteStatsTable[[#This Row],[GroupByKey]]),(DiscreteStatsTable[GroupByKey]=DiscreteStatsTable[[#This Row],[GroupByKey]])*DiscreteStatsTable[Maximum]))</f>
        <v>18.396198344222</v>
      </c>
      <c r="V795" s="5" cm="1">
        <f t="array" ref="V795">IFERROR(AVERAGE(IF((DiscreteStatsTable[GroupByKey]=DiscreteStatsTable[[#This Row],[GroupByKey]]),(DiscreteStatsTable[GroupByKey]=DiscreteStatsTable[[#This Row],[GroupByKey]])*DiscreteStatsTable[NumberObservations])),0)</f>
        <v>3.625</v>
      </c>
      <c r="W795" s="5">
        <f>IF((DiscreteStatsTable[[#This Row],[RepsRequested]]&gt;1),DiscreteStatsTable[[#This Row],[HalfWidth]],DiscreteStatsTable[[#This Row],[BatchMeansHalfWidth]])</f>
        <v>0.94579620909031992</v>
      </c>
      <c r="X795" s="5" cm="1">
        <f t="array" ref="X795">COUNT(IF((DiscreteStatsTable[GroupByKey]=DiscreteStatsTable[[#This Row],[GroupByKey]]),(DiscreteStatsTable[GroupByKey]=DiscreteStatsTable[[#This Row],[GroupByKey]])*DiscreteStatsTable[Replication]))</f>
        <v>16</v>
      </c>
      <c r="Y795" s="5">
        <f>IF(DiscreteStatsTable[[#This Row],[RepsRequested]]=DiscreteStatsTable[[#This Row],[RepsWithStatObserved]],1,0)</f>
        <v>0</v>
      </c>
    </row>
    <row r="796" spans="1:25" x14ac:dyDescent="0.25">
      <c r="A796" t="s">
        <v>67</v>
      </c>
      <c r="B796" t="s">
        <v>69</v>
      </c>
      <c r="C796">
        <v>19</v>
      </c>
      <c r="D796" t="s">
        <v>112</v>
      </c>
      <c r="E796" t="s">
        <v>107</v>
      </c>
      <c r="F796" t="s">
        <v>80</v>
      </c>
      <c r="G796">
        <v>3.6009919886175199</v>
      </c>
      <c r="H796">
        <v>2E+20</v>
      </c>
      <c r="I796">
        <v>3.1889853636094201</v>
      </c>
      <c r="J796">
        <v>4.0129986136256299</v>
      </c>
      <c r="K796">
        <v>2</v>
      </c>
      <c r="L79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compartida)TiempoEnSistemaNoMesaCantProd4IntervalUser Specified</v>
      </c>
      <c r="M796" s="5" cm="1">
        <f t="array" ref="M796">MAX(IF((ProjectInfoTable[ProjectName]=DiscreteStatsTable[[#This Row],[ProjectName]]),(ProjectInfoTable[ProjectName]=DiscreteStatsTable[[#This Row],[ProjectName]])*ProjectInfoTable[NumberOfReplications]))</f>
        <v>19</v>
      </c>
      <c r="N796" s="5" cm="1">
        <f t="array" ref="N796">IFERROR(AVERAGE(IF((DiscreteStatsTable[GroupByKey]=DiscreteStatsTable[[#This Row],[GroupByKey]]),(DiscreteStatsTable[GroupByKey]=DiscreteStatsTable[[#This Row],[GroupByKey]])*DiscreteStatsTable[Average])),0)</f>
        <v>6.0285427713953732</v>
      </c>
      <c r="O796" s="5" cm="1">
        <f t="array" ref="O796">IFERROR(_xlfn.STDEV.S(IF((DiscreteStatsTable[GroupByKey]=DiscreteStatsTable[[#This Row],[GroupByKey]]),(DiscreteStatsTable[GroupByKey]=DiscreteStatsTable[[#This Row],[GroupByKey]])*DiscreteStatsTable[Average])),0)</f>
        <v>1.7749352051247906</v>
      </c>
      <c r="P796" s="5" cm="1">
        <f t="array" ref="P796">MAX(IF((ProjectInfoTable[ProjectName]=DiscreteStatsTable[[#This Row],[ProjectName]]),(ProjectInfoTable[ProjectName]=DiscreteStatsTable[[#This Row],[ProjectName]])*ProjectInfoTable[ConfidenceInterval]))</f>
        <v>0.95</v>
      </c>
      <c r="Q796" s="5">
        <f>IF(AND(DiscreteStatsTable[[#This Row],[RepsWithStatObserved]]=1,Y796=0),200000000000000000000,IFERROR(_xlfn.T.INV.2T(1 -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0.94579620909031992</v>
      </c>
      <c r="R796" s="5" cm="1">
        <f t="array" ref="R796">MIN(IF((DiscreteStatsTable[GroupByKey]=DiscreteStatsTable[[#This Row],[GroupByKey]]),(DiscreteStatsTable[GroupByKey]=DiscreteStatsTable[[#This Row],[GroupByKey]])*DiscreteStatsTable[Average]))</f>
        <v>3.6009919886175199</v>
      </c>
      <c r="S796" s="5" cm="1">
        <f t="array" ref="S796">MAX(IF((DiscreteStatsTable[GroupByKey]=DiscreteStatsTable[[#This Row],[GroupByKey]]),(DiscreteStatsTable[GroupByKey]=DiscreteStatsTable[[#This Row],[GroupByKey]])*DiscreteStatsTable[Average]))</f>
        <v>10.0000175511267</v>
      </c>
      <c r="T796" s="5" cm="1">
        <f t="array" ref="T796">MIN(IF((DiscreteStatsTable[GroupByKey]=DiscreteStatsTable[[#This Row],[GroupByKey]]),(DiscreteStatsTable[GroupByKey]=DiscreteStatsTable[[#This Row],[GroupByKey]])*DiscreteStatsTable[Minimum]))</f>
        <v>2.1260873755372098</v>
      </c>
      <c r="U796" s="5" cm="1">
        <f t="array" ref="U796">MAX(IF((DiscreteStatsTable[GroupByKey]=DiscreteStatsTable[[#This Row],[GroupByKey]]),(DiscreteStatsTable[GroupByKey]=DiscreteStatsTable[[#This Row],[GroupByKey]])*DiscreteStatsTable[Maximum]))</f>
        <v>18.396198344222</v>
      </c>
      <c r="V796" s="5" cm="1">
        <f t="array" ref="V796">IFERROR(AVERAGE(IF((DiscreteStatsTable[GroupByKey]=DiscreteStatsTable[[#This Row],[GroupByKey]]),(DiscreteStatsTable[GroupByKey]=DiscreteStatsTable[[#This Row],[GroupByKey]])*DiscreteStatsTable[NumberObservations])),0)</f>
        <v>3.625</v>
      </c>
      <c r="W796" s="5">
        <f>IF((DiscreteStatsTable[[#This Row],[RepsRequested]]&gt;1),DiscreteStatsTable[[#This Row],[HalfWidth]],DiscreteStatsTable[[#This Row],[BatchMeansHalfWidth]])</f>
        <v>0.94579620909031992</v>
      </c>
      <c r="X796" s="5" cm="1">
        <f t="array" ref="X796">COUNT(IF((DiscreteStatsTable[GroupByKey]=DiscreteStatsTable[[#This Row],[GroupByKey]]),(DiscreteStatsTable[GroupByKey]=DiscreteStatsTable[[#This Row],[GroupByKey]])*DiscreteStatsTable[Replication]))</f>
        <v>16</v>
      </c>
      <c r="Y796" s="5">
        <f>IF(DiscreteStatsTable[[#This Row],[RepsRequested]]=DiscreteStatsTable[[#This Row],[RepsWithStatObserved]],1,0)</f>
        <v>0</v>
      </c>
    </row>
    <row r="797" spans="1:25" x14ac:dyDescent="0.25">
      <c r="A797" t="s">
        <v>67</v>
      </c>
      <c r="B797" t="s">
        <v>69</v>
      </c>
      <c r="C797">
        <v>1</v>
      </c>
      <c r="D797" t="s">
        <v>113</v>
      </c>
      <c r="E797" t="s">
        <v>107</v>
      </c>
      <c r="F797" t="s">
        <v>80</v>
      </c>
      <c r="G797">
        <v>25.148497784008899</v>
      </c>
      <c r="H797">
        <v>2E+20</v>
      </c>
      <c r="I797">
        <v>18.0154143184335</v>
      </c>
      <c r="J797">
        <v>32.281581249584399</v>
      </c>
      <c r="K797">
        <v>2</v>
      </c>
      <c r="L79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compartida)TiempoEnSistemaNoMesaCantProd5IntervalUser Specified</v>
      </c>
      <c r="M797" s="5" cm="1">
        <f t="array" ref="M797">MAX(IF((ProjectInfoTable[ProjectName]=DiscreteStatsTable[[#This Row],[ProjectName]]),(ProjectInfoTable[ProjectName]=DiscreteStatsTable[[#This Row],[ProjectName]])*ProjectInfoTable[NumberOfReplications]))</f>
        <v>19</v>
      </c>
      <c r="N797" s="5" cm="1">
        <f t="array" ref="N797">IFERROR(AVERAGE(IF((DiscreteStatsTable[GroupByKey]=DiscreteStatsTable[[#This Row],[GroupByKey]]),(DiscreteStatsTable[GroupByKey]=DiscreteStatsTable[[#This Row],[GroupByKey]])*DiscreteStatsTable[Average])),0)</f>
        <v>7.0194841526840355</v>
      </c>
      <c r="O797" s="5" cm="1">
        <f t="array" ref="O797">IFERROR(_xlfn.STDEV.S(IF((DiscreteStatsTable[GroupByKey]=DiscreteStatsTable[[#This Row],[GroupByKey]]),(DiscreteStatsTable[GroupByKey]=DiscreteStatsTable[[#This Row],[GroupByKey]])*DiscreteStatsTable[Average])),0)</f>
        <v>5.8860452071458917</v>
      </c>
      <c r="P797" s="5" cm="1">
        <f t="array" ref="P797">MAX(IF((ProjectInfoTable[ProjectName]=DiscreteStatsTable[[#This Row],[ProjectName]]),(ProjectInfoTable[ProjectName]=DiscreteStatsTable[[#This Row],[ProjectName]])*ProjectInfoTable[ConfidenceInterval]))</f>
        <v>0.95</v>
      </c>
      <c r="Q797" s="5">
        <f>IF(AND(DiscreteStatsTable[[#This Row],[RepsWithStatObserved]]=1,Y797=0),200000000000000000000,IFERROR(_xlfn.T.INV.2T(1 -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3.5569015203314231</v>
      </c>
      <c r="R797" s="5" cm="1">
        <f t="array" ref="R797">MIN(IF((DiscreteStatsTable[GroupByKey]=DiscreteStatsTable[[#This Row],[GroupByKey]]),(DiscreteStatsTable[GroupByKey]=DiscreteStatsTable[[#This Row],[GroupByKey]])*DiscreteStatsTable[Average]))</f>
        <v>2.3433217689368999</v>
      </c>
      <c r="S797" s="5" cm="1">
        <f t="array" ref="S797">MAX(IF((DiscreteStatsTable[GroupByKey]=DiscreteStatsTable[[#This Row],[GroupByKey]]),(DiscreteStatsTable[GroupByKey]=DiscreteStatsTable[[#This Row],[GroupByKey]])*DiscreteStatsTable[Average]))</f>
        <v>25.148497784008899</v>
      </c>
      <c r="T797" s="5" cm="1">
        <f t="array" ref="T797">MIN(IF((DiscreteStatsTable[GroupByKey]=DiscreteStatsTable[[#This Row],[GroupByKey]]),(DiscreteStatsTable[GroupByKey]=DiscreteStatsTable[[#This Row],[GroupByKey]])*DiscreteStatsTable[Minimum]))</f>
        <v>2.3433217689368999</v>
      </c>
      <c r="U797" s="5" cm="1">
        <f t="array" ref="U797">MAX(IF((DiscreteStatsTable[GroupByKey]=DiscreteStatsTable[[#This Row],[GroupByKey]]),(DiscreteStatsTable[GroupByKey]=DiscreteStatsTable[[#This Row],[GroupByKey]])*DiscreteStatsTable[Maximum]))</f>
        <v>32.281581249584399</v>
      </c>
      <c r="V797" s="5" cm="1">
        <f t="array" ref="V797">IFERROR(AVERAGE(IF((DiscreteStatsTable[GroupByKey]=DiscreteStatsTable[[#This Row],[GroupByKey]]),(DiscreteStatsTable[GroupByKey]=DiscreteStatsTable[[#This Row],[GroupByKey]])*DiscreteStatsTable[NumberObservations])),0)</f>
        <v>1.7692307692307692</v>
      </c>
      <c r="W797" s="5">
        <f>IF((DiscreteStatsTable[[#This Row],[RepsRequested]]&gt;1),DiscreteStatsTable[[#This Row],[HalfWidth]],DiscreteStatsTable[[#This Row],[BatchMeansHalfWidth]])</f>
        <v>3.5569015203314231</v>
      </c>
      <c r="X797" s="5" cm="1">
        <f t="array" ref="X797">COUNT(IF((DiscreteStatsTable[GroupByKey]=DiscreteStatsTable[[#This Row],[GroupByKey]]),(DiscreteStatsTable[GroupByKey]=DiscreteStatsTable[[#This Row],[GroupByKey]])*DiscreteStatsTable[Replication]))</f>
        <v>13</v>
      </c>
      <c r="Y797" s="5">
        <f>IF(DiscreteStatsTable[[#This Row],[RepsRequested]]=DiscreteStatsTable[[#This Row],[RepsWithStatObserved]],1,0)</f>
        <v>0</v>
      </c>
    </row>
    <row r="798" spans="1:25" x14ac:dyDescent="0.25">
      <c r="A798" t="s">
        <v>67</v>
      </c>
      <c r="B798" t="s">
        <v>69</v>
      </c>
      <c r="C798">
        <v>2</v>
      </c>
      <c r="D798" t="s">
        <v>113</v>
      </c>
      <c r="E798" t="s">
        <v>107</v>
      </c>
      <c r="F798" t="s">
        <v>80</v>
      </c>
      <c r="G798">
        <v>6.0350846342714703</v>
      </c>
      <c r="H798">
        <v>2E+20</v>
      </c>
      <c r="I798">
        <v>6.0350846342714703</v>
      </c>
      <c r="J798">
        <v>6.0350846342714703</v>
      </c>
      <c r="K798">
        <v>1</v>
      </c>
      <c r="L79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compartida)TiempoEnSistemaNoMesaCantProd5IntervalUser Specified</v>
      </c>
      <c r="M798" s="5" cm="1">
        <f t="array" ref="M798">MAX(IF((ProjectInfoTable[ProjectName]=DiscreteStatsTable[[#This Row],[ProjectName]]),(ProjectInfoTable[ProjectName]=DiscreteStatsTable[[#This Row],[ProjectName]])*ProjectInfoTable[NumberOfReplications]))</f>
        <v>19</v>
      </c>
      <c r="N798" s="5" cm="1">
        <f t="array" ref="N798">IFERROR(AVERAGE(IF((DiscreteStatsTable[GroupByKey]=DiscreteStatsTable[[#This Row],[GroupByKey]]),(DiscreteStatsTable[GroupByKey]=DiscreteStatsTable[[#This Row],[GroupByKey]])*DiscreteStatsTable[Average])),0)</f>
        <v>7.0194841526840355</v>
      </c>
      <c r="O798" s="5" cm="1">
        <f t="array" ref="O798">IFERROR(_xlfn.STDEV.S(IF((DiscreteStatsTable[GroupByKey]=DiscreteStatsTable[[#This Row],[GroupByKey]]),(DiscreteStatsTable[GroupByKey]=DiscreteStatsTable[[#This Row],[GroupByKey]])*DiscreteStatsTable[Average])),0)</f>
        <v>5.8860452071458917</v>
      </c>
      <c r="P798" s="5" cm="1">
        <f t="array" ref="P798">MAX(IF((ProjectInfoTable[ProjectName]=DiscreteStatsTable[[#This Row],[ProjectName]]),(ProjectInfoTable[ProjectName]=DiscreteStatsTable[[#This Row],[ProjectName]])*ProjectInfoTable[ConfidenceInterval]))</f>
        <v>0.95</v>
      </c>
      <c r="Q798" s="5">
        <f>IF(AND(DiscreteStatsTable[[#This Row],[RepsWithStatObserved]]=1,Y798=0),200000000000000000000,IFERROR(_xlfn.T.INV.2T(1 -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3.5569015203314231</v>
      </c>
      <c r="R798" s="5" cm="1">
        <f t="array" ref="R798">MIN(IF((DiscreteStatsTable[GroupByKey]=DiscreteStatsTable[[#This Row],[GroupByKey]]),(DiscreteStatsTable[GroupByKey]=DiscreteStatsTable[[#This Row],[GroupByKey]])*DiscreteStatsTable[Average]))</f>
        <v>2.3433217689368999</v>
      </c>
      <c r="S798" s="5" cm="1">
        <f t="array" ref="S798">MAX(IF((DiscreteStatsTable[GroupByKey]=DiscreteStatsTable[[#This Row],[GroupByKey]]),(DiscreteStatsTable[GroupByKey]=DiscreteStatsTable[[#This Row],[GroupByKey]])*DiscreteStatsTable[Average]))</f>
        <v>25.148497784008899</v>
      </c>
      <c r="T798" s="5" cm="1">
        <f t="array" ref="T798">MIN(IF((DiscreteStatsTable[GroupByKey]=DiscreteStatsTable[[#This Row],[GroupByKey]]),(DiscreteStatsTable[GroupByKey]=DiscreteStatsTable[[#This Row],[GroupByKey]])*DiscreteStatsTable[Minimum]))</f>
        <v>2.3433217689368999</v>
      </c>
      <c r="U798" s="5" cm="1">
        <f t="array" ref="U798">MAX(IF((DiscreteStatsTable[GroupByKey]=DiscreteStatsTable[[#This Row],[GroupByKey]]),(DiscreteStatsTable[GroupByKey]=DiscreteStatsTable[[#This Row],[GroupByKey]])*DiscreteStatsTable[Maximum]))</f>
        <v>32.281581249584399</v>
      </c>
      <c r="V798" s="5" cm="1">
        <f t="array" ref="V798">IFERROR(AVERAGE(IF((DiscreteStatsTable[GroupByKey]=DiscreteStatsTable[[#This Row],[GroupByKey]]),(DiscreteStatsTable[GroupByKey]=DiscreteStatsTable[[#This Row],[GroupByKey]])*DiscreteStatsTable[NumberObservations])),0)</f>
        <v>1.7692307692307692</v>
      </c>
      <c r="W798" s="5">
        <f>IF((DiscreteStatsTable[[#This Row],[RepsRequested]]&gt;1),DiscreteStatsTable[[#This Row],[HalfWidth]],DiscreteStatsTable[[#This Row],[BatchMeansHalfWidth]])</f>
        <v>3.5569015203314231</v>
      </c>
      <c r="X798" s="5" cm="1">
        <f t="array" ref="X798">COUNT(IF((DiscreteStatsTable[GroupByKey]=DiscreteStatsTable[[#This Row],[GroupByKey]]),(DiscreteStatsTable[GroupByKey]=DiscreteStatsTable[[#This Row],[GroupByKey]])*DiscreteStatsTable[Replication]))</f>
        <v>13</v>
      </c>
      <c r="Y798" s="5">
        <f>IF(DiscreteStatsTable[[#This Row],[RepsRequested]]=DiscreteStatsTable[[#This Row],[RepsWithStatObserved]],1,0)</f>
        <v>0</v>
      </c>
    </row>
    <row r="799" spans="1:25" x14ac:dyDescent="0.25">
      <c r="A799" t="s">
        <v>67</v>
      </c>
      <c r="B799" t="s">
        <v>69</v>
      </c>
      <c r="C799">
        <v>3</v>
      </c>
      <c r="D799" t="s">
        <v>113</v>
      </c>
      <c r="E799" t="s">
        <v>107</v>
      </c>
      <c r="F799" t="s">
        <v>80</v>
      </c>
      <c r="G799">
        <v>8.9354482133871294</v>
      </c>
      <c r="H799">
        <v>2E+20</v>
      </c>
      <c r="I799">
        <v>8.9354482133871294</v>
      </c>
      <c r="J799">
        <v>8.9354482133871294</v>
      </c>
      <c r="K799">
        <v>1</v>
      </c>
      <c r="L79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compartida)TiempoEnSistemaNoMesaCantProd5IntervalUser Specified</v>
      </c>
      <c r="M799" s="5" cm="1">
        <f t="array" ref="M799">MAX(IF((ProjectInfoTable[ProjectName]=DiscreteStatsTable[[#This Row],[ProjectName]]),(ProjectInfoTable[ProjectName]=DiscreteStatsTable[[#This Row],[ProjectName]])*ProjectInfoTable[NumberOfReplications]))</f>
        <v>19</v>
      </c>
      <c r="N799" s="5" cm="1">
        <f t="array" ref="N799">IFERROR(AVERAGE(IF((DiscreteStatsTable[GroupByKey]=DiscreteStatsTable[[#This Row],[GroupByKey]]),(DiscreteStatsTable[GroupByKey]=DiscreteStatsTable[[#This Row],[GroupByKey]])*DiscreteStatsTable[Average])),0)</f>
        <v>7.0194841526840355</v>
      </c>
      <c r="O799" s="5" cm="1">
        <f t="array" ref="O799">IFERROR(_xlfn.STDEV.S(IF((DiscreteStatsTable[GroupByKey]=DiscreteStatsTable[[#This Row],[GroupByKey]]),(DiscreteStatsTable[GroupByKey]=DiscreteStatsTable[[#This Row],[GroupByKey]])*DiscreteStatsTable[Average])),0)</f>
        <v>5.8860452071458917</v>
      </c>
      <c r="P799" s="5" cm="1">
        <f t="array" ref="P799">MAX(IF((ProjectInfoTable[ProjectName]=DiscreteStatsTable[[#This Row],[ProjectName]]),(ProjectInfoTable[ProjectName]=DiscreteStatsTable[[#This Row],[ProjectName]])*ProjectInfoTable[ConfidenceInterval]))</f>
        <v>0.95</v>
      </c>
      <c r="Q799" s="5">
        <f>IF(AND(DiscreteStatsTable[[#This Row],[RepsWithStatObserved]]=1,Y799=0),200000000000000000000,IFERROR(_xlfn.T.INV.2T(1 -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3.5569015203314231</v>
      </c>
      <c r="R799" s="5" cm="1">
        <f t="array" ref="R799">MIN(IF((DiscreteStatsTable[GroupByKey]=DiscreteStatsTable[[#This Row],[GroupByKey]]),(DiscreteStatsTable[GroupByKey]=DiscreteStatsTable[[#This Row],[GroupByKey]])*DiscreteStatsTable[Average]))</f>
        <v>2.3433217689368999</v>
      </c>
      <c r="S799" s="5" cm="1">
        <f t="array" ref="S799">MAX(IF((DiscreteStatsTable[GroupByKey]=DiscreteStatsTable[[#This Row],[GroupByKey]]),(DiscreteStatsTable[GroupByKey]=DiscreteStatsTable[[#This Row],[GroupByKey]])*DiscreteStatsTable[Average]))</f>
        <v>25.148497784008899</v>
      </c>
      <c r="T799" s="5" cm="1">
        <f t="array" ref="T799">MIN(IF((DiscreteStatsTable[GroupByKey]=DiscreteStatsTable[[#This Row],[GroupByKey]]),(DiscreteStatsTable[GroupByKey]=DiscreteStatsTable[[#This Row],[GroupByKey]])*DiscreteStatsTable[Minimum]))</f>
        <v>2.3433217689368999</v>
      </c>
      <c r="U799" s="5" cm="1">
        <f t="array" ref="U799">MAX(IF((DiscreteStatsTable[GroupByKey]=DiscreteStatsTable[[#This Row],[GroupByKey]]),(DiscreteStatsTable[GroupByKey]=DiscreteStatsTable[[#This Row],[GroupByKey]])*DiscreteStatsTable[Maximum]))</f>
        <v>32.281581249584399</v>
      </c>
      <c r="V799" s="5" cm="1">
        <f t="array" ref="V799">IFERROR(AVERAGE(IF((DiscreteStatsTable[GroupByKey]=DiscreteStatsTable[[#This Row],[GroupByKey]]),(DiscreteStatsTable[GroupByKey]=DiscreteStatsTable[[#This Row],[GroupByKey]])*DiscreteStatsTable[NumberObservations])),0)</f>
        <v>1.7692307692307692</v>
      </c>
      <c r="W799" s="5">
        <f>IF((DiscreteStatsTable[[#This Row],[RepsRequested]]&gt;1),DiscreteStatsTable[[#This Row],[HalfWidth]],DiscreteStatsTable[[#This Row],[BatchMeansHalfWidth]])</f>
        <v>3.5569015203314231</v>
      </c>
      <c r="X799" s="5" cm="1">
        <f t="array" ref="X799">COUNT(IF((DiscreteStatsTable[GroupByKey]=DiscreteStatsTable[[#This Row],[GroupByKey]]),(DiscreteStatsTable[GroupByKey]=DiscreteStatsTable[[#This Row],[GroupByKey]])*DiscreteStatsTable[Replication]))</f>
        <v>13</v>
      </c>
      <c r="Y799" s="5">
        <f>IF(DiscreteStatsTable[[#This Row],[RepsRequested]]=DiscreteStatsTable[[#This Row],[RepsWithStatObserved]],1,0)</f>
        <v>0</v>
      </c>
    </row>
    <row r="800" spans="1:25" x14ac:dyDescent="0.25">
      <c r="A800" t="s">
        <v>67</v>
      </c>
      <c r="B800" t="s">
        <v>69</v>
      </c>
      <c r="C800">
        <v>5</v>
      </c>
      <c r="D800" t="s">
        <v>113</v>
      </c>
      <c r="E800" t="s">
        <v>107</v>
      </c>
      <c r="F800" t="s">
        <v>80</v>
      </c>
      <c r="G800">
        <v>6.3541123145293597</v>
      </c>
      <c r="H800">
        <v>2E+20</v>
      </c>
      <c r="I800">
        <v>6.3541123145293597</v>
      </c>
      <c r="J800">
        <v>6.3541123145293597</v>
      </c>
      <c r="K800">
        <v>1</v>
      </c>
      <c r="L80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compartida)TiempoEnSistemaNoMesaCantProd5IntervalUser Specified</v>
      </c>
      <c r="M800" s="5" cm="1">
        <f t="array" ref="M800">MAX(IF((ProjectInfoTable[ProjectName]=DiscreteStatsTable[[#This Row],[ProjectName]]),(ProjectInfoTable[ProjectName]=DiscreteStatsTable[[#This Row],[ProjectName]])*ProjectInfoTable[NumberOfReplications]))</f>
        <v>19</v>
      </c>
      <c r="N800" s="5" cm="1">
        <f t="array" ref="N800">IFERROR(AVERAGE(IF((DiscreteStatsTable[GroupByKey]=DiscreteStatsTable[[#This Row],[GroupByKey]]),(DiscreteStatsTable[GroupByKey]=DiscreteStatsTable[[#This Row],[GroupByKey]])*DiscreteStatsTable[Average])),0)</f>
        <v>7.0194841526840355</v>
      </c>
      <c r="O800" s="5" cm="1">
        <f t="array" ref="O800">IFERROR(_xlfn.STDEV.S(IF((DiscreteStatsTable[GroupByKey]=DiscreteStatsTable[[#This Row],[GroupByKey]]),(DiscreteStatsTable[GroupByKey]=DiscreteStatsTable[[#This Row],[GroupByKey]])*DiscreteStatsTable[Average])),0)</f>
        <v>5.8860452071458917</v>
      </c>
      <c r="P800" s="5" cm="1">
        <f t="array" ref="P800">MAX(IF((ProjectInfoTable[ProjectName]=DiscreteStatsTable[[#This Row],[ProjectName]]),(ProjectInfoTable[ProjectName]=DiscreteStatsTable[[#This Row],[ProjectName]])*ProjectInfoTable[ConfidenceInterval]))</f>
        <v>0.95</v>
      </c>
      <c r="Q800" s="5">
        <f>IF(AND(DiscreteStatsTable[[#This Row],[RepsWithStatObserved]]=1,Y800=0),200000000000000000000,IFERROR(_xlfn.T.INV.2T(1 -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3.5569015203314231</v>
      </c>
      <c r="R800" s="5" cm="1">
        <f t="array" ref="R800">MIN(IF((DiscreteStatsTable[GroupByKey]=DiscreteStatsTable[[#This Row],[GroupByKey]]),(DiscreteStatsTable[GroupByKey]=DiscreteStatsTable[[#This Row],[GroupByKey]])*DiscreteStatsTable[Average]))</f>
        <v>2.3433217689368999</v>
      </c>
      <c r="S800" s="5" cm="1">
        <f t="array" ref="S800">MAX(IF((DiscreteStatsTable[GroupByKey]=DiscreteStatsTable[[#This Row],[GroupByKey]]),(DiscreteStatsTable[GroupByKey]=DiscreteStatsTable[[#This Row],[GroupByKey]])*DiscreteStatsTable[Average]))</f>
        <v>25.148497784008899</v>
      </c>
      <c r="T800" s="5" cm="1">
        <f t="array" ref="T800">MIN(IF((DiscreteStatsTable[GroupByKey]=DiscreteStatsTable[[#This Row],[GroupByKey]]),(DiscreteStatsTable[GroupByKey]=DiscreteStatsTable[[#This Row],[GroupByKey]])*DiscreteStatsTable[Minimum]))</f>
        <v>2.3433217689368999</v>
      </c>
      <c r="U800" s="5" cm="1">
        <f t="array" ref="U800">MAX(IF((DiscreteStatsTable[GroupByKey]=DiscreteStatsTable[[#This Row],[GroupByKey]]),(DiscreteStatsTable[GroupByKey]=DiscreteStatsTable[[#This Row],[GroupByKey]])*DiscreteStatsTable[Maximum]))</f>
        <v>32.281581249584399</v>
      </c>
      <c r="V800" s="5" cm="1">
        <f t="array" ref="V800">IFERROR(AVERAGE(IF((DiscreteStatsTable[GroupByKey]=DiscreteStatsTable[[#This Row],[GroupByKey]]),(DiscreteStatsTable[GroupByKey]=DiscreteStatsTable[[#This Row],[GroupByKey]])*DiscreteStatsTable[NumberObservations])),0)</f>
        <v>1.7692307692307692</v>
      </c>
      <c r="W800" s="5">
        <f>IF((DiscreteStatsTable[[#This Row],[RepsRequested]]&gt;1),DiscreteStatsTable[[#This Row],[HalfWidth]],DiscreteStatsTable[[#This Row],[BatchMeansHalfWidth]])</f>
        <v>3.5569015203314231</v>
      </c>
      <c r="X800" s="5" cm="1">
        <f t="array" ref="X800">COUNT(IF((DiscreteStatsTable[GroupByKey]=DiscreteStatsTable[[#This Row],[GroupByKey]]),(DiscreteStatsTable[GroupByKey]=DiscreteStatsTable[[#This Row],[GroupByKey]])*DiscreteStatsTable[Replication]))</f>
        <v>13</v>
      </c>
      <c r="Y800" s="5">
        <f>IF(DiscreteStatsTable[[#This Row],[RepsRequested]]=DiscreteStatsTable[[#This Row],[RepsWithStatObserved]],1,0)</f>
        <v>0</v>
      </c>
    </row>
    <row r="801" spans="1:25" x14ac:dyDescent="0.25">
      <c r="A801" t="s">
        <v>67</v>
      </c>
      <c r="B801" t="s">
        <v>69</v>
      </c>
      <c r="C801">
        <v>7</v>
      </c>
      <c r="D801" t="s">
        <v>113</v>
      </c>
      <c r="E801" t="s">
        <v>107</v>
      </c>
      <c r="F801" t="s">
        <v>80</v>
      </c>
      <c r="G801">
        <v>4.2317408414065198</v>
      </c>
      <c r="H801">
        <v>2E+20</v>
      </c>
      <c r="I801">
        <v>4.2317408414065198</v>
      </c>
      <c r="J801">
        <v>4.2317408414065198</v>
      </c>
      <c r="K801">
        <v>1</v>
      </c>
      <c r="L80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compartida)TiempoEnSistemaNoMesaCantProd5IntervalUser Specified</v>
      </c>
      <c r="M801" s="5" cm="1">
        <f t="array" ref="M801">MAX(IF((ProjectInfoTable[ProjectName]=DiscreteStatsTable[[#This Row],[ProjectName]]),(ProjectInfoTable[ProjectName]=DiscreteStatsTable[[#This Row],[ProjectName]])*ProjectInfoTable[NumberOfReplications]))</f>
        <v>19</v>
      </c>
      <c r="N801" s="5" cm="1">
        <f t="array" ref="N801">IFERROR(AVERAGE(IF((DiscreteStatsTable[GroupByKey]=DiscreteStatsTable[[#This Row],[GroupByKey]]),(DiscreteStatsTable[GroupByKey]=DiscreteStatsTable[[#This Row],[GroupByKey]])*DiscreteStatsTable[Average])),0)</f>
        <v>7.0194841526840355</v>
      </c>
      <c r="O801" s="5" cm="1">
        <f t="array" ref="O801">IFERROR(_xlfn.STDEV.S(IF((DiscreteStatsTable[GroupByKey]=DiscreteStatsTable[[#This Row],[GroupByKey]]),(DiscreteStatsTable[GroupByKey]=DiscreteStatsTable[[#This Row],[GroupByKey]])*DiscreteStatsTable[Average])),0)</f>
        <v>5.8860452071458917</v>
      </c>
      <c r="P801" s="5" cm="1">
        <f t="array" ref="P801">MAX(IF((ProjectInfoTable[ProjectName]=DiscreteStatsTable[[#This Row],[ProjectName]]),(ProjectInfoTable[ProjectName]=DiscreteStatsTable[[#This Row],[ProjectName]])*ProjectInfoTable[ConfidenceInterval]))</f>
        <v>0.95</v>
      </c>
      <c r="Q801" s="5">
        <f>IF(AND(DiscreteStatsTable[[#This Row],[RepsWithStatObserved]]=1,Y801=0),200000000000000000000,IFERROR(_xlfn.T.INV.2T(1 -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3.5569015203314231</v>
      </c>
      <c r="R801" s="5" cm="1">
        <f t="array" ref="R801">MIN(IF((DiscreteStatsTable[GroupByKey]=DiscreteStatsTable[[#This Row],[GroupByKey]]),(DiscreteStatsTable[GroupByKey]=DiscreteStatsTable[[#This Row],[GroupByKey]])*DiscreteStatsTable[Average]))</f>
        <v>2.3433217689368999</v>
      </c>
      <c r="S801" s="5" cm="1">
        <f t="array" ref="S801">MAX(IF((DiscreteStatsTable[GroupByKey]=DiscreteStatsTable[[#This Row],[GroupByKey]]),(DiscreteStatsTable[GroupByKey]=DiscreteStatsTable[[#This Row],[GroupByKey]])*DiscreteStatsTable[Average]))</f>
        <v>25.148497784008899</v>
      </c>
      <c r="T801" s="5" cm="1">
        <f t="array" ref="T801">MIN(IF((DiscreteStatsTable[GroupByKey]=DiscreteStatsTable[[#This Row],[GroupByKey]]),(DiscreteStatsTable[GroupByKey]=DiscreteStatsTable[[#This Row],[GroupByKey]])*DiscreteStatsTable[Minimum]))</f>
        <v>2.3433217689368999</v>
      </c>
      <c r="U801" s="5" cm="1">
        <f t="array" ref="U801">MAX(IF((DiscreteStatsTable[GroupByKey]=DiscreteStatsTable[[#This Row],[GroupByKey]]),(DiscreteStatsTable[GroupByKey]=DiscreteStatsTable[[#This Row],[GroupByKey]])*DiscreteStatsTable[Maximum]))</f>
        <v>32.281581249584399</v>
      </c>
      <c r="V801" s="5" cm="1">
        <f t="array" ref="V801">IFERROR(AVERAGE(IF((DiscreteStatsTable[GroupByKey]=DiscreteStatsTable[[#This Row],[GroupByKey]]),(DiscreteStatsTable[GroupByKey]=DiscreteStatsTable[[#This Row],[GroupByKey]])*DiscreteStatsTable[NumberObservations])),0)</f>
        <v>1.7692307692307692</v>
      </c>
      <c r="W801" s="5">
        <f>IF((DiscreteStatsTable[[#This Row],[RepsRequested]]&gt;1),DiscreteStatsTable[[#This Row],[HalfWidth]],DiscreteStatsTable[[#This Row],[BatchMeansHalfWidth]])</f>
        <v>3.5569015203314231</v>
      </c>
      <c r="X801" s="5" cm="1">
        <f t="array" ref="X801">COUNT(IF((DiscreteStatsTable[GroupByKey]=DiscreteStatsTable[[#This Row],[GroupByKey]]),(DiscreteStatsTable[GroupByKey]=DiscreteStatsTable[[#This Row],[GroupByKey]])*DiscreteStatsTable[Replication]))</f>
        <v>13</v>
      </c>
      <c r="Y801" s="5">
        <f>IF(DiscreteStatsTable[[#This Row],[RepsRequested]]=DiscreteStatsTable[[#This Row],[RepsWithStatObserved]],1,0)</f>
        <v>0</v>
      </c>
    </row>
    <row r="802" spans="1:25" x14ac:dyDescent="0.25">
      <c r="A802" t="s">
        <v>67</v>
      </c>
      <c r="B802" t="s">
        <v>69</v>
      </c>
      <c r="C802">
        <v>8</v>
      </c>
      <c r="D802" t="s">
        <v>113</v>
      </c>
      <c r="E802" t="s">
        <v>107</v>
      </c>
      <c r="F802" t="s">
        <v>80</v>
      </c>
      <c r="G802">
        <v>4.1384346945717301</v>
      </c>
      <c r="H802">
        <v>2E+20</v>
      </c>
      <c r="I802">
        <v>3.9413865674823101</v>
      </c>
      <c r="J802">
        <v>4.3354828216611496</v>
      </c>
      <c r="K802">
        <v>2</v>
      </c>
      <c r="L80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compartida)TiempoEnSistemaNoMesaCantProd5IntervalUser Specified</v>
      </c>
      <c r="M802" s="5" cm="1">
        <f t="array" ref="M802">MAX(IF((ProjectInfoTable[ProjectName]=DiscreteStatsTable[[#This Row],[ProjectName]]),(ProjectInfoTable[ProjectName]=DiscreteStatsTable[[#This Row],[ProjectName]])*ProjectInfoTable[NumberOfReplications]))</f>
        <v>19</v>
      </c>
      <c r="N802" s="5" cm="1">
        <f t="array" ref="N802">IFERROR(AVERAGE(IF((DiscreteStatsTable[GroupByKey]=DiscreteStatsTable[[#This Row],[GroupByKey]]),(DiscreteStatsTable[GroupByKey]=DiscreteStatsTable[[#This Row],[GroupByKey]])*DiscreteStatsTable[Average])),0)</f>
        <v>7.0194841526840355</v>
      </c>
      <c r="O802" s="5" cm="1">
        <f t="array" ref="O802">IFERROR(_xlfn.STDEV.S(IF((DiscreteStatsTable[GroupByKey]=DiscreteStatsTable[[#This Row],[GroupByKey]]),(DiscreteStatsTable[GroupByKey]=DiscreteStatsTable[[#This Row],[GroupByKey]])*DiscreteStatsTable[Average])),0)</f>
        <v>5.8860452071458917</v>
      </c>
      <c r="P802" s="5" cm="1">
        <f t="array" ref="P802">MAX(IF((ProjectInfoTable[ProjectName]=DiscreteStatsTable[[#This Row],[ProjectName]]),(ProjectInfoTable[ProjectName]=DiscreteStatsTable[[#This Row],[ProjectName]])*ProjectInfoTable[ConfidenceInterval]))</f>
        <v>0.95</v>
      </c>
      <c r="Q802" s="5">
        <f>IF(AND(DiscreteStatsTable[[#This Row],[RepsWithStatObserved]]=1,Y802=0),200000000000000000000,IFERROR(_xlfn.T.INV.2T(1 -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3.5569015203314231</v>
      </c>
      <c r="R802" s="5" cm="1">
        <f t="array" ref="R802">MIN(IF((DiscreteStatsTable[GroupByKey]=DiscreteStatsTable[[#This Row],[GroupByKey]]),(DiscreteStatsTable[GroupByKey]=DiscreteStatsTable[[#This Row],[GroupByKey]])*DiscreteStatsTable[Average]))</f>
        <v>2.3433217689368999</v>
      </c>
      <c r="S802" s="5" cm="1">
        <f t="array" ref="S802">MAX(IF((DiscreteStatsTable[GroupByKey]=DiscreteStatsTable[[#This Row],[GroupByKey]]),(DiscreteStatsTable[GroupByKey]=DiscreteStatsTable[[#This Row],[GroupByKey]])*DiscreteStatsTable[Average]))</f>
        <v>25.148497784008899</v>
      </c>
      <c r="T802" s="5" cm="1">
        <f t="array" ref="T802">MIN(IF((DiscreteStatsTable[GroupByKey]=DiscreteStatsTable[[#This Row],[GroupByKey]]),(DiscreteStatsTable[GroupByKey]=DiscreteStatsTable[[#This Row],[GroupByKey]])*DiscreteStatsTable[Minimum]))</f>
        <v>2.3433217689368999</v>
      </c>
      <c r="U802" s="5" cm="1">
        <f t="array" ref="U802">MAX(IF((DiscreteStatsTable[GroupByKey]=DiscreteStatsTable[[#This Row],[GroupByKey]]),(DiscreteStatsTable[GroupByKey]=DiscreteStatsTable[[#This Row],[GroupByKey]])*DiscreteStatsTable[Maximum]))</f>
        <v>32.281581249584399</v>
      </c>
      <c r="V802" s="5" cm="1">
        <f t="array" ref="V802">IFERROR(AVERAGE(IF((DiscreteStatsTable[GroupByKey]=DiscreteStatsTable[[#This Row],[GroupByKey]]),(DiscreteStatsTable[GroupByKey]=DiscreteStatsTable[[#This Row],[GroupByKey]])*DiscreteStatsTable[NumberObservations])),0)</f>
        <v>1.7692307692307692</v>
      </c>
      <c r="W802" s="5">
        <f>IF((DiscreteStatsTable[[#This Row],[RepsRequested]]&gt;1),DiscreteStatsTable[[#This Row],[HalfWidth]],DiscreteStatsTable[[#This Row],[BatchMeansHalfWidth]])</f>
        <v>3.5569015203314231</v>
      </c>
      <c r="X802" s="5" cm="1">
        <f t="array" ref="X802">COUNT(IF((DiscreteStatsTable[GroupByKey]=DiscreteStatsTable[[#This Row],[GroupByKey]]),(DiscreteStatsTable[GroupByKey]=DiscreteStatsTable[[#This Row],[GroupByKey]])*DiscreteStatsTable[Replication]))</f>
        <v>13</v>
      </c>
      <c r="Y802" s="5">
        <f>IF(DiscreteStatsTable[[#This Row],[RepsRequested]]=DiscreteStatsTable[[#This Row],[RepsWithStatObserved]],1,0)</f>
        <v>0</v>
      </c>
    </row>
    <row r="803" spans="1:25" x14ac:dyDescent="0.25">
      <c r="A803" t="s">
        <v>67</v>
      </c>
      <c r="B803" t="s">
        <v>69</v>
      </c>
      <c r="C803">
        <v>10</v>
      </c>
      <c r="D803" t="s">
        <v>113</v>
      </c>
      <c r="E803" t="s">
        <v>107</v>
      </c>
      <c r="F803" t="s">
        <v>80</v>
      </c>
      <c r="G803">
        <v>5.3169674564929297</v>
      </c>
      <c r="H803">
        <v>2E+20</v>
      </c>
      <c r="I803">
        <v>5.3169674564929297</v>
      </c>
      <c r="J803">
        <v>5.3169674564929297</v>
      </c>
      <c r="K803">
        <v>1</v>
      </c>
      <c r="L80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compartida)TiempoEnSistemaNoMesaCantProd5IntervalUser Specified</v>
      </c>
      <c r="M803" s="5" cm="1">
        <f t="array" ref="M803">MAX(IF((ProjectInfoTable[ProjectName]=DiscreteStatsTable[[#This Row],[ProjectName]]),(ProjectInfoTable[ProjectName]=DiscreteStatsTable[[#This Row],[ProjectName]])*ProjectInfoTable[NumberOfReplications]))</f>
        <v>19</v>
      </c>
      <c r="N803" s="5" cm="1">
        <f t="array" ref="N803">IFERROR(AVERAGE(IF((DiscreteStatsTable[GroupByKey]=DiscreteStatsTable[[#This Row],[GroupByKey]]),(DiscreteStatsTable[GroupByKey]=DiscreteStatsTable[[#This Row],[GroupByKey]])*DiscreteStatsTable[Average])),0)</f>
        <v>7.0194841526840355</v>
      </c>
      <c r="O803" s="5" cm="1">
        <f t="array" ref="O803">IFERROR(_xlfn.STDEV.S(IF((DiscreteStatsTable[GroupByKey]=DiscreteStatsTable[[#This Row],[GroupByKey]]),(DiscreteStatsTable[GroupByKey]=DiscreteStatsTable[[#This Row],[GroupByKey]])*DiscreteStatsTable[Average])),0)</f>
        <v>5.8860452071458917</v>
      </c>
      <c r="P803" s="5" cm="1">
        <f t="array" ref="P803">MAX(IF((ProjectInfoTable[ProjectName]=DiscreteStatsTable[[#This Row],[ProjectName]]),(ProjectInfoTable[ProjectName]=DiscreteStatsTable[[#This Row],[ProjectName]])*ProjectInfoTable[ConfidenceInterval]))</f>
        <v>0.95</v>
      </c>
      <c r="Q803" s="5">
        <f>IF(AND(DiscreteStatsTable[[#This Row],[RepsWithStatObserved]]=1,Y803=0),200000000000000000000,IFERROR(_xlfn.T.INV.2T(1 -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3.5569015203314231</v>
      </c>
      <c r="R803" s="5" cm="1">
        <f t="array" ref="R803">MIN(IF((DiscreteStatsTable[GroupByKey]=DiscreteStatsTable[[#This Row],[GroupByKey]]),(DiscreteStatsTable[GroupByKey]=DiscreteStatsTable[[#This Row],[GroupByKey]])*DiscreteStatsTable[Average]))</f>
        <v>2.3433217689368999</v>
      </c>
      <c r="S803" s="5" cm="1">
        <f t="array" ref="S803">MAX(IF((DiscreteStatsTable[GroupByKey]=DiscreteStatsTable[[#This Row],[GroupByKey]]),(DiscreteStatsTable[GroupByKey]=DiscreteStatsTable[[#This Row],[GroupByKey]])*DiscreteStatsTable[Average]))</f>
        <v>25.148497784008899</v>
      </c>
      <c r="T803" s="5" cm="1">
        <f t="array" ref="T803">MIN(IF((DiscreteStatsTable[GroupByKey]=DiscreteStatsTable[[#This Row],[GroupByKey]]),(DiscreteStatsTable[GroupByKey]=DiscreteStatsTable[[#This Row],[GroupByKey]])*DiscreteStatsTable[Minimum]))</f>
        <v>2.3433217689368999</v>
      </c>
      <c r="U803" s="5" cm="1">
        <f t="array" ref="U803">MAX(IF((DiscreteStatsTable[GroupByKey]=DiscreteStatsTable[[#This Row],[GroupByKey]]),(DiscreteStatsTable[GroupByKey]=DiscreteStatsTable[[#This Row],[GroupByKey]])*DiscreteStatsTable[Maximum]))</f>
        <v>32.281581249584399</v>
      </c>
      <c r="V803" s="5" cm="1">
        <f t="array" ref="V803">IFERROR(AVERAGE(IF((DiscreteStatsTable[GroupByKey]=DiscreteStatsTable[[#This Row],[GroupByKey]]),(DiscreteStatsTable[GroupByKey]=DiscreteStatsTable[[#This Row],[GroupByKey]])*DiscreteStatsTable[NumberObservations])),0)</f>
        <v>1.7692307692307692</v>
      </c>
      <c r="W803" s="5">
        <f>IF((DiscreteStatsTable[[#This Row],[RepsRequested]]&gt;1),DiscreteStatsTable[[#This Row],[HalfWidth]],DiscreteStatsTable[[#This Row],[BatchMeansHalfWidth]])</f>
        <v>3.5569015203314231</v>
      </c>
      <c r="X803" s="5" cm="1">
        <f t="array" ref="X803">COUNT(IF((DiscreteStatsTable[GroupByKey]=DiscreteStatsTable[[#This Row],[GroupByKey]]),(DiscreteStatsTable[GroupByKey]=DiscreteStatsTable[[#This Row],[GroupByKey]])*DiscreteStatsTable[Replication]))</f>
        <v>13</v>
      </c>
      <c r="Y803" s="5">
        <f>IF(DiscreteStatsTable[[#This Row],[RepsRequested]]=DiscreteStatsTable[[#This Row],[RepsWithStatObserved]],1,0)</f>
        <v>0</v>
      </c>
    </row>
    <row r="804" spans="1:25" x14ac:dyDescent="0.25">
      <c r="A804" t="s">
        <v>67</v>
      </c>
      <c r="B804" t="s">
        <v>69</v>
      </c>
      <c r="C804">
        <v>14</v>
      </c>
      <c r="D804" t="s">
        <v>113</v>
      </c>
      <c r="E804" t="s">
        <v>107</v>
      </c>
      <c r="F804" t="s">
        <v>80</v>
      </c>
      <c r="G804">
        <v>2.3433217689368999</v>
      </c>
      <c r="H804">
        <v>2E+20</v>
      </c>
      <c r="I804">
        <v>2.3433217689368999</v>
      </c>
      <c r="J804">
        <v>2.3433217689368999</v>
      </c>
      <c r="K804">
        <v>1</v>
      </c>
      <c r="L80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compartida)TiempoEnSistemaNoMesaCantProd5IntervalUser Specified</v>
      </c>
      <c r="M804" s="5" cm="1">
        <f t="array" ref="M804">MAX(IF((ProjectInfoTable[ProjectName]=DiscreteStatsTable[[#This Row],[ProjectName]]),(ProjectInfoTable[ProjectName]=DiscreteStatsTable[[#This Row],[ProjectName]])*ProjectInfoTable[NumberOfReplications]))</f>
        <v>19</v>
      </c>
      <c r="N804" s="5" cm="1">
        <f t="array" ref="N804">IFERROR(AVERAGE(IF((DiscreteStatsTable[GroupByKey]=DiscreteStatsTable[[#This Row],[GroupByKey]]),(DiscreteStatsTable[GroupByKey]=DiscreteStatsTable[[#This Row],[GroupByKey]])*DiscreteStatsTable[Average])),0)</f>
        <v>7.0194841526840355</v>
      </c>
      <c r="O804" s="5" cm="1">
        <f t="array" ref="O804">IFERROR(_xlfn.STDEV.S(IF((DiscreteStatsTable[GroupByKey]=DiscreteStatsTable[[#This Row],[GroupByKey]]),(DiscreteStatsTable[GroupByKey]=DiscreteStatsTable[[#This Row],[GroupByKey]])*DiscreteStatsTable[Average])),0)</f>
        <v>5.8860452071458917</v>
      </c>
      <c r="P804" s="5" cm="1">
        <f t="array" ref="P804">MAX(IF((ProjectInfoTable[ProjectName]=DiscreteStatsTable[[#This Row],[ProjectName]]),(ProjectInfoTable[ProjectName]=DiscreteStatsTable[[#This Row],[ProjectName]])*ProjectInfoTable[ConfidenceInterval]))</f>
        <v>0.95</v>
      </c>
      <c r="Q804" s="5">
        <f>IF(AND(DiscreteStatsTable[[#This Row],[RepsWithStatObserved]]=1,Y804=0),200000000000000000000,IFERROR(_xlfn.T.INV.2T(1 -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3.5569015203314231</v>
      </c>
      <c r="R804" s="5" cm="1">
        <f t="array" ref="R804">MIN(IF((DiscreteStatsTable[GroupByKey]=DiscreteStatsTable[[#This Row],[GroupByKey]]),(DiscreteStatsTable[GroupByKey]=DiscreteStatsTable[[#This Row],[GroupByKey]])*DiscreteStatsTable[Average]))</f>
        <v>2.3433217689368999</v>
      </c>
      <c r="S804" s="5" cm="1">
        <f t="array" ref="S804">MAX(IF((DiscreteStatsTable[GroupByKey]=DiscreteStatsTable[[#This Row],[GroupByKey]]),(DiscreteStatsTable[GroupByKey]=DiscreteStatsTable[[#This Row],[GroupByKey]])*DiscreteStatsTable[Average]))</f>
        <v>25.148497784008899</v>
      </c>
      <c r="T804" s="5" cm="1">
        <f t="array" ref="T804">MIN(IF((DiscreteStatsTable[GroupByKey]=DiscreteStatsTable[[#This Row],[GroupByKey]]),(DiscreteStatsTable[GroupByKey]=DiscreteStatsTable[[#This Row],[GroupByKey]])*DiscreteStatsTable[Minimum]))</f>
        <v>2.3433217689368999</v>
      </c>
      <c r="U804" s="5" cm="1">
        <f t="array" ref="U804">MAX(IF((DiscreteStatsTable[GroupByKey]=DiscreteStatsTable[[#This Row],[GroupByKey]]),(DiscreteStatsTable[GroupByKey]=DiscreteStatsTable[[#This Row],[GroupByKey]])*DiscreteStatsTable[Maximum]))</f>
        <v>32.281581249584399</v>
      </c>
      <c r="V804" s="5" cm="1">
        <f t="array" ref="V804">IFERROR(AVERAGE(IF((DiscreteStatsTable[GroupByKey]=DiscreteStatsTable[[#This Row],[GroupByKey]]),(DiscreteStatsTable[GroupByKey]=DiscreteStatsTable[[#This Row],[GroupByKey]])*DiscreteStatsTable[NumberObservations])),0)</f>
        <v>1.7692307692307692</v>
      </c>
      <c r="W804" s="5">
        <f>IF((DiscreteStatsTable[[#This Row],[RepsRequested]]&gt;1),DiscreteStatsTable[[#This Row],[HalfWidth]],DiscreteStatsTable[[#This Row],[BatchMeansHalfWidth]])</f>
        <v>3.5569015203314231</v>
      </c>
      <c r="X804" s="5" cm="1">
        <f t="array" ref="X804">COUNT(IF((DiscreteStatsTable[GroupByKey]=DiscreteStatsTable[[#This Row],[GroupByKey]]),(DiscreteStatsTable[GroupByKey]=DiscreteStatsTable[[#This Row],[GroupByKey]])*DiscreteStatsTable[Replication]))</f>
        <v>13</v>
      </c>
      <c r="Y804" s="5">
        <f>IF(DiscreteStatsTable[[#This Row],[RepsRequested]]=DiscreteStatsTable[[#This Row],[RepsWithStatObserved]],1,0)</f>
        <v>0</v>
      </c>
    </row>
    <row r="805" spans="1:25" x14ac:dyDescent="0.25">
      <c r="A805" t="s">
        <v>67</v>
      </c>
      <c r="B805" t="s">
        <v>69</v>
      </c>
      <c r="C805">
        <v>15</v>
      </c>
      <c r="D805" t="s">
        <v>113</v>
      </c>
      <c r="E805" t="s">
        <v>107</v>
      </c>
      <c r="F805" t="s">
        <v>80</v>
      </c>
      <c r="G805">
        <v>5.5611109671377799</v>
      </c>
      <c r="H805">
        <v>2E+20</v>
      </c>
      <c r="I805">
        <v>3.1197589896881701</v>
      </c>
      <c r="J805">
        <v>8.5753755587809106</v>
      </c>
      <c r="K805">
        <v>3</v>
      </c>
      <c r="L80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compartida)TiempoEnSistemaNoMesaCantProd5IntervalUser Specified</v>
      </c>
      <c r="M805" s="5" cm="1">
        <f t="array" ref="M805">MAX(IF((ProjectInfoTable[ProjectName]=DiscreteStatsTable[[#This Row],[ProjectName]]),(ProjectInfoTable[ProjectName]=DiscreteStatsTable[[#This Row],[ProjectName]])*ProjectInfoTable[NumberOfReplications]))</f>
        <v>19</v>
      </c>
      <c r="N805" s="5" cm="1">
        <f t="array" ref="N805">IFERROR(AVERAGE(IF((DiscreteStatsTable[GroupByKey]=DiscreteStatsTable[[#This Row],[GroupByKey]]),(DiscreteStatsTable[GroupByKey]=DiscreteStatsTable[[#This Row],[GroupByKey]])*DiscreteStatsTable[Average])),0)</f>
        <v>7.0194841526840355</v>
      </c>
      <c r="O805" s="5" cm="1">
        <f t="array" ref="O805">IFERROR(_xlfn.STDEV.S(IF((DiscreteStatsTable[GroupByKey]=DiscreteStatsTable[[#This Row],[GroupByKey]]),(DiscreteStatsTable[GroupByKey]=DiscreteStatsTable[[#This Row],[GroupByKey]])*DiscreteStatsTable[Average])),0)</f>
        <v>5.8860452071458917</v>
      </c>
      <c r="P805" s="5" cm="1">
        <f t="array" ref="P805">MAX(IF((ProjectInfoTable[ProjectName]=DiscreteStatsTable[[#This Row],[ProjectName]]),(ProjectInfoTable[ProjectName]=DiscreteStatsTable[[#This Row],[ProjectName]])*ProjectInfoTable[ConfidenceInterval]))</f>
        <v>0.95</v>
      </c>
      <c r="Q805" s="5">
        <f>IF(AND(DiscreteStatsTable[[#This Row],[RepsWithStatObserved]]=1,Y805=0),200000000000000000000,IFERROR(_xlfn.T.INV.2T(1 -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3.5569015203314231</v>
      </c>
      <c r="R805" s="5" cm="1">
        <f t="array" ref="R805">MIN(IF((DiscreteStatsTable[GroupByKey]=DiscreteStatsTable[[#This Row],[GroupByKey]]),(DiscreteStatsTable[GroupByKey]=DiscreteStatsTable[[#This Row],[GroupByKey]])*DiscreteStatsTable[Average]))</f>
        <v>2.3433217689368999</v>
      </c>
      <c r="S805" s="5" cm="1">
        <f t="array" ref="S805">MAX(IF((DiscreteStatsTable[GroupByKey]=DiscreteStatsTable[[#This Row],[GroupByKey]]),(DiscreteStatsTable[GroupByKey]=DiscreteStatsTable[[#This Row],[GroupByKey]])*DiscreteStatsTable[Average]))</f>
        <v>25.148497784008899</v>
      </c>
      <c r="T805" s="5" cm="1">
        <f t="array" ref="T805">MIN(IF((DiscreteStatsTable[GroupByKey]=DiscreteStatsTable[[#This Row],[GroupByKey]]),(DiscreteStatsTable[GroupByKey]=DiscreteStatsTable[[#This Row],[GroupByKey]])*DiscreteStatsTable[Minimum]))</f>
        <v>2.3433217689368999</v>
      </c>
      <c r="U805" s="5" cm="1">
        <f t="array" ref="U805">MAX(IF((DiscreteStatsTable[GroupByKey]=DiscreteStatsTable[[#This Row],[GroupByKey]]),(DiscreteStatsTable[GroupByKey]=DiscreteStatsTable[[#This Row],[GroupByKey]])*DiscreteStatsTable[Maximum]))</f>
        <v>32.281581249584399</v>
      </c>
      <c r="V805" s="5" cm="1">
        <f t="array" ref="V805">IFERROR(AVERAGE(IF((DiscreteStatsTable[GroupByKey]=DiscreteStatsTable[[#This Row],[GroupByKey]]),(DiscreteStatsTable[GroupByKey]=DiscreteStatsTable[[#This Row],[GroupByKey]])*DiscreteStatsTable[NumberObservations])),0)</f>
        <v>1.7692307692307692</v>
      </c>
      <c r="W805" s="5">
        <f>IF((DiscreteStatsTable[[#This Row],[RepsRequested]]&gt;1),DiscreteStatsTable[[#This Row],[HalfWidth]],DiscreteStatsTable[[#This Row],[BatchMeansHalfWidth]])</f>
        <v>3.5569015203314231</v>
      </c>
      <c r="X805" s="5" cm="1">
        <f t="array" ref="X805">COUNT(IF((DiscreteStatsTable[GroupByKey]=DiscreteStatsTable[[#This Row],[GroupByKey]]),(DiscreteStatsTable[GroupByKey]=DiscreteStatsTable[[#This Row],[GroupByKey]])*DiscreteStatsTable[Replication]))</f>
        <v>13</v>
      </c>
      <c r="Y805" s="5">
        <f>IF(DiscreteStatsTable[[#This Row],[RepsRequested]]=DiscreteStatsTable[[#This Row],[RepsWithStatObserved]],1,0)</f>
        <v>0</v>
      </c>
    </row>
    <row r="806" spans="1:25" x14ac:dyDescent="0.25">
      <c r="A806" t="s">
        <v>67</v>
      </c>
      <c r="B806" t="s">
        <v>69</v>
      </c>
      <c r="C806">
        <v>16</v>
      </c>
      <c r="D806" t="s">
        <v>113</v>
      </c>
      <c r="E806" t="s">
        <v>107</v>
      </c>
      <c r="F806" t="s">
        <v>80</v>
      </c>
      <c r="G806">
        <v>5.5528669780020197</v>
      </c>
      <c r="H806">
        <v>2E+20</v>
      </c>
      <c r="I806">
        <v>3.47387964293344</v>
      </c>
      <c r="J806">
        <v>7.2838300771006601</v>
      </c>
      <c r="K806">
        <v>3</v>
      </c>
      <c r="L80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compartida)TiempoEnSistemaNoMesaCantProd5IntervalUser Specified</v>
      </c>
      <c r="M806" s="5" cm="1">
        <f t="array" ref="M806">MAX(IF((ProjectInfoTable[ProjectName]=DiscreteStatsTable[[#This Row],[ProjectName]]),(ProjectInfoTable[ProjectName]=DiscreteStatsTable[[#This Row],[ProjectName]])*ProjectInfoTable[NumberOfReplications]))</f>
        <v>19</v>
      </c>
      <c r="N806" s="5" cm="1">
        <f t="array" ref="N806">IFERROR(AVERAGE(IF((DiscreteStatsTable[GroupByKey]=DiscreteStatsTable[[#This Row],[GroupByKey]]),(DiscreteStatsTable[GroupByKey]=DiscreteStatsTable[[#This Row],[GroupByKey]])*DiscreteStatsTable[Average])),0)</f>
        <v>7.0194841526840355</v>
      </c>
      <c r="O806" s="5" cm="1">
        <f t="array" ref="O806">IFERROR(_xlfn.STDEV.S(IF((DiscreteStatsTable[GroupByKey]=DiscreteStatsTable[[#This Row],[GroupByKey]]),(DiscreteStatsTable[GroupByKey]=DiscreteStatsTable[[#This Row],[GroupByKey]])*DiscreteStatsTable[Average])),0)</f>
        <v>5.8860452071458917</v>
      </c>
      <c r="P806" s="5" cm="1">
        <f t="array" ref="P806">MAX(IF((ProjectInfoTable[ProjectName]=DiscreteStatsTable[[#This Row],[ProjectName]]),(ProjectInfoTable[ProjectName]=DiscreteStatsTable[[#This Row],[ProjectName]])*ProjectInfoTable[ConfidenceInterval]))</f>
        <v>0.95</v>
      </c>
      <c r="Q806" s="5">
        <f>IF(AND(DiscreteStatsTable[[#This Row],[RepsWithStatObserved]]=1,Y806=0),200000000000000000000,IFERROR(_xlfn.T.INV.2T(1 -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3.5569015203314231</v>
      </c>
      <c r="R806" s="5" cm="1">
        <f t="array" ref="R806">MIN(IF((DiscreteStatsTable[GroupByKey]=DiscreteStatsTable[[#This Row],[GroupByKey]]),(DiscreteStatsTable[GroupByKey]=DiscreteStatsTable[[#This Row],[GroupByKey]])*DiscreteStatsTable[Average]))</f>
        <v>2.3433217689368999</v>
      </c>
      <c r="S806" s="5" cm="1">
        <f t="array" ref="S806">MAX(IF((DiscreteStatsTable[GroupByKey]=DiscreteStatsTable[[#This Row],[GroupByKey]]),(DiscreteStatsTable[GroupByKey]=DiscreteStatsTable[[#This Row],[GroupByKey]])*DiscreteStatsTable[Average]))</f>
        <v>25.148497784008899</v>
      </c>
      <c r="T806" s="5" cm="1">
        <f t="array" ref="T806">MIN(IF((DiscreteStatsTable[GroupByKey]=DiscreteStatsTable[[#This Row],[GroupByKey]]),(DiscreteStatsTable[GroupByKey]=DiscreteStatsTable[[#This Row],[GroupByKey]])*DiscreteStatsTable[Minimum]))</f>
        <v>2.3433217689368999</v>
      </c>
      <c r="U806" s="5" cm="1">
        <f t="array" ref="U806">MAX(IF((DiscreteStatsTable[GroupByKey]=DiscreteStatsTable[[#This Row],[GroupByKey]]),(DiscreteStatsTable[GroupByKey]=DiscreteStatsTable[[#This Row],[GroupByKey]])*DiscreteStatsTable[Maximum]))</f>
        <v>32.281581249584399</v>
      </c>
      <c r="V806" s="5" cm="1">
        <f t="array" ref="V806">IFERROR(AVERAGE(IF((DiscreteStatsTable[GroupByKey]=DiscreteStatsTable[[#This Row],[GroupByKey]]),(DiscreteStatsTable[GroupByKey]=DiscreteStatsTable[[#This Row],[GroupByKey]])*DiscreteStatsTable[NumberObservations])),0)</f>
        <v>1.7692307692307692</v>
      </c>
      <c r="W806" s="5">
        <f>IF((DiscreteStatsTable[[#This Row],[RepsRequested]]&gt;1),DiscreteStatsTable[[#This Row],[HalfWidth]],DiscreteStatsTable[[#This Row],[BatchMeansHalfWidth]])</f>
        <v>3.5569015203314231</v>
      </c>
      <c r="X806" s="5" cm="1">
        <f t="array" ref="X806">COUNT(IF((DiscreteStatsTable[GroupByKey]=DiscreteStatsTable[[#This Row],[GroupByKey]]),(DiscreteStatsTable[GroupByKey]=DiscreteStatsTable[[#This Row],[GroupByKey]])*DiscreteStatsTable[Replication]))</f>
        <v>13</v>
      </c>
      <c r="Y806" s="5">
        <f>IF(DiscreteStatsTable[[#This Row],[RepsRequested]]=DiscreteStatsTable[[#This Row],[RepsWithStatObserved]],1,0)</f>
        <v>0</v>
      </c>
    </row>
    <row r="807" spans="1:25" x14ac:dyDescent="0.25">
      <c r="A807" t="s">
        <v>67</v>
      </c>
      <c r="B807" t="s">
        <v>69</v>
      </c>
      <c r="C807">
        <v>17</v>
      </c>
      <c r="D807" t="s">
        <v>113</v>
      </c>
      <c r="E807" t="s">
        <v>107</v>
      </c>
      <c r="F807" t="s">
        <v>80</v>
      </c>
      <c r="G807">
        <v>4.6272870031241098</v>
      </c>
      <c r="H807">
        <v>2E+20</v>
      </c>
      <c r="I807">
        <v>3.6709138646050001</v>
      </c>
      <c r="J807">
        <v>5.5836601416432199</v>
      </c>
      <c r="K807">
        <v>2</v>
      </c>
      <c r="L80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compartida)TiempoEnSistemaNoMesaCantProd5IntervalUser Specified</v>
      </c>
      <c r="M807" s="5" cm="1">
        <f t="array" ref="M807">MAX(IF((ProjectInfoTable[ProjectName]=DiscreteStatsTable[[#This Row],[ProjectName]]),(ProjectInfoTable[ProjectName]=DiscreteStatsTable[[#This Row],[ProjectName]])*ProjectInfoTable[NumberOfReplications]))</f>
        <v>19</v>
      </c>
      <c r="N807" s="5" cm="1">
        <f t="array" ref="N807">IFERROR(AVERAGE(IF((DiscreteStatsTable[GroupByKey]=DiscreteStatsTable[[#This Row],[GroupByKey]]),(DiscreteStatsTable[GroupByKey]=DiscreteStatsTable[[#This Row],[GroupByKey]])*DiscreteStatsTable[Average])),0)</f>
        <v>7.0194841526840355</v>
      </c>
      <c r="O807" s="5" cm="1">
        <f t="array" ref="O807">IFERROR(_xlfn.STDEV.S(IF((DiscreteStatsTable[GroupByKey]=DiscreteStatsTable[[#This Row],[GroupByKey]]),(DiscreteStatsTable[GroupByKey]=DiscreteStatsTable[[#This Row],[GroupByKey]])*DiscreteStatsTable[Average])),0)</f>
        <v>5.8860452071458917</v>
      </c>
      <c r="P807" s="5" cm="1">
        <f t="array" ref="P807">MAX(IF((ProjectInfoTable[ProjectName]=DiscreteStatsTable[[#This Row],[ProjectName]]),(ProjectInfoTable[ProjectName]=DiscreteStatsTable[[#This Row],[ProjectName]])*ProjectInfoTable[ConfidenceInterval]))</f>
        <v>0.95</v>
      </c>
      <c r="Q807" s="5">
        <f>IF(AND(DiscreteStatsTable[[#This Row],[RepsWithStatObserved]]=1,Y807=0),200000000000000000000,IFERROR(_xlfn.T.INV.2T(1 -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3.5569015203314231</v>
      </c>
      <c r="R807" s="5" cm="1">
        <f t="array" ref="R807">MIN(IF((DiscreteStatsTable[GroupByKey]=DiscreteStatsTable[[#This Row],[GroupByKey]]),(DiscreteStatsTable[GroupByKey]=DiscreteStatsTable[[#This Row],[GroupByKey]])*DiscreteStatsTable[Average]))</f>
        <v>2.3433217689368999</v>
      </c>
      <c r="S807" s="5" cm="1">
        <f t="array" ref="S807">MAX(IF((DiscreteStatsTable[GroupByKey]=DiscreteStatsTable[[#This Row],[GroupByKey]]),(DiscreteStatsTable[GroupByKey]=DiscreteStatsTable[[#This Row],[GroupByKey]])*DiscreteStatsTable[Average]))</f>
        <v>25.148497784008899</v>
      </c>
      <c r="T807" s="5" cm="1">
        <f t="array" ref="T807">MIN(IF((DiscreteStatsTable[GroupByKey]=DiscreteStatsTable[[#This Row],[GroupByKey]]),(DiscreteStatsTable[GroupByKey]=DiscreteStatsTable[[#This Row],[GroupByKey]])*DiscreteStatsTable[Minimum]))</f>
        <v>2.3433217689368999</v>
      </c>
      <c r="U807" s="5" cm="1">
        <f t="array" ref="U807">MAX(IF((DiscreteStatsTable[GroupByKey]=DiscreteStatsTable[[#This Row],[GroupByKey]]),(DiscreteStatsTable[GroupByKey]=DiscreteStatsTable[[#This Row],[GroupByKey]])*DiscreteStatsTable[Maximum]))</f>
        <v>32.281581249584399</v>
      </c>
      <c r="V807" s="5" cm="1">
        <f t="array" ref="V807">IFERROR(AVERAGE(IF((DiscreteStatsTable[GroupByKey]=DiscreteStatsTable[[#This Row],[GroupByKey]]),(DiscreteStatsTable[GroupByKey]=DiscreteStatsTable[[#This Row],[GroupByKey]])*DiscreteStatsTable[NumberObservations])),0)</f>
        <v>1.7692307692307692</v>
      </c>
      <c r="W807" s="5">
        <f>IF((DiscreteStatsTable[[#This Row],[RepsRequested]]&gt;1),DiscreteStatsTable[[#This Row],[HalfWidth]],DiscreteStatsTable[[#This Row],[BatchMeansHalfWidth]])</f>
        <v>3.5569015203314231</v>
      </c>
      <c r="X807" s="5" cm="1">
        <f t="array" ref="X807">COUNT(IF((DiscreteStatsTable[GroupByKey]=DiscreteStatsTable[[#This Row],[GroupByKey]]),(DiscreteStatsTable[GroupByKey]=DiscreteStatsTable[[#This Row],[GroupByKey]])*DiscreteStatsTable[Replication]))</f>
        <v>13</v>
      </c>
      <c r="Y807" s="5">
        <f>IF(DiscreteStatsTable[[#This Row],[RepsRequested]]=DiscreteStatsTable[[#This Row],[RepsWithStatObserved]],1,0)</f>
        <v>0</v>
      </c>
    </row>
    <row r="808" spans="1:25" x14ac:dyDescent="0.25">
      <c r="A808" t="s">
        <v>67</v>
      </c>
      <c r="B808" t="s">
        <v>69</v>
      </c>
      <c r="C808">
        <v>18</v>
      </c>
      <c r="D808" t="s">
        <v>113</v>
      </c>
      <c r="E808" t="s">
        <v>107</v>
      </c>
      <c r="F808" t="s">
        <v>80</v>
      </c>
      <c r="G808">
        <v>10.417908853733101</v>
      </c>
      <c r="H808">
        <v>2E+20</v>
      </c>
      <c r="I808">
        <v>5.2465679586232703</v>
      </c>
      <c r="J808">
        <v>15.880653964393501</v>
      </c>
      <c r="K808">
        <v>4</v>
      </c>
      <c r="L80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compartida)TiempoEnSistemaNoMesaCantProd5IntervalUser Specified</v>
      </c>
      <c r="M808" s="5" cm="1">
        <f t="array" ref="M808">MAX(IF((ProjectInfoTable[ProjectName]=DiscreteStatsTable[[#This Row],[ProjectName]]),(ProjectInfoTable[ProjectName]=DiscreteStatsTable[[#This Row],[ProjectName]])*ProjectInfoTable[NumberOfReplications]))</f>
        <v>19</v>
      </c>
      <c r="N808" s="5" cm="1">
        <f t="array" ref="N808">IFERROR(AVERAGE(IF((DiscreteStatsTable[GroupByKey]=DiscreteStatsTable[[#This Row],[GroupByKey]]),(DiscreteStatsTable[GroupByKey]=DiscreteStatsTable[[#This Row],[GroupByKey]])*DiscreteStatsTable[Average])),0)</f>
        <v>7.0194841526840355</v>
      </c>
      <c r="O808" s="5" cm="1">
        <f t="array" ref="O808">IFERROR(_xlfn.STDEV.S(IF((DiscreteStatsTable[GroupByKey]=DiscreteStatsTable[[#This Row],[GroupByKey]]),(DiscreteStatsTable[GroupByKey]=DiscreteStatsTable[[#This Row],[GroupByKey]])*DiscreteStatsTable[Average])),0)</f>
        <v>5.8860452071458917</v>
      </c>
      <c r="P808" s="5" cm="1">
        <f t="array" ref="P808">MAX(IF((ProjectInfoTable[ProjectName]=DiscreteStatsTable[[#This Row],[ProjectName]]),(ProjectInfoTable[ProjectName]=DiscreteStatsTable[[#This Row],[ProjectName]])*ProjectInfoTable[ConfidenceInterval]))</f>
        <v>0.95</v>
      </c>
      <c r="Q808" s="5">
        <f>IF(AND(DiscreteStatsTable[[#This Row],[RepsWithStatObserved]]=1,Y808=0),200000000000000000000,IFERROR(_xlfn.T.INV.2T(1 -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3.5569015203314231</v>
      </c>
      <c r="R808" s="5" cm="1">
        <f t="array" ref="R808">MIN(IF((DiscreteStatsTable[GroupByKey]=DiscreteStatsTable[[#This Row],[GroupByKey]]),(DiscreteStatsTable[GroupByKey]=DiscreteStatsTable[[#This Row],[GroupByKey]])*DiscreteStatsTable[Average]))</f>
        <v>2.3433217689368999</v>
      </c>
      <c r="S808" s="5" cm="1">
        <f t="array" ref="S808">MAX(IF((DiscreteStatsTable[GroupByKey]=DiscreteStatsTable[[#This Row],[GroupByKey]]),(DiscreteStatsTable[GroupByKey]=DiscreteStatsTable[[#This Row],[GroupByKey]])*DiscreteStatsTable[Average]))</f>
        <v>25.148497784008899</v>
      </c>
      <c r="T808" s="5" cm="1">
        <f t="array" ref="T808">MIN(IF((DiscreteStatsTable[GroupByKey]=DiscreteStatsTable[[#This Row],[GroupByKey]]),(DiscreteStatsTable[GroupByKey]=DiscreteStatsTable[[#This Row],[GroupByKey]])*DiscreteStatsTable[Minimum]))</f>
        <v>2.3433217689368999</v>
      </c>
      <c r="U808" s="5" cm="1">
        <f t="array" ref="U808">MAX(IF((DiscreteStatsTable[GroupByKey]=DiscreteStatsTable[[#This Row],[GroupByKey]]),(DiscreteStatsTable[GroupByKey]=DiscreteStatsTable[[#This Row],[GroupByKey]])*DiscreteStatsTable[Maximum]))</f>
        <v>32.281581249584399</v>
      </c>
      <c r="V808" s="5" cm="1">
        <f t="array" ref="V808">IFERROR(AVERAGE(IF((DiscreteStatsTable[GroupByKey]=DiscreteStatsTable[[#This Row],[GroupByKey]]),(DiscreteStatsTable[GroupByKey]=DiscreteStatsTable[[#This Row],[GroupByKey]])*DiscreteStatsTable[NumberObservations])),0)</f>
        <v>1.7692307692307692</v>
      </c>
      <c r="W808" s="5">
        <f>IF((DiscreteStatsTable[[#This Row],[RepsRequested]]&gt;1),DiscreteStatsTable[[#This Row],[HalfWidth]],DiscreteStatsTable[[#This Row],[BatchMeansHalfWidth]])</f>
        <v>3.5569015203314231</v>
      </c>
      <c r="X808" s="5" cm="1">
        <f t="array" ref="X808">COUNT(IF((DiscreteStatsTable[GroupByKey]=DiscreteStatsTable[[#This Row],[GroupByKey]]),(DiscreteStatsTable[GroupByKey]=DiscreteStatsTable[[#This Row],[GroupByKey]])*DiscreteStatsTable[Replication]))</f>
        <v>13</v>
      </c>
      <c r="Y808" s="5">
        <f>IF(DiscreteStatsTable[[#This Row],[RepsRequested]]=DiscreteStatsTable[[#This Row],[RepsWithStatObserved]],1,0)</f>
        <v>0</v>
      </c>
    </row>
    <row r="809" spans="1:25" x14ac:dyDescent="0.25">
      <c r="A809" t="s">
        <v>67</v>
      </c>
      <c r="B809" t="s">
        <v>69</v>
      </c>
      <c r="C809">
        <v>19</v>
      </c>
      <c r="D809" t="s">
        <v>113</v>
      </c>
      <c r="E809" t="s">
        <v>107</v>
      </c>
      <c r="F809" t="s">
        <v>80</v>
      </c>
      <c r="G809">
        <v>2.5905124752905202</v>
      </c>
      <c r="H809">
        <v>2E+20</v>
      </c>
      <c r="I809">
        <v>2.5905124752905202</v>
      </c>
      <c r="J809">
        <v>2.5905124752905202</v>
      </c>
      <c r="K809">
        <v>1</v>
      </c>
      <c r="L80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compartida)TiempoEnSistemaNoMesaCantProd5IntervalUser Specified</v>
      </c>
      <c r="M809" s="5" cm="1">
        <f t="array" ref="M809">MAX(IF((ProjectInfoTable[ProjectName]=DiscreteStatsTable[[#This Row],[ProjectName]]),(ProjectInfoTable[ProjectName]=DiscreteStatsTable[[#This Row],[ProjectName]])*ProjectInfoTable[NumberOfReplications]))</f>
        <v>19</v>
      </c>
      <c r="N809" s="5" cm="1">
        <f t="array" ref="N809">IFERROR(AVERAGE(IF((DiscreteStatsTable[GroupByKey]=DiscreteStatsTable[[#This Row],[GroupByKey]]),(DiscreteStatsTable[GroupByKey]=DiscreteStatsTable[[#This Row],[GroupByKey]])*DiscreteStatsTable[Average])),0)</f>
        <v>7.0194841526840355</v>
      </c>
      <c r="O809" s="5" cm="1">
        <f t="array" ref="O809">IFERROR(_xlfn.STDEV.S(IF((DiscreteStatsTable[GroupByKey]=DiscreteStatsTable[[#This Row],[GroupByKey]]),(DiscreteStatsTable[GroupByKey]=DiscreteStatsTable[[#This Row],[GroupByKey]])*DiscreteStatsTable[Average])),0)</f>
        <v>5.8860452071458917</v>
      </c>
      <c r="P809" s="5" cm="1">
        <f t="array" ref="P809">MAX(IF((ProjectInfoTable[ProjectName]=DiscreteStatsTable[[#This Row],[ProjectName]]),(ProjectInfoTable[ProjectName]=DiscreteStatsTable[[#This Row],[ProjectName]])*ProjectInfoTable[ConfidenceInterval]))</f>
        <v>0.95</v>
      </c>
      <c r="Q809" s="5">
        <f>IF(AND(DiscreteStatsTable[[#This Row],[RepsWithStatObserved]]=1,Y809=0),200000000000000000000,IFERROR(_xlfn.T.INV.2T(1 -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3.5569015203314231</v>
      </c>
      <c r="R809" s="5" cm="1">
        <f t="array" ref="R809">MIN(IF((DiscreteStatsTable[GroupByKey]=DiscreteStatsTable[[#This Row],[GroupByKey]]),(DiscreteStatsTable[GroupByKey]=DiscreteStatsTable[[#This Row],[GroupByKey]])*DiscreteStatsTable[Average]))</f>
        <v>2.3433217689368999</v>
      </c>
      <c r="S809" s="5" cm="1">
        <f t="array" ref="S809">MAX(IF((DiscreteStatsTable[GroupByKey]=DiscreteStatsTable[[#This Row],[GroupByKey]]),(DiscreteStatsTable[GroupByKey]=DiscreteStatsTable[[#This Row],[GroupByKey]])*DiscreteStatsTable[Average]))</f>
        <v>25.148497784008899</v>
      </c>
      <c r="T809" s="5" cm="1">
        <f t="array" ref="T809">MIN(IF((DiscreteStatsTable[GroupByKey]=DiscreteStatsTable[[#This Row],[GroupByKey]]),(DiscreteStatsTable[GroupByKey]=DiscreteStatsTable[[#This Row],[GroupByKey]])*DiscreteStatsTable[Minimum]))</f>
        <v>2.3433217689368999</v>
      </c>
      <c r="U809" s="5" cm="1">
        <f t="array" ref="U809">MAX(IF((DiscreteStatsTable[GroupByKey]=DiscreteStatsTable[[#This Row],[GroupByKey]]),(DiscreteStatsTable[GroupByKey]=DiscreteStatsTable[[#This Row],[GroupByKey]])*DiscreteStatsTable[Maximum]))</f>
        <v>32.281581249584399</v>
      </c>
      <c r="V809" s="5" cm="1">
        <f t="array" ref="V809">IFERROR(AVERAGE(IF((DiscreteStatsTable[GroupByKey]=DiscreteStatsTable[[#This Row],[GroupByKey]]),(DiscreteStatsTable[GroupByKey]=DiscreteStatsTable[[#This Row],[GroupByKey]])*DiscreteStatsTable[NumberObservations])),0)</f>
        <v>1.7692307692307692</v>
      </c>
      <c r="W809" s="5">
        <f>IF((DiscreteStatsTable[[#This Row],[RepsRequested]]&gt;1),DiscreteStatsTable[[#This Row],[HalfWidth]],DiscreteStatsTable[[#This Row],[BatchMeansHalfWidth]])</f>
        <v>3.5569015203314231</v>
      </c>
      <c r="X809" s="5" cm="1">
        <f t="array" ref="X809">COUNT(IF((DiscreteStatsTable[GroupByKey]=DiscreteStatsTable[[#This Row],[GroupByKey]]),(DiscreteStatsTable[GroupByKey]=DiscreteStatsTable[[#This Row],[GroupByKey]])*DiscreteStatsTable[Replication]))</f>
        <v>13</v>
      </c>
      <c r="Y809" s="5">
        <f>IF(DiscreteStatsTable[[#This Row],[RepsRequested]]=DiscreteStatsTable[[#This Row],[RepsWithStatObserved]],1,0)</f>
        <v>0</v>
      </c>
    </row>
    <row r="810" spans="1:25" x14ac:dyDescent="0.25">
      <c r="A810" t="s">
        <v>67</v>
      </c>
      <c r="B810" t="s">
        <v>69</v>
      </c>
      <c r="C810">
        <v>4</v>
      </c>
      <c r="D810" t="s">
        <v>128</v>
      </c>
      <c r="E810" t="s">
        <v>107</v>
      </c>
      <c r="F810" t="s">
        <v>80</v>
      </c>
      <c r="G810">
        <v>7.3362180422532504</v>
      </c>
      <c r="H810">
        <v>2E+20</v>
      </c>
      <c r="I810">
        <v>7.3362180422532504</v>
      </c>
      <c r="J810">
        <v>7.3362180422532504</v>
      </c>
      <c r="K810">
        <v>1</v>
      </c>
      <c r="L81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compartida)TiempoEnSistemaNoMesaCantProd7IntervalUser Specified</v>
      </c>
      <c r="M810" s="5" cm="1">
        <f t="array" ref="M810">MAX(IF((ProjectInfoTable[ProjectName]=DiscreteStatsTable[[#This Row],[ProjectName]]),(ProjectInfoTable[ProjectName]=DiscreteStatsTable[[#This Row],[ProjectName]])*ProjectInfoTable[NumberOfReplications]))</f>
        <v>19</v>
      </c>
      <c r="N810" s="5" cm="1">
        <f t="array" ref="N810">IFERROR(AVERAGE(IF((DiscreteStatsTable[GroupByKey]=DiscreteStatsTable[[#This Row],[GroupByKey]]),(DiscreteStatsTable[GroupByKey]=DiscreteStatsTable[[#This Row],[GroupByKey]])*DiscreteStatsTable[Average])),0)</f>
        <v>8.2145919124675348</v>
      </c>
      <c r="O810" s="5" cm="1">
        <f t="array" ref="O810">IFERROR(_xlfn.STDEV.S(IF((DiscreteStatsTable[GroupByKey]=DiscreteStatsTable[[#This Row],[GroupByKey]]),(DiscreteStatsTable[GroupByKey]=DiscreteStatsTable[[#This Row],[GroupByKey]])*DiscreteStatsTable[Average])),0)</f>
        <v>2.7652000076644274</v>
      </c>
      <c r="P810" s="5" cm="1">
        <f t="array" ref="P810">MAX(IF((ProjectInfoTable[ProjectName]=DiscreteStatsTable[[#This Row],[ProjectName]]),(ProjectInfoTable[ProjectName]=DiscreteStatsTable[[#This Row],[ProjectName]])*ProjectInfoTable[ConfidenceInterval]))</f>
        <v>0.95</v>
      </c>
      <c r="Q810" s="5">
        <f>IF(AND(DiscreteStatsTable[[#This Row],[RepsWithStatObserved]]=1,Y810=0),200000000000000000000,IFERROR(_xlfn.T.INV.2T(1 -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4.4000502738810683</v>
      </c>
      <c r="R810" s="5" cm="1">
        <f t="array" ref="R810">MIN(IF((DiscreteStatsTable[GroupByKey]=DiscreteStatsTable[[#This Row],[GroupByKey]]),(DiscreteStatsTable[GroupByKey]=DiscreteStatsTable[[#This Row],[GroupByKey]])*DiscreteStatsTable[Average]))</f>
        <v>6.1857392610640201</v>
      </c>
      <c r="S810" s="5" cm="1">
        <f t="array" ref="S810">MAX(IF((DiscreteStatsTable[GroupByKey]=DiscreteStatsTable[[#This Row],[GroupByKey]]),(DiscreteStatsTable[GroupByKey]=DiscreteStatsTable[[#This Row],[GroupByKey]])*DiscreteStatsTable[Average]))</f>
        <v>12.2973900741707</v>
      </c>
      <c r="T810" s="5" cm="1">
        <f t="array" ref="T810">MIN(IF((DiscreteStatsTable[GroupByKey]=DiscreteStatsTable[[#This Row],[GroupByKey]]),(DiscreteStatsTable[GroupByKey]=DiscreteStatsTable[[#This Row],[GroupByKey]])*DiscreteStatsTable[Minimum]))</f>
        <v>6.1857392610640201</v>
      </c>
      <c r="U810" s="5" cm="1">
        <f t="array" ref="U810">MAX(IF((DiscreteStatsTable[GroupByKey]=DiscreteStatsTable[[#This Row],[GroupByKey]]),(DiscreteStatsTable[GroupByKey]=DiscreteStatsTable[[#This Row],[GroupByKey]])*DiscreteStatsTable[Maximum]))</f>
        <v>12.2973900741707</v>
      </c>
      <c r="V810" s="5" cm="1">
        <f t="array" ref="V810">IFERROR(AVERAGE(IF((DiscreteStatsTable[GroupByKey]=DiscreteStatsTable[[#This Row],[GroupByKey]]),(DiscreteStatsTable[GroupByKey]=DiscreteStatsTable[[#This Row],[GroupByKey]])*DiscreteStatsTable[NumberObservations])),0)</f>
        <v>1</v>
      </c>
      <c r="W810" s="5">
        <f>IF((DiscreteStatsTable[[#This Row],[RepsRequested]]&gt;1),DiscreteStatsTable[[#This Row],[HalfWidth]],DiscreteStatsTable[[#This Row],[BatchMeansHalfWidth]])</f>
        <v>4.4000502738810683</v>
      </c>
      <c r="X810" s="5" cm="1">
        <f t="array" ref="X810">COUNT(IF((DiscreteStatsTable[GroupByKey]=DiscreteStatsTable[[#This Row],[GroupByKey]]),(DiscreteStatsTable[GroupByKey]=DiscreteStatsTable[[#This Row],[GroupByKey]])*DiscreteStatsTable[Replication]))</f>
        <v>4</v>
      </c>
      <c r="Y810" s="5">
        <f>IF(DiscreteStatsTable[[#This Row],[RepsRequested]]=DiscreteStatsTable[[#This Row],[RepsWithStatObserved]],1,0)</f>
        <v>0</v>
      </c>
    </row>
    <row r="811" spans="1:25" x14ac:dyDescent="0.25">
      <c r="A811" t="s">
        <v>67</v>
      </c>
      <c r="B811" t="s">
        <v>69</v>
      </c>
      <c r="C811">
        <v>10</v>
      </c>
      <c r="D811" t="s">
        <v>128</v>
      </c>
      <c r="E811" t="s">
        <v>107</v>
      </c>
      <c r="F811" t="s">
        <v>80</v>
      </c>
      <c r="G811">
        <v>12.2973900741707</v>
      </c>
      <c r="H811">
        <v>2E+20</v>
      </c>
      <c r="I811">
        <v>12.2973900741707</v>
      </c>
      <c r="J811">
        <v>12.2973900741707</v>
      </c>
      <c r="K811">
        <v>1</v>
      </c>
      <c r="L81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compartida)TiempoEnSistemaNoMesaCantProd7IntervalUser Specified</v>
      </c>
      <c r="M811" s="5" cm="1">
        <f t="array" ref="M811">MAX(IF((ProjectInfoTable[ProjectName]=DiscreteStatsTable[[#This Row],[ProjectName]]),(ProjectInfoTable[ProjectName]=DiscreteStatsTable[[#This Row],[ProjectName]])*ProjectInfoTable[NumberOfReplications]))</f>
        <v>19</v>
      </c>
      <c r="N811" s="5" cm="1">
        <f t="array" ref="N811">IFERROR(AVERAGE(IF((DiscreteStatsTable[GroupByKey]=DiscreteStatsTable[[#This Row],[GroupByKey]]),(DiscreteStatsTable[GroupByKey]=DiscreteStatsTable[[#This Row],[GroupByKey]])*DiscreteStatsTable[Average])),0)</f>
        <v>8.2145919124675348</v>
      </c>
      <c r="O811" s="5" cm="1">
        <f t="array" ref="O811">IFERROR(_xlfn.STDEV.S(IF((DiscreteStatsTable[GroupByKey]=DiscreteStatsTable[[#This Row],[GroupByKey]]),(DiscreteStatsTable[GroupByKey]=DiscreteStatsTable[[#This Row],[GroupByKey]])*DiscreteStatsTable[Average])),0)</f>
        <v>2.7652000076644274</v>
      </c>
      <c r="P811" s="5" cm="1">
        <f t="array" ref="P811">MAX(IF((ProjectInfoTable[ProjectName]=DiscreteStatsTable[[#This Row],[ProjectName]]),(ProjectInfoTable[ProjectName]=DiscreteStatsTable[[#This Row],[ProjectName]])*ProjectInfoTable[ConfidenceInterval]))</f>
        <v>0.95</v>
      </c>
      <c r="Q811" s="5">
        <f>IF(AND(DiscreteStatsTable[[#This Row],[RepsWithStatObserved]]=1,Y811=0),200000000000000000000,IFERROR(_xlfn.T.INV.2T(1 -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4.4000502738810683</v>
      </c>
      <c r="R811" s="5" cm="1">
        <f t="array" ref="R811">MIN(IF((DiscreteStatsTable[GroupByKey]=DiscreteStatsTable[[#This Row],[GroupByKey]]),(DiscreteStatsTable[GroupByKey]=DiscreteStatsTable[[#This Row],[GroupByKey]])*DiscreteStatsTable[Average]))</f>
        <v>6.1857392610640201</v>
      </c>
      <c r="S811" s="5" cm="1">
        <f t="array" ref="S811">MAX(IF((DiscreteStatsTable[GroupByKey]=DiscreteStatsTable[[#This Row],[GroupByKey]]),(DiscreteStatsTable[GroupByKey]=DiscreteStatsTable[[#This Row],[GroupByKey]])*DiscreteStatsTable[Average]))</f>
        <v>12.2973900741707</v>
      </c>
      <c r="T811" s="5" cm="1">
        <f t="array" ref="T811">MIN(IF((DiscreteStatsTable[GroupByKey]=DiscreteStatsTable[[#This Row],[GroupByKey]]),(DiscreteStatsTable[GroupByKey]=DiscreteStatsTable[[#This Row],[GroupByKey]])*DiscreteStatsTable[Minimum]))</f>
        <v>6.1857392610640201</v>
      </c>
      <c r="U811" s="5" cm="1">
        <f t="array" ref="U811">MAX(IF((DiscreteStatsTable[GroupByKey]=DiscreteStatsTable[[#This Row],[GroupByKey]]),(DiscreteStatsTable[GroupByKey]=DiscreteStatsTable[[#This Row],[GroupByKey]])*DiscreteStatsTable[Maximum]))</f>
        <v>12.2973900741707</v>
      </c>
      <c r="V811" s="5" cm="1">
        <f t="array" ref="V811">IFERROR(AVERAGE(IF((DiscreteStatsTable[GroupByKey]=DiscreteStatsTable[[#This Row],[GroupByKey]]),(DiscreteStatsTable[GroupByKey]=DiscreteStatsTable[[#This Row],[GroupByKey]])*DiscreteStatsTable[NumberObservations])),0)</f>
        <v>1</v>
      </c>
      <c r="W811" s="5">
        <f>IF((DiscreteStatsTable[[#This Row],[RepsRequested]]&gt;1),DiscreteStatsTable[[#This Row],[HalfWidth]],DiscreteStatsTable[[#This Row],[BatchMeansHalfWidth]])</f>
        <v>4.4000502738810683</v>
      </c>
      <c r="X811" s="5" cm="1">
        <f t="array" ref="X811">COUNT(IF((DiscreteStatsTable[GroupByKey]=DiscreteStatsTable[[#This Row],[GroupByKey]]),(DiscreteStatsTable[GroupByKey]=DiscreteStatsTable[[#This Row],[GroupByKey]])*DiscreteStatsTable[Replication]))</f>
        <v>4</v>
      </c>
      <c r="Y811" s="5">
        <f>IF(DiscreteStatsTable[[#This Row],[RepsRequested]]=DiscreteStatsTable[[#This Row],[RepsWithStatObserved]],1,0)</f>
        <v>0</v>
      </c>
    </row>
    <row r="812" spans="1:25" x14ac:dyDescent="0.25">
      <c r="A812" t="s">
        <v>67</v>
      </c>
      <c r="B812" t="s">
        <v>69</v>
      </c>
      <c r="C812">
        <v>16</v>
      </c>
      <c r="D812" t="s">
        <v>128</v>
      </c>
      <c r="E812" t="s">
        <v>107</v>
      </c>
      <c r="F812" t="s">
        <v>80</v>
      </c>
      <c r="G812">
        <v>6.1857392610640201</v>
      </c>
      <c r="H812">
        <v>2E+20</v>
      </c>
      <c r="I812">
        <v>6.1857392610640201</v>
      </c>
      <c r="J812">
        <v>6.1857392610640201</v>
      </c>
      <c r="K812">
        <v>1</v>
      </c>
      <c r="L81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compartida)TiempoEnSistemaNoMesaCantProd7IntervalUser Specified</v>
      </c>
      <c r="M812" s="5" cm="1">
        <f t="array" ref="M812">MAX(IF((ProjectInfoTable[ProjectName]=DiscreteStatsTable[[#This Row],[ProjectName]]),(ProjectInfoTable[ProjectName]=DiscreteStatsTable[[#This Row],[ProjectName]])*ProjectInfoTable[NumberOfReplications]))</f>
        <v>19</v>
      </c>
      <c r="N812" s="5" cm="1">
        <f t="array" ref="N812">IFERROR(AVERAGE(IF((DiscreteStatsTable[GroupByKey]=DiscreteStatsTable[[#This Row],[GroupByKey]]),(DiscreteStatsTable[GroupByKey]=DiscreteStatsTable[[#This Row],[GroupByKey]])*DiscreteStatsTable[Average])),0)</f>
        <v>8.2145919124675348</v>
      </c>
      <c r="O812" s="5" cm="1">
        <f t="array" ref="O812">IFERROR(_xlfn.STDEV.S(IF((DiscreteStatsTable[GroupByKey]=DiscreteStatsTable[[#This Row],[GroupByKey]]),(DiscreteStatsTable[GroupByKey]=DiscreteStatsTable[[#This Row],[GroupByKey]])*DiscreteStatsTable[Average])),0)</f>
        <v>2.7652000076644274</v>
      </c>
      <c r="P812" s="5" cm="1">
        <f t="array" ref="P812">MAX(IF((ProjectInfoTable[ProjectName]=DiscreteStatsTable[[#This Row],[ProjectName]]),(ProjectInfoTable[ProjectName]=DiscreteStatsTable[[#This Row],[ProjectName]])*ProjectInfoTable[ConfidenceInterval]))</f>
        <v>0.95</v>
      </c>
      <c r="Q812" s="5">
        <f>IF(AND(DiscreteStatsTable[[#This Row],[RepsWithStatObserved]]=1,Y812=0),200000000000000000000,IFERROR(_xlfn.T.INV.2T(1 -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4.4000502738810683</v>
      </c>
      <c r="R812" s="5" cm="1">
        <f t="array" ref="R812">MIN(IF((DiscreteStatsTable[GroupByKey]=DiscreteStatsTable[[#This Row],[GroupByKey]]),(DiscreteStatsTable[GroupByKey]=DiscreteStatsTable[[#This Row],[GroupByKey]])*DiscreteStatsTable[Average]))</f>
        <v>6.1857392610640201</v>
      </c>
      <c r="S812" s="5" cm="1">
        <f t="array" ref="S812">MAX(IF((DiscreteStatsTable[GroupByKey]=DiscreteStatsTable[[#This Row],[GroupByKey]]),(DiscreteStatsTable[GroupByKey]=DiscreteStatsTable[[#This Row],[GroupByKey]])*DiscreteStatsTable[Average]))</f>
        <v>12.2973900741707</v>
      </c>
      <c r="T812" s="5" cm="1">
        <f t="array" ref="T812">MIN(IF((DiscreteStatsTable[GroupByKey]=DiscreteStatsTable[[#This Row],[GroupByKey]]),(DiscreteStatsTable[GroupByKey]=DiscreteStatsTable[[#This Row],[GroupByKey]])*DiscreteStatsTable[Minimum]))</f>
        <v>6.1857392610640201</v>
      </c>
      <c r="U812" s="5" cm="1">
        <f t="array" ref="U812">MAX(IF((DiscreteStatsTable[GroupByKey]=DiscreteStatsTable[[#This Row],[GroupByKey]]),(DiscreteStatsTable[GroupByKey]=DiscreteStatsTable[[#This Row],[GroupByKey]])*DiscreteStatsTable[Maximum]))</f>
        <v>12.2973900741707</v>
      </c>
      <c r="V812" s="5" cm="1">
        <f t="array" ref="V812">IFERROR(AVERAGE(IF((DiscreteStatsTable[GroupByKey]=DiscreteStatsTable[[#This Row],[GroupByKey]]),(DiscreteStatsTable[GroupByKey]=DiscreteStatsTable[[#This Row],[GroupByKey]])*DiscreteStatsTable[NumberObservations])),0)</f>
        <v>1</v>
      </c>
      <c r="W812" s="5">
        <f>IF((DiscreteStatsTable[[#This Row],[RepsRequested]]&gt;1),DiscreteStatsTable[[#This Row],[HalfWidth]],DiscreteStatsTable[[#This Row],[BatchMeansHalfWidth]])</f>
        <v>4.4000502738810683</v>
      </c>
      <c r="X812" s="5" cm="1">
        <f t="array" ref="X812">COUNT(IF((DiscreteStatsTable[GroupByKey]=DiscreteStatsTable[[#This Row],[GroupByKey]]),(DiscreteStatsTable[GroupByKey]=DiscreteStatsTable[[#This Row],[GroupByKey]])*DiscreteStatsTable[Replication]))</f>
        <v>4</v>
      </c>
      <c r="Y812" s="5">
        <f>IF(DiscreteStatsTable[[#This Row],[RepsRequested]]=DiscreteStatsTable[[#This Row],[RepsWithStatObserved]],1,0)</f>
        <v>0</v>
      </c>
    </row>
    <row r="813" spans="1:25" x14ac:dyDescent="0.25">
      <c r="A813" t="s">
        <v>67</v>
      </c>
      <c r="B813" t="s">
        <v>69</v>
      </c>
      <c r="C813">
        <v>19</v>
      </c>
      <c r="D813" t="s">
        <v>128</v>
      </c>
      <c r="E813" t="s">
        <v>107</v>
      </c>
      <c r="F813" t="s">
        <v>80</v>
      </c>
      <c r="G813">
        <v>7.03902027238217</v>
      </c>
      <c r="H813">
        <v>2E+20</v>
      </c>
      <c r="I813">
        <v>7.03902027238217</v>
      </c>
      <c r="J813">
        <v>7.03902027238217</v>
      </c>
      <c r="K813">
        <v>1</v>
      </c>
      <c r="L81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compartida)TiempoEnSistemaNoMesaCantProd7IntervalUser Specified</v>
      </c>
      <c r="M813" s="5" cm="1">
        <f t="array" ref="M813">MAX(IF((ProjectInfoTable[ProjectName]=DiscreteStatsTable[[#This Row],[ProjectName]]),(ProjectInfoTable[ProjectName]=DiscreteStatsTable[[#This Row],[ProjectName]])*ProjectInfoTable[NumberOfReplications]))</f>
        <v>19</v>
      </c>
      <c r="N813" s="5" cm="1">
        <f t="array" ref="N813">IFERROR(AVERAGE(IF((DiscreteStatsTable[GroupByKey]=DiscreteStatsTable[[#This Row],[GroupByKey]]),(DiscreteStatsTable[GroupByKey]=DiscreteStatsTable[[#This Row],[GroupByKey]])*DiscreteStatsTable[Average])),0)</f>
        <v>8.2145919124675348</v>
      </c>
      <c r="O813" s="5" cm="1">
        <f t="array" ref="O813">IFERROR(_xlfn.STDEV.S(IF((DiscreteStatsTable[GroupByKey]=DiscreteStatsTable[[#This Row],[GroupByKey]]),(DiscreteStatsTable[GroupByKey]=DiscreteStatsTable[[#This Row],[GroupByKey]])*DiscreteStatsTable[Average])),0)</f>
        <v>2.7652000076644274</v>
      </c>
      <c r="P813" s="5" cm="1">
        <f t="array" ref="P813">MAX(IF((ProjectInfoTable[ProjectName]=DiscreteStatsTable[[#This Row],[ProjectName]]),(ProjectInfoTable[ProjectName]=DiscreteStatsTable[[#This Row],[ProjectName]])*ProjectInfoTable[ConfidenceInterval]))</f>
        <v>0.95</v>
      </c>
      <c r="Q813" s="5">
        <f>IF(AND(DiscreteStatsTable[[#This Row],[RepsWithStatObserved]]=1,Y813=0),200000000000000000000,IFERROR(_xlfn.T.INV.2T(1 -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4.4000502738810683</v>
      </c>
      <c r="R813" s="5" cm="1">
        <f t="array" ref="R813">MIN(IF((DiscreteStatsTable[GroupByKey]=DiscreteStatsTable[[#This Row],[GroupByKey]]),(DiscreteStatsTable[GroupByKey]=DiscreteStatsTable[[#This Row],[GroupByKey]])*DiscreteStatsTable[Average]))</f>
        <v>6.1857392610640201</v>
      </c>
      <c r="S813" s="5" cm="1">
        <f t="array" ref="S813">MAX(IF((DiscreteStatsTable[GroupByKey]=DiscreteStatsTable[[#This Row],[GroupByKey]]),(DiscreteStatsTable[GroupByKey]=DiscreteStatsTable[[#This Row],[GroupByKey]])*DiscreteStatsTable[Average]))</f>
        <v>12.2973900741707</v>
      </c>
      <c r="T813" s="5" cm="1">
        <f t="array" ref="T813">MIN(IF((DiscreteStatsTable[GroupByKey]=DiscreteStatsTable[[#This Row],[GroupByKey]]),(DiscreteStatsTable[GroupByKey]=DiscreteStatsTable[[#This Row],[GroupByKey]])*DiscreteStatsTable[Minimum]))</f>
        <v>6.1857392610640201</v>
      </c>
      <c r="U813" s="5" cm="1">
        <f t="array" ref="U813">MAX(IF((DiscreteStatsTable[GroupByKey]=DiscreteStatsTable[[#This Row],[GroupByKey]]),(DiscreteStatsTable[GroupByKey]=DiscreteStatsTable[[#This Row],[GroupByKey]])*DiscreteStatsTable[Maximum]))</f>
        <v>12.2973900741707</v>
      </c>
      <c r="V813" s="5" cm="1">
        <f t="array" ref="V813">IFERROR(AVERAGE(IF((DiscreteStatsTable[GroupByKey]=DiscreteStatsTable[[#This Row],[GroupByKey]]),(DiscreteStatsTable[GroupByKey]=DiscreteStatsTable[[#This Row],[GroupByKey]])*DiscreteStatsTable[NumberObservations])),0)</f>
        <v>1</v>
      </c>
      <c r="W813" s="5">
        <f>IF((DiscreteStatsTable[[#This Row],[RepsRequested]]&gt;1),DiscreteStatsTable[[#This Row],[HalfWidth]],DiscreteStatsTable[[#This Row],[BatchMeansHalfWidth]])</f>
        <v>4.4000502738810683</v>
      </c>
      <c r="X813" s="5" cm="1">
        <f t="array" ref="X813">COUNT(IF((DiscreteStatsTable[GroupByKey]=DiscreteStatsTable[[#This Row],[GroupByKey]]),(DiscreteStatsTable[GroupByKey]=DiscreteStatsTable[[#This Row],[GroupByKey]])*DiscreteStatsTable[Replication]))</f>
        <v>4</v>
      </c>
      <c r="Y813" s="5">
        <f>IF(DiscreteStatsTable[[#This Row],[RepsRequested]]=DiscreteStatsTable[[#This Row],[RepsWithStatObserved]],1,0)</f>
        <v>0</v>
      </c>
    </row>
    <row r="814" spans="1:25" x14ac:dyDescent="0.25">
      <c r="A814" t="s">
        <v>67</v>
      </c>
      <c r="B814" t="s">
        <v>69</v>
      </c>
      <c r="C814">
        <v>1</v>
      </c>
      <c r="D814" t="s">
        <v>114</v>
      </c>
      <c r="E814" t="s">
        <v>107</v>
      </c>
      <c r="F814" t="s">
        <v>80</v>
      </c>
      <c r="G814">
        <v>12.691770210246</v>
      </c>
      <c r="H814">
        <v>2E+20</v>
      </c>
      <c r="I814">
        <v>0.70200058212000704</v>
      </c>
      <c r="J814">
        <v>53.985537664855997</v>
      </c>
      <c r="K814">
        <v>150</v>
      </c>
      <c r="L81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compartida)TiempoEnSistemaTodosIntervalUser Specified</v>
      </c>
      <c r="M814" s="5" cm="1">
        <f t="array" ref="M814">MAX(IF((ProjectInfoTable[ProjectName]=DiscreteStatsTable[[#This Row],[ProjectName]]),(ProjectInfoTable[ProjectName]=DiscreteStatsTable[[#This Row],[ProjectName]])*ProjectInfoTable[NumberOfReplications]))</f>
        <v>19</v>
      </c>
      <c r="N814" s="5" cm="1">
        <f t="array" ref="N814">IFERROR(AVERAGE(IF((DiscreteStatsTable[GroupByKey]=DiscreteStatsTable[[#This Row],[GroupByKey]]),(DiscreteStatsTable[GroupByKey]=DiscreteStatsTable[[#This Row],[GroupByKey]])*DiscreteStatsTable[Average])),0)</f>
        <v>6.1004830173875275</v>
      </c>
      <c r="O814" s="5" cm="1">
        <f t="array" ref="O814">IFERROR(_xlfn.STDEV.S(IF((DiscreteStatsTable[GroupByKey]=DiscreteStatsTable[[#This Row],[GroupByKey]]),(DiscreteStatsTable[GroupByKey]=DiscreteStatsTable[[#This Row],[GroupByKey]])*DiscreteStatsTable[Average])),0)</f>
        <v>1.9202776678807203</v>
      </c>
      <c r="P814" s="5" cm="1">
        <f t="array" ref="P814">MAX(IF((ProjectInfoTable[ProjectName]=DiscreteStatsTable[[#This Row],[ProjectName]]),(ProjectInfoTable[ProjectName]=DiscreteStatsTable[[#This Row],[ProjectName]])*ProjectInfoTable[ConfidenceInterval]))</f>
        <v>0.95</v>
      </c>
      <c r="Q814" s="5">
        <f>IF(AND(DiscreteStatsTable[[#This Row],[RepsWithStatObserved]]=1,Y814=0),200000000000000000000,IFERROR(_xlfn.T.INV.2T(1 -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814" s="5" cm="1">
        <f t="array" ref="R814">MIN(IF((DiscreteStatsTable[GroupByKey]=DiscreteStatsTable[[#This Row],[GroupByKey]]),(DiscreteStatsTable[GroupByKey]=DiscreteStatsTable[[#This Row],[GroupByKey]])*DiscreteStatsTable[Average]))</f>
        <v>4.4316568587741703</v>
      </c>
      <c r="S814" s="5" cm="1">
        <f t="array" ref="S814">MAX(IF((DiscreteStatsTable[GroupByKey]=DiscreteStatsTable[[#This Row],[GroupByKey]]),(DiscreteStatsTable[GroupByKey]=DiscreteStatsTable[[#This Row],[GroupByKey]])*DiscreteStatsTable[Average]))</f>
        <v>12.691770210246</v>
      </c>
      <c r="T814" s="5" cm="1">
        <f t="array" ref="T814">MIN(IF((DiscreteStatsTable[GroupByKey]=DiscreteStatsTable[[#This Row],[GroupByKey]]),(DiscreteStatsTable[GroupByKey]=DiscreteStatsTable[[#This Row],[GroupByKey]])*DiscreteStatsTable[Minimum]))</f>
        <v>0.42710492268932398</v>
      </c>
      <c r="U814" s="5" cm="1">
        <f t="array" ref="U814">MAX(IF((DiscreteStatsTable[GroupByKey]=DiscreteStatsTable[[#This Row],[GroupByKey]]),(DiscreteStatsTable[GroupByKey]=DiscreteStatsTable[[#This Row],[GroupByKey]])*DiscreteStatsTable[Maximum]))</f>
        <v>61.164243616895902</v>
      </c>
      <c r="V814" s="5" cm="1">
        <f t="array" ref="V814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14" s="5">
        <f>IF((DiscreteStatsTable[[#This Row],[RepsRequested]]&gt;1),DiscreteStatsTable[[#This Row],[HalfWidth]],DiscreteStatsTable[[#This Row],[BatchMeansHalfWidth]])</f>
        <v>0.92554420923468694</v>
      </c>
      <c r="X814" s="5" cm="1">
        <f t="array" ref="X814">COUNT(IF((DiscreteStatsTable[GroupByKey]=DiscreteStatsTable[[#This Row],[GroupByKey]]),(DiscreteStatsTable[GroupByKey]=DiscreteStatsTable[[#This Row],[GroupByKey]])*DiscreteStatsTable[Replication]))</f>
        <v>19</v>
      </c>
      <c r="Y814" s="5">
        <f>IF(DiscreteStatsTable[[#This Row],[RepsRequested]]=DiscreteStatsTable[[#This Row],[RepsWithStatObserved]],1,0)</f>
        <v>1</v>
      </c>
    </row>
    <row r="815" spans="1:25" x14ac:dyDescent="0.25">
      <c r="A815" t="s">
        <v>67</v>
      </c>
      <c r="B815" t="s">
        <v>69</v>
      </c>
      <c r="C815">
        <v>2</v>
      </c>
      <c r="D815" t="s">
        <v>114</v>
      </c>
      <c r="E815" t="s">
        <v>107</v>
      </c>
      <c r="F815" t="s">
        <v>80</v>
      </c>
      <c r="G815">
        <v>4.4316568587741703</v>
      </c>
      <c r="H815">
        <v>2E+20</v>
      </c>
      <c r="I815">
        <v>0.79935814911601699</v>
      </c>
      <c r="J815">
        <v>31.901306189863199</v>
      </c>
      <c r="K815">
        <v>109</v>
      </c>
      <c r="L81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compartida)TiempoEnSistemaTodosIntervalUser Specified</v>
      </c>
      <c r="M815" s="5" cm="1">
        <f t="array" ref="M815">MAX(IF((ProjectInfoTable[ProjectName]=DiscreteStatsTable[[#This Row],[ProjectName]]),(ProjectInfoTable[ProjectName]=DiscreteStatsTable[[#This Row],[ProjectName]])*ProjectInfoTable[NumberOfReplications]))</f>
        <v>19</v>
      </c>
      <c r="N815" s="5" cm="1">
        <f t="array" ref="N815">IFERROR(AVERAGE(IF((DiscreteStatsTable[GroupByKey]=DiscreteStatsTable[[#This Row],[GroupByKey]]),(DiscreteStatsTable[GroupByKey]=DiscreteStatsTable[[#This Row],[GroupByKey]])*DiscreteStatsTable[Average])),0)</f>
        <v>6.1004830173875275</v>
      </c>
      <c r="O815" s="5" cm="1">
        <f t="array" ref="O815">IFERROR(_xlfn.STDEV.S(IF((DiscreteStatsTable[GroupByKey]=DiscreteStatsTable[[#This Row],[GroupByKey]]),(DiscreteStatsTable[GroupByKey]=DiscreteStatsTable[[#This Row],[GroupByKey]])*DiscreteStatsTable[Average])),0)</f>
        <v>1.9202776678807203</v>
      </c>
      <c r="P815" s="5" cm="1">
        <f t="array" ref="P815">MAX(IF((ProjectInfoTable[ProjectName]=DiscreteStatsTable[[#This Row],[ProjectName]]),(ProjectInfoTable[ProjectName]=DiscreteStatsTable[[#This Row],[ProjectName]])*ProjectInfoTable[ConfidenceInterval]))</f>
        <v>0.95</v>
      </c>
      <c r="Q815" s="5">
        <f>IF(AND(DiscreteStatsTable[[#This Row],[RepsWithStatObserved]]=1,Y815=0),200000000000000000000,IFERROR(_xlfn.T.INV.2T(1 -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815" s="5" cm="1">
        <f t="array" ref="R815">MIN(IF((DiscreteStatsTable[GroupByKey]=DiscreteStatsTable[[#This Row],[GroupByKey]]),(DiscreteStatsTable[GroupByKey]=DiscreteStatsTable[[#This Row],[GroupByKey]])*DiscreteStatsTable[Average]))</f>
        <v>4.4316568587741703</v>
      </c>
      <c r="S815" s="5" cm="1">
        <f t="array" ref="S815">MAX(IF((DiscreteStatsTable[GroupByKey]=DiscreteStatsTable[[#This Row],[GroupByKey]]),(DiscreteStatsTable[GroupByKey]=DiscreteStatsTable[[#This Row],[GroupByKey]])*DiscreteStatsTable[Average]))</f>
        <v>12.691770210246</v>
      </c>
      <c r="T815" s="5" cm="1">
        <f t="array" ref="T815">MIN(IF((DiscreteStatsTable[GroupByKey]=DiscreteStatsTable[[#This Row],[GroupByKey]]),(DiscreteStatsTable[GroupByKey]=DiscreteStatsTable[[#This Row],[GroupByKey]])*DiscreteStatsTable[Minimum]))</f>
        <v>0.42710492268932398</v>
      </c>
      <c r="U815" s="5" cm="1">
        <f t="array" ref="U815">MAX(IF((DiscreteStatsTable[GroupByKey]=DiscreteStatsTable[[#This Row],[GroupByKey]]),(DiscreteStatsTable[GroupByKey]=DiscreteStatsTable[[#This Row],[GroupByKey]])*DiscreteStatsTable[Maximum]))</f>
        <v>61.164243616895902</v>
      </c>
      <c r="V815" s="5" cm="1">
        <f t="array" ref="V815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15" s="5">
        <f>IF((DiscreteStatsTable[[#This Row],[RepsRequested]]&gt;1),DiscreteStatsTable[[#This Row],[HalfWidth]],DiscreteStatsTable[[#This Row],[BatchMeansHalfWidth]])</f>
        <v>0.92554420923468694</v>
      </c>
      <c r="X815" s="5" cm="1">
        <f t="array" ref="X815">COUNT(IF((DiscreteStatsTable[GroupByKey]=DiscreteStatsTable[[#This Row],[GroupByKey]]),(DiscreteStatsTable[GroupByKey]=DiscreteStatsTable[[#This Row],[GroupByKey]])*DiscreteStatsTable[Replication]))</f>
        <v>19</v>
      </c>
      <c r="Y815" s="5">
        <f>IF(DiscreteStatsTable[[#This Row],[RepsRequested]]=DiscreteStatsTable[[#This Row],[RepsWithStatObserved]],1,0)</f>
        <v>1</v>
      </c>
    </row>
    <row r="816" spans="1:25" x14ac:dyDescent="0.25">
      <c r="A816" t="s">
        <v>67</v>
      </c>
      <c r="B816" t="s">
        <v>69</v>
      </c>
      <c r="C816">
        <v>3</v>
      </c>
      <c r="D816" t="s">
        <v>114</v>
      </c>
      <c r="E816" t="s">
        <v>107</v>
      </c>
      <c r="F816" t="s">
        <v>80</v>
      </c>
      <c r="G816">
        <v>8.7302970526223795</v>
      </c>
      <c r="H816">
        <v>2E+20</v>
      </c>
      <c r="I816">
        <v>0.76842845569436202</v>
      </c>
      <c r="J816">
        <v>61.164243616895902</v>
      </c>
      <c r="K816">
        <v>115</v>
      </c>
      <c r="L81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compartida)TiempoEnSistemaTodosIntervalUser Specified</v>
      </c>
      <c r="M816" s="5" cm="1">
        <f t="array" ref="M816">MAX(IF((ProjectInfoTable[ProjectName]=DiscreteStatsTable[[#This Row],[ProjectName]]),(ProjectInfoTable[ProjectName]=DiscreteStatsTable[[#This Row],[ProjectName]])*ProjectInfoTable[NumberOfReplications]))</f>
        <v>19</v>
      </c>
      <c r="N816" s="5" cm="1">
        <f t="array" ref="N816">IFERROR(AVERAGE(IF((DiscreteStatsTable[GroupByKey]=DiscreteStatsTable[[#This Row],[GroupByKey]]),(DiscreteStatsTable[GroupByKey]=DiscreteStatsTable[[#This Row],[GroupByKey]])*DiscreteStatsTable[Average])),0)</f>
        <v>6.1004830173875275</v>
      </c>
      <c r="O816" s="5" cm="1">
        <f t="array" ref="O816">IFERROR(_xlfn.STDEV.S(IF((DiscreteStatsTable[GroupByKey]=DiscreteStatsTable[[#This Row],[GroupByKey]]),(DiscreteStatsTable[GroupByKey]=DiscreteStatsTable[[#This Row],[GroupByKey]])*DiscreteStatsTable[Average])),0)</f>
        <v>1.9202776678807203</v>
      </c>
      <c r="P816" s="5" cm="1">
        <f t="array" ref="P816">MAX(IF((ProjectInfoTable[ProjectName]=DiscreteStatsTable[[#This Row],[ProjectName]]),(ProjectInfoTable[ProjectName]=DiscreteStatsTable[[#This Row],[ProjectName]])*ProjectInfoTable[ConfidenceInterval]))</f>
        <v>0.95</v>
      </c>
      <c r="Q816" s="5">
        <f>IF(AND(DiscreteStatsTable[[#This Row],[RepsWithStatObserved]]=1,Y816=0),200000000000000000000,IFERROR(_xlfn.T.INV.2T(1 -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816" s="5" cm="1">
        <f t="array" ref="R816">MIN(IF((DiscreteStatsTable[GroupByKey]=DiscreteStatsTable[[#This Row],[GroupByKey]]),(DiscreteStatsTable[GroupByKey]=DiscreteStatsTable[[#This Row],[GroupByKey]])*DiscreteStatsTable[Average]))</f>
        <v>4.4316568587741703</v>
      </c>
      <c r="S816" s="5" cm="1">
        <f t="array" ref="S816">MAX(IF((DiscreteStatsTable[GroupByKey]=DiscreteStatsTable[[#This Row],[GroupByKey]]),(DiscreteStatsTable[GroupByKey]=DiscreteStatsTable[[#This Row],[GroupByKey]])*DiscreteStatsTable[Average]))</f>
        <v>12.691770210246</v>
      </c>
      <c r="T816" s="5" cm="1">
        <f t="array" ref="T816">MIN(IF((DiscreteStatsTable[GroupByKey]=DiscreteStatsTable[[#This Row],[GroupByKey]]),(DiscreteStatsTable[GroupByKey]=DiscreteStatsTable[[#This Row],[GroupByKey]])*DiscreteStatsTable[Minimum]))</f>
        <v>0.42710492268932398</v>
      </c>
      <c r="U816" s="5" cm="1">
        <f t="array" ref="U816">MAX(IF((DiscreteStatsTable[GroupByKey]=DiscreteStatsTable[[#This Row],[GroupByKey]]),(DiscreteStatsTable[GroupByKey]=DiscreteStatsTable[[#This Row],[GroupByKey]])*DiscreteStatsTable[Maximum]))</f>
        <v>61.164243616895902</v>
      </c>
      <c r="V816" s="5" cm="1">
        <f t="array" ref="V816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16" s="5">
        <f>IF((DiscreteStatsTable[[#This Row],[RepsRequested]]&gt;1),DiscreteStatsTable[[#This Row],[HalfWidth]],DiscreteStatsTable[[#This Row],[BatchMeansHalfWidth]])</f>
        <v>0.92554420923468694</v>
      </c>
      <c r="X816" s="5" cm="1">
        <f t="array" ref="X816">COUNT(IF((DiscreteStatsTable[GroupByKey]=DiscreteStatsTable[[#This Row],[GroupByKey]]),(DiscreteStatsTable[GroupByKey]=DiscreteStatsTable[[#This Row],[GroupByKey]])*DiscreteStatsTable[Replication]))</f>
        <v>19</v>
      </c>
      <c r="Y816" s="5">
        <f>IF(DiscreteStatsTable[[#This Row],[RepsRequested]]=DiscreteStatsTable[[#This Row],[RepsWithStatObserved]],1,0)</f>
        <v>1</v>
      </c>
    </row>
    <row r="817" spans="1:25" x14ac:dyDescent="0.25">
      <c r="A817" t="s">
        <v>67</v>
      </c>
      <c r="B817" t="s">
        <v>69</v>
      </c>
      <c r="C817">
        <v>4</v>
      </c>
      <c r="D817" t="s">
        <v>114</v>
      </c>
      <c r="E817" t="s">
        <v>107</v>
      </c>
      <c r="F817" t="s">
        <v>80</v>
      </c>
      <c r="G817">
        <v>4.7759336557260301</v>
      </c>
      <c r="H817">
        <v>2E+20</v>
      </c>
      <c r="I817">
        <v>0.66484709423230004</v>
      </c>
      <c r="J817">
        <v>34.468258188937298</v>
      </c>
      <c r="K817">
        <v>116</v>
      </c>
      <c r="L81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compartida)TiempoEnSistemaTodosIntervalUser Specified</v>
      </c>
      <c r="M817" s="5" cm="1">
        <f t="array" ref="M817">MAX(IF((ProjectInfoTable[ProjectName]=DiscreteStatsTable[[#This Row],[ProjectName]]),(ProjectInfoTable[ProjectName]=DiscreteStatsTable[[#This Row],[ProjectName]])*ProjectInfoTable[NumberOfReplications]))</f>
        <v>19</v>
      </c>
      <c r="N817" s="5" cm="1">
        <f t="array" ref="N817">IFERROR(AVERAGE(IF((DiscreteStatsTable[GroupByKey]=DiscreteStatsTable[[#This Row],[GroupByKey]]),(DiscreteStatsTable[GroupByKey]=DiscreteStatsTable[[#This Row],[GroupByKey]])*DiscreteStatsTable[Average])),0)</f>
        <v>6.1004830173875275</v>
      </c>
      <c r="O817" s="5" cm="1">
        <f t="array" ref="O817">IFERROR(_xlfn.STDEV.S(IF((DiscreteStatsTable[GroupByKey]=DiscreteStatsTable[[#This Row],[GroupByKey]]),(DiscreteStatsTable[GroupByKey]=DiscreteStatsTable[[#This Row],[GroupByKey]])*DiscreteStatsTable[Average])),0)</f>
        <v>1.9202776678807203</v>
      </c>
      <c r="P817" s="5" cm="1">
        <f t="array" ref="P817">MAX(IF((ProjectInfoTable[ProjectName]=DiscreteStatsTable[[#This Row],[ProjectName]]),(ProjectInfoTable[ProjectName]=DiscreteStatsTable[[#This Row],[ProjectName]])*ProjectInfoTable[ConfidenceInterval]))</f>
        <v>0.95</v>
      </c>
      <c r="Q817" s="5">
        <f>IF(AND(DiscreteStatsTable[[#This Row],[RepsWithStatObserved]]=1,Y817=0),200000000000000000000,IFERROR(_xlfn.T.INV.2T(1 -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817" s="5" cm="1">
        <f t="array" ref="R817">MIN(IF((DiscreteStatsTable[GroupByKey]=DiscreteStatsTable[[#This Row],[GroupByKey]]),(DiscreteStatsTable[GroupByKey]=DiscreteStatsTable[[#This Row],[GroupByKey]])*DiscreteStatsTable[Average]))</f>
        <v>4.4316568587741703</v>
      </c>
      <c r="S817" s="5" cm="1">
        <f t="array" ref="S817">MAX(IF((DiscreteStatsTable[GroupByKey]=DiscreteStatsTable[[#This Row],[GroupByKey]]),(DiscreteStatsTable[GroupByKey]=DiscreteStatsTable[[#This Row],[GroupByKey]])*DiscreteStatsTable[Average]))</f>
        <v>12.691770210246</v>
      </c>
      <c r="T817" s="5" cm="1">
        <f t="array" ref="T817">MIN(IF((DiscreteStatsTable[GroupByKey]=DiscreteStatsTable[[#This Row],[GroupByKey]]),(DiscreteStatsTable[GroupByKey]=DiscreteStatsTable[[#This Row],[GroupByKey]])*DiscreteStatsTable[Minimum]))</f>
        <v>0.42710492268932398</v>
      </c>
      <c r="U817" s="5" cm="1">
        <f t="array" ref="U817">MAX(IF((DiscreteStatsTable[GroupByKey]=DiscreteStatsTable[[#This Row],[GroupByKey]]),(DiscreteStatsTable[GroupByKey]=DiscreteStatsTable[[#This Row],[GroupByKey]])*DiscreteStatsTable[Maximum]))</f>
        <v>61.164243616895902</v>
      </c>
      <c r="V817" s="5" cm="1">
        <f t="array" ref="V817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17" s="5">
        <f>IF((DiscreteStatsTable[[#This Row],[RepsRequested]]&gt;1),DiscreteStatsTable[[#This Row],[HalfWidth]],DiscreteStatsTable[[#This Row],[BatchMeansHalfWidth]])</f>
        <v>0.92554420923468694</v>
      </c>
      <c r="X817" s="5" cm="1">
        <f t="array" ref="X817">COUNT(IF((DiscreteStatsTable[GroupByKey]=DiscreteStatsTable[[#This Row],[GroupByKey]]),(DiscreteStatsTable[GroupByKey]=DiscreteStatsTable[[#This Row],[GroupByKey]])*DiscreteStatsTable[Replication]))</f>
        <v>19</v>
      </c>
      <c r="Y817" s="5">
        <f>IF(DiscreteStatsTable[[#This Row],[RepsRequested]]=DiscreteStatsTable[[#This Row],[RepsWithStatObserved]],1,0)</f>
        <v>1</v>
      </c>
    </row>
    <row r="818" spans="1:25" x14ac:dyDescent="0.25">
      <c r="A818" t="s">
        <v>67</v>
      </c>
      <c r="B818" t="s">
        <v>69</v>
      </c>
      <c r="C818">
        <v>5</v>
      </c>
      <c r="D818" t="s">
        <v>114</v>
      </c>
      <c r="E818" t="s">
        <v>107</v>
      </c>
      <c r="F818" t="s">
        <v>80</v>
      </c>
      <c r="G818">
        <v>4.6095490004320201</v>
      </c>
      <c r="H818">
        <v>2E+20</v>
      </c>
      <c r="I818">
        <v>0.54286746462793201</v>
      </c>
      <c r="J818">
        <v>33.053883639485001</v>
      </c>
      <c r="K818">
        <v>129</v>
      </c>
      <c r="L81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compartida)TiempoEnSistemaTodosIntervalUser Specified</v>
      </c>
      <c r="M818" s="5" cm="1">
        <f t="array" ref="M818">MAX(IF((ProjectInfoTable[ProjectName]=DiscreteStatsTable[[#This Row],[ProjectName]]),(ProjectInfoTable[ProjectName]=DiscreteStatsTable[[#This Row],[ProjectName]])*ProjectInfoTable[NumberOfReplications]))</f>
        <v>19</v>
      </c>
      <c r="N818" s="5" cm="1">
        <f t="array" ref="N818">IFERROR(AVERAGE(IF((DiscreteStatsTable[GroupByKey]=DiscreteStatsTable[[#This Row],[GroupByKey]]),(DiscreteStatsTable[GroupByKey]=DiscreteStatsTable[[#This Row],[GroupByKey]])*DiscreteStatsTable[Average])),0)</f>
        <v>6.1004830173875275</v>
      </c>
      <c r="O818" s="5" cm="1">
        <f t="array" ref="O818">IFERROR(_xlfn.STDEV.S(IF((DiscreteStatsTable[GroupByKey]=DiscreteStatsTable[[#This Row],[GroupByKey]]),(DiscreteStatsTable[GroupByKey]=DiscreteStatsTable[[#This Row],[GroupByKey]])*DiscreteStatsTable[Average])),0)</f>
        <v>1.9202776678807203</v>
      </c>
      <c r="P818" s="5" cm="1">
        <f t="array" ref="P818">MAX(IF((ProjectInfoTable[ProjectName]=DiscreteStatsTable[[#This Row],[ProjectName]]),(ProjectInfoTable[ProjectName]=DiscreteStatsTable[[#This Row],[ProjectName]])*ProjectInfoTable[ConfidenceInterval]))</f>
        <v>0.95</v>
      </c>
      <c r="Q818" s="5">
        <f>IF(AND(DiscreteStatsTable[[#This Row],[RepsWithStatObserved]]=1,Y818=0),200000000000000000000,IFERROR(_xlfn.T.INV.2T(1 -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818" s="5" cm="1">
        <f t="array" ref="R818">MIN(IF((DiscreteStatsTable[GroupByKey]=DiscreteStatsTable[[#This Row],[GroupByKey]]),(DiscreteStatsTable[GroupByKey]=DiscreteStatsTable[[#This Row],[GroupByKey]])*DiscreteStatsTable[Average]))</f>
        <v>4.4316568587741703</v>
      </c>
      <c r="S818" s="5" cm="1">
        <f t="array" ref="S818">MAX(IF((DiscreteStatsTable[GroupByKey]=DiscreteStatsTable[[#This Row],[GroupByKey]]),(DiscreteStatsTable[GroupByKey]=DiscreteStatsTable[[#This Row],[GroupByKey]])*DiscreteStatsTable[Average]))</f>
        <v>12.691770210246</v>
      </c>
      <c r="T818" s="5" cm="1">
        <f t="array" ref="T818">MIN(IF((DiscreteStatsTable[GroupByKey]=DiscreteStatsTable[[#This Row],[GroupByKey]]),(DiscreteStatsTable[GroupByKey]=DiscreteStatsTable[[#This Row],[GroupByKey]])*DiscreteStatsTable[Minimum]))</f>
        <v>0.42710492268932398</v>
      </c>
      <c r="U818" s="5" cm="1">
        <f t="array" ref="U818">MAX(IF((DiscreteStatsTable[GroupByKey]=DiscreteStatsTable[[#This Row],[GroupByKey]]),(DiscreteStatsTable[GroupByKey]=DiscreteStatsTable[[#This Row],[GroupByKey]])*DiscreteStatsTable[Maximum]))</f>
        <v>61.164243616895902</v>
      </c>
      <c r="V818" s="5" cm="1">
        <f t="array" ref="V818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18" s="5">
        <f>IF((DiscreteStatsTable[[#This Row],[RepsRequested]]&gt;1),DiscreteStatsTable[[#This Row],[HalfWidth]],DiscreteStatsTable[[#This Row],[BatchMeansHalfWidth]])</f>
        <v>0.92554420923468694</v>
      </c>
      <c r="X818" s="5" cm="1">
        <f t="array" ref="X818">COUNT(IF((DiscreteStatsTable[GroupByKey]=DiscreteStatsTable[[#This Row],[GroupByKey]]),(DiscreteStatsTable[GroupByKey]=DiscreteStatsTable[[#This Row],[GroupByKey]])*DiscreteStatsTable[Replication]))</f>
        <v>19</v>
      </c>
      <c r="Y818" s="5">
        <f>IF(DiscreteStatsTable[[#This Row],[RepsRequested]]=DiscreteStatsTable[[#This Row],[RepsWithStatObserved]],1,0)</f>
        <v>1</v>
      </c>
    </row>
    <row r="819" spans="1:25" x14ac:dyDescent="0.25">
      <c r="A819" t="s">
        <v>67</v>
      </c>
      <c r="B819" t="s">
        <v>69</v>
      </c>
      <c r="C819">
        <v>6</v>
      </c>
      <c r="D819" t="s">
        <v>114</v>
      </c>
      <c r="E819" t="s">
        <v>107</v>
      </c>
      <c r="F819" t="s">
        <v>80</v>
      </c>
      <c r="G819">
        <v>4.85694996673445</v>
      </c>
      <c r="H819">
        <v>2E+20</v>
      </c>
      <c r="I819">
        <v>0.53277804786901595</v>
      </c>
      <c r="J819">
        <v>31.333361577483</v>
      </c>
      <c r="K819">
        <v>117</v>
      </c>
      <c r="L81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compartida)TiempoEnSistemaTodosIntervalUser Specified</v>
      </c>
      <c r="M819" s="5" cm="1">
        <f t="array" ref="M819">MAX(IF((ProjectInfoTable[ProjectName]=DiscreteStatsTable[[#This Row],[ProjectName]]),(ProjectInfoTable[ProjectName]=DiscreteStatsTable[[#This Row],[ProjectName]])*ProjectInfoTable[NumberOfReplications]))</f>
        <v>19</v>
      </c>
      <c r="N819" s="5" cm="1">
        <f t="array" ref="N819">IFERROR(AVERAGE(IF((DiscreteStatsTable[GroupByKey]=DiscreteStatsTable[[#This Row],[GroupByKey]]),(DiscreteStatsTable[GroupByKey]=DiscreteStatsTable[[#This Row],[GroupByKey]])*DiscreteStatsTable[Average])),0)</f>
        <v>6.1004830173875275</v>
      </c>
      <c r="O819" s="5" cm="1">
        <f t="array" ref="O819">IFERROR(_xlfn.STDEV.S(IF((DiscreteStatsTable[GroupByKey]=DiscreteStatsTable[[#This Row],[GroupByKey]]),(DiscreteStatsTable[GroupByKey]=DiscreteStatsTable[[#This Row],[GroupByKey]])*DiscreteStatsTable[Average])),0)</f>
        <v>1.9202776678807203</v>
      </c>
      <c r="P819" s="5" cm="1">
        <f t="array" ref="P819">MAX(IF((ProjectInfoTable[ProjectName]=DiscreteStatsTable[[#This Row],[ProjectName]]),(ProjectInfoTable[ProjectName]=DiscreteStatsTable[[#This Row],[ProjectName]])*ProjectInfoTable[ConfidenceInterval]))</f>
        <v>0.95</v>
      </c>
      <c r="Q819" s="5">
        <f>IF(AND(DiscreteStatsTable[[#This Row],[RepsWithStatObserved]]=1,Y819=0),200000000000000000000,IFERROR(_xlfn.T.INV.2T(1 -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819" s="5" cm="1">
        <f t="array" ref="R819">MIN(IF((DiscreteStatsTable[GroupByKey]=DiscreteStatsTable[[#This Row],[GroupByKey]]),(DiscreteStatsTable[GroupByKey]=DiscreteStatsTable[[#This Row],[GroupByKey]])*DiscreteStatsTable[Average]))</f>
        <v>4.4316568587741703</v>
      </c>
      <c r="S819" s="5" cm="1">
        <f t="array" ref="S819">MAX(IF((DiscreteStatsTable[GroupByKey]=DiscreteStatsTable[[#This Row],[GroupByKey]]),(DiscreteStatsTable[GroupByKey]=DiscreteStatsTable[[#This Row],[GroupByKey]])*DiscreteStatsTable[Average]))</f>
        <v>12.691770210246</v>
      </c>
      <c r="T819" s="5" cm="1">
        <f t="array" ref="T819">MIN(IF((DiscreteStatsTable[GroupByKey]=DiscreteStatsTable[[#This Row],[GroupByKey]]),(DiscreteStatsTable[GroupByKey]=DiscreteStatsTable[[#This Row],[GroupByKey]])*DiscreteStatsTable[Minimum]))</f>
        <v>0.42710492268932398</v>
      </c>
      <c r="U819" s="5" cm="1">
        <f t="array" ref="U819">MAX(IF((DiscreteStatsTable[GroupByKey]=DiscreteStatsTable[[#This Row],[GroupByKey]]),(DiscreteStatsTable[GroupByKey]=DiscreteStatsTable[[#This Row],[GroupByKey]])*DiscreteStatsTable[Maximum]))</f>
        <v>61.164243616895902</v>
      </c>
      <c r="V819" s="5" cm="1">
        <f t="array" ref="V819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19" s="5">
        <f>IF((DiscreteStatsTable[[#This Row],[RepsRequested]]&gt;1),DiscreteStatsTable[[#This Row],[HalfWidth]],DiscreteStatsTable[[#This Row],[BatchMeansHalfWidth]])</f>
        <v>0.92554420923468694</v>
      </c>
      <c r="X819" s="5" cm="1">
        <f t="array" ref="X819">COUNT(IF((DiscreteStatsTable[GroupByKey]=DiscreteStatsTable[[#This Row],[GroupByKey]]),(DiscreteStatsTable[GroupByKey]=DiscreteStatsTable[[#This Row],[GroupByKey]])*DiscreteStatsTable[Replication]))</f>
        <v>19</v>
      </c>
      <c r="Y819" s="5">
        <f>IF(DiscreteStatsTable[[#This Row],[RepsRequested]]=DiscreteStatsTable[[#This Row],[RepsWithStatObserved]],1,0)</f>
        <v>1</v>
      </c>
    </row>
    <row r="820" spans="1:25" x14ac:dyDescent="0.25">
      <c r="A820" t="s">
        <v>67</v>
      </c>
      <c r="B820" t="s">
        <v>69</v>
      </c>
      <c r="C820">
        <v>7</v>
      </c>
      <c r="D820" t="s">
        <v>114</v>
      </c>
      <c r="E820" t="s">
        <v>107</v>
      </c>
      <c r="F820" t="s">
        <v>80</v>
      </c>
      <c r="G820">
        <v>5.4218972748640004</v>
      </c>
      <c r="H820">
        <v>2E+20</v>
      </c>
      <c r="I820">
        <v>0.53262100124479195</v>
      </c>
      <c r="J820">
        <v>31.217607833439502</v>
      </c>
      <c r="K820">
        <v>112</v>
      </c>
      <c r="L82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compartida)TiempoEnSistemaTodosIntervalUser Specified</v>
      </c>
      <c r="M820" s="5" cm="1">
        <f t="array" ref="M820">MAX(IF((ProjectInfoTable[ProjectName]=DiscreteStatsTable[[#This Row],[ProjectName]]),(ProjectInfoTable[ProjectName]=DiscreteStatsTable[[#This Row],[ProjectName]])*ProjectInfoTable[NumberOfReplications]))</f>
        <v>19</v>
      </c>
      <c r="N820" s="5" cm="1">
        <f t="array" ref="N820">IFERROR(AVERAGE(IF((DiscreteStatsTable[GroupByKey]=DiscreteStatsTable[[#This Row],[GroupByKey]]),(DiscreteStatsTable[GroupByKey]=DiscreteStatsTable[[#This Row],[GroupByKey]])*DiscreteStatsTable[Average])),0)</f>
        <v>6.1004830173875275</v>
      </c>
      <c r="O820" s="5" cm="1">
        <f t="array" ref="O820">IFERROR(_xlfn.STDEV.S(IF((DiscreteStatsTable[GroupByKey]=DiscreteStatsTable[[#This Row],[GroupByKey]]),(DiscreteStatsTable[GroupByKey]=DiscreteStatsTable[[#This Row],[GroupByKey]])*DiscreteStatsTable[Average])),0)</f>
        <v>1.9202776678807203</v>
      </c>
      <c r="P820" s="5" cm="1">
        <f t="array" ref="P820">MAX(IF((ProjectInfoTable[ProjectName]=DiscreteStatsTable[[#This Row],[ProjectName]]),(ProjectInfoTable[ProjectName]=DiscreteStatsTable[[#This Row],[ProjectName]])*ProjectInfoTable[ConfidenceInterval]))</f>
        <v>0.95</v>
      </c>
      <c r="Q820" s="5">
        <f>IF(AND(DiscreteStatsTable[[#This Row],[RepsWithStatObserved]]=1,Y820=0),200000000000000000000,IFERROR(_xlfn.T.INV.2T(1 -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820" s="5" cm="1">
        <f t="array" ref="R820">MIN(IF((DiscreteStatsTable[GroupByKey]=DiscreteStatsTable[[#This Row],[GroupByKey]]),(DiscreteStatsTable[GroupByKey]=DiscreteStatsTable[[#This Row],[GroupByKey]])*DiscreteStatsTable[Average]))</f>
        <v>4.4316568587741703</v>
      </c>
      <c r="S820" s="5" cm="1">
        <f t="array" ref="S820">MAX(IF((DiscreteStatsTable[GroupByKey]=DiscreteStatsTable[[#This Row],[GroupByKey]]),(DiscreteStatsTable[GroupByKey]=DiscreteStatsTable[[#This Row],[GroupByKey]])*DiscreteStatsTable[Average]))</f>
        <v>12.691770210246</v>
      </c>
      <c r="T820" s="5" cm="1">
        <f t="array" ref="T820">MIN(IF((DiscreteStatsTable[GroupByKey]=DiscreteStatsTable[[#This Row],[GroupByKey]]),(DiscreteStatsTable[GroupByKey]=DiscreteStatsTable[[#This Row],[GroupByKey]])*DiscreteStatsTable[Minimum]))</f>
        <v>0.42710492268932398</v>
      </c>
      <c r="U820" s="5" cm="1">
        <f t="array" ref="U820">MAX(IF((DiscreteStatsTable[GroupByKey]=DiscreteStatsTable[[#This Row],[GroupByKey]]),(DiscreteStatsTable[GroupByKey]=DiscreteStatsTable[[#This Row],[GroupByKey]])*DiscreteStatsTable[Maximum]))</f>
        <v>61.164243616895902</v>
      </c>
      <c r="V820" s="5" cm="1">
        <f t="array" ref="V820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20" s="5">
        <f>IF((DiscreteStatsTable[[#This Row],[RepsRequested]]&gt;1),DiscreteStatsTable[[#This Row],[HalfWidth]],DiscreteStatsTable[[#This Row],[BatchMeansHalfWidth]])</f>
        <v>0.92554420923468694</v>
      </c>
      <c r="X820" s="5" cm="1">
        <f t="array" ref="X820">COUNT(IF((DiscreteStatsTable[GroupByKey]=DiscreteStatsTable[[#This Row],[GroupByKey]]),(DiscreteStatsTable[GroupByKey]=DiscreteStatsTable[[#This Row],[GroupByKey]])*DiscreteStatsTable[Replication]))</f>
        <v>19</v>
      </c>
      <c r="Y820" s="5">
        <f>IF(DiscreteStatsTable[[#This Row],[RepsRequested]]=DiscreteStatsTable[[#This Row],[RepsWithStatObserved]],1,0)</f>
        <v>1</v>
      </c>
    </row>
    <row r="821" spans="1:25" x14ac:dyDescent="0.25">
      <c r="A821" t="s">
        <v>67</v>
      </c>
      <c r="B821" t="s">
        <v>69</v>
      </c>
      <c r="C821">
        <v>8</v>
      </c>
      <c r="D821" t="s">
        <v>114</v>
      </c>
      <c r="E821" t="s">
        <v>107</v>
      </c>
      <c r="F821" t="s">
        <v>80</v>
      </c>
      <c r="G821">
        <v>5.8965473384769904</v>
      </c>
      <c r="H821">
        <v>2E+20</v>
      </c>
      <c r="I821">
        <v>0.68529338576375698</v>
      </c>
      <c r="J821">
        <v>32.632046658621903</v>
      </c>
      <c r="K821">
        <v>135</v>
      </c>
      <c r="L82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compartida)TiempoEnSistemaTodosIntervalUser Specified</v>
      </c>
      <c r="M821" s="5" cm="1">
        <f t="array" ref="M821">MAX(IF((ProjectInfoTable[ProjectName]=DiscreteStatsTable[[#This Row],[ProjectName]]),(ProjectInfoTable[ProjectName]=DiscreteStatsTable[[#This Row],[ProjectName]])*ProjectInfoTable[NumberOfReplications]))</f>
        <v>19</v>
      </c>
      <c r="N821" s="5" cm="1">
        <f t="array" ref="N821">IFERROR(AVERAGE(IF((DiscreteStatsTable[GroupByKey]=DiscreteStatsTable[[#This Row],[GroupByKey]]),(DiscreteStatsTable[GroupByKey]=DiscreteStatsTable[[#This Row],[GroupByKey]])*DiscreteStatsTable[Average])),0)</f>
        <v>6.1004830173875275</v>
      </c>
      <c r="O821" s="5" cm="1">
        <f t="array" ref="O821">IFERROR(_xlfn.STDEV.S(IF((DiscreteStatsTable[GroupByKey]=DiscreteStatsTable[[#This Row],[GroupByKey]]),(DiscreteStatsTable[GroupByKey]=DiscreteStatsTable[[#This Row],[GroupByKey]])*DiscreteStatsTable[Average])),0)</f>
        <v>1.9202776678807203</v>
      </c>
      <c r="P821" s="5" cm="1">
        <f t="array" ref="P821">MAX(IF((ProjectInfoTable[ProjectName]=DiscreteStatsTable[[#This Row],[ProjectName]]),(ProjectInfoTable[ProjectName]=DiscreteStatsTable[[#This Row],[ProjectName]])*ProjectInfoTable[ConfidenceInterval]))</f>
        <v>0.95</v>
      </c>
      <c r="Q821" s="5">
        <f>IF(AND(DiscreteStatsTable[[#This Row],[RepsWithStatObserved]]=1,Y821=0),200000000000000000000,IFERROR(_xlfn.T.INV.2T(1 -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821" s="5" cm="1">
        <f t="array" ref="R821">MIN(IF((DiscreteStatsTable[GroupByKey]=DiscreteStatsTable[[#This Row],[GroupByKey]]),(DiscreteStatsTable[GroupByKey]=DiscreteStatsTable[[#This Row],[GroupByKey]])*DiscreteStatsTable[Average]))</f>
        <v>4.4316568587741703</v>
      </c>
      <c r="S821" s="5" cm="1">
        <f t="array" ref="S821">MAX(IF((DiscreteStatsTable[GroupByKey]=DiscreteStatsTable[[#This Row],[GroupByKey]]),(DiscreteStatsTable[GroupByKey]=DiscreteStatsTable[[#This Row],[GroupByKey]])*DiscreteStatsTable[Average]))</f>
        <v>12.691770210246</v>
      </c>
      <c r="T821" s="5" cm="1">
        <f t="array" ref="T821">MIN(IF((DiscreteStatsTable[GroupByKey]=DiscreteStatsTable[[#This Row],[GroupByKey]]),(DiscreteStatsTable[GroupByKey]=DiscreteStatsTable[[#This Row],[GroupByKey]])*DiscreteStatsTable[Minimum]))</f>
        <v>0.42710492268932398</v>
      </c>
      <c r="U821" s="5" cm="1">
        <f t="array" ref="U821">MAX(IF((DiscreteStatsTable[GroupByKey]=DiscreteStatsTable[[#This Row],[GroupByKey]]),(DiscreteStatsTable[GroupByKey]=DiscreteStatsTable[[#This Row],[GroupByKey]])*DiscreteStatsTable[Maximum]))</f>
        <v>61.164243616895902</v>
      </c>
      <c r="V821" s="5" cm="1">
        <f t="array" ref="V821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21" s="5">
        <f>IF((DiscreteStatsTable[[#This Row],[RepsRequested]]&gt;1),DiscreteStatsTable[[#This Row],[HalfWidth]],DiscreteStatsTable[[#This Row],[BatchMeansHalfWidth]])</f>
        <v>0.92554420923468694</v>
      </c>
      <c r="X821" s="5" cm="1">
        <f t="array" ref="X821">COUNT(IF((DiscreteStatsTable[GroupByKey]=DiscreteStatsTable[[#This Row],[GroupByKey]]),(DiscreteStatsTable[GroupByKey]=DiscreteStatsTable[[#This Row],[GroupByKey]])*DiscreteStatsTable[Replication]))</f>
        <v>19</v>
      </c>
      <c r="Y821" s="5">
        <f>IF(DiscreteStatsTable[[#This Row],[RepsRequested]]=DiscreteStatsTable[[#This Row],[RepsWithStatObserved]],1,0)</f>
        <v>1</v>
      </c>
    </row>
    <row r="822" spans="1:25" x14ac:dyDescent="0.25">
      <c r="A822" t="s">
        <v>67</v>
      </c>
      <c r="B822" t="s">
        <v>69</v>
      </c>
      <c r="C822">
        <v>9</v>
      </c>
      <c r="D822" t="s">
        <v>114</v>
      </c>
      <c r="E822" t="s">
        <v>107</v>
      </c>
      <c r="F822" t="s">
        <v>80</v>
      </c>
      <c r="G822">
        <v>5.63039811192073</v>
      </c>
      <c r="H822">
        <v>2E+20</v>
      </c>
      <c r="I822">
        <v>0.74864526886420901</v>
      </c>
      <c r="J822">
        <v>33.450755225246603</v>
      </c>
      <c r="K822">
        <v>114</v>
      </c>
      <c r="L82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compartida)TiempoEnSistemaTodosIntervalUser Specified</v>
      </c>
      <c r="M822" s="5" cm="1">
        <f t="array" ref="M822">MAX(IF((ProjectInfoTable[ProjectName]=DiscreteStatsTable[[#This Row],[ProjectName]]),(ProjectInfoTable[ProjectName]=DiscreteStatsTable[[#This Row],[ProjectName]])*ProjectInfoTable[NumberOfReplications]))</f>
        <v>19</v>
      </c>
      <c r="N822" s="5" cm="1">
        <f t="array" ref="N822">IFERROR(AVERAGE(IF((DiscreteStatsTable[GroupByKey]=DiscreteStatsTable[[#This Row],[GroupByKey]]),(DiscreteStatsTable[GroupByKey]=DiscreteStatsTable[[#This Row],[GroupByKey]])*DiscreteStatsTable[Average])),0)</f>
        <v>6.1004830173875275</v>
      </c>
      <c r="O822" s="5" cm="1">
        <f t="array" ref="O822">IFERROR(_xlfn.STDEV.S(IF((DiscreteStatsTable[GroupByKey]=DiscreteStatsTable[[#This Row],[GroupByKey]]),(DiscreteStatsTable[GroupByKey]=DiscreteStatsTable[[#This Row],[GroupByKey]])*DiscreteStatsTable[Average])),0)</f>
        <v>1.9202776678807203</v>
      </c>
      <c r="P822" s="5" cm="1">
        <f t="array" ref="P822">MAX(IF((ProjectInfoTable[ProjectName]=DiscreteStatsTable[[#This Row],[ProjectName]]),(ProjectInfoTable[ProjectName]=DiscreteStatsTable[[#This Row],[ProjectName]])*ProjectInfoTable[ConfidenceInterval]))</f>
        <v>0.95</v>
      </c>
      <c r="Q822" s="5">
        <f>IF(AND(DiscreteStatsTable[[#This Row],[RepsWithStatObserved]]=1,Y822=0),200000000000000000000,IFERROR(_xlfn.T.INV.2T(1 -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822" s="5" cm="1">
        <f t="array" ref="R822">MIN(IF((DiscreteStatsTable[GroupByKey]=DiscreteStatsTable[[#This Row],[GroupByKey]]),(DiscreteStatsTable[GroupByKey]=DiscreteStatsTable[[#This Row],[GroupByKey]])*DiscreteStatsTable[Average]))</f>
        <v>4.4316568587741703</v>
      </c>
      <c r="S822" s="5" cm="1">
        <f t="array" ref="S822">MAX(IF((DiscreteStatsTable[GroupByKey]=DiscreteStatsTable[[#This Row],[GroupByKey]]),(DiscreteStatsTable[GroupByKey]=DiscreteStatsTable[[#This Row],[GroupByKey]])*DiscreteStatsTable[Average]))</f>
        <v>12.691770210246</v>
      </c>
      <c r="T822" s="5" cm="1">
        <f t="array" ref="T822">MIN(IF((DiscreteStatsTable[GroupByKey]=DiscreteStatsTable[[#This Row],[GroupByKey]]),(DiscreteStatsTable[GroupByKey]=DiscreteStatsTable[[#This Row],[GroupByKey]])*DiscreteStatsTable[Minimum]))</f>
        <v>0.42710492268932398</v>
      </c>
      <c r="U822" s="5" cm="1">
        <f t="array" ref="U822">MAX(IF((DiscreteStatsTable[GroupByKey]=DiscreteStatsTable[[#This Row],[GroupByKey]]),(DiscreteStatsTable[GroupByKey]=DiscreteStatsTable[[#This Row],[GroupByKey]])*DiscreteStatsTable[Maximum]))</f>
        <v>61.164243616895902</v>
      </c>
      <c r="V822" s="5" cm="1">
        <f t="array" ref="V822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22" s="5">
        <f>IF((DiscreteStatsTable[[#This Row],[RepsRequested]]&gt;1),DiscreteStatsTable[[#This Row],[HalfWidth]],DiscreteStatsTable[[#This Row],[BatchMeansHalfWidth]])</f>
        <v>0.92554420923468694</v>
      </c>
      <c r="X822" s="5" cm="1">
        <f t="array" ref="X822">COUNT(IF((DiscreteStatsTable[GroupByKey]=DiscreteStatsTable[[#This Row],[GroupByKey]]),(DiscreteStatsTable[GroupByKey]=DiscreteStatsTable[[#This Row],[GroupByKey]])*DiscreteStatsTable[Replication]))</f>
        <v>19</v>
      </c>
      <c r="Y822" s="5">
        <f>IF(DiscreteStatsTable[[#This Row],[RepsRequested]]=DiscreteStatsTable[[#This Row],[RepsWithStatObserved]],1,0)</f>
        <v>1</v>
      </c>
    </row>
    <row r="823" spans="1:25" x14ac:dyDescent="0.25">
      <c r="A823" t="s">
        <v>67</v>
      </c>
      <c r="B823" t="s">
        <v>69</v>
      </c>
      <c r="C823">
        <v>10</v>
      </c>
      <c r="D823" t="s">
        <v>114</v>
      </c>
      <c r="E823" t="s">
        <v>107</v>
      </c>
      <c r="F823" t="s">
        <v>80</v>
      </c>
      <c r="G823">
        <v>7.7213538413687797</v>
      </c>
      <c r="H823">
        <v>2E+20</v>
      </c>
      <c r="I823">
        <v>0.59592264307153198</v>
      </c>
      <c r="J823">
        <v>35.522485212755001</v>
      </c>
      <c r="K823">
        <v>116</v>
      </c>
      <c r="L82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compartida)TiempoEnSistemaTodosIntervalUser Specified</v>
      </c>
      <c r="M823" s="5" cm="1">
        <f t="array" ref="M823">MAX(IF((ProjectInfoTable[ProjectName]=DiscreteStatsTable[[#This Row],[ProjectName]]),(ProjectInfoTable[ProjectName]=DiscreteStatsTable[[#This Row],[ProjectName]])*ProjectInfoTable[NumberOfReplications]))</f>
        <v>19</v>
      </c>
      <c r="N823" s="5" cm="1">
        <f t="array" ref="N823">IFERROR(AVERAGE(IF((DiscreteStatsTable[GroupByKey]=DiscreteStatsTable[[#This Row],[GroupByKey]]),(DiscreteStatsTable[GroupByKey]=DiscreteStatsTable[[#This Row],[GroupByKey]])*DiscreteStatsTable[Average])),0)</f>
        <v>6.1004830173875275</v>
      </c>
      <c r="O823" s="5" cm="1">
        <f t="array" ref="O823">IFERROR(_xlfn.STDEV.S(IF((DiscreteStatsTable[GroupByKey]=DiscreteStatsTable[[#This Row],[GroupByKey]]),(DiscreteStatsTable[GroupByKey]=DiscreteStatsTable[[#This Row],[GroupByKey]])*DiscreteStatsTable[Average])),0)</f>
        <v>1.9202776678807203</v>
      </c>
      <c r="P823" s="5" cm="1">
        <f t="array" ref="P823">MAX(IF((ProjectInfoTable[ProjectName]=DiscreteStatsTable[[#This Row],[ProjectName]]),(ProjectInfoTable[ProjectName]=DiscreteStatsTable[[#This Row],[ProjectName]])*ProjectInfoTable[ConfidenceInterval]))</f>
        <v>0.95</v>
      </c>
      <c r="Q823" s="5">
        <f>IF(AND(DiscreteStatsTable[[#This Row],[RepsWithStatObserved]]=1,Y823=0),200000000000000000000,IFERROR(_xlfn.T.INV.2T(1 -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823" s="5" cm="1">
        <f t="array" ref="R823">MIN(IF((DiscreteStatsTable[GroupByKey]=DiscreteStatsTable[[#This Row],[GroupByKey]]),(DiscreteStatsTable[GroupByKey]=DiscreteStatsTable[[#This Row],[GroupByKey]])*DiscreteStatsTable[Average]))</f>
        <v>4.4316568587741703</v>
      </c>
      <c r="S823" s="5" cm="1">
        <f t="array" ref="S823">MAX(IF((DiscreteStatsTable[GroupByKey]=DiscreteStatsTable[[#This Row],[GroupByKey]]),(DiscreteStatsTable[GroupByKey]=DiscreteStatsTable[[#This Row],[GroupByKey]])*DiscreteStatsTable[Average]))</f>
        <v>12.691770210246</v>
      </c>
      <c r="T823" s="5" cm="1">
        <f t="array" ref="T823">MIN(IF((DiscreteStatsTable[GroupByKey]=DiscreteStatsTable[[#This Row],[GroupByKey]]),(DiscreteStatsTable[GroupByKey]=DiscreteStatsTable[[#This Row],[GroupByKey]])*DiscreteStatsTable[Minimum]))</f>
        <v>0.42710492268932398</v>
      </c>
      <c r="U823" s="5" cm="1">
        <f t="array" ref="U823">MAX(IF((DiscreteStatsTable[GroupByKey]=DiscreteStatsTable[[#This Row],[GroupByKey]]),(DiscreteStatsTable[GroupByKey]=DiscreteStatsTable[[#This Row],[GroupByKey]])*DiscreteStatsTable[Maximum]))</f>
        <v>61.164243616895902</v>
      </c>
      <c r="V823" s="5" cm="1">
        <f t="array" ref="V823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23" s="5">
        <f>IF((DiscreteStatsTable[[#This Row],[RepsRequested]]&gt;1),DiscreteStatsTable[[#This Row],[HalfWidth]],DiscreteStatsTable[[#This Row],[BatchMeansHalfWidth]])</f>
        <v>0.92554420923468694</v>
      </c>
      <c r="X823" s="5" cm="1">
        <f t="array" ref="X823">COUNT(IF((DiscreteStatsTable[GroupByKey]=DiscreteStatsTable[[#This Row],[GroupByKey]]),(DiscreteStatsTable[GroupByKey]=DiscreteStatsTable[[#This Row],[GroupByKey]])*DiscreteStatsTable[Replication]))</f>
        <v>19</v>
      </c>
      <c r="Y823" s="5">
        <f>IF(DiscreteStatsTable[[#This Row],[RepsRequested]]=DiscreteStatsTable[[#This Row],[RepsWithStatObserved]],1,0)</f>
        <v>1</v>
      </c>
    </row>
    <row r="824" spans="1:25" x14ac:dyDescent="0.25">
      <c r="A824" t="s">
        <v>67</v>
      </c>
      <c r="B824" t="s">
        <v>69</v>
      </c>
      <c r="C824">
        <v>11</v>
      </c>
      <c r="D824" t="s">
        <v>114</v>
      </c>
      <c r="E824" t="s">
        <v>107</v>
      </c>
      <c r="F824" t="s">
        <v>80</v>
      </c>
      <c r="G824">
        <v>5.9000606491422101</v>
      </c>
      <c r="H824">
        <v>2E+20</v>
      </c>
      <c r="I824">
        <v>0.79935237358711198</v>
      </c>
      <c r="J824">
        <v>42.017600569038599</v>
      </c>
      <c r="K824">
        <v>115</v>
      </c>
      <c r="L82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compartida)TiempoEnSistemaTodosIntervalUser Specified</v>
      </c>
      <c r="M824" s="5" cm="1">
        <f t="array" ref="M824">MAX(IF((ProjectInfoTable[ProjectName]=DiscreteStatsTable[[#This Row],[ProjectName]]),(ProjectInfoTable[ProjectName]=DiscreteStatsTable[[#This Row],[ProjectName]])*ProjectInfoTable[NumberOfReplications]))</f>
        <v>19</v>
      </c>
      <c r="N824" s="5" cm="1">
        <f t="array" ref="N824">IFERROR(AVERAGE(IF((DiscreteStatsTable[GroupByKey]=DiscreteStatsTable[[#This Row],[GroupByKey]]),(DiscreteStatsTable[GroupByKey]=DiscreteStatsTable[[#This Row],[GroupByKey]])*DiscreteStatsTable[Average])),0)</f>
        <v>6.1004830173875275</v>
      </c>
      <c r="O824" s="5" cm="1">
        <f t="array" ref="O824">IFERROR(_xlfn.STDEV.S(IF((DiscreteStatsTable[GroupByKey]=DiscreteStatsTable[[#This Row],[GroupByKey]]),(DiscreteStatsTable[GroupByKey]=DiscreteStatsTable[[#This Row],[GroupByKey]])*DiscreteStatsTable[Average])),0)</f>
        <v>1.9202776678807203</v>
      </c>
      <c r="P824" s="5" cm="1">
        <f t="array" ref="P824">MAX(IF((ProjectInfoTable[ProjectName]=DiscreteStatsTable[[#This Row],[ProjectName]]),(ProjectInfoTable[ProjectName]=DiscreteStatsTable[[#This Row],[ProjectName]])*ProjectInfoTable[ConfidenceInterval]))</f>
        <v>0.95</v>
      </c>
      <c r="Q824" s="5">
        <f>IF(AND(DiscreteStatsTable[[#This Row],[RepsWithStatObserved]]=1,Y824=0),200000000000000000000,IFERROR(_xlfn.T.INV.2T(1 -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824" s="5" cm="1">
        <f t="array" ref="R824">MIN(IF((DiscreteStatsTable[GroupByKey]=DiscreteStatsTable[[#This Row],[GroupByKey]]),(DiscreteStatsTable[GroupByKey]=DiscreteStatsTable[[#This Row],[GroupByKey]])*DiscreteStatsTable[Average]))</f>
        <v>4.4316568587741703</v>
      </c>
      <c r="S824" s="5" cm="1">
        <f t="array" ref="S824">MAX(IF((DiscreteStatsTable[GroupByKey]=DiscreteStatsTable[[#This Row],[GroupByKey]]),(DiscreteStatsTable[GroupByKey]=DiscreteStatsTable[[#This Row],[GroupByKey]])*DiscreteStatsTable[Average]))</f>
        <v>12.691770210246</v>
      </c>
      <c r="T824" s="5" cm="1">
        <f t="array" ref="T824">MIN(IF((DiscreteStatsTable[GroupByKey]=DiscreteStatsTable[[#This Row],[GroupByKey]]),(DiscreteStatsTable[GroupByKey]=DiscreteStatsTable[[#This Row],[GroupByKey]])*DiscreteStatsTable[Minimum]))</f>
        <v>0.42710492268932398</v>
      </c>
      <c r="U824" s="5" cm="1">
        <f t="array" ref="U824">MAX(IF((DiscreteStatsTable[GroupByKey]=DiscreteStatsTable[[#This Row],[GroupByKey]]),(DiscreteStatsTable[GroupByKey]=DiscreteStatsTable[[#This Row],[GroupByKey]])*DiscreteStatsTable[Maximum]))</f>
        <v>61.164243616895902</v>
      </c>
      <c r="V824" s="5" cm="1">
        <f t="array" ref="V824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24" s="5">
        <f>IF((DiscreteStatsTable[[#This Row],[RepsRequested]]&gt;1),DiscreteStatsTable[[#This Row],[HalfWidth]],DiscreteStatsTable[[#This Row],[BatchMeansHalfWidth]])</f>
        <v>0.92554420923468694</v>
      </c>
      <c r="X824" s="5" cm="1">
        <f t="array" ref="X824">COUNT(IF((DiscreteStatsTable[GroupByKey]=DiscreteStatsTable[[#This Row],[GroupByKey]]),(DiscreteStatsTable[GroupByKey]=DiscreteStatsTable[[#This Row],[GroupByKey]])*DiscreteStatsTable[Replication]))</f>
        <v>19</v>
      </c>
      <c r="Y824" s="5">
        <f>IF(DiscreteStatsTable[[#This Row],[RepsRequested]]=DiscreteStatsTable[[#This Row],[RepsWithStatObserved]],1,0)</f>
        <v>1</v>
      </c>
    </row>
    <row r="825" spans="1:25" x14ac:dyDescent="0.25">
      <c r="A825" t="s">
        <v>67</v>
      </c>
      <c r="B825" t="s">
        <v>69</v>
      </c>
      <c r="C825">
        <v>12</v>
      </c>
      <c r="D825" t="s">
        <v>114</v>
      </c>
      <c r="E825" t="s">
        <v>107</v>
      </c>
      <c r="F825" t="s">
        <v>80</v>
      </c>
      <c r="G825">
        <v>6.3747796947994502</v>
      </c>
      <c r="H825">
        <v>2E+20</v>
      </c>
      <c r="I825">
        <v>0.66391758995999295</v>
      </c>
      <c r="J825">
        <v>44.043793385560598</v>
      </c>
      <c r="K825">
        <v>120</v>
      </c>
      <c r="L82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compartida)TiempoEnSistemaTodosIntervalUser Specified</v>
      </c>
      <c r="M825" s="5" cm="1">
        <f t="array" ref="M825">MAX(IF((ProjectInfoTable[ProjectName]=DiscreteStatsTable[[#This Row],[ProjectName]]),(ProjectInfoTable[ProjectName]=DiscreteStatsTable[[#This Row],[ProjectName]])*ProjectInfoTable[NumberOfReplications]))</f>
        <v>19</v>
      </c>
      <c r="N825" s="5" cm="1">
        <f t="array" ref="N825">IFERROR(AVERAGE(IF((DiscreteStatsTable[GroupByKey]=DiscreteStatsTable[[#This Row],[GroupByKey]]),(DiscreteStatsTable[GroupByKey]=DiscreteStatsTable[[#This Row],[GroupByKey]])*DiscreteStatsTable[Average])),0)</f>
        <v>6.1004830173875275</v>
      </c>
      <c r="O825" s="5" cm="1">
        <f t="array" ref="O825">IFERROR(_xlfn.STDEV.S(IF((DiscreteStatsTable[GroupByKey]=DiscreteStatsTable[[#This Row],[GroupByKey]]),(DiscreteStatsTable[GroupByKey]=DiscreteStatsTable[[#This Row],[GroupByKey]])*DiscreteStatsTable[Average])),0)</f>
        <v>1.9202776678807203</v>
      </c>
      <c r="P825" s="5" cm="1">
        <f t="array" ref="P825">MAX(IF((ProjectInfoTable[ProjectName]=DiscreteStatsTable[[#This Row],[ProjectName]]),(ProjectInfoTable[ProjectName]=DiscreteStatsTable[[#This Row],[ProjectName]])*ProjectInfoTable[ConfidenceInterval]))</f>
        <v>0.95</v>
      </c>
      <c r="Q825" s="5">
        <f>IF(AND(DiscreteStatsTable[[#This Row],[RepsWithStatObserved]]=1,Y825=0),200000000000000000000,IFERROR(_xlfn.T.INV.2T(1 -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825" s="5" cm="1">
        <f t="array" ref="R825">MIN(IF((DiscreteStatsTable[GroupByKey]=DiscreteStatsTable[[#This Row],[GroupByKey]]),(DiscreteStatsTable[GroupByKey]=DiscreteStatsTable[[#This Row],[GroupByKey]])*DiscreteStatsTable[Average]))</f>
        <v>4.4316568587741703</v>
      </c>
      <c r="S825" s="5" cm="1">
        <f t="array" ref="S825">MAX(IF((DiscreteStatsTable[GroupByKey]=DiscreteStatsTable[[#This Row],[GroupByKey]]),(DiscreteStatsTable[GroupByKey]=DiscreteStatsTable[[#This Row],[GroupByKey]])*DiscreteStatsTable[Average]))</f>
        <v>12.691770210246</v>
      </c>
      <c r="T825" s="5" cm="1">
        <f t="array" ref="T825">MIN(IF((DiscreteStatsTable[GroupByKey]=DiscreteStatsTable[[#This Row],[GroupByKey]]),(DiscreteStatsTable[GroupByKey]=DiscreteStatsTable[[#This Row],[GroupByKey]])*DiscreteStatsTable[Minimum]))</f>
        <v>0.42710492268932398</v>
      </c>
      <c r="U825" s="5" cm="1">
        <f t="array" ref="U825">MAX(IF((DiscreteStatsTable[GroupByKey]=DiscreteStatsTable[[#This Row],[GroupByKey]]),(DiscreteStatsTable[GroupByKey]=DiscreteStatsTable[[#This Row],[GroupByKey]])*DiscreteStatsTable[Maximum]))</f>
        <v>61.164243616895902</v>
      </c>
      <c r="V825" s="5" cm="1">
        <f t="array" ref="V825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25" s="5">
        <f>IF((DiscreteStatsTable[[#This Row],[RepsRequested]]&gt;1),DiscreteStatsTable[[#This Row],[HalfWidth]],DiscreteStatsTable[[#This Row],[BatchMeansHalfWidth]])</f>
        <v>0.92554420923468694</v>
      </c>
      <c r="X825" s="5" cm="1">
        <f t="array" ref="X825">COUNT(IF((DiscreteStatsTable[GroupByKey]=DiscreteStatsTable[[#This Row],[GroupByKey]]),(DiscreteStatsTable[GroupByKey]=DiscreteStatsTable[[#This Row],[GroupByKey]])*DiscreteStatsTable[Replication]))</f>
        <v>19</v>
      </c>
      <c r="Y825" s="5">
        <f>IF(DiscreteStatsTable[[#This Row],[RepsRequested]]=DiscreteStatsTable[[#This Row],[RepsWithStatObserved]],1,0)</f>
        <v>1</v>
      </c>
    </row>
    <row r="826" spans="1:25" x14ac:dyDescent="0.25">
      <c r="A826" t="s">
        <v>67</v>
      </c>
      <c r="B826" t="s">
        <v>69</v>
      </c>
      <c r="C826">
        <v>13</v>
      </c>
      <c r="D826" t="s">
        <v>114</v>
      </c>
      <c r="E826" t="s">
        <v>107</v>
      </c>
      <c r="F826" t="s">
        <v>80</v>
      </c>
      <c r="G826">
        <v>5.7263554213937002</v>
      </c>
      <c r="H826">
        <v>2E+20</v>
      </c>
      <c r="I826">
        <v>0.66732471695547702</v>
      </c>
      <c r="J826">
        <v>42.764047605892102</v>
      </c>
      <c r="K826">
        <v>116</v>
      </c>
      <c r="L82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compartida)TiempoEnSistemaTodosIntervalUser Specified</v>
      </c>
      <c r="M826" s="5" cm="1">
        <f t="array" ref="M826">MAX(IF((ProjectInfoTable[ProjectName]=DiscreteStatsTable[[#This Row],[ProjectName]]),(ProjectInfoTable[ProjectName]=DiscreteStatsTable[[#This Row],[ProjectName]])*ProjectInfoTable[NumberOfReplications]))</f>
        <v>19</v>
      </c>
      <c r="N826" s="5" cm="1">
        <f t="array" ref="N826">IFERROR(AVERAGE(IF((DiscreteStatsTable[GroupByKey]=DiscreteStatsTable[[#This Row],[GroupByKey]]),(DiscreteStatsTable[GroupByKey]=DiscreteStatsTable[[#This Row],[GroupByKey]])*DiscreteStatsTable[Average])),0)</f>
        <v>6.1004830173875275</v>
      </c>
      <c r="O826" s="5" cm="1">
        <f t="array" ref="O826">IFERROR(_xlfn.STDEV.S(IF((DiscreteStatsTable[GroupByKey]=DiscreteStatsTable[[#This Row],[GroupByKey]]),(DiscreteStatsTable[GroupByKey]=DiscreteStatsTable[[#This Row],[GroupByKey]])*DiscreteStatsTable[Average])),0)</f>
        <v>1.9202776678807203</v>
      </c>
      <c r="P826" s="5" cm="1">
        <f t="array" ref="P826">MAX(IF((ProjectInfoTable[ProjectName]=DiscreteStatsTable[[#This Row],[ProjectName]]),(ProjectInfoTable[ProjectName]=DiscreteStatsTable[[#This Row],[ProjectName]])*ProjectInfoTable[ConfidenceInterval]))</f>
        <v>0.95</v>
      </c>
      <c r="Q826" s="5">
        <f>IF(AND(DiscreteStatsTable[[#This Row],[RepsWithStatObserved]]=1,Y826=0),200000000000000000000,IFERROR(_xlfn.T.INV.2T(1 -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826" s="5" cm="1">
        <f t="array" ref="R826">MIN(IF((DiscreteStatsTable[GroupByKey]=DiscreteStatsTable[[#This Row],[GroupByKey]]),(DiscreteStatsTable[GroupByKey]=DiscreteStatsTable[[#This Row],[GroupByKey]])*DiscreteStatsTable[Average]))</f>
        <v>4.4316568587741703</v>
      </c>
      <c r="S826" s="5" cm="1">
        <f t="array" ref="S826">MAX(IF((DiscreteStatsTable[GroupByKey]=DiscreteStatsTable[[#This Row],[GroupByKey]]),(DiscreteStatsTable[GroupByKey]=DiscreteStatsTable[[#This Row],[GroupByKey]])*DiscreteStatsTable[Average]))</f>
        <v>12.691770210246</v>
      </c>
      <c r="T826" s="5" cm="1">
        <f t="array" ref="T826">MIN(IF((DiscreteStatsTable[GroupByKey]=DiscreteStatsTable[[#This Row],[GroupByKey]]),(DiscreteStatsTable[GroupByKey]=DiscreteStatsTable[[#This Row],[GroupByKey]])*DiscreteStatsTable[Minimum]))</f>
        <v>0.42710492268932398</v>
      </c>
      <c r="U826" s="5" cm="1">
        <f t="array" ref="U826">MAX(IF((DiscreteStatsTable[GroupByKey]=DiscreteStatsTable[[#This Row],[GroupByKey]]),(DiscreteStatsTable[GroupByKey]=DiscreteStatsTable[[#This Row],[GroupByKey]])*DiscreteStatsTable[Maximum]))</f>
        <v>61.164243616895902</v>
      </c>
      <c r="V826" s="5" cm="1">
        <f t="array" ref="V826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26" s="5">
        <f>IF((DiscreteStatsTable[[#This Row],[RepsRequested]]&gt;1),DiscreteStatsTable[[#This Row],[HalfWidth]],DiscreteStatsTable[[#This Row],[BatchMeansHalfWidth]])</f>
        <v>0.92554420923468694</v>
      </c>
      <c r="X826" s="5" cm="1">
        <f t="array" ref="X826">COUNT(IF((DiscreteStatsTable[GroupByKey]=DiscreteStatsTable[[#This Row],[GroupByKey]]),(DiscreteStatsTable[GroupByKey]=DiscreteStatsTable[[#This Row],[GroupByKey]])*DiscreteStatsTable[Replication]))</f>
        <v>19</v>
      </c>
      <c r="Y826" s="5">
        <f>IF(DiscreteStatsTable[[#This Row],[RepsRequested]]=DiscreteStatsTable[[#This Row],[RepsWithStatObserved]],1,0)</f>
        <v>1</v>
      </c>
    </row>
    <row r="827" spans="1:25" x14ac:dyDescent="0.25">
      <c r="A827" t="s">
        <v>67</v>
      </c>
      <c r="B827" t="s">
        <v>69</v>
      </c>
      <c r="C827">
        <v>14</v>
      </c>
      <c r="D827" t="s">
        <v>114</v>
      </c>
      <c r="E827" t="s">
        <v>107</v>
      </c>
      <c r="F827" t="s">
        <v>80</v>
      </c>
      <c r="G827">
        <v>6.0688050211007702</v>
      </c>
      <c r="H827">
        <v>2E+20</v>
      </c>
      <c r="I827">
        <v>0.54564677089423697</v>
      </c>
      <c r="J827">
        <v>34.472039274439503</v>
      </c>
      <c r="K827">
        <v>135</v>
      </c>
      <c r="L82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compartida)TiempoEnSistemaTodosIntervalUser Specified</v>
      </c>
      <c r="M827" s="5" cm="1">
        <f t="array" ref="M827">MAX(IF((ProjectInfoTable[ProjectName]=DiscreteStatsTable[[#This Row],[ProjectName]]),(ProjectInfoTable[ProjectName]=DiscreteStatsTable[[#This Row],[ProjectName]])*ProjectInfoTable[NumberOfReplications]))</f>
        <v>19</v>
      </c>
      <c r="N827" s="5" cm="1">
        <f t="array" ref="N827">IFERROR(AVERAGE(IF((DiscreteStatsTable[GroupByKey]=DiscreteStatsTable[[#This Row],[GroupByKey]]),(DiscreteStatsTable[GroupByKey]=DiscreteStatsTable[[#This Row],[GroupByKey]])*DiscreteStatsTable[Average])),0)</f>
        <v>6.1004830173875275</v>
      </c>
      <c r="O827" s="5" cm="1">
        <f t="array" ref="O827">IFERROR(_xlfn.STDEV.S(IF((DiscreteStatsTable[GroupByKey]=DiscreteStatsTable[[#This Row],[GroupByKey]]),(DiscreteStatsTable[GroupByKey]=DiscreteStatsTable[[#This Row],[GroupByKey]])*DiscreteStatsTable[Average])),0)</f>
        <v>1.9202776678807203</v>
      </c>
      <c r="P827" s="5" cm="1">
        <f t="array" ref="P827">MAX(IF((ProjectInfoTable[ProjectName]=DiscreteStatsTable[[#This Row],[ProjectName]]),(ProjectInfoTable[ProjectName]=DiscreteStatsTable[[#This Row],[ProjectName]])*ProjectInfoTable[ConfidenceInterval]))</f>
        <v>0.95</v>
      </c>
      <c r="Q827" s="5">
        <f>IF(AND(DiscreteStatsTable[[#This Row],[RepsWithStatObserved]]=1,Y827=0),200000000000000000000,IFERROR(_xlfn.T.INV.2T(1 -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827" s="5" cm="1">
        <f t="array" ref="R827">MIN(IF((DiscreteStatsTable[GroupByKey]=DiscreteStatsTable[[#This Row],[GroupByKey]]),(DiscreteStatsTable[GroupByKey]=DiscreteStatsTable[[#This Row],[GroupByKey]])*DiscreteStatsTable[Average]))</f>
        <v>4.4316568587741703</v>
      </c>
      <c r="S827" s="5" cm="1">
        <f t="array" ref="S827">MAX(IF((DiscreteStatsTable[GroupByKey]=DiscreteStatsTable[[#This Row],[GroupByKey]]),(DiscreteStatsTable[GroupByKey]=DiscreteStatsTable[[#This Row],[GroupByKey]])*DiscreteStatsTable[Average]))</f>
        <v>12.691770210246</v>
      </c>
      <c r="T827" s="5" cm="1">
        <f t="array" ref="T827">MIN(IF((DiscreteStatsTable[GroupByKey]=DiscreteStatsTable[[#This Row],[GroupByKey]]),(DiscreteStatsTable[GroupByKey]=DiscreteStatsTable[[#This Row],[GroupByKey]])*DiscreteStatsTable[Minimum]))</f>
        <v>0.42710492268932398</v>
      </c>
      <c r="U827" s="5" cm="1">
        <f t="array" ref="U827">MAX(IF((DiscreteStatsTable[GroupByKey]=DiscreteStatsTable[[#This Row],[GroupByKey]]),(DiscreteStatsTable[GroupByKey]=DiscreteStatsTable[[#This Row],[GroupByKey]])*DiscreteStatsTable[Maximum]))</f>
        <v>61.164243616895902</v>
      </c>
      <c r="V827" s="5" cm="1">
        <f t="array" ref="V827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27" s="5">
        <f>IF((DiscreteStatsTable[[#This Row],[RepsRequested]]&gt;1),DiscreteStatsTable[[#This Row],[HalfWidth]],DiscreteStatsTable[[#This Row],[BatchMeansHalfWidth]])</f>
        <v>0.92554420923468694</v>
      </c>
      <c r="X827" s="5" cm="1">
        <f t="array" ref="X827">COUNT(IF((DiscreteStatsTable[GroupByKey]=DiscreteStatsTable[[#This Row],[GroupByKey]]),(DiscreteStatsTable[GroupByKey]=DiscreteStatsTable[[#This Row],[GroupByKey]])*DiscreteStatsTable[Replication]))</f>
        <v>19</v>
      </c>
      <c r="Y827" s="5">
        <f>IF(DiscreteStatsTable[[#This Row],[RepsRequested]]=DiscreteStatsTable[[#This Row],[RepsWithStatObserved]],1,0)</f>
        <v>1</v>
      </c>
    </row>
    <row r="828" spans="1:25" x14ac:dyDescent="0.25">
      <c r="A828" t="s">
        <v>67</v>
      </c>
      <c r="B828" t="s">
        <v>69</v>
      </c>
      <c r="C828">
        <v>15</v>
      </c>
      <c r="D828" t="s">
        <v>114</v>
      </c>
      <c r="E828" t="s">
        <v>107</v>
      </c>
      <c r="F828" t="s">
        <v>80</v>
      </c>
      <c r="G828">
        <v>5.2918619779328004</v>
      </c>
      <c r="H828">
        <v>2E+20</v>
      </c>
      <c r="I828">
        <v>0.42710492268932398</v>
      </c>
      <c r="J828">
        <v>38.964637179729202</v>
      </c>
      <c r="K828">
        <v>128</v>
      </c>
      <c r="L82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compartida)TiempoEnSistemaTodosIntervalUser Specified</v>
      </c>
      <c r="M828" s="5" cm="1">
        <f t="array" ref="M828">MAX(IF((ProjectInfoTable[ProjectName]=DiscreteStatsTable[[#This Row],[ProjectName]]),(ProjectInfoTable[ProjectName]=DiscreteStatsTable[[#This Row],[ProjectName]])*ProjectInfoTable[NumberOfReplications]))</f>
        <v>19</v>
      </c>
      <c r="N828" s="5" cm="1">
        <f t="array" ref="N828">IFERROR(AVERAGE(IF((DiscreteStatsTable[GroupByKey]=DiscreteStatsTable[[#This Row],[GroupByKey]]),(DiscreteStatsTable[GroupByKey]=DiscreteStatsTable[[#This Row],[GroupByKey]])*DiscreteStatsTable[Average])),0)</f>
        <v>6.1004830173875275</v>
      </c>
      <c r="O828" s="5" cm="1">
        <f t="array" ref="O828">IFERROR(_xlfn.STDEV.S(IF((DiscreteStatsTable[GroupByKey]=DiscreteStatsTable[[#This Row],[GroupByKey]]),(DiscreteStatsTable[GroupByKey]=DiscreteStatsTable[[#This Row],[GroupByKey]])*DiscreteStatsTable[Average])),0)</f>
        <v>1.9202776678807203</v>
      </c>
      <c r="P828" s="5" cm="1">
        <f t="array" ref="P828">MAX(IF((ProjectInfoTable[ProjectName]=DiscreteStatsTable[[#This Row],[ProjectName]]),(ProjectInfoTable[ProjectName]=DiscreteStatsTable[[#This Row],[ProjectName]])*ProjectInfoTable[ConfidenceInterval]))</f>
        <v>0.95</v>
      </c>
      <c r="Q828" s="5">
        <f>IF(AND(DiscreteStatsTable[[#This Row],[RepsWithStatObserved]]=1,Y828=0),200000000000000000000,IFERROR(_xlfn.T.INV.2T(1 -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828" s="5" cm="1">
        <f t="array" ref="R828">MIN(IF((DiscreteStatsTable[GroupByKey]=DiscreteStatsTable[[#This Row],[GroupByKey]]),(DiscreteStatsTable[GroupByKey]=DiscreteStatsTable[[#This Row],[GroupByKey]])*DiscreteStatsTable[Average]))</f>
        <v>4.4316568587741703</v>
      </c>
      <c r="S828" s="5" cm="1">
        <f t="array" ref="S828">MAX(IF((DiscreteStatsTable[GroupByKey]=DiscreteStatsTable[[#This Row],[GroupByKey]]),(DiscreteStatsTable[GroupByKey]=DiscreteStatsTable[[#This Row],[GroupByKey]])*DiscreteStatsTable[Average]))</f>
        <v>12.691770210246</v>
      </c>
      <c r="T828" s="5" cm="1">
        <f t="array" ref="T828">MIN(IF((DiscreteStatsTable[GroupByKey]=DiscreteStatsTable[[#This Row],[GroupByKey]]),(DiscreteStatsTable[GroupByKey]=DiscreteStatsTable[[#This Row],[GroupByKey]])*DiscreteStatsTable[Minimum]))</f>
        <v>0.42710492268932398</v>
      </c>
      <c r="U828" s="5" cm="1">
        <f t="array" ref="U828">MAX(IF((DiscreteStatsTable[GroupByKey]=DiscreteStatsTable[[#This Row],[GroupByKey]]),(DiscreteStatsTable[GroupByKey]=DiscreteStatsTable[[#This Row],[GroupByKey]])*DiscreteStatsTable[Maximum]))</f>
        <v>61.164243616895902</v>
      </c>
      <c r="V828" s="5" cm="1">
        <f t="array" ref="V828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28" s="5">
        <f>IF((DiscreteStatsTable[[#This Row],[RepsRequested]]&gt;1),DiscreteStatsTable[[#This Row],[HalfWidth]],DiscreteStatsTable[[#This Row],[BatchMeansHalfWidth]])</f>
        <v>0.92554420923468694</v>
      </c>
      <c r="X828" s="5" cm="1">
        <f t="array" ref="X828">COUNT(IF((DiscreteStatsTable[GroupByKey]=DiscreteStatsTable[[#This Row],[GroupByKey]]),(DiscreteStatsTable[GroupByKey]=DiscreteStatsTable[[#This Row],[GroupByKey]])*DiscreteStatsTable[Replication]))</f>
        <v>19</v>
      </c>
      <c r="Y828" s="5">
        <f>IF(DiscreteStatsTable[[#This Row],[RepsRequested]]=DiscreteStatsTable[[#This Row],[RepsWithStatObserved]],1,0)</f>
        <v>1</v>
      </c>
    </row>
    <row r="829" spans="1:25" x14ac:dyDescent="0.25">
      <c r="A829" t="s">
        <v>67</v>
      </c>
      <c r="B829" t="s">
        <v>69</v>
      </c>
      <c r="C829">
        <v>16</v>
      </c>
      <c r="D829" t="s">
        <v>114</v>
      </c>
      <c r="E829" t="s">
        <v>107</v>
      </c>
      <c r="F829" t="s">
        <v>80</v>
      </c>
      <c r="G829">
        <v>5.1069599568864099</v>
      </c>
      <c r="H829">
        <v>2E+20</v>
      </c>
      <c r="I829">
        <v>0.50900606419733696</v>
      </c>
      <c r="J829">
        <v>40.377024852532202</v>
      </c>
      <c r="K829">
        <v>131</v>
      </c>
      <c r="L82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compartida)TiempoEnSistemaTodosIntervalUser Specified</v>
      </c>
      <c r="M829" s="5" cm="1">
        <f t="array" ref="M829">MAX(IF((ProjectInfoTable[ProjectName]=DiscreteStatsTable[[#This Row],[ProjectName]]),(ProjectInfoTable[ProjectName]=DiscreteStatsTable[[#This Row],[ProjectName]])*ProjectInfoTable[NumberOfReplications]))</f>
        <v>19</v>
      </c>
      <c r="N829" s="5" cm="1">
        <f t="array" ref="N829">IFERROR(AVERAGE(IF((DiscreteStatsTable[GroupByKey]=DiscreteStatsTable[[#This Row],[GroupByKey]]),(DiscreteStatsTable[GroupByKey]=DiscreteStatsTable[[#This Row],[GroupByKey]])*DiscreteStatsTable[Average])),0)</f>
        <v>6.1004830173875275</v>
      </c>
      <c r="O829" s="5" cm="1">
        <f t="array" ref="O829">IFERROR(_xlfn.STDEV.S(IF((DiscreteStatsTable[GroupByKey]=DiscreteStatsTable[[#This Row],[GroupByKey]]),(DiscreteStatsTable[GroupByKey]=DiscreteStatsTable[[#This Row],[GroupByKey]])*DiscreteStatsTable[Average])),0)</f>
        <v>1.9202776678807203</v>
      </c>
      <c r="P829" s="5" cm="1">
        <f t="array" ref="P829">MAX(IF((ProjectInfoTable[ProjectName]=DiscreteStatsTable[[#This Row],[ProjectName]]),(ProjectInfoTable[ProjectName]=DiscreteStatsTable[[#This Row],[ProjectName]])*ProjectInfoTable[ConfidenceInterval]))</f>
        <v>0.95</v>
      </c>
      <c r="Q829" s="5">
        <f>IF(AND(DiscreteStatsTable[[#This Row],[RepsWithStatObserved]]=1,Y829=0),200000000000000000000,IFERROR(_xlfn.T.INV.2T(1 -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829" s="5" cm="1">
        <f t="array" ref="R829">MIN(IF((DiscreteStatsTable[GroupByKey]=DiscreteStatsTable[[#This Row],[GroupByKey]]),(DiscreteStatsTable[GroupByKey]=DiscreteStatsTable[[#This Row],[GroupByKey]])*DiscreteStatsTable[Average]))</f>
        <v>4.4316568587741703</v>
      </c>
      <c r="S829" s="5" cm="1">
        <f t="array" ref="S829">MAX(IF((DiscreteStatsTable[GroupByKey]=DiscreteStatsTable[[#This Row],[GroupByKey]]),(DiscreteStatsTable[GroupByKey]=DiscreteStatsTable[[#This Row],[GroupByKey]])*DiscreteStatsTable[Average]))</f>
        <v>12.691770210246</v>
      </c>
      <c r="T829" s="5" cm="1">
        <f t="array" ref="T829">MIN(IF((DiscreteStatsTable[GroupByKey]=DiscreteStatsTable[[#This Row],[GroupByKey]]),(DiscreteStatsTable[GroupByKey]=DiscreteStatsTable[[#This Row],[GroupByKey]])*DiscreteStatsTable[Minimum]))</f>
        <v>0.42710492268932398</v>
      </c>
      <c r="U829" s="5" cm="1">
        <f t="array" ref="U829">MAX(IF((DiscreteStatsTable[GroupByKey]=DiscreteStatsTable[[#This Row],[GroupByKey]]),(DiscreteStatsTable[GroupByKey]=DiscreteStatsTable[[#This Row],[GroupByKey]])*DiscreteStatsTable[Maximum]))</f>
        <v>61.164243616895902</v>
      </c>
      <c r="V829" s="5" cm="1">
        <f t="array" ref="V829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29" s="5">
        <f>IF((DiscreteStatsTable[[#This Row],[RepsRequested]]&gt;1),DiscreteStatsTable[[#This Row],[HalfWidth]],DiscreteStatsTable[[#This Row],[BatchMeansHalfWidth]])</f>
        <v>0.92554420923468694</v>
      </c>
      <c r="X829" s="5" cm="1">
        <f t="array" ref="X829">COUNT(IF((DiscreteStatsTable[GroupByKey]=DiscreteStatsTable[[#This Row],[GroupByKey]]),(DiscreteStatsTable[GroupByKey]=DiscreteStatsTable[[#This Row],[GroupByKey]])*DiscreteStatsTable[Replication]))</f>
        <v>19</v>
      </c>
      <c r="Y829" s="5">
        <f>IF(DiscreteStatsTable[[#This Row],[RepsRequested]]=DiscreteStatsTable[[#This Row],[RepsWithStatObserved]],1,0)</f>
        <v>1</v>
      </c>
    </row>
    <row r="830" spans="1:25" x14ac:dyDescent="0.25">
      <c r="A830" t="s">
        <v>67</v>
      </c>
      <c r="B830" t="s">
        <v>69</v>
      </c>
      <c r="C830">
        <v>17</v>
      </c>
      <c r="D830" t="s">
        <v>114</v>
      </c>
      <c r="E830" t="s">
        <v>107</v>
      </c>
      <c r="F830" t="s">
        <v>80</v>
      </c>
      <c r="G830">
        <v>5.7418252784821497</v>
      </c>
      <c r="H830">
        <v>2E+20</v>
      </c>
      <c r="I830">
        <v>0.57202204234091902</v>
      </c>
      <c r="J830">
        <v>42.919398101907198</v>
      </c>
      <c r="K830">
        <v>124</v>
      </c>
      <c r="L83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compartida)TiempoEnSistemaTodosIntervalUser Specified</v>
      </c>
      <c r="M830" s="5" cm="1">
        <f t="array" ref="M830">MAX(IF((ProjectInfoTable[ProjectName]=DiscreteStatsTable[[#This Row],[ProjectName]]),(ProjectInfoTable[ProjectName]=DiscreteStatsTable[[#This Row],[ProjectName]])*ProjectInfoTable[NumberOfReplications]))</f>
        <v>19</v>
      </c>
      <c r="N830" s="5" cm="1">
        <f t="array" ref="N830">IFERROR(AVERAGE(IF((DiscreteStatsTable[GroupByKey]=DiscreteStatsTable[[#This Row],[GroupByKey]]),(DiscreteStatsTable[GroupByKey]=DiscreteStatsTable[[#This Row],[GroupByKey]])*DiscreteStatsTable[Average])),0)</f>
        <v>6.1004830173875275</v>
      </c>
      <c r="O830" s="5" cm="1">
        <f t="array" ref="O830">IFERROR(_xlfn.STDEV.S(IF((DiscreteStatsTable[GroupByKey]=DiscreteStatsTable[[#This Row],[GroupByKey]]),(DiscreteStatsTable[GroupByKey]=DiscreteStatsTable[[#This Row],[GroupByKey]])*DiscreteStatsTable[Average])),0)</f>
        <v>1.9202776678807203</v>
      </c>
      <c r="P830" s="5" cm="1">
        <f t="array" ref="P830">MAX(IF((ProjectInfoTable[ProjectName]=DiscreteStatsTable[[#This Row],[ProjectName]]),(ProjectInfoTable[ProjectName]=DiscreteStatsTable[[#This Row],[ProjectName]])*ProjectInfoTable[ConfidenceInterval]))</f>
        <v>0.95</v>
      </c>
      <c r="Q830" s="5">
        <f>IF(AND(DiscreteStatsTable[[#This Row],[RepsWithStatObserved]]=1,Y830=0),200000000000000000000,IFERROR(_xlfn.T.INV.2T(1 -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830" s="5" cm="1">
        <f t="array" ref="R830">MIN(IF((DiscreteStatsTable[GroupByKey]=DiscreteStatsTable[[#This Row],[GroupByKey]]),(DiscreteStatsTable[GroupByKey]=DiscreteStatsTable[[#This Row],[GroupByKey]])*DiscreteStatsTable[Average]))</f>
        <v>4.4316568587741703</v>
      </c>
      <c r="S830" s="5" cm="1">
        <f t="array" ref="S830">MAX(IF((DiscreteStatsTable[GroupByKey]=DiscreteStatsTable[[#This Row],[GroupByKey]]),(DiscreteStatsTable[GroupByKey]=DiscreteStatsTable[[#This Row],[GroupByKey]])*DiscreteStatsTable[Average]))</f>
        <v>12.691770210246</v>
      </c>
      <c r="T830" s="5" cm="1">
        <f t="array" ref="T830">MIN(IF((DiscreteStatsTable[GroupByKey]=DiscreteStatsTable[[#This Row],[GroupByKey]]),(DiscreteStatsTable[GroupByKey]=DiscreteStatsTable[[#This Row],[GroupByKey]])*DiscreteStatsTable[Minimum]))</f>
        <v>0.42710492268932398</v>
      </c>
      <c r="U830" s="5" cm="1">
        <f t="array" ref="U830">MAX(IF((DiscreteStatsTable[GroupByKey]=DiscreteStatsTable[[#This Row],[GroupByKey]]),(DiscreteStatsTable[GroupByKey]=DiscreteStatsTable[[#This Row],[GroupByKey]])*DiscreteStatsTable[Maximum]))</f>
        <v>61.164243616895902</v>
      </c>
      <c r="V830" s="5" cm="1">
        <f t="array" ref="V830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30" s="5">
        <f>IF((DiscreteStatsTable[[#This Row],[RepsRequested]]&gt;1),DiscreteStatsTable[[#This Row],[HalfWidth]],DiscreteStatsTable[[#This Row],[BatchMeansHalfWidth]])</f>
        <v>0.92554420923468694</v>
      </c>
      <c r="X830" s="5" cm="1">
        <f t="array" ref="X830">COUNT(IF((DiscreteStatsTable[GroupByKey]=DiscreteStatsTable[[#This Row],[GroupByKey]]),(DiscreteStatsTable[GroupByKey]=DiscreteStatsTable[[#This Row],[GroupByKey]])*DiscreteStatsTable[Replication]))</f>
        <v>19</v>
      </c>
      <c r="Y830" s="5">
        <f>IF(DiscreteStatsTable[[#This Row],[RepsRequested]]=DiscreteStatsTable[[#This Row],[RepsWithStatObserved]],1,0)</f>
        <v>1</v>
      </c>
    </row>
    <row r="831" spans="1:25" x14ac:dyDescent="0.25">
      <c r="A831" t="s">
        <v>67</v>
      </c>
      <c r="B831" t="s">
        <v>69</v>
      </c>
      <c r="C831">
        <v>18</v>
      </c>
      <c r="D831" t="s">
        <v>114</v>
      </c>
      <c r="E831" t="s">
        <v>107</v>
      </c>
      <c r="F831" t="s">
        <v>80</v>
      </c>
      <c r="G831">
        <v>6.3388926776326597</v>
      </c>
      <c r="H831">
        <v>2E+20</v>
      </c>
      <c r="I831">
        <v>0.45382681950752601</v>
      </c>
      <c r="J831">
        <v>54.081238089079903</v>
      </c>
      <c r="K831">
        <v>122</v>
      </c>
      <c r="L83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compartida)TiempoEnSistemaTodosIntervalUser Specified</v>
      </c>
      <c r="M831" s="5" cm="1">
        <f t="array" ref="M831">MAX(IF((ProjectInfoTable[ProjectName]=DiscreteStatsTable[[#This Row],[ProjectName]]),(ProjectInfoTable[ProjectName]=DiscreteStatsTable[[#This Row],[ProjectName]])*ProjectInfoTable[NumberOfReplications]))</f>
        <v>19</v>
      </c>
      <c r="N831" s="5" cm="1">
        <f t="array" ref="N831">IFERROR(AVERAGE(IF((DiscreteStatsTable[GroupByKey]=DiscreteStatsTable[[#This Row],[GroupByKey]]),(DiscreteStatsTable[GroupByKey]=DiscreteStatsTable[[#This Row],[GroupByKey]])*DiscreteStatsTable[Average])),0)</f>
        <v>6.1004830173875275</v>
      </c>
      <c r="O831" s="5" cm="1">
        <f t="array" ref="O831">IFERROR(_xlfn.STDEV.S(IF((DiscreteStatsTable[GroupByKey]=DiscreteStatsTable[[#This Row],[GroupByKey]]),(DiscreteStatsTable[GroupByKey]=DiscreteStatsTable[[#This Row],[GroupByKey]])*DiscreteStatsTable[Average])),0)</f>
        <v>1.9202776678807203</v>
      </c>
      <c r="P831" s="5" cm="1">
        <f t="array" ref="P831">MAX(IF((ProjectInfoTable[ProjectName]=DiscreteStatsTable[[#This Row],[ProjectName]]),(ProjectInfoTable[ProjectName]=DiscreteStatsTable[[#This Row],[ProjectName]])*ProjectInfoTable[ConfidenceInterval]))</f>
        <v>0.95</v>
      </c>
      <c r="Q831" s="5">
        <f>IF(AND(DiscreteStatsTable[[#This Row],[RepsWithStatObserved]]=1,Y831=0),200000000000000000000,IFERROR(_xlfn.T.INV.2T(1 -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831" s="5" cm="1">
        <f t="array" ref="R831">MIN(IF((DiscreteStatsTable[GroupByKey]=DiscreteStatsTable[[#This Row],[GroupByKey]]),(DiscreteStatsTable[GroupByKey]=DiscreteStatsTable[[#This Row],[GroupByKey]])*DiscreteStatsTable[Average]))</f>
        <v>4.4316568587741703</v>
      </c>
      <c r="S831" s="5" cm="1">
        <f t="array" ref="S831">MAX(IF((DiscreteStatsTable[GroupByKey]=DiscreteStatsTable[[#This Row],[GroupByKey]]),(DiscreteStatsTable[GroupByKey]=DiscreteStatsTable[[#This Row],[GroupByKey]])*DiscreteStatsTable[Average]))</f>
        <v>12.691770210246</v>
      </c>
      <c r="T831" s="5" cm="1">
        <f t="array" ref="T831">MIN(IF((DiscreteStatsTable[GroupByKey]=DiscreteStatsTable[[#This Row],[GroupByKey]]),(DiscreteStatsTable[GroupByKey]=DiscreteStatsTable[[#This Row],[GroupByKey]])*DiscreteStatsTable[Minimum]))</f>
        <v>0.42710492268932398</v>
      </c>
      <c r="U831" s="5" cm="1">
        <f t="array" ref="U831">MAX(IF((DiscreteStatsTable[GroupByKey]=DiscreteStatsTable[[#This Row],[GroupByKey]]),(DiscreteStatsTable[GroupByKey]=DiscreteStatsTable[[#This Row],[GroupByKey]])*DiscreteStatsTable[Maximum]))</f>
        <v>61.164243616895902</v>
      </c>
      <c r="V831" s="5" cm="1">
        <f t="array" ref="V831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31" s="5">
        <f>IF((DiscreteStatsTable[[#This Row],[RepsRequested]]&gt;1),DiscreteStatsTable[[#This Row],[HalfWidth]],DiscreteStatsTable[[#This Row],[BatchMeansHalfWidth]])</f>
        <v>0.92554420923468694</v>
      </c>
      <c r="X831" s="5" cm="1">
        <f t="array" ref="X831">COUNT(IF((DiscreteStatsTable[GroupByKey]=DiscreteStatsTable[[#This Row],[GroupByKey]]),(DiscreteStatsTable[GroupByKey]=DiscreteStatsTable[[#This Row],[GroupByKey]])*DiscreteStatsTable[Replication]))</f>
        <v>19</v>
      </c>
      <c r="Y831" s="5">
        <f>IF(DiscreteStatsTable[[#This Row],[RepsRequested]]=DiscreteStatsTable[[#This Row],[RepsWithStatObserved]],1,0)</f>
        <v>1</v>
      </c>
    </row>
    <row r="832" spans="1:25" x14ac:dyDescent="0.25">
      <c r="A832" t="s">
        <v>67</v>
      </c>
      <c r="B832" t="s">
        <v>69</v>
      </c>
      <c r="C832">
        <v>19</v>
      </c>
      <c r="D832" t="s">
        <v>114</v>
      </c>
      <c r="E832" t="s">
        <v>107</v>
      </c>
      <c r="F832" t="s">
        <v>80</v>
      </c>
      <c r="G832">
        <v>4.59328334182731</v>
      </c>
      <c r="H832">
        <v>2E+20</v>
      </c>
      <c r="I832">
        <v>0.63745372587239002</v>
      </c>
      <c r="J832">
        <v>28.7626893681803</v>
      </c>
      <c r="K832">
        <v>121</v>
      </c>
      <c r="L83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compartida)TiempoEnSistemaTodosIntervalUser Specified</v>
      </c>
      <c r="M832" s="5" cm="1">
        <f t="array" ref="M832">MAX(IF((ProjectInfoTable[ProjectName]=DiscreteStatsTable[[#This Row],[ProjectName]]),(ProjectInfoTable[ProjectName]=DiscreteStatsTable[[#This Row],[ProjectName]])*ProjectInfoTable[NumberOfReplications]))</f>
        <v>19</v>
      </c>
      <c r="N832" s="5" cm="1">
        <f t="array" ref="N832">IFERROR(AVERAGE(IF((DiscreteStatsTable[GroupByKey]=DiscreteStatsTable[[#This Row],[GroupByKey]]),(DiscreteStatsTable[GroupByKey]=DiscreteStatsTable[[#This Row],[GroupByKey]])*DiscreteStatsTable[Average])),0)</f>
        <v>6.1004830173875275</v>
      </c>
      <c r="O832" s="5" cm="1">
        <f t="array" ref="O832">IFERROR(_xlfn.STDEV.S(IF((DiscreteStatsTable[GroupByKey]=DiscreteStatsTable[[#This Row],[GroupByKey]]),(DiscreteStatsTable[GroupByKey]=DiscreteStatsTable[[#This Row],[GroupByKey]])*DiscreteStatsTable[Average])),0)</f>
        <v>1.9202776678807203</v>
      </c>
      <c r="P832" s="5" cm="1">
        <f t="array" ref="P832">MAX(IF((ProjectInfoTable[ProjectName]=DiscreteStatsTable[[#This Row],[ProjectName]]),(ProjectInfoTable[ProjectName]=DiscreteStatsTable[[#This Row],[ProjectName]])*ProjectInfoTable[ConfidenceInterval]))</f>
        <v>0.95</v>
      </c>
      <c r="Q832" s="5">
        <f>IF(AND(DiscreteStatsTable[[#This Row],[RepsWithStatObserved]]=1,Y832=0),200000000000000000000,IFERROR(_xlfn.T.INV.2T(1 -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832" s="5" cm="1">
        <f t="array" ref="R832">MIN(IF((DiscreteStatsTable[GroupByKey]=DiscreteStatsTable[[#This Row],[GroupByKey]]),(DiscreteStatsTable[GroupByKey]=DiscreteStatsTable[[#This Row],[GroupByKey]])*DiscreteStatsTable[Average]))</f>
        <v>4.4316568587741703</v>
      </c>
      <c r="S832" s="5" cm="1">
        <f t="array" ref="S832">MAX(IF((DiscreteStatsTable[GroupByKey]=DiscreteStatsTable[[#This Row],[GroupByKey]]),(DiscreteStatsTable[GroupByKey]=DiscreteStatsTable[[#This Row],[GroupByKey]])*DiscreteStatsTable[Average]))</f>
        <v>12.691770210246</v>
      </c>
      <c r="T832" s="5" cm="1">
        <f t="array" ref="T832">MIN(IF((DiscreteStatsTable[GroupByKey]=DiscreteStatsTable[[#This Row],[GroupByKey]]),(DiscreteStatsTable[GroupByKey]=DiscreteStatsTable[[#This Row],[GroupByKey]])*DiscreteStatsTable[Minimum]))</f>
        <v>0.42710492268932398</v>
      </c>
      <c r="U832" s="5" cm="1">
        <f t="array" ref="U832">MAX(IF((DiscreteStatsTable[GroupByKey]=DiscreteStatsTable[[#This Row],[GroupByKey]]),(DiscreteStatsTable[GroupByKey]=DiscreteStatsTable[[#This Row],[GroupByKey]])*DiscreteStatsTable[Maximum]))</f>
        <v>61.164243616895902</v>
      </c>
      <c r="V832" s="5" cm="1">
        <f t="array" ref="V832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32" s="5">
        <f>IF((DiscreteStatsTable[[#This Row],[RepsRequested]]&gt;1),DiscreteStatsTable[[#This Row],[HalfWidth]],DiscreteStatsTable[[#This Row],[BatchMeansHalfWidth]])</f>
        <v>0.92554420923468694</v>
      </c>
      <c r="X832" s="5" cm="1">
        <f t="array" ref="X832">COUNT(IF((DiscreteStatsTable[GroupByKey]=DiscreteStatsTable[[#This Row],[GroupByKey]]),(DiscreteStatsTable[GroupByKey]=DiscreteStatsTable[[#This Row],[GroupByKey]])*DiscreteStatsTable[Replication]))</f>
        <v>19</v>
      </c>
      <c r="Y832" s="5">
        <f>IF(DiscreteStatsTable[[#This Row],[RepsRequested]]=DiscreteStatsTable[[#This Row],[RepsWithStatObserved]],1,0)</f>
        <v>1</v>
      </c>
    </row>
    <row r="833" spans="1:25" x14ac:dyDescent="0.25">
      <c r="A833" t="s">
        <v>67</v>
      </c>
      <c r="B833" t="s">
        <v>69</v>
      </c>
      <c r="C833">
        <v>1</v>
      </c>
      <c r="D833" t="s">
        <v>115</v>
      </c>
      <c r="E833" t="s">
        <v>79</v>
      </c>
      <c r="F833" t="s">
        <v>80</v>
      </c>
      <c r="G833">
        <v>0.32985025472577101</v>
      </c>
      <c r="H833">
        <v>2E+20</v>
      </c>
      <c r="I833">
        <v>1.04544670279836E-2</v>
      </c>
      <c r="J833">
        <v>1.7947031420017701</v>
      </c>
      <c r="K833">
        <v>150</v>
      </c>
      <c r="L83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compartida)TiempoPagoExpressionUser Specified</v>
      </c>
      <c r="M833" s="5" cm="1">
        <f t="array" ref="M833">MAX(IF((ProjectInfoTable[ProjectName]=DiscreteStatsTable[[#This Row],[ProjectName]]),(ProjectInfoTable[ProjectName]=DiscreteStatsTable[[#This Row],[ProjectName]])*ProjectInfoTable[NumberOfReplications]))</f>
        <v>19</v>
      </c>
      <c r="N833" s="5" cm="1">
        <f t="array" ref="N833">IFERROR(AVERAGE(IF((DiscreteStatsTable[GroupByKey]=DiscreteStatsTable[[#This Row],[GroupByKey]]),(DiscreteStatsTable[GroupByKey]=DiscreteStatsTable[[#This Row],[GroupByKey]])*DiscreteStatsTable[Average])),0)</f>
        <v>0.3256545808151487</v>
      </c>
      <c r="O833" s="5" cm="1">
        <f t="array" ref="O833">IFERROR(_xlfn.STDEV.S(IF((DiscreteStatsTable[GroupByKey]=DiscreteStatsTable[[#This Row],[GroupByKey]]),(DiscreteStatsTable[GroupByKey]=DiscreteStatsTable[[#This Row],[GroupByKey]])*DiscreteStatsTable[Average])),0)</f>
        <v>2.9896306588682073E-2</v>
      </c>
      <c r="P833" s="5" cm="1">
        <f t="array" ref="P833">MAX(IF((ProjectInfoTable[ProjectName]=DiscreteStatsTable[[#This Row],[ProjectName]]),(ProjectInfoTable[ProjectName]=DiscreteStatsTable[[#This Row],[ProjectName]])*ProjectInfoTable[ConfidenceInterval]))</f>
        <v>0.95</v>
      </c>
      <c r="Q833" s="5">
        <f>IF(AND(DiscreteStatsTable[[#This Row],[RepsWithStatObserved]]=1,Y833=0),200000000000000000000,IFERROR(_xlfn.T.INV.2T(1 -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1.4409558525563334E-2</v>
      </c>
      <c r="R833" s="5" cm="1">
        <f t="array" ref="R833">MIN(IF((DiscreteStatsTable[GroupByKey]=DiscreteStatsTable[[#This Row],[GroupByKey]]),(DiscreteStatsTable[GroupByKey]=DiscreteStatsTable[[#This Row],[GroupByKey]])*DiscreteStatsTable[Average]))</f>
        <v>0.254905928907871</v>
      </c>
      <c r="S833" s="5" cm="1">
        <f t="array" ref="S833">MAX(IF((DiscreteStatsTable[GroupByKey]=DiscreteStatsTable[[#This Row],[GroupByKey]]),(DiscreteStatsTable[GroupByKey]=DiscreteStatsTable[[#This Row],[GroupByKey]])*DiscreteStatsTable[Average]))</f>
        <v>0.37952723924807102</v>
      </c>
      <c r="T833" s="5" cm="1">
        <f t="array" ref="T833">MIN(IF((DiscreteStatsTable[GroupByKey]=DiscreteStatsTable[[#This Row],[GroupByKey]]),(DiscreteStatsTable[GroupByKey]=DiscreteStatsTable[[#This Row],[GroupByKey]])*DiscreteStatsTable[Minimum]))</f>
        <v>7.7143139311317598E-3</v>
      </c>
      <c r="U833" s="5" cm="1">
        <f t="array" ref="U833">MAX(IF((DiscreteStatsTable[GroupByKey]=DiscreteStatsTable[[#This Row],[GroupByKey]]),(DiscreteStatsTable[GroupByKey]=DiscreteStatsTable[[#This Row],[GroupByKey]])*DiscreteStatsTable[Maximum]))</f>
        <v>2.34378124046611</v>
      </c>
      <c r="V833" s="5" cm="1">
        <f t="array" ref="V833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33" s="5">
        <f>IF((DiscreteStatsTable[[#This Row],[RepsRequested]]&gt;1),DiscreteStatsTable[[#This Row],[HalfWidth]],DiscreteStatsTable[[#This Row],[BatchMeansHalfWidth]])</f>
        <v>1.4409558525563334E-2</v>
      </c>
      <c r="X833" s="5" cm="1">
        <f t="array" ref="X833">COUNT(IF((DiscreteStatsTable[GroupByKey]=DiscreteStatsTable[[#This Row],[GroupByKey]]),(DiscreteStatsTable[GroupByKey]=DiscreteStatsTable[[#This Row],[GroupByKey]])*DiscreteStatsTable[Replication]))</f>
        <v>19</v>
      </c>
      <c r="Y833" s="5">
        <f>IF(DiscreteStatsTable[[#This Row],[RepsRequested]]=DiscreteStatsTable[[#This Row],[RepsWithStatObserved]],1,0)</f>
        <v>1</v>
      </c>
    </row>
    <row r="834" spans="1:25" x14ac:dyDescent="0.25">
      <c r="A834" t="s">
        <v>67</v>
      </c>
      <c r="B834" t="s">
        <v>69</v>
      </c>
      <c r="C834">
        <v>2</v>
      </c>
      <c r="D834" t="s">
        <v>115</v>
      </c>
      <c r="E834" t="s">
        <v>79</v>
      </c>
      <c r="F834" t="s">
        <v>80</v>
      </c>
      <c r="G834">
        <v>0.31276328365316303</v>
      </c>
      <c r="H834">
        <v>2E+20</v>
      </c>
      <c r="I834">
        <v>1.8488432573192898E-2</v>
      </c>
      <c r="J834">
        <v>1.84761895605473</v>
      </c>
      <c r="K834">
        <v>109</v>
      </c>
      <c r="L83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compartida)TiempoPagoExpressionUser Specified</v>
      </c>
      <c r="M834" s="5" cm="1">
        <f t="array" ref="M834">MAX(IF((ProjectInfoTable[ProjectName]=DiscreteStatsTable[[#This Row],[ProjectName]]),(ProjectInfoTable[ProjectName]=DiscreteStatsTable[[#This Row],[ProjectName]])*ProjectInfoTable[NumberOfReplications]))</f>
        <v>19</v>
      </c>
      <c r="N834" s="5" cm="1">
        <f t="array" ref="N834">IFERROR(AVERAGE(IF((DiscreteStatsTable[GroupByKey]=DiscreteStatsTable[[#This Row],[GroupByKey]]),(DiscreteStatsTable[GroupByKey]=DiscreteStatsTable[[#This Row],[GroupByKey]])*DiscreteStatsTable[Average])),0)</f>
        <v>0.3256545808151487</v>
      </c>
      <c r="O834" s="5" cm="1">
        <f t="array" ref="O834">IFERROR(_xlfn.STDEV.S(IF((DiscreteStatsTable[GroupByKey]=DiscreteStatsTable[[#This Row],[GroupByKey]]),(DiscreteStatsTable[GroupByKey]=DiscreteStatsTable[[#This Row],[GroupByKey]])*DiscreteStatsTable[Average])),0)</f>
        <v>2.9896306588682073E-2</v>
      </c>
      <c r="P834" s="5" cm="1">
        <f t="array" ref="P834">MAX(IF((ProjectInfoTable[ProjectName]=DiscreteStatsTable[[#This Row],[ProjectName]]),(ProjectInfoTable[ProjectName]=DiscreteStatsTable[[#This Row],[ProjectName]])*ProjectInfoTable[ConfidenceInterval]))</f>
        <v>0.95</v>
      </c>
      <c r="Q834" s="5">
        <f>IF(AND(DiscreteStatsTable[[#This Row],[RepsWithStatObserved]]=1,Y834=0),200000000000000000000,IFERROR(_xlfn.T.INV.2T(1 -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1.4409558525563334E-2</v>
      </c>
      <c r="R834" s="5" cm="1">
        <f t="array" ref="R834">MIN(IF((DiscreteStatsTable[GroupByKey]=DiscreteStatsTable[[#This Row],[GroupByKey]]),(DiscreteStatsTable[GroupByKey]=DiscreteStatsTable[[#This Row],[GroupByKey]])*DiscreteStatsTable[Average]))</f>
        <v>0.254905928907871</v>
      </c>
      <c r="S834" s="5" cm="1">
        <f t="array" ref="S834">MAX(IF((DiscreteStatsTable[GroupByKey]=DiscreteStatsTable[[#This Row],[GroupByKey]]),(DiscreteStatsTable[GroupByKey]=DiscreteStatsTable[[#This Row],[GroupByKey]])*DiscreteStatsTable[Average]))</f>
        <v>0.37952723924807102</v>
      </c>
      <c r="T834" s="5" cm="1">
        <f t="array" ref="T834">MIN(IF((DiscreteStatsTable[GroupByKey]=DiscreteStatsTable[[#This Row],[GroupByKey]]),(DiscreteStatsTable[GroupByKey]=DiscreteStatsTable[[#This Row],[GroupByKey]])*DiscreteStatsTable[Minimum]))</f>
        <v>7.7143139311317598E-3</v>
      </c>
      <c r="U834" s="5" cm="1">
        <f t="array" ref="U834">MAX(IF((DiscreteStatsTable[GroupByKey]=DiscreteStatsTable[[#This Row],[GroupByKey]]),(DiscreteStatsTable[GroupByKey]=DiscreteStatsTable[[#This Row],[GroupByKey]])*DiscreteStatsTable[Maximum]))</f>
        <v>2.34378124046611</v>
      </c>
      <c r="V834" s="5" cm="1">
        <f t="array" ref="V834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34" s="5">
        <f>IF((DiscreteStatsTable[[#This Row],[RepsRequested]]&gt;1),DiscreteStatsTable[[#This Row],[HalfWidth]],DiscreteStatsTable[[#This Row],[BatchMeansHalfWidth]])</f>
        <v>1.4409558525563334E-2</v>
      </c>
      <c r="X834" s="5" cm="1">
        <f t="array" ref="X834">COUNT(IF((DiscreteStatsTable[GroupByKey]=DiscreteStatsTable[[#This Row],[GroupByKey]]),(DiscreteStatsTable[GroupByKey]=DiscreteStatsTable[[#This Row],[GroupByKey]])*DiscreteStatsTable[Replication]))</f>
        <v>19</v>
      </c>
      <c r="Y834" s="5">
        <f>IF(DiscreteStatsTable[[#This Row],[RepsRequested]]=DiscreteStatsTable[[#This Row],[RepsWithStatObserved]],1,0)</f>
        <v>1</v>
      </c>
    </row>
    <row r="835" spans="1:25" x14ac:dyDescent="0.25">
      <c r="A835" t="s">
        <v>67</v>
      </c>
      <c r="B835" t="s">
        <v>69</v>
      </c>
      <c r="C835">
        <v>3</v>
      </c>
      <c r="D835" t="s">
        <v>115</v>
      </c>
      <c r="E835" t="s">
        <v>79</v>
      </c>
      <c r="F835" t="s">
        <v>80</v>
      </c>
      <c r="G835">
        <v>0.34620234191451199</v>
      </c>
      <c r="H835">
        <v>2E+20</v>
      </c>
      <c r="I835">
        <v>2.31255553534595E-2</v>
      </c>
      <c r="J835">
        <v>2.10701815910656</v>
      </c>
      <c r="K835">
        <v>115</v>
      </c>
      <c r="L83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compartida)TiempoPagoExpressionUser Specified</v>
      </c>
      <c r="M835" s="5" cm="1">
        <f t="array" ref="M835">MAX(IF((ProjectInfoTable[ProjectName]=DiscreteStatsTable[[#This Row],[ProjectName]]),(ProjectInfoTable[ProjectName]=DiscreteStatsTable[[#This Row],[ProjectName]])*ProjectInfoTable[NumberOfReplications]))</f>
        <v>19</v>
      </c>
      <c r="N835" s="5" cm="1">
        <f t="array" ref="N835">IFERROR(AVERAGE(IF((DiscreteStatsTable[GroupByKey]=DiscreteStatsTable[[#This Row],[GroupByKey]]),(DiscreteStatsTable[GroupByKey]=DiscreteStatsTable[[#This Row],[GroupByKey]])*DiscreteStatsTable[Average])),0)</f>
        <v>0.3256545808151487</v>
      </c>
      <c r="O835" s="5" cm="1">
        <f t="array" ref="O835">IFERROR(_xlfn.STDEV.S(IF((DiscreteStatsTable[GroupByKey]=DiscreteStatsTable[[#This Row],[GroupByKey]]),(DiscreteStatsTable[GroupByKey]=DiscreteStatsTable[[#This Row],[GroupByKey]])*DiscreteStatsTable[Average])),0)</f>
        <v>2.9896306588682073E-2</v>
      </c>
      <c r="P835" s="5" cm="1">
        <f t="array" ref="P835">MAX(IF((ProjectInfoTable[ProjectName]=DiscreteStatsTable[[#This Row],[ProjectName]]),(ProjectInfoTable[ProjectName]=DiscreteStatsTable[[#This Row],[ProjectName]])*ProjectInfoTable[ConfidenceInterval]))</f>
        <v>0.95</v>
      </c>
      <c r="Q835" s="5">
        <f>IF(AND(DiscreteStatsTable[[#This Row],[RepsWithStatObserved]]=1,Y835=0),200000000000000000000,IFERROR(_xlfn.T.INV.2T(1 -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1.4409558525563334E-2</v>
      </c>
      <c r="R835" s="5" cm="1">
        <f t="array" ref="R835">MIN(IF((DiscreteStatsTable[GroupByKey]=DiscreteStatsTable[[#This Row],[GroupByKey]]),(DiscreteStatsTable[GroupByKey]=DiscreteStatsTable[[#This Row],[GroupByKey]])*DiscreteStatsTable[Average]))</f>
        <v>0.254905928907871</v>
      </c>
      <c r="S835" s="5" cm="1">
        <f t="array" ref="S835">MAX(IF((DiscreteStatsTable[GroupByKey]=DiscreteStatsTable[[#This Row],[GroupByKey]]),(DiscreteStatsTable[GroupByKey]=DiscreteStatsTable[[#This Row],[GroupByKey]])*DiscreteStatsTable[Average]))</f>
        <v>0.37952723924807102</v>
      </c>
      <c r="T835" s="5" cm="1">
        <f t="array" ref="T835">MIN(IF((DiscreteStatsTable[GroupByKey]=DiscreteStatsTable[[#This Row],[GroupByKey]]),(DiscreteStatsTable[GroupByKey]=DiscreteStatsTable[[#This Row],[GroupByKey]])*DiscreteStatsTable[Minimum]))</f>
        <v>7.7143139311317598E-3</v>
      </c>
      <c r="U835" s="5" cm="1">
        <f t="array" ref="U835">MAX(IF((DiscreteStatsTable[GroupByKey]=DiscreteStatsTable[[#This Row],[GroupByKey]]),(DiscreteStatsTable[GroupByKey]=DiscreteStatsTable[[#This Row],[GroupByKey]])*DiscreteStatsTable[Maximum]))</f>
        <v>2.34378124046611</v>
      </c>
      <c r="V835" s="5" cm="1">
        <f t="array" ref="V835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35" s="5">
        <f>IF((DiscreteStatsTable[[#This Row],[RepsRequested]]&gt;1),DiscreteStatsTable[[#This Row],[HalfWidth]],DiscreteStatsTable[[#This Row],[BatchMeansHalfWidth]])</f>
        <v>1.4409558525563334E-2</v>
      </c>
      <c r="X835" s="5" cm="1">
        <f t="array" ref="X835">COUNT(IF((DiscreteStatsTable[GroupByKey]=DiscreteStatsTable[[#This Row],[GroupByKey]]),(DiscreteStatsTable[GroupByKey]=DiscreteStatsTable[[#This Row],[GroupByKey]])*DiscreteStatsTable[Replication]))</f>
        <v>19</v>
      </c>
      <c r="Y835" s="5">
        <f>IF(DiscreteStatsTable[[#This Row],[RepsRequested]]=DiscreteStatsTable[[#This Row],[RepsWithStatObserved]],1,0)</f>
        <v>1</v>
      </c>
    </row>
    <row r="836" spans="1:25" x14ac:dyDescent="0.25">
      <c r="A836" t="s">
        <v>67</v>
      </c>
      <c r="B836" t="s">
        <v>69</v>
      </c>
      <c r="C836">
        <v>4</v>
      </c>
      <c r="D836" t="s">
        <v>115</v>
      </c>
      <c r="E836" t="s">
        <v>79</v>
      </c>
      <c r="F836" t="s">
        <v>80</v>
      </c>
      <c r="G836">
        <v>0.3302301212189</v>
      </c>
      <c r="H836">
        <v>2E+20</v>
      </c>
      <c r="I836">
        <v>1.36854690215387E-2</v>
      </c>
      <c r="J836">
        <v>2.1597984381946</v>
      </c>
      <c r="K836">
        <v>116</v>
      </c>
      <c r="L83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compartida)TiempoPagoExpressionUser Specified</v>
      </c>
      <c r="M836" s="5" cm="1">
        <f t="array" ref="M836">MAX(IF((ProjectInfoTable[ProjectName]=DiscreteStatsTable[[#This Row],[ProjectName]]),(ProjectInfoTable[ProjectName]=DiscreteStatsTable[[#This Row],[ProjectName]])*ProjectInfoTable[NumberOfReplications]))</f>
        <v>19</v>
      </c>
      <c r="N836" s="5" cm="1">
        <f t="array" ref="N836">IFERROR(AVERAGE(IF((DiscreteStatsTable[GroupByKey]=DiscreteStatsTable[[#This Row],[GroupByKey]]),(DiscreteStatsTable[GroupByKey]=DiscreteStatsTable[[#This Row],[GroupByKey]])*DiscreteStatsTable[Average])),0)</f>
        <v>0.3256545808151487</v>
      </c>
      <c r="O836" s="5" cm="1">
        <f t="array" ref="O836">IFERROR(_xlfn.STDEV.S(IF((DiscreteStatsTable[GroupByKey]=DiscreteStatsTable[[#This Row],[GroupByKey]]),(DiscreteStatsTable[GroupByKey]=DiscreteStatsTable[[#This Row],[GroupByKey]])*DiscreteStatsTable[Average])),0)</f>
        <v>2.9896306588682073E-2</v>
      </c>
      <c r="P836" s="5" cm="1">
        <f t="array" ref="P836">MAX(IF((ProjectInfoTable[ProjectName]=DiscreteStatsTable[[#This Row],[ProjectName]]),(ProjectInfoTable[ProjectName]=DiscreteStatsTable[[#This Row],[ProjectName]])*ProjectInfoTable[ConfidenceInterval]))</f>
        <v>0.95</v>
      </c>
      <c r="Q836" s="5">
        <f>IF(AND(DiscreteStatsTable[[#This Row],[RepsWithStatObserved]]=1,Y836=0),200000000000000000000,IFERROR(_xlfn.T.INV.2T(1 -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1.4409558525563334E-2</v>
      </c>
      <c r="R836" s="5" cm="1">
        <f t="array" ref="R836">MIN(IF((DiscreteStatsTable[GroupByKey]=DiscreteStatsTable[[#This Row],[GroupByKey]]),(DiscreteStatsTable[GroupByKey]=DiscreteStatsTable[[#This Row],[GroupByKey]])*DiscreteStatsTable[Average]))</f>
        <v>0.254905928907871</v>
      </c>
      <c r="S836" s="5" cm="1">
        <f t="array" ref="S836">MAX(IF((DiscreteStatsTable[GroupByKey]=DiscreteStatsTable[[#This Row],[GroupByKey]]),(DiscreteStatsTable[GroupByKey]=DiscreteStatsTable[[#This Row],[GroupByKey]])*DiscreteStatsTable[Average]))</f>
        <v>0.37952723924807102</v>
      </c>
      <c r="T836" s="5" cm="1">
        <f t="array" ref="T836">MIN(IF((DiscreteStatsTable[GroupByKey]=DiscreteStatsTable[[#This Row],[GroupByKey]]),(DiscreteStatsTable[GroupByKey]=DiscreteStatsTable[[#This Row],[GroupByKey]])*DiscreteStatsTable[Minimum]))</f>
        <v>7.7143139311317598E-3</v>
      </c>
      <c r="U836" s="5" cm="1">
        <f t="array" ref="U836">MAX(IF((DiscreteStatsTable[GroupByKey]=DiscreteStatsTable[[#This Row],[GroupByKey]]),(DiscreteStatsTable[GroupByKey]=DiscreteStatsTable[[#This Row],[GroupByKey]])*DiscreteStatsTable[Maximum]))</f>
        <v>2.34378124046611</v>
      </c>
      <c r="V836" s="5" cm="1">
        <f t="array" ref="V836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36" s="5">
        <f>IF((DiscreteStatsTable[[#This Row],[RepsRequested]]&gt;1),DiscreteStatsTable[[#This Row],[HalfWidth]],DiscreteStatsTable[[#This Row],[BatchMeansHalfWidth]])</f>
        <v>1.4409558525563334E-2</v>
      </c>
      <c r="X836" s="5" cm="1">
        <f t="array" ref="X836">COUNT(IF((DiscreteStatsTable[GroupByKey]=DiscreteStatsTable[[#This Row],[GroupByKey]]),(DiscreteStatsTable[GroupByKey]=DiscreteStatsTable[[#This Row],[GroupByKey]])*DiscreteStatsTable[Replication]))</f>
        <v>19</v>
      </c>
      <c r="Y836" s="5">
        <f>IF(DiscreteStatsTable[[#This Row],[RepsRequested]]=DiscreteStatsTable[[#This Row],[RepsWithStatObserved]],1,0)</f>
        <v>1</v>
      </c>
    </row>
    <row r="837" spans="1:25" x14ac:dyDescent="0.25">
      <c r="A837" t="s">
        <v>67</v>
      </c>
      <c r="B837" t="s">
        <v>69</v>
      </c>
      <c r="C837">
        <v>5</v>
      </c>
      <c r="D837" t="s">
        <v>115</v>
      </c>
      <c r="E837" t="s">
        <v>79</v>
      </c>
      <c r="F837" t="s">
        <v>80</v>
      </c>
      <c r="G837">
        <v>0.254905928907871</v>
      </c>
      <c r="H837">
        <v>2E+20</v>
      </c>
      <c r="I837">
        <v>1.3123702130371799E-2</v>
      </c>
      <c r="J837">
        <v>0.90168462709739605</v>
      </c>
      <c r="K837">
        <v>129</v>
      </c>
      <c r="L83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compartida)TiempoPagoExpressionUser Specified</v>
      </c>
      <c r="M837" s="5" cm="1">
        <f t="array" ref="M837">MAX(IF((ProjectInfoTable[ProjectName]=DiscreteStatsTable[[#This Row],[ProjectName]]),(ProjectInfoTable[ProjectName]=DiscreteStatsTable[[#This Row],[ProjectName]])*ProjectInfoTable[NumberOfReplications]))</f>
        <v>19</v>
      </c>
      <c r="N837" s="5" cm="1">
        <f t="array" ref="N837">IFERROR(AVERAGE(IF((DiscreteStatsTable[GroupByKey]=DiscreteStatsTable[[#This Row],[GroupByKey]]),(DiscreteStatsTable[GroupByKey]=DiscreteStatsTable[[#This Row],[GroupByKey]])*DiscreteStatsTable[Average])),0)</f>
        <v>0.3256545808151487</v>
      </c>
      <c r="O837" s="5" cm="1">
        <f t="array" ref="O837">IFERROR(_xlfn.STDEV.S(IF((DiscreteStatsTable[GroupByKey]=DiscreteStatsTable[[#This Row],[GroupByKey]]),(DiscreteStatsTable[GroupByKey]=DiscreteStatsTable[[#This Row],[GroupByKey]])*DiscreteStatsTable[Average])),0)</f>
        <v>2.9896306588682073E-2</v>
      </c>
      <c r="P837" s="5" cm="1">
        <f t="array" ref="P837">MAX(IF((ProjectInfoTable[ProjectName]=DiscreteStatsTable[[#This Row],[ProjectName]]),(ProjectInfoTable[ProjectName]=DiscreteStatsTable[[#This Row],[ProjectName]])*ProjectInfoTable[ConfidenceInterval]))</f>
        <v>0.95</v>
      </c>
      <c r="Q837" s="5">
        <f>IF(AND(DiscreteStatsTable[[#This Row],[RepsWithStatObserved]]=1,Y837=0),200000000000000000000,IFERROR(_xlfn.T.INV.2T(1 -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1.4409558525563334E-2</v>
      </c>
      <c r="R837" s="5" cm="1">
        <f t="array" ref="R837">MIN(IF((DiscreteStatsTable[GroupByKey]=DiscreteStatsTable[[#This Row],[GroupByKey]]),(DiscreteStatsTable[GroupByKey]=DiscreteStatsTable[[#This Row],[GroupByKey]])*DiscreteStatsTable[Average]))</f>
        <v>0.254905928907871</v>
      </c>
      <c r="S837" s="5" cm="1">
        <f t="array" ref="S837">MAX(IF((DiscreteStatsTable[GroupByKey]=DiscreteStatsTable[[#This Row],[GroupByKey]]),(DiscreteStatsTable[GroupByKey]=DiscreteStatsTable[[#This Row],[GroupByKey]])*DiscreteStatsTable[Average]))</f>
        <v>0.37952723924807102</v>
      </c>
      <c r="T837" s="5" cm="1">
        <f t="array" ref="T837">MIN(IF((DiscreteStatsTable[GroupByKey]=DiscreteStatsTable[[#This Row],[GroupByKey]]),(DiscreteStatsTable[GroupByKey]=DiscreteStatsTable[[#This Row],[GroupByKey]])*DiscreteStatsTable[Minimum]))</f>
        <v>7.7143139311317598E-3</v>
      </c>
      <c r="U837" s="5" cm="1">
        <f t="array" ref="U837">MAX(IF((DiscreteStatsTable[GroupByKey]=DiscreteStatsTable[[#This Row],[GroupByKey]]),(DiscreteStatsTable[GroupByKey]=DiscreteStatsTable[[#This Row],[GroupByKey]])*DiscreteStatsTable[Maximum]))</f>
        <v>2.34378124046611</v>
      </c>
      <c r="V837" s="5" cm="1">
        <f t="array" ref="V837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37" s="5">
        <f>IF((DiscreteStatsTable[[#This Row],[RepsRequested]]&gt;1),DiscreteStatsTable[[#This Row],[HalfWidth]],DiscreteStatsTable[[#This Row],[BatchMeansHalfWidth]])</f>
        <v>1.4409558525563334E-2</v>
      </c>
      <c r="X837" s="5" cm="1">
        <f t="array" ref="X837">COUNT(IF((DiscreteStatsTable[GroupByKey]=DiscreteStatsTable[[#This Row],[GroupByKey]]),(DiscreteStatsTable[GroupByKey]=DiscreteStatsTable[[#This Row],[GroupByKey]])*DiscreteStatsTable[Replication]))</f>
        <v>19</v>
      </c>
      <c r="Y837" s="5">
        <f>IF(DiscreteStatsTable[[#This Row],[RepsRequested]]=DiscreteStatsTable[[#This Row],[RepsWithStatObserved]],1,0)</f>
        <v>1</v>
      </c>
    </row>
    <row r="838" spans="1:25" x14ac:dyDescent="0.25">
      <c r="A838" t="s">
        <v>67</v>
      </c>
      <c r="B838" t="s">
        <v>69</v>
      </c>
      <c r="C838">
        <v>6</v>
      </c>
      <c r="D838" t="s">
        <v>115</v>
      </c>
      <c r="E838" t="s">
        <v>79</v>
      </c>
      <c r="F838" t="s">
        <v>80</v>
      </c>
      <c r="G838">
        <v>0.32565050249621802</v>
      </c>
      <c r="H838">
        <v>2E+20</v>
      </c>
      <c r="I838">
        <v>3.3564722613277802E-2</v>
      </c>
      <c r="J838">
        <v>1.8056931578900299</v>
      </c>
      <c r="K838">
        <v>117</v>
      </c>
      <c r="L83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compartida)TiempoPagoExpressionUser Specified</v>
      </c>
      <c r="M838" s="5" cm="1">
        <f t="array" ref="M838">MAX(IF((ProjectInfoTable[ProjectName]=DiscreteStatsTable[[#This Row],[ProjectName]]),(ProjectInfoTable[ProjectName]=DiscreteStatsTable[[#This Row],[ProjectName]])*ProjectInfoTable[NumberOfReplications]))</f>
        <v>19</v>
      </c>
      <c r="N838" s="5" cm="1">
        <f t="array" ref="N838">IFERROR(AVERAGE(IF((DiscreteStatsTable[GroupByKey]=DiscreteStatsTable[[#This Row],[GroupByKey]]),(DiscreteStatsTable[GroupByKey]=DiscreteStatsTable[[#This Row],[GroupByKey]])*DiscreteStatsTable[Average])),0)</f>
        <v>0.3256545808151487</v>
      </c>
      <c r="O838" s="5" cm="1">
        <f t="array" ref="O838">IFERROR(_xlfn.STDEV.S(IF((DiscreteStatsTable[GroupByKey]=DiscreteStatsTable[[#This Row],[GroupByKey]]),(DiscreteStatsTable[GroupByKey]=DiscreteStatsTable[[#This Row],[GroupByKey]])*DiscreteStatsTable[Average])),0)</f>
        <v>2.9896306588682073E-2</v>
      </c>
      <c r="P838" s="5" cm="1">
        <f t="array" ref="P838">MAX(IF((ProjectInfoTable[ProjectName]=DiscreteStatsTable[[#This Row],[ProjectName]]),(ProjectInfoTable[ProjectName]=DiscreteStatsTable[[#This Row],[ProjectName]])*ProjectInfoTable[ConfidenceInterval]))</f>
        <v>0.95</v>
      </c>
      <c r="Q838" s="5">
        <f>IF(AND(DiscreteStatsTable[[#This Row],[RepsWithStatObserved]]=1,Y838=0),200000000000000000000,IFERROR(_xlfn.T.INV.2T(1 -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1.4409558525563334E-2</v>
      </c>
      <c r="R838" s="5" cm="1">
        <f t="array" ref="R838">MIN(IF((DiscreteStatsTable[GroupByKey]=DiscreteStatsTable[[#This Row],[GroupByKey]]),(DiscreteStatsTable[GroupByKey]=DiscreteStatsTable[[#This Row],[GroupByKey]])*DiscreteStatsTable[Average]))</f>
        <v>0.254905928907871</v>
      </c>
      <c r="S838" s="5" cm="1">
        <f t="array" ref="S838">MAX(IF((DiscreteStatsTable[GroupByKey]=DiscreteStatsTable[[#This Row],[GroupByKey]]),(DiscreteStatsTable[GroupByKey]=DiscreteStatsTable[[#This Row],[GroupByKey]])*DiscreteStatsTable[Average]))</f>
        <v>0.37952723924807102</v>
      </c>
      <c r="T838" s="5" cm="1">
        <f t="array" ref="T838">MIN(IF((DiscreteStatsTable[GroupByKey]=DiscreteStatsTable[[#This Row],[GroupByKey]]),(DiscreteStatsTable[GroupByKey]=DiscreteStatsTable[[#This Row],[GroupByKey]])*DiscreteStatsTable[Minimum]))</f>
        <v>7.7143139311317598E-3</v>
      </c>
      <c r="U838" s="5" cm="1">
        <f t="array" ref="U838">MAX(IF((DiscreteStatsTable[GroupByKey]=DiscreteStatsTable[[#This Row],[GroupByKey]]),(DiscreteStatsTable[GroupByKey]=DiscreteStatsTable[[#This Row],[GroupByKey]])*DiscreteStatsTable[Maximum]))</f>
        <v>2.34378124046611</v>
      </c>
      <c r="V838" s="5" cm="1">
        <f t="array" ref="V838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38" s="5">
        <f>IF((DiscreteStatsTable[[#This Row],[RepsRequested]]&gt;1),DiscreteStatsTable[[#This Row],[HalfWidth]],DiscreteStatsTable[[#This Row],[BatchMeansHalfWidth]])</f>
        <v>1.4409558525563334E-2</v>
      </c>
      <c r="X838" s="5" cm="1">
        <f t="array" ref="X838">COUNT(IF((DiscreteStatsTable[GroupByKey]=DiscreteStatsTable[[#This Row],[GroupByKey]]),(DiscreteStatsTable[GroupByKey]=DiscreteStatsTable[[#This Row],[GroupByKey]])*DiscreteStatsTable[Replication]))</f>
        <v>19</v>
      </c>
      <c r="Y838" s="5">
        <f>IF(DiscreteStatsTable[[#This Row],[RepsRequested]]=DiscreteStatsTable[[#This Row],[RepsWithStatObserved]],1,0)</f>
        <v>1</v>
      </c>
    </row>
    <row r="839" spans="1:25" x14ac:dyDescent="0.25">
      <c r="A839" t="s">
        <v>67</v>
      </c>
      <c r="B839" t="s">
        <v>69</v>
      </c>
      <c r="C839">
        <v>7</v>
      </c>
      <c r="D839" t="s">
        <v>115</v>
      </c>
      <c r="E839" t="s">
        <v>79</v>
      </c>
      <c r="F839" t="s">
        <v>80</v>
      </c>
      <c r="G839">
        <v>0.37952723924807102</v>
      </c>
      <c r="H839">
        <v>2E+20</v>
      </c>
      <c r="I839">
        <v>1.07621456128442E-2</v>
      </c>
      <c r="J839">
        <v>2.1969649220562002</v>
      </c>
      <c r="K839">
        <v>112</v>
      </c>
      <c r="L83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compartida)TiempoPagoExpressionUser Specified</v>
      </c>
      <c r="M839" s="5" cm="1">
        <f t="array" ref="M839">MAX(IF((ProjectInfoTable[ProjectName]=DiscreteStatsTable[[#This Row],[ProjectName]]),(ProjectInfoTable[ProjectName]=DiscreteStatsTable[[#This Row],[ProjectName]])*ProjectInfoTable[NumberOfReplications]))</f>
        <v>19</v>
      </c>
      <c r="N839" s="5" cm="1">
        <f t="array" ref="N839">IFERROR(AVERAGE(IF((DiscreteStatsTable[GroupByKey]=DiscreteStatsTable[[#This Row],[GroupByKey]]),(DiscreteStatsTable[GroupByKey]=DiscreteStatsTable[[#This Row],[GroupByKey]])*DiscreteStatsTable[Average])),0)</f>
        <v>0.3256545808151487</v>
      </c>
      <c r="O839" s="5" cm="1">
        <f t="array" ref="O839">IFERROR(_xlfn.STDEV.S(IF((DiscreteStatsTable[GroupByKey]=DiscreteStatsTable[[#This Row],[GroupByKey]]),(DiscreteStatsTable[GroupByKey]=DiscreteStatsTable[[#This Row],[GroupByKey]])*DiscreteStatsTable[Average])),0)</f>
        <v>2.9896306588682073E-2</v>
      </c>
      <c r="P839" s="5" cm="1">
        <f t="array" ref="P839">MAX(IF((ProjectInfoTable[ProjectName]=DiscreteStatsTable[[#This Row],[ProjectName]]),(ProjectInfoTable[ProjectName]=DiscreteStatsTable[[#This Row],[ProjectName]])*ProjectInfoTable[ConfidenceInterval]))</f>
        <v>0.95</v>
      </c>
      <c r="Q839" s="5">
        <f>IF(AND(DiscreteStatsTable[[#This Row],[RepsWithStatObserved]]=1,Y839=0),200000000000000000000,IFERROR(_xlfn.T.INV.2T(1 -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1.4409558525563334E-2</v>
      </c>
      <c r="R839" s="5" cm="1">
        <f t="array" ref="R839">MIN(IF((DiscreteStatsTable[GroupByKey]=DiscreteStatsTable[[#This Row],[GroupByKey]]),(DiscreteStatsTable[GroupByKey]=DiscreteStatsTable[[#This Row],[GroupByKey]])*DiscreteStatsTable[Average]))</f>
        <v>0.254905928907871</v>
      </c>
      <c r="S839" s="5" cm="1">
        <f t="array" ref="S839">MAX(IF((DiscreteStatsTable[GroupByKey]=DiscreteStatsTable[[#This Row],[GroupByKey]]),(DiscreteStatsTable[GroupByKey]=DiscreteStatsTable[[#This Row],[GroupByKey]])*DiscreteStatsTable[Average]))</f>
        <v>0.37952723924807102</v>
      </c>
      <c r="T839" s="5" cm="1">
        <f t="array" ref="T839">MIN(IF((DiscreteStatsTable[GroupByKey]=DiscreteStatsTable[[#This Row],[GroupByKey]]),(DiscreteStatsTable[GroupByKey]=DiscreteStatsTable[[#This Row],[GroupByKey]])*DiscreteStatsTable[Minimum]))</f>
        <v>7.7143139311317598E-3</v>
      </c>
      <c r="U839" s="5" cm="1">
        <f t="array" ref="U839">MAX(IF((DiscreteStatsTable[GroupByKey]=DiscreteStatsTable[[#This Row],[GroupByKey]]),(DiscreteStatsTable[GroupByKey]=DiscreteStatsTable[[#This Row],[GroupByKey]])*DiscreteStatsTable[Maximum]))</f>
        <v>2.34378124046611</v>
      </c>
      <c r="V839" s="5" cm="1">
        <f t="array" ref="V839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39" s="5">
        <f>IF((DiscreteStatsTable[[#This Row],[RepsRequested]]&gt;1),DiscreteStatsTable[[#This Row],[HalfWidth]],DiscreteStatsTable[[#This Row],[BatchMeansHalfWidth]])</f>
        <v>1.4409558525563334E-2</v>
      </c>
      <c r="X839" s="5" cm="1">
        <f t="array" ref="X839">COUNT(IF((DiscreteStatsTable[GroupByKey]=DiscreteStatsTable[[#This Row],[GroupByKey]]),(DiscreteStatsTable[GroupByKey]=DiscreteStatsTable[[#This Row],[GroupByKey]])*DiscreteStatsTable[Replication]))</f>
        <v>19</v>
      </c>
      <c r="Y839" s="5">
        <f>IF(DiscreteStatsTable[[#This Row],[RepsRequested]]=DiscreteStatsTable[[#This Row],[RepsWithStatObserved]],1,0)</f>
        <v>1</v>
      </c>
    </row>
    <row r="840" spans="1:25" x14ac:dyDescent="0.25">
      <c r="A840" t="s">
        <v>67</v>
      </c>
      <c r="B840" t="s">
        <v>69</v>
      </c>
      <c r="C840">
        <v>8</v>
      </c>
      <c r="D840" t="s">
        <v>115</v>
      </c>
      <c r="E840" t="s">
        <v>79</v>
      </c>
      <c r="F840" t="s">
        <v>80</v>
      </c>
      <c r="G840">
        <v>0.35335235624884198</v>
      </c>
      <c r="H840">
        <v>2E+20</v>
      </c>
      <c r="I840">
        <v>9.6289267566334099E-3</v>
      </c>
      <c r="J840">
        <v>2.1081380588174699</v>
      </c>
      <c r="K840">
        <v>135</v>
      </c>
      <c r="L84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compartida)TiempoPagoExpressionUser Specified</v>
      </c>
      <c r="M840" s="5" cm="1">
        <f t="array" ref="M840">MAX(IF((ProjectInfoTable[ProjectName]=DiscreteStatsTable[[#This Row],[ProjectName]]),(ProjectInfoTable[ProjectName]=DiscreteStatsTable[[#This Row],[ProjectName]])*ProjectInfoTable[NumberOfReplications]))</f>
        <v>19</v>
      </c>
      <c r="N840" s="5" cm="1">
        <f t="array" ref="N840">IFERROR(AVERAGE(IF((DiscreteStatsTable[GroupByKey]=DiscreteStatsTable[[#This Row],[GroupByKey]]),(DiscreteStatsTable[GroupByKey]=DiscreteStatsTable[[#This Row],[GroupByKey]])*DiscreteStatsTable[Average])),0)</f>
        <v>0.3256545808151487</v>
      </c>
      <c r="O840" s="5" cm="1">
        <f t="array" ref="O840">IFERROR(_xlfn.STDEV.S(IF((DiscreteStatsTable[GroupByKey]=DiscreteStatsTable[[#This Row],[GroupByKey]]),(DiscreteStatsTable[GroupByKey]=DiscreteStatsTable[[#This Row],[GroupByKey]])*DiscreteStatsTable[Average])),0)</f>
        <v>2.9896306588682073E-2</v>
      </c>
      <c r="P840" s="5" cm="1">
        <f t="array" ref="P840">MAX(IF((ProjectInfoTable[ProjectName]=DiscreteStatsTable[[#This Row],[ProjectName]]),(ProjectInfoTable[ProjectName]=DiscreteStatsTable[[#This Row],[ProjectName]])*ProjectInfoTable[ConfidenceInterval]))</f>
        <v>0.95</v>
      </c>
      <c r="Q840" s="5">
        <f>IF(AND(DiscreteStatsTable[[#This Row],[RepsWithStatObserved]]=1,Y840=0),200000000000000000000,IFERROR(_xlfn.T.INV.2T(1 -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1.4409558525563334E-2</v>
      </c>
      <c r="R840" s="5" cm="1">
        <f t="array" ref="R840">MIN(IF((DiscreteStatsTable[GroupByKey]=DiscreteStatsTable[[#This Row],[GroupByKey]]),(DiscreteStatsTable[GroupByKey]=DiscreteStatsTable[[#This Row],[GroupByKey]])*DiscreteStatsTable[Average]))</f>
        <v>0.254905928907871</v>
      </c>
      <c r="S840" s="5" cm="1">
        <f t="array" ref="S840">MAX(IF((DiscreteStatsTable[GroupByKey]=DiscreteStatsTable[[#This Row],[GroupByKey]]),(DiscreteStatsTable[GroupByKey]=DiscreteStatsTable[[#This Row],[GroupByKey]])*DiscreteStatsTable[Average]))</f>
        <v>0.37952723924807102</v>
      </c>
      <c r="T840" s="5" cm="1">
        <f t="array" ref="T840">MIN(IF((DiscreteStatsTable[GroupByKey]=DiscreteStatsTable[[#This Row],[GroupByKey]]),(DiscreteStatsTable[GroupByKey]=DiscreteStatsTable[[#This Row],[GroupByKey]])*DiscreteStatsTable[Minimum]))</f>
        <v>7.7143139311317598E-3</v>
      </c>
      <c r="U840" s="5" cm="1">
        <f t="array" ref="U840">MAX(IF((DiscreteStatsTable[GroupByKey]=DiscreteStatsTable[[#This Row],[GroupByKey]]),(DiscreteStatsTable[GroupByKey]=DiscreteStatsTable[[#This Row],[GroupByKey]])*DiscreteStatsTable[Maximum]))</f>
        <v>2.34378124046611</v>
      </c>
      <c r="V840" s="5" cm="1">
        <f t="array" ref="V840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40" s="5">
        <f>IF((DiscreteStatsTable[[#This Row],[RepsRequested]]&gt;1),DiscreteStatsTable[[#This Row],[HalfWidth]],DiscreteStatsTable[[#This Row],[BatchMeansHalfWidth]])</f>
        <v>1.4409558525563334E-2</v>
      </c>
      <c r="X840" s="5" cm="1">
        <f t="array" ref="X840">COUNT(IF((DiscreteStatsTable[GroupByKey]=DiscreteStatsTable[[#This Row],[GroupByKey]]),(DiscreteStatsTable[GroupByKey]=DiscreteStatsTable[[#This Row],[GroupByKey]])*DiscreteStatsTable[Replication]))</f>
        <v>19</v>
      </c>
      <c r="Y840" s="5">
        <f>IF(DiscreteStatsTable[[#This Row],[RepsRequested]]=DiscreteStatsTable[[#This Row],[RepsWithStatObserved]],1,0)</f>
        <v>1</v>
      </c>
    </row>
    <row r="841" spans="1:25" x14ac:dyDescent="0.25">
      <c r="A841" t="s">
        <v>67</v>
      </c>
      <c r="B841" t="s">
        <v>69</v>
      </c>
      <c r="C841">
        <v>9</v>
      </c>
      <c r="D841" t="s">
        <v>115</v>
      </c>
      <c r="E841" t="s">
        <v>79</v>
      </c>
      <c r="F841" t="s">
        <v>80</v>
      </c>
      <c r="G841">
        <v>0.30586158711763201</v>
      </c>
      <c r="H841">
        <v>2E+20</v>
      </c>
      <c r="I841">
        <v>5.50413402732488E-2</v>
      </c>
      <c r="J841">
        <v>0.81697554779039205</v>
      </c>
      <c r="K841">
        <v>114</v>
      </c>
      <c r="L84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compartida)TiempoPagoExpressionUser Specified</v>
      </c>
      <c r="M841" s="5" cm="1">
        <f t="array" ref="M841">MAX(IF((ProjectInfoTable[ProjectName]=DiscreteStatsTable[[#This Row],[ProjectName]]),(ProjectInfoTable[ProjectName]=DiscreteStatsTable[[#This Row],[ProjectName]])*ProjectInfoTable[NumberOfReplications]))</f>
        <v>19</v>
      </c>
      <c r="N841" s="5" cm="1">
        <f t="array" ref="N841">IFERROR(AVERAGE(IF((DiscreteStatsTable[GroupByKey]=DiscreteStatsTable[[#This Row],[GroupByKey]]),(DiscreteStatsTable[GroupByKey]=DiscreteStatsTable[[#This Row],[GroupByKey]])*DiscreteStatsTable[Average])),0)</f>
        <v>0.3256545808151487</v>
      </c>
      <c r="O841" s="5" cm="1">
        <f t="array" ref="O841">IFERROR(_xlfn.STDEV.S(IF((DiscreteStatsTable[GroupByKey]=DiscreteStatsTable[[#This Row],[GroupByKey]]),(DiscreteStatsTable[GroupByKey]=DiscreteStatsTable[[#This Row],[GroupByKey]])*DiscreteStatsTable[Average])),0)</f>
        <v>2.9896306588682073E-2</v>
      </c>
      <c r="P841" s="5" cm="1">
        <f t="array" ref="P841">MAX(IF((ProjectInfoTable[ProjectName]=DiscreteStatsTable[[#This Row],[ProjectName]]),(ProjectInfoTable[ProjectName]=DiscreteStatsTable[[#This Row],[ProjectName]])*ProjectInfoTable[ConfidenceInterval]))</f>
        <v>0.95</v>
      </c>
      <c r="Q841" s="5">
        <f>IF(AND(DiscreteStatsTable[[#This Row],[RepsWithStatObserved]]=1,Y841=0),200000000000000000000,IFERROR(_xlfn.T.INV.2T(1 -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1.4409558525563334E-2</v>
      </c>
      <c r="R841" s="5" cm="1">
        <f t="array" ref="R841">MIN(IF((DiscreteStatsTable[GroupByKey]=DiscreteStatsTable[[#This Row],[GroupByKey]]),(DiscreteStatsTable[GroupByKey]=DiscreteStatsTable[[#This Row],[GroupByKey]])*DiscreteStatsTable[Average]))</f>
        <v>0.254905928907871</v>
      </c>
      <c r="S841" s="5" cm="1">
        <f t="array" ref="S841">MAX(IF((DiscreteStatsTable[GroupByKey]=DiscreteStatsTable[[#This Row],[GroupByKey]]),(DiscreteStatsTable[GroupByKey]=DiscreteStatsTable[[#This Row],[GroupByKey]])*DiscreteStatsTable[Average]))</f>
        <v>0.37952723924807102</v>
      </c>
      <c r="T841" s="5" cm="1">
        <f t="array" ref="T841">MIN(IF((DiscreteStatsTable[GroupByKey]=DiscreteStatsTable[[#This Row],[GroupByKey]]),(DiscreteStatsTable[GroupByKey]=DiscreteStatsTable[[#This Row],[GroupByKey]])*DiscreteStatsTable[Minimum]))</f>
        <v>7.7143139311317598E-3</v>
      </c>
      <c r="U841" s="5" cm="1">
        <f t="array" ref="U841">MAX(IF((DiscreteStatsTable[GroupByKey]=DiscreteStatsTable[[#This Row],[GroupByKey]]),(DiscreteStatsTable[GroupByKey]=DiscreteStatsTable[[#This Row],[GroupByKey]])*DiscreteStatsTable[Maximum]))</f>
        <v>2.34378124046611</v>
      </c>
      <c r="V841" s="5" cm="1">
        <f t="array" ref="V841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41" s="5">
        <f>IF((DiscreteStatsTable[[#This Row],[RepsRequested]]&gt;1),DiscreteStatsTable[[#This Row],[HalfWidth]],DiscreteStatsTable[[#This Row],[BatchMeansHalfWidth]])</f>
        <v>1.4409558525563334E-2</v>
      </c>
      <c r="X841" s="5" cm="1">
        <f t="array" ref="X841">COUNT(IF((DiscreteStatsTable[GroupByKey]=DiscreteStatsTable[[#This Row],[GroupByKey]]),(DiscreteStatsTable[GroupByKey]=DiscreteStatsTable[[#This Row],[GroupByKey]])*DiscreteStatsTable[Replication]))</f>
        <v>19</v>
      </c>
      <c r="Y841" s="5">
        <f>IF(DiscreteStatsTable[[#This Row],[RepsRequested]]=DiscreteStatsTable[[#This Row],[RepsWithStatObserved]],1,0)</f>
        <v>1</v>
      </c>
    </row>
    <row r="842" spans="1:25" x14ac:dyDescent="0.25">
      <c r="A842" t="s">
        <v>67</v>
      </c>
      <c r="B842" t="s">
        <v>69</v>
      </c>
      <c r="C842">
        <v>10</v>
      </c>
      <c r="D842" t="s">
        <v>115</v>
      </c>
      <c r="E842" t="s">
        <v>79</v>
      </c>
      <c r="F842" t="s">
        <v>80</v>
      </c>
      <c r="G842">
        <v>0.337076278545348</v>
      </c>
      <c r="H842">
        <v>2E+20</v>
      </c>
      <c r="I842">
        <v>1.2394548481111701E-2</v>
      </c>
      <c r="J842">
        <v>1.7746126207755599</v>
      </c>
      <c r="K842">
        <v>116</v>
      </c>
      <c r="L84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compartida)TiempoPagoExpressionUser Specified</v>
      </c>
      <c r="M842" s="5" cm="1">
        <f t="array" ref="M842">MAX(IF((ProjectInfoTable[ProjectName]=DiscreteStatsTable[[#This Row],[ProjectName]]),(ProjectInfoTable[ProjectName]=DiscreteStatsTable[[#This Row],[ProjectName]])*ProjectInfoTable[NumberOfReplications]))</f>
        <v>19</v>
      </c>
      <c r="N842" s="5" cm="1">
        <f t="array" ref="N842">IFERROR(AVERAGE(IF((DiscreteStatsTable[GroupByKey]=DiscreteStatsTable[[#This Row],[GroupByKey]]),(DiscreteStatsTable[GroupByKey]=DiscreteStatsTable[[#This Row],[GroupByKey]])*DiscreteStatsTable[Average])),0)</f>
        <v>0.3256545808151487</v>
      </c>
      <c r="O842" s="5" cm="1">
        <f t="array" ref="O842">IFERROR(_xlfn.STDEV.S(IF((DiscreteStatsTable[GroupByKey]=DiscreteStatsTable[[#This Row],[GroupByKey]]),(DiscreteStatsTable[GroupByKey]=DiscreteStatsTable[[#This Row],[GroupByKey]])*DiscreteStatsTable[Average])),0)</f>
        <v>2.9896306588682073E-2</v>
      </c>
      <c r="P842" s="5" cm="1">
        <f t="array" ref="P842">MAX(IF((ProjectInfoTable[ProjectName]=DiscreteStatsTable[[#This Row],[ProjectName]]),(ProjectInfoTable[ProjectName]=DiscreteStatsTable[[#This Row],[ProjectName]])*ProjectInfoTable[ConfidenceInterval]))</f>
        <v>0.95</v>
      </c>
      <c r="Q842" s="5">
        <f>IF(AND(DiscreteStatsTable[[#This Row],[RepsWithStatObserved]]=1,Y842=0),200000000000000000000,IFERROR(_xlfn.T.INV.2T(1 -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1.4409558525563334E-2</v>
      </c>
      <c r="R842" s="5" cm="1">
        <f t="array" ref="R842">MIN(IF((DiscreteStatsTable[GroupByKey]=DiscreteStatsTable[[#This Row],[GroupByKey]]),(DiscreteStatsTable[GroupByKey]=DiscreteStatsTable[[#This Row],[GroupByKey]])*DiscreteStatsTable[Average]))</f>
        <v>0.254905928907871</v>
      </c>
      <c r="S842" s="5" cm="1">
        <f t="array" ref="S842">MAX(IF((DiscreteStatsTable[GroupByKey]=DiscreteStatsTable[[#This Row],[GroupByKey]]),(DiscreteStatsTable[GroupByKey]=DiscreteStatsTable[[#This Row],[GroupByKey]])*DiscreteStatsTable[Average]))</f>
        <v>0.37952723924807102</v>
      </c>
      <c r="T842" s="5" cm="1">
        <f t="array" ref="T842">MIN(IF((DiscreteStatsTable[GroupByKey]=DiscreteStatsTable[[#This Row],[GroupByKey]]),(DiscreteStatsTable[GroupByKey]=DiscreteStatsTable[[#This Row],[GroupByKey]])*DiscreteStatsTable[Minimum]))</f>
        <v>7.7143139311317598E-3</v>
      </c>
      <c r="U842" s="5" cm="1">
        <f t="array" ref="U842">MAX(IF((DiscreteStatsTable[GroupByKey]=DiscreteStatsTable[[#This Row],[GroupByKey]]),(DiscreteStatsTable[GroupByKey]=DiscreteStatsTable[[#This Row],[GroupByKey]])*DiscreteStatsTable[Maximum]))</f>
        <v>2.34378124046611</v>
      </c>
      <c r="V842" s="5" cm="1">
        <f t="array" ref="V842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42" s="5">
        <f>IF((DiscreteStatsTable[[#This Row],[RepsRequested]]&gt;1),DiscreteStatsTable[[#This Row],[HalfWidth]],DiscreteStatsTable[[#This Row],[BatchMeansHalfWidth]])</f>
        <v>1.4409558525563334E-2</v>
      </c>
      <c r="X842" s="5" cm="1">
        <f t="array" ref="X842">COUNT(IF((DiscreteStatsTable[GroupByKey]=DiscreteStatsTable[[#This Row],[GroupByKey]]),(DiscreteStatsTable[GroupByKey]=DiscreteStatsTable[[#This Row],[GroupByKey]])*DiscreteStatsTable[Replication]))</f>
        <v>19</v>
      </c>
      <c r="Y842" s="5">
        <f>IF(DiscreteStatsTable[[#This Row],[RepsRequested]]=DiscreteStatsTable[[#This Row],[RepsWithStatObserved]],1,0)</f>
        <v>1</v>
      </c>
    </row>
    <row r="843" spans="1:25" x14ac:dyDescent="0.25">
      <c r="A843" t="s">
        <v>67</v>
      </c>
      <c r="B843" t="s">
        <v>69</v>
      </c>
      <c r="C843">
        <v>11</v>
      </c>
      <c r="D843" t="s">
        <v>115</v>
      </c>
      <c r="E843" t="s">
        <v>79</v>
      </c>
      <c r="F843" t="s">
        <v>80</v>
      </c>
      <c r="G843">
        <v>0.35550942903339899</v>
      </c>
      <c r="H843">
        <v>2E+20</v>
      </c>
      <c r="I843">
        <v>5.0307919448954401E-2</v>
      </c>
      <c r="J843">
        <v>2.34378124046611</v>
      </c>
      <c r="K843">
        <v>115</v>
      </c>
      <c r="L84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compartida)TiempoPagoExpressionUser Specified</v>
      </c>
      <c r="M843" s="5" cm="1">
        <f t="array" ref="M843">MAX(IF((ProjectInfoTable[ProjectName]=DiscreteStatsTable[[#This Row],[ProjectName]]),(ProjectInfoTable[ProjectName]=DiscreteStatsTable[[#This Row],[ProjectName]])*ProjectInfoTable[NumberOfReplications]))</f>
        <v>19</v>
      </c>
      <c r="N843" s="5" cm="1">
        <f t="array" ref="N843">IFERROR(AVERAGE(IF((DiscreteStatsTable[GroupByKey]=DiscreteStatsTable[[#This Row],[GroupByKey]]),(DiscreteStatsTable[GroupByKey]=DiscreteStatsTable[[#This Row],[GroupByKey]])*DiscreteStatsTable[Average])),0)</f>
        <v>0.3256545808151487</v>
      </c>
      <c r="O843" s="5" cm="1">
        <f t="array" ref="O843">IFERROR(_xlfn.STDEV.S(IF((DiscreteStatsTable[GroupByKey]=DiscreteStatsTable[[#This Row],[GroupByKey]]),(DiscreteStatsTable[GroupByKey]=DiscreteStatsTable[[#This Row],[GroupByKey]])*DiscreteStatsTable[Average])),0)</f>
        <v>2.9896306588682073E-2</v>
      </c>
      <c r="P843" s="5" cm="1">
        <f t="array" ref="P843">MAX(IF((ProjectInfoTable[ProjectName]=DiscreteStatsTable[[#This Row],[ProjectName]]),(ProjectInfoTable[ProjectName]=DiscreteStatsTable[[#This Row],[ProjectName]])*ProjectInfoTable[ConfidenceInterval]))</f>
        <v>0.95</v>
      </c>
      <c r="Q843" s="5">
        <f>IF(AND(DiscreteStatsTable[[#This Row],[RepsWithStatObserved]]=1,Y843=0),200000000000000000000,IFERROR(_xlfn.T.INV.2T(1 -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1.4409558525563334E-2</v>
      </c>
      <c r="R843" s="5" cm="1">
        <f t="array" ref="R843">MIN(IF((DiscreteStatsTable[GroupByKey]=DiscreteStatsTable[[#This Row],[GroupByKey]]),(DiscreteStatsTable[GroupByKey]=DiscreteStatsTable[[#This Row],[GroupByKey]])*DiscreteStatsTable[Average]))</f>
        <v>0.254905928907871</v>
      </c>
      <c r="S843" s="5" cm="1">
        <f t="array" ref="S843">MAX(IF((DiscreteStatsTable[GroupByKey]=DiscreteStatsTable[[#This Row],[GroupByKey]]),(DiscreteStatsTable[GroupByKey]=DiscreteStatsTable[[#This Row],[GroupByKey]])*DiscreteStatsTable[Average]))</f>
        <v>0.37952723924807102</v>
      </c>
      <c r="T843" s="5" cm="1">
        <f t="array" ref="T843">MIN(IF((DiscreteStatsTable[GroupByKey]=DiscreteStatsTable[[#This Row],[GroupByKey]]),(DiscreteStatsTable[GroupByKey]=DiscreteStatsTable[[#This Row],[GroupByKey]])*DiscreteStatsTable[Minimum]))</f>
        <v>7.7143139311317598E-3</v>
      </c>
      <c r="U843" s="5" cm="1">
        <f t="array" ref="U843">MAX(IF((DiscreteStatsTable[GroupByKey]=DiscreteStatsTable[[#This Row],[GroupByKey]]),(DiscreteStatsTable[GroupByKey]=DiscreteStatsTable[[#This Row],[GroupByKey]])*DiscreteStatsTable[Maximum]))</f>
        <v>2.34378124046611</v>
      </c>
      <c r="V843" s="5" cm="1">
        <f t="array" ref="V843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43" s="5">
        <f>IF((DiscreteStatsTable[[#This Row],[RepsRequested]]&gt;1),DiscreteStatsTable[[#This Row],[HalfWidth]],DiscreteStatsTable[[#This Row],[BatchMeansHalfWidth]])</f>
        <v>1.4409558525563334E-2</v>
      </c>
      <c r="X843" s="5" cm="1">
        <f t="array" ref="X843">COUNT(IF((DiscreteStatsTable[GroupByKey]=DiscreteStatsTable[[#This Row],[GroupByKey]]),(DiscreteStatsTable[GroupByKey]=DiscreteStatsTable[[#This Row],[GroupByKey]])*DiscreteStatsTable[Replication]))</f>
        <v>19</v>
      </c>
      <c r="Y843" s="5">
        <f>IF(DiscreteStatsTable[[#This Row],[RepsRequested]]=DiscreteStatsTable[[#This Row],[RepsWithStatObserved]],1,0)</f>
        <v>1</v>
      </c>
    </row>
    <row r="844" spans="1:25" x14ac:dyDescent="0.25">
      <c r="A844" t="s">
        <v>67</v>
      </c>
      <c r="B844" t="s">
        <v>69</v>
      </c>
      <c r="C844">
        <v>12</v>
      </c>
      <c r="D844" t="s">
        <v>115</v>
      </c>
      <c r="E844" t="s">
        <v>79</v>
      </c>
      <c r="F844" t="s">
        <v>80</v>
      </c>
      <c r="G844">
        <v>0.35223063211255101</v>
      </c>
      <c r="H844">
        <v>2E+20</v>
      </c>
      <c r="I844">
        <v>1.2844393367743101E-2</v>
      </c>
      <c r="J844">
        <v>2.29670504424936</v>
      </c>
      <c r="K844">
        <v>120</v>
      </c>
      <c r="L84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compartida)TiempoPagoExpressionUser Specified</v>
      </c>
      <c r="M844" s="5" cm="1">
        <f t="array" ref="M844">MAX(IF((ProjectInfoTable[ProjectName]=DiscreteStatsTable[[#This Row],[ProjectName]]),(ProjectInfoTable[ProjectName]=DiscreteStatsTable[[#This Row],[ProjectName]])*ProjectInfoTable[NumberOfReplications]))</f>
        <v>19</v>
      </c>
      <c r="N844" s="5" cm="1">
        <f t="array" ref="N844">IFERROR(AVERAGE(IF((DiscreteStatsTable[GroupByKey]=DiscreteStatsTable[[#This Row],[GroupByKey]]),(DiscreteStatsTable[GroupByKey]=DiscreteStatsTable[[#This Row],[GroupByKey]])*DiscreteStatsTable[Average])),0)</f>
        <v>0.3256545808151487</v>
      </c>
      <c r="O844" s="5" cm="1">
        <f t="array" ref="O844">IFERROR(_xlfn.STDEV.S(IF((DiscreteStatsTable[GroupByKey]=DiscreteStatsTable[[#This Row],[GroupByKey]]),(DiscreteStatsTable[GroupByKey]=DiscreteStatsTable[[#This Row],[GroupByKey]])*DiscreteStatsTable[Average])),0)</f>
        <v>2.9896306588682073E-2</v>
      </c>
      <c r="P844" s="5" cm="1">
        <f t="array" ref="P844">MAX(IF((ProjectInfoTable[ProjectName]=DiscreteStatsTable[[#This Row],[ProjectName]]),(ProjectInfoTable[ProjectName]=DiscreteStatsTable[[#This Row],[ProjectName]])*ProjectInfoTable[ConfidenceInterval]))</f>
        <v>0.95</v>
      </c>
      <c r="Q844" s="5">
        <f>IF(AND(DiscreteStatsTable[[#This Row],[RepsWithStatObserved]]=1,Y844=0),200000000000000000000,IFERROR(_xlfn.T.INV.2T(1 -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1.4409558525563334E-2</v>
      </c>
      <c r="R844" s="5" cm="1">
        <f t="array" ref="R844">MIN(IF((DiscreteStatsTable[GroupByKey]=DiscreteStatsTable[[#This Row],[GroupByKey]]),(DiscreteStatsTable[GroupByKey]=DiscreteStatsTable[[#This Row],[GroupByKey]])*DiscreteStatsTable[Average]))</f>
        <v>0.254905928907871</v>
      </c>
      <c r="S844" s="5" cm="1">
        <f t="array" ref="S844">MAX(IF((DiscreteStatsTable[GroupByKey]=DiscreteStatsTable[[#This Row],[GroupByKey]]),(DiscreteStatsTable[GroupByKey]=DiscreteStatsTable[[#This Row],[GroupByKey]])*DiscreteStatsTable[Average]))</f>
        <v>0.37952723924807102</v>
      </c>
      <c r="T844" s="5" cm="1">
        <f t="array" ref="T844">MIN(IF((DiscreteStatsTable[GroupByKey]=DiscreteStatsTable[[#This Row],[GroupByKey]]),(DiscreteStatsTable[GroupByKey]=DiscreteStatsTable[[#This Row],[GroupByKey]])*DiscreteStatsTable[Minimum]))</f>
        <v>7.7143139311317598E-3</v>
      </c>
      <c r="U844" s="5" cm="1">
        <f t="array" ref="U844">MAX(IF((DiscreteStatsTable[GroupByKey]=DiscreteStatsTable[[#This Row],[GroupByKey]]),(DiscreteStatsTable[GroupByKey]=DiscreteStatsTable[[#This Row],[GroupByKey]])*DiscreteStatsTable[Maximum]))</f>
        <v>2.34378124046611</v>
      </c>
      <c r="V844" s="5" cm="1">
        <f t="array" ref="V844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44" s="5">
        <f>IF((DiscreteStatsTable[[#This Row],[RepsRequested]]&gt;1),DiscreteStatsTable[[#This Row],[HalfWidth]],DiscreteStatsTable[[#This Row],[BatchMeansHalfWidth]])</f>
        <v>1.4409558525563334E-2</v>
      </c>
      <c r="X844" s="5" cm="1">
        <f t="array" ref="X844">COUNT(IF((DiscreteStatsTable[GroupByKey]=DiscreteStatsTable[[#This Row],[GroupByKey]]),(DiscreteStatsTable[GroupByKey]=DiscreteStatsTable[[#This Row],[GroupByKey]])*DiscreteStatsTable[Replication]))</f>
        <v>19</v>
      </c>
      <c r="Y844" s="5">
        <f>IF(DiscreteStatsTable[[#This Row],[RepsRequested]]=DiscreteStatsTable[[#This Row],[RepsWithStatObserved]],1,0)</f>
        <v>1</v>
      </c>
    </row>
    <row r="845" spans="1:25" x14ac:dyDescent="0.25">
      <c r="A845" t="s">
        <v>67</v>
      </c>
      <c r="B845" t="s">
        <v>69</v>
      </c>
      <c r="C845">
        <v>13</v>
      </c>
      <c r="D845" t="s">
        <v>115</v>
      </c>
      <c r="E845" t="s">
        <v>79</v>
      </c>
      <c r="F845" t="s">
        <v>80</v>
      </c>
      <c r="G845">
        <v>0.30144946570970299</v>
      </c>
      <c r="H845">
        <v>2E+20</v>
      </c>
      <c r="I845">
        <v>3.5142078057234002E-2</v>
      </c>
      <c r="J845">
        <v>1.58099470885452</v>
      </c>
      <c r="K845">
        <v>116</v>
      </c>
      <c r="L84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compartida)TiempoPagoExpressionUser Specified</v>
      </c>
      <c r="M845" s="5" cm="1">
        <f t="array" ref="M845">MAX(IF((ProjectInfoTable[ProjectName]=DiscreteStatsTable[[#This Row],[ProjectName]]),(ProjectInfoTable[ProjectName]=DiscreteStatsTable[[#This Row],[ProjectName]])*ProjectInfoTable[NumberOfReplications]))</f>
        <v>19</v>
      </c>
      <c r="N845" s="5" cm="1">
        <f t="array" ref="N845">IFERROR(AVERAGE(IF((DiscreteStatsTable[GroupByKey]=DiscreteStatsTable[[#This Row],[GroupByKey]]),(DiscreteStatsTable[GroupByKey]=DiscreteStatsTable[[#This Row],[GroupByKey]])*DiscreteStatsTable[Average])),0)</f>
        <v>0.3256545808151487</v>
      </c>
      <c r="O845" s="5" cm="1">
        <f t="array" ref="O845">IFERROR(_xlfn.STDEV.S(IF((DiscreteStatsTable[GroupByKey]=DiscreteStatsTable[[#This Row],[GroupByKey]]),(DiscreteStatsTable[GroupByKey]=DiscreteStatsTable[[#This Row],[GroupByKey]])*DiscreteStatsTable[Average])),0)</f>
        <v>2.9896306588682073E-2</v>
      </c>
      <c r="P845" s="5" cm="1">
        <f t="array" ref="P845">MAX(IF((ProjectInfoTable[ProjectName]=DiscreteStatsTable[[#This Row],[ProjectName]]),(ProjectInfoTable[ProjectName]=DiscreteStatsTable[[#This Row],[ProjectName]])*ProjectInfoTable[ConfidenceInterval]))</f>
        <v>0.95</v>
      </c>
      <c r="Q845" s="5">
        <f>IF(AND(DiscreteStatsTable[[#This Row],[RepsWithStatObserved]]=1,Y845=0),200000000000000000000,IFERROR(_xlfn.T.INV.2T(1 -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1.4409558525563334E-2</v>
      </c>
      <c r="R845" s="5" cm="1">
        <f t="array" ref="R845">MIN(IF((DiscreteStatsTable[GroupByKey]=DiscreteStatsTable[[#This Row],[GroupByKey]]),(DiscreteStatsTable[GroupByKey]=DiscreteStatsTable[[#This Row],[GroupByKey]])*DiscreteStatsTable[Average]))</f>
        <v>0.254905928907871</v>
      </c>
      <c r="S845" s="5" cm="1">
        <f t="array" ref="S845">MAX(IF((DiscreteStatsTable[GroupByKey]=DiscreteStatsTable[[#This Row],[GroupByKey]]),(DiscreteStatsTable[GroupByKey]=DiscreteStatsTable[[#This Row],[GroupByKey]])*DiscreteStatsTable[Average]))</f>
        <v>0.37952723924807102</v>
      </c>
      <c r="T845" s="5" cm="1">
        <f t="array" ref="T845">MIN(IF((DiscreteStatsTable[GroupByKey]=DiscreteStatsTable[[#This Row],[GroupByKey]]),(DiscreteStatsTable[GroupByKey]=DiscreteStatsTable[[#This Row],[GroupByKey]])*DiscreteStatsTable[Minimum]))</f>
        <v>7.7143139311317598E-3</v>
      </c>
      <c r="U845" s="5" cm="1">
        <f t="array" ref="U845">MAX(IF((DiscreteStatsTable[GroupByKey]=DiscreteStatsTable[[#This Row],[GroupByKey]]),(DiscreteStatsTable[GroupByKey]=DiscreteStatsTable[[#This Row],[GroupByKey]])*DiscreteStatsTable[Maximum]))</f>
        <v>2.34378124046611</v>
      </c>
      <c r="V845" s="5" cm="1">
        <f t="array" ref="V845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45" s="5">
        <f>IF((DiscreteStatsTable[[#This Row],[RepsRequested]]&gt;1),DiscreteStatsTable[[#This Row],[HalfWidth]],DiscreteStatsTable[[#This Row],[BatchMeansHalfWidth]])</f>
        <v>1.4409558525563334E-2</v>
      </c>
      <c r="X845" s="5" cm="1">
        <f t="array" ref="X845">COUNT(IF((DiscreteStatsTable[GroupByKey]=DiscreteStatsTable[[#This Row],[GroupByKey]]),(DiscreteStatsTable[GroupByKey]=DiscreteStatsTable[[#This Row],[GroupByKey]])*DiscreteStatsTable[Replication]))</f>
        <v>19</v>
      </c>
      <c r="Y845" s="5">
        <f>IF(DiscreteStatsTable[[#This Row],[RepsRequested]]=DiscreteStatsTable[[#This Row],[RepsWithStatObserved]],1,0)</f>
        <v>1</v>
      </c>
    </row>
    <row r="846" spans="1:25" x14ac:dyDescent="0.25">
      <c r="A846" t="s">
        <v>67</v>
      </c>
      <c r="B846" t="s">
        <v>69</v>
      </c>
      <c r="C846">
        <v>14</v>
      </c>
      <c r="D846" t="s">
        <v>115</v>
      </c>
      <c r="E846" t="s">
        <v>79</v>
      </c>
      <c r="F846" t="s">
        <v>80</v>
      </c>
      <c r="G846">
        <v>0.34867046234534099</v>
      </c>
      <c r="H846">
        <v>2E+20</v>
      </c>
      <c r="I846">
        <v>3.4359571868890298E-2</v>
      </c>
      <c r="J846">
        <v>1.8939496066312</v>
      </c>
      <c r="K846">
        <v>135</v>
      </c>
      <c r="L84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compartida)TiempoPagoExpressionUser Specified</v>
      </c>
      <c r="M846" s="5" cm="1">
        <f t="array" ref="M846">MAX(IF((ProjectInfoTable[ProjectName]=DiscreteStatsTable[[#This Row],[ProjectName]]),(ProjectInfoTable[ProjectName]=DiscreteStatsTable[[#This Row],[ProjectName]])*ProjectInfoTable[NumberOfReplications]))</f>
        <v>19</v>
      </c>
      <c r="N846" s="5" cm="1">
        <f t="array" ref="N846">IFERROR(AVERAGE(IF((DiscreteStatsTable[GroupByKey]=DiscreteStatsTable[[#This Row],[GroupByKey]]),(DiscreteStatsTable[GroupByKey]=DiscreteStatsTable[[#This Row],[GroupByKey]])*DiscreteStatsTable[Average])),0)</f>
        <v>0.3256545808151487</v>
      </c>
      <c r="O846" s="5" cm="1">
        <f t="array" ref="O846">IFERROR(_xlfn.STDEV.S(IF((DiscreteStatsTable[GroupByKey]=DiscreteStatsTable[[#This Row],[GroupByKey]]),(DiscreteStatsTable[GroupByKey]=DiscreteStatsTable[[#This Row],[GroupByKey]])*DiscreteStatsTable[Average])),0)</f>
        <v>2.9896306588682073E-2</v>
      </c>
      <c r="P846" s="5" cm="1">
        <f t="array" ref="P846">MAX(IF((ProjectInfoTable[ProjectName]=DiscreteStatsTable[[#This Row],[ProjectName]]),(ProjectInfoTable[ProjectName]=DiscreteStatsTable[[#This Row],[ProjectName]])*ProjectInfoTable[ConfidenceInterval]))</f>
        <v>0.95</v>
      </c>
      <c r="Q846" s="5">
        <f>IF(AND(DiscreteStatsTable[[#This Row],[RepsWithStatObserved]]=1,Y846=0),200000000000000000000,IFERROR(_xlfn.T.INV.2T(1 -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1.4409558525563334E-2</v>
      </c>
      <c r="R846" s="5" cm="1">
        <f t="array" ref="R846">MIN(IF((DiscreteStatsTable[GroupByKey]=DiscreteStatsTable[[#This Row],[GroupByKey]]),(DiscreteStatsTable[GroupByKey]=DiscreteStatsTable[[#This Row],[GroupByKey]])*DiscreteStatsTable[Average]))</f>
        <v>0.254905928907871</v>
      </c>
      <c r="S846" s="5" cm="1">
        <f t="array" ref="S846">MAX(IF((DiscreteStatsTable[GroupByKey]=DiscreteStatsTable[[#This Row],[GroupByKey]]),(DiscreteStatsTable[GroupByKey]=DiscreteStatsTable[[#This Row],[GroupByKey]])*DiscreteStatsTable[Average]))</f>
        <v>0.37952723924807102</v>
      </c>
      <c r="T846" s="5" cm="1">
        <f t="array" ref="T846">MIN(IF((DiscreteStatsTable[GroupByKey]=DiscreteStatsTable[[#This Row],[GroupByKey]]),(DiscreteStatsTable[GroupByKey]=DiscreteStatsTable[[#This Row],[GroupByKey]])*DiscreteStatsTable[Minimum]))</f>
        <v>7.7143139311317598E-3</v>
      </c>
      <c r="U846" s="5" cm="1">
        <f t="array" ref="U846">MAX(IF((DiscreteStatsTable[GroupByKey]=DiscreteStatsTable[[#This Row],[GroupByKey]]),(DiscreteStatsTable[GroupByKey]=DiscreteStatsTable[[#This Row],[GroupByKey]])*DiscreteStatsTable[Maximum]))</f>
        <v>2.34378124046611</v>
      </c>
      <c r="V846" s="5" cm="1">
        <f t="array" ref="V846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46" s="5">
        <f>IF((DiscreteStatsTable[[#This Row],[RepsRequested]]&gt;1),DiscreteStatsTable[[#This Row],[HalfWidth]],DiscreteStatsTable[[#This Row],[BatchMeansHalfWidth]])</f>
        <v>1.4409558525563334E-2</v>
      </c>
      <c r="X846" s="5" cm="1">
        <f t="array" ref="X846">COUNT(IF((DiscreteStatsTable[GroupByKey]=DiscreteStatsTable[[#This Row],[GroupByKey]]),(DiscreteStatsTable[GroupByKey]=DiscreteStatsTable[[#This Row],[GroupByKey]])*DiscreteStatsTable[Replication]))</f>
        <v>19</v>
      </c>
      <c r="Y846" s="5">
        <f>IF(DiscreteStatsTable[[#This Row],[RepsRequested]]=DiscreteStatsTable[[#This Row],[RepsWithStatObserved]],1,0)</f>
        <v>1</v>
      </c>
    </row>
    <row r="847" spans="1:25" x14ac:dyDescent="0.25">
      <c r="A847" t="s">
        <v>67</v>
      </c>
      <c r="B847" t="s">
        <v>69</v>
      </c>
      <c r="C847">
        <v>15</v>
      </c>
      <c r="D847" t="s">
        <v>115</v>
      </c>
      <c r="E847" t="s">
        <v>79</v>
      </c>
      <c r="F847" t="s">
        <v>80</v>
      </c>
      <c r="G847">
        <v>0.33435551004403802</v>
      </c>
      <c r="H847">
        <v>2E+20</v>
      </c>
      <c r="I847">
        <v>7.7143139311317598E-3</v>
      </c>
      <c r="J847">
        <v>1.9382405200038899</v>
      </c>
      <c r="K847">
        <v>128</v>
      </c>
      <c r="L84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compartida)TiempoPagoExpressionUser Specified</v>
      </c>
      <c r="M847" s="5" cm="1">
        <f t="array" ref="M847">MAX(IF((ProjectInfoTable[ProjectName]=DiscreteStatsTable[[#This Row],[ProjectName]]),(ProjectInfoTable[ProjectName]=DiscreteStatsTable[[#This Row],[ProjectName]])*ProjectInfoTable[NumberOfReplications]))</f>
        <v>19</v>
      </c>
      <c r="N847" s="5" cm="1">
        <f t="array" ref="N847">IFERROR(AVERAGE(IF((DiscreteStatsTable[GroupByKey]=DiscreteStatsTable[[#This Row],[GroupByKey]]),(DiscreteStatsTable[GroupByKey]=DiscreteStatsTable[[#This Row],[GroupByKey]])*DiscreteStatsTable[Average])),0)</f>
        <v>0.3256545808151487</v>
      </c>
      <c r="O847" s="5" cm="1">
        <f t="array" ref="O847">IFERROR(_xlfn.STDEV.S(IF((DiscreteStatsTable[GroupByKey]=DiscreteStatsTable[[#This Row],[GroupByKey]]),(DiscreteStatsTable[GroupByKey]=DiscreteStatsTable[[#This Row],[GroupByKey]])*DiscreteStatsTable[Average])),0)</f>
        <v>2.9896306588682073E-2</v>
      </c>
      <c r="P847" s="5" cm="1">
        <f t="array" ref="P847">MAX(IF((ProjectInfoTable[ProjectName]=DiscreteStatsTable[[#This Row],[ProjectName]]),(ProjectInfoTable[ProjectName]=DiscreteStatsTable[[#This Row],[ProjectName]])*ProjectInfoTable[ConfidenceInterval]))</f>
        <v>0.95</v>
      </c>
      <c r="Q847" s="5">
        <f>IF(AND(DiscreteStatsTable[[#This Row],[RepsWithStatObserved]]=1,Y847=0),200000000000000000000,IFERROR(_xlfn.T.INV.2T(1 -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1.4409558525563334E-2</v>
      </c>
      <c r="R847" s="5" cm="1">
        <f t="array" ref="R847">MIN(IF((DiscreteStatsTable[GroupByKey]=DiscreteStatsTable[[#This Row],[GroupByKey]]),(DiscreteStatsTable[GroupByKey]=DiscreteStatsTable[[#This Row],[GroupByKey]])*DiscreteStatsTable[Average]))</f>
        <v>0.254905928907871</v>
      </c>
      <c r="S847" s="5" cm="1">
        <f t="array" ref="S847">MAX(IF((DiscreteStatsTable[GroupByKey]=DiscreteStatsTable[[#This Row],[GroupByKey]]),(DiscreteStatsTable[GroupByKey]=DiscreteStatsTable[[#This Row],[GroupByKey]])*DiscreteStatsTable[Average]))</f>
        <v>0.37952723924807102</v>
      </c>
      <c r="T847" s="5" cm="1">
        <f t="array" ref="T847">MIN(IF((DiscreteStatsTable[GroupByKey]=DiscreteStatsTable[[#This Row],[GroupByKey]]),(DiscreteStatsTable[GroupByKey]=DiscreteStatsTable[[#This Row],[GroupByKey]])*DiscreteStatsTable[Minimum]))</f>
        <v>7.7143139311317598E-3</v>
      </c>
      <c r="U847" s="5" cm="1">
        <f t="array" ref="U847">MAX(IF((DiscreteStatsTable[GroupByKey]=DiscreteStatsTable[[#This Row],[GroupByKey]]),(DiscreteStatsTable[GroupByKey]=DiscreteStatsTable[[#This Row],[GroupByKey]])*DiscreteStatsTable[Maximum]))</f>
        <v>2.34378124046611</v>
      </c>
      <c r="V847" s="5" cm="1">
        <f t="array" ref="V847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47" s="5">
        <f>IF((DiscreteStatsTable[[#This Row],[RepsRequested]]&gt;1),DiscreteStatsTable[[#This Row],[HalfWidth]],DiscreteStatsTable[[#This Row],[BatchMeansHalfWidth]])</f>
        <v>1.4409558525563334E-2</v>
      </c>
      <c r="X847" s="5" cm="1">
        <f t="array" ref="X847">COUNT(IF((DiscreteStatsTable[GroupByKey]=DiscreteStatsTable[[#This Row],[GroupByKey]]),(DiscreteStatsTable[GroupByKey]=DiscreteStatsTable[[#This Row],[GroupByKey]])*DiscreteStatsTable[Replication]))</f>
        <v>19</v>
      </c>
      <c r="Y847" s="5">
        <f>IF(DiscreteStatsTable[[#This Row],[RepsRequested]]=DiscreteStatsTable[[#This Row],[RepsWithStatObserved]],1,0)</f>
        <v>1</v>
      </c>
    </row>
    <row r="848" spans="1:25" x14ac:dyDescent="0.25">
      <c r="A848" t="s">
        <v>67</v>
      </c>
      <c r="B848" t="s">
        <v>69</v>
      </c>
      <c r="C848">
        <v>16</v>
      </c>
      <c r="D848" t="s">
        <v>115</v>
      </c>
      <c r="E848" t="s">
        <v>79</v>
      </c>
      <c r="F848" t="s">
        <v>80</v>
      </c>
      <c r="G848">
        <v>0.28401372558141302</v>
      </c>
      <c r="H848">
        <v>2E+20</v>
      </c>
      <c r="I848">
        <v>1.6604817301640699E-2</v>
      </c>
      <c r="J848">
        <v>0.74009212106085398</v>
      </c>
      <c r="K848">
        <v>131</v>
      </c>
      <c r="L84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compartida)TiempoPagoExpressionUser Specified</v>
      </c>
      <c r="M848" s="5" cm="1">
        <f t="array" ref="M848">MAX(IF((ProjectInfoTable[ProjectName]=DiscreteStatsTable[[#This Row],[ProjectName]]),(ProjectInfoTable[ProjectName]=DiscreteStatsTable[[#This Row],[ProjectName]])*ProjectInfoTable[NumberOfReplications]))</f>
        <v>19</v>
      </c>
      <c r="N848" s="5" cm="1">
        <f t="array" ref="N848">IFERROR(AVERAGE(IF((DiscreteStatsTable[GroupByKey]=DiscreteStatsTable[[#This Row],[GroupByKey]]),(DiscreteStatsTable[GroupByKey]=DiscreteStatsTable[[#This Row],[GroupByKey]])*DiscreteStatsTable[Average])),0)</f>
        <v>0.3256545808151487</v>
      </c>
      <c r="O848" s="5" cm="1">
        <f t="array" ref="O848">IFERROR(_xlfn.STDEV.S(IF((DiscreteStatsTable[GroupByKey]=DiscreteStatsTable[[#This Row],[GroupByKey]]),(DiscreteStatsTable[GroupByKey]=DiscreteStatsTable[[#This Row],[GroupByKey]])*DiscreteStatsTable[Average])),0)</f>
        <v>2.9896306588682073E-2</v>
      </c>
      <c r="P848" s="5" cm="1">
        <f t="array" ref="P848">MAX(IF((ProjectInfoTable[ProjectName]=DiscreteStatsTable[[#This Row],[ProjectName]]),(ProjectInfoTable[ProjectName]=DiscreteStatsTable[[#This Row],[ProjectName]])*ProjectInfoTable[ConfidenceInterval]))</f>
        <v>0.95</v>
      </c>
      <c r="Q848" s="5">
        <f>IF(AND(DiscreteStatsTable[[#This Row],[RepsWithStatObserved]]=1,Y848=0),200000000000000000000,IFERROR(_xlfn.T.INV.2T(1 -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1.4409558525563334E-2</v>
      </c>
      <c r="R848" s="5" cm="1">
        <f t="array" ref="R848">MIN(IF((DiscreteStatsTable[GroupByKey]=DiscreteStatsTable[[#This Row],[GroupByKey]]),(DiscreteStatsTable[GroupByKey]=DiscreteStatsTable[[#This Row],[GroupByKey]])*DiscreteStatsTable[Average]))</f>
        <v>0.254905928907871</v>
      </c>
      <c r="S848" s="5" cm="1">
        <f t="array" ref="S848">MAX(IF((DiscreteStatsTable[GroupByKey]=DiscreteStatsTable[[#This Row],[GroupByKey]]),(DiscreteStatsTable[GroupByKey]=DiscreteStatsTable[[#This Row],[GroupByKey]])*DiscreteStatsTable[Average]))</f>
        <v>0.37952723924807102</v>
      </c>
      <c r="T848" s="5" cm="1">
        <f t="array" ref="T848">MIN(IF((DiscreteStatsTable[GroupByKey]=DiscreteStatsTable[[#This Row],[GroupByKey]]),(DiscreteStatsTable[GroupByKey]=DiscreteStatsTable[[#This Row],[GroupByKey]])*DiscreteStatsTable[Minimum]))</f>
        <v>7.7143139311317598E-3</v>
      </c>
      <c r="U848" s="5" cm="1">
        <f t="array" ref="U848">MAX(IF((DiscreteStatsTable[GroupByKey]=DiscreteStatsTable[[#This Row],[GroupByKey]]),(DiscreteStatsTable[GroupByKey]=DiscreteStatsTable[[#This Row],[GroupByKey]])*DiscreteStatsTable[Maximum]))</f>
        <v>2.34378124046611</v>
      </c>
      <c r="V848" s="5" cm="1">
        <f t="array" ref="V848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48" s="5">
        <f>IF((DiscreteStatsTable[[#This Row],[RepsRequested]]&gt;1),DiscreteStatsTable[[#This Row],[HalfWidth]],DiscreteStatsTable[[#This Row],[BatchMeansHalfWidth]])</f>
        <v>1.4409558525563334E-2</v>
      </c>
      <c r="X848" s="5" cm="1">
        <f t="array" ref="X848">COUNT(IF((DiscreteStatsTable[GroupByKey]=DiscreteStatsTable[[#This Row],[GroupByKey]]),(DiscreteStatsTable[GroupByKey]=DiscreteStatsTable[[#This Row],[GroupByKey]])*DiscreteStatsTable[Replication]))</f>
        <v>19</v>
      </c>
      <c r="Y848" s="5">
        <f>IF(DiscreteStatsTable[[#This Row],[RepsRequested]]=DiscreteStatsTable[[#This Row],[RepsWithStatObserved]],1,0)</f>
        <v>1</v>
      </c>
    </row>
    <row r="849" spans="1:25" x14ac:dyDescent="0.25">
      <c r="A849" t="s">
        <v>67</v>
      </c>
      <c r="B849" t="s">
        <v>69</v>
      </c>
      <c r="C849">
        <v>17</v>
      </c>
      <c r="D849" t="s">
        <v>115</v>
      </c>
      <c r="E849" t="s">
        <v>79</v>
      </c>
      <c r="F849" t="s">
        <v>80</v>
      </c>
      <c r="G849">
        <v>0.32384084494681198</v>
      </c>
      <c r="H849">
        <v>2E+20</v>
      </c>
      <c r="I849">
        <v>1.25171935620614E-2</v>
      </c>
      <c r="J849">
        <v>2.0881920245518302</v>
      </c>
      <c r="K849">
        <v>124</v>
      </c>
      <c r="L84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compartida)TiempoPagoExpressionUser Specified</v>
      </c>
      <c r="M849" s="5" cm="1">
        <f t="array" ref="M849">MAX(IF((ProjectInfoTable[ProjectName]=DiscreteStatsTable[[#This Row],[ProjectName]]),(ProjectInfoTable[ProjectName]=DiscreteStatsTable[[#This Row],[ProjectName]])*ProjectInfoTable[NumberOfReplications]))</f>
        <v>19</v>
      </c>
      <c r="N849" s="5" cm="1">
        <f t="array" ref="N849">IFERROR(AVERAGE(IF((DiscreteStatsTable[GroupByKey]=DiscreteStatsTable[[#This Row],[GroupByKey]]),(DiscreteStatsTable[GroupByKey]=DiscreteStatsTable[[#This Row],[GroupByKey]])*DiscreteStatsTable[Average])),0)</f>
        <v>0.3256545808151487</v>
      </c>
      <c r="O849" s="5" cm="1">
        <f t="array" ref="O849">IFERROR(_xlfn.STDEV.S(IF((DiscreteStatsTable[GroupByKey]=DiscreteStatsTable[[#This Row],[GroupByKey]]),(DiscreteStatsTable[GroupByKey]=DiscreteStatsTable[[#This Row],[GroupByKey]])*DiscreteStatsTable[Average])),0)</f>
        <v>2.9896306588682073E-2</v>
      </c>
      <c r="P849" s="5" cm="1">
        <f t="array" ref="P849">MAX(IF((ProjectInfoTable[ProjectName]=DiscreteStatsTable[[#This Row],[ProjectName]]),(ProjectInfoTable[ProjectName]=DiscreteStatsTable[[#This Row],[ProjectName]])*ProjectInfoTable[ConfidenceInterval]))</f>
        <v>0.95</v>
      </c>
      <c r="Q849" s="5">
        <f>IF(AND(DiscreteStatsTable[[#This Row],[RepsWithStatObserved]]=1,Y849=0),200000000000000000000,IFERROR(_xlfn.T.INV.2T(1 -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1.4409558525563334E-2</v>
      </c>
      <c r="R849" s="5" cm="1">
        <f t="array" ref="R849">MIN(IF((DiscreteStatsTable[GroupByKey]=DiscreteStatsTable[[#This Row],[GroupByKey]]),(DiscreteStatsTable[GroupByKey]=DiscreteStatsTable[[#This Row],[GroupByKey]])*DiscreteStatsTable[Average]))</f>
        <v>0.254905928907871</v>
      </c>
      <c r="S849" s="5" cm="1">
        <f t="array" ref="S849">MAX(IF((DiscreteStatsTable[GroupByKey]=DiscreteStatsTable[[#This Row],[GroupByKey]]),(DiscreteStatsTable[GroupByKey]=DiscreteStatsTable[[#This Row],[GroupByKey]])*DiscreteStatsTable[Average]))</f>
        <v>0.37952723924807102</v>
      </c>
      <c r="T849" s="5" cm="1">
        <f t="array" ref="T849">MIN(IF((DiscreteStatsTable[GroupByKey]=DiscreteStatsTable[[#This Row],[GroupByKey]]),(DiscreteStatsTable[GroupByKey]=DiscreteStatsTable[[#This Row],[GroupByKey]])*DiscreteStatsTable[Minimum]))</f>
        <v>7.7143139311317598E-3</v>
      </c>
      <c r="U849" s="5" cm="1">
        <f t="array" ref="U849">MAX(IF((DiscreteStatsTable[GroupByKey]=DiscreteStatsTable[[#This Row],[GroupByKey]]),(DiscreteStatsTable[GroupByKey]=DiscreteStatsTable[[#This Row],[GroupByKey]])*DiscreteStatsTable[Maximum]))</f>
        <v>2.34378124046611</v>
      </c>
      <c r="V849" s="5" cm="1">
        <f t="array" ref="V849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49" s="5">
        <f>IF((DiscreteStatsTable[[#This Row],[RepsRequested]]&gt;1),DiscreteStatsTable[[#This Row],[HalfWidth]],DiscreteStatsTable[[#This Row],[BatchMeansHalfWidth]])</f>
        <v>1.4409558525563334E-2</v>
      </c>
      <c r="X849" s="5" cm="1">
        <f t="array" ref="X849">COUNT(IF((DiscreteStatsTable[GroupByKey]=DiscreteStatsTable[[#This Row],[GroupByKey]]),(DiscreteStatsTable[GroupByKey]=DiscreteStatsTable[[#This Row],[GroupByKey]])*DiscreteStatsTable[Replication]))</f>
        <v>19</v>
      </c>
      <c r="Y849" s="5">
        <f>IF(DiscreteStatsTable[[#This Row],[RepsRequested]]=DiscreteStatsTable[[#This Row],[RepsWithStatObserved]],1,0)</f>
        <v>1</v>
      </c>
    </row>
    <row r="850" spans="1:25" x14ac:dyDescent="0.25">
      <c r="A850" t="s">
        <v>67</v>
      </c>
      <c r="B850" t="s">
        <v>69</v>
      </c>
      <c r="C850">
        <v>18</v>
      </c>
      <c r="D850" t="s">
        <v>115</v>
      </c>
      <c r="E850" t="s">
        <v>79</v>
      </c>
      <c r="F850" t="s">
        <v>80</v>
      </c>
      <c r="G850">
        <v>0.28402599397318501</v>
      </c>
      <c r="H850">
        <v>2E+20</v>
      </c>
      <c r="I850">
        <v>1.8665397697589001E-2</v>
      </c>
      <c r="J850">
        <v>0.83348682950257602</v>
      </c>
      <c r="K850">
        <v>122</v>
      </c>
      <c r="L85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compartida)TiempoPagoExpressionUser Specified</v>
      </c>
      <c r="M850" s="5" cm="1">
        <f t="array" ref="M850">MAX(IF((ProjectInfoTable[ProjectName]=DiscreteStatsTable[[#This Row],[ProjectName]]),(ProjectInfoTable[ProjectName]=DiscreteStatsTable[[#This Row],[ProjectName]])*ProjectInfoTable[NumberOfReplications]))</f>
        <v>19</v>
      </c>
      <c r="N850" s="5" cm="1">
        <f t="array" ref="N850">IFERROR(AVERAGE(IF((DiscreteStatsTable[GroupByKey]=DiscreteStatsTable[[#This Row],[GroupByKey]]),(DiscreteStatsTable[GroupByKey]=DiscreteStatsTable[[#This Row],[GroupByKey]])*DiscreteStatsTable[Average])),0)</f>
        <v>0.3256545808151487</v>
      </c>
      <c r="O850" s="5" cm="1">
        <f t="array" ref="O850">IFERROR(_xlfn.STDEV.S(IF((DiscreteStatsTable[GroupByKey]=DiscreteStatsTable[[#This Row],[GroupByKey]]),(DiscreteStatsTable[GroupByKey]=DiscreteStatsTable[[#This Row],[GroupByKey]])*DiscreteStatsTable[Average])),0)</f>
        <v>2.9896306588682073E-2</v>
      </c>
      <c r="P850" s="5" cm="1">
        <f t="array" ref="P850">MAX(IF((ProjectInfoTable[ProjectName]=DiscreteStatsTable[[#This Row],[ProjectName]]),(ProjectInfoTable[ProjectName]=DiscreteStatsTable[[#This Row],[ProjectName]])*ProjectInfoTable[ConfidenceInterval]))</f>
        <v>0.95</v>
      </c>
      <c r="Q850" s="5">
        <f>IF(AND(DiscreteStatsTable[[#This Row],[RepsWithStatObserved]]=1,Y850=0),200000000000000000000,IFERROR(_xlfn.T.INV.2T(1 -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1.4409558525563334E-2</v>
      </c>
      <c r="R850" s="5" cm="1">
        <f t="array" ref="R850">MIN(IF((DiscreteStatsTable[GroupByKey]=DiscreteStatsTable[[#This Row],[GroupByKey]]),(DiscreteStatsTable[GroupByKey]=DiscreteStatsTable[[#This Row],[GroupByKey]])*DiscreteStatsTable[Average]))</f>
        <v>0.254905928907871</v>
      </c>
      <c r="S850" s="5" cm="1">
        <f t="array" ref="S850">MAX(IF((DiscreteStatsTable[GroupByKey]=DiscreteStatsTable[[#This Row],[GroupByKey]]),(DiscreteStatsTable[GroupByKey]=DiscreteStatsTable[[#This Row],[GroupByKey]])*DiscreteStatsTable[Average]))</f>
        <v>0.37952723924807102</v>
      </c>
      <c r="T850" s="5" cm="1">
        <f t="array" ref="T850">MIN(IF((DiscreteStatsTable[GroupByKey]=DiscreteStatsTable[[#This Row],[GroupByKey]]),(DiscreteStatsTable[GroupByKey]=DiscreteStatsTable[[#This Row],[GroupByKey]])*DiscreteStatsTable[Minimum]))</f>
        <v>7.7143139311317598E-3</v>
      </c>
      <c r="U850" s="5" cm="1">
        <f t="array" ref="U850">MAX(IF((DiscreteStatsTable[GroupByKey]=DiscreteStatsTable[[#This Row],[GroupByKey]]),(DiscreteStatsTable[GroupByKey]=DiscreteStatsTable[[#This Row],[GroupByKey]])*DiscreteStatsTable[Maximum]))</f>
        <v>2.34378124046611</v>
      </c>
      <c r="V850" s="5" cm="1">
        <f t="array" ref="V850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50" s="5">
        <f>IF((DiscreteStatsTable[[#This Row],[RepsRequested]]&gt;1),DiscreteStatsTable[[#This Row],[HalfWidth]],DiscreteStatsTable[[#This Row],[BatchMeansHalfWidth]])</f>
        <v>1.4409558525563334E-2</v>
      </c>
      <c r="X850" s="5" cm="1">
        <f t="array" ref="X850">COUNT(IF((DiscreteStatsTable[GroupByKey]=DiscreteStatsTable[[#This Row],[GroupByKey]]),(DiscreteStatsTable[GroupByKey]=DiscreteStatsTable[[#This Row],[GroupByKey]])*DiscreteStatsTable[Replication]))</f>
        <v>19</v>
      </c>
      <c r="Y850" s="5">
        <f>IF(DiscreteStatsTable[[#This Row],[RepsRequested]]=DiscreteStatsTable[[#This Row],[RepsWithStatObserved]],1,0)</f>
        <v>1</v>
      </c>
    </row>
    <row r="851" spans="1:25" x14ac:dyDescent="0.25">
      <c r="A851" t="s">
        <v>67</v>
      </c>
      <c r="B851" t="s">
        <v>69</v>
      </c>
      <c r="C851">
        <v>19</v>
      </c>
      <c r="D851" t="s">
        <v>115</v>
      </c>
      <c r="E851" t="s">
        <v>79</v>
      </c>
      <c r="F851" t="s">
        <v>80</v>
      </c>
      <c r="G851">
        <v>0.32792107766505602</v>
      </c>
      <c r="H851">
        <v>2E+20</v>
      </c>
      <c r="I851">
        <v>3.8358789772132702E-2</v>
      </c>
      <c r="J851">
        <v>1.71413279501365</v>
      </c>
      <c r="K851">
        <v>121</v>
      </c>
      <c r="L85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compartida)TiempoPagoExpressionUser Specified</v>
      </c>
      <c r="M851" s="5" cm="1">
        <f t="array" ref="M851">MAX(IF((ProjectInfoTable[ProjectName]=DiscreteStatsTable[[#This Row],[ProjectName]]),(ProjectInfoTable[ProjectName]=DiscreteStatsTable[[#This Row],[ProjectName]])*ProjectInfoTable[NumberOfReplications]))</f>
        <v>19</v>
      </c>
      <c r="N851" s="5" cm="1">
        <f t="array" ref="N851">IFERROR(AVERAGE(IF((DiscreteStatsTable[GroupByKey]=DiscreteStatsTable[[#This Row],[GroupByKey]]),(DiscreteStatsTable[GroupByKey]=DiscreteStatsTable[[#This Row],[GroupByKey]])*DiscreteStatsTable[Average])),0)</f>
        <v>0.3256545808151487</v>
      </c>
      <c r="O851" s="5" cm="1">
        <f t="array" ref="O851">IFERROR(_xlfn.STDEV.S(IF((DiscreteStatsTable[GroupByKey]=DiscreteStatsTable[[#This Row],[GroupByKey]]),(DiscreteStatsTable[GroupByKey]=DiscreteStatsTable[[#This Row],[GroupByKey]])*DiscreteStatsTable[Average])),0)</f>
        <v>2.9896306588682073E-2</v>
      </c>
      <c r="P851" s="5" cm="1">
        <f t="array" ref="P851">MAX(IF((ProjectInfoTable[ProjectName]=DiscreteStatsTable[[#This Row],[ProjectName]]),(ProjectInfoTable[ProjectName]=DiscreteStatsTable[[#This Row],[ProjectName]])*ProjectInfoTable[ConfidenceInterval]))</f>
        <v>0.95</v>
      </c>
      <c r="Q851" s="5">
        <f>IF(AND(DiscreteStatsTable[[#This Row],[RepsWithStatObserved]]=1,Y851=0),200000000000000000000,IFERROR(_xlfn.T.INV.2T(1 -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1.4409558525563334E-2</v>
      </c>
      <c r="R851" s="5" cm="1">
        <f t="array" ref="R851">MIN(IF((DiscreteStatsTable[GroupByKey]=DiscreteStatsTable[[#This Row],[GroupByKey]]),(DiscreteStatsTable[GroupByKey]=DiscreteStatsTable[[#This Row],[GroupByKey]])*DiscreteStatsTable[Average]))</f>
        <v>0.254905928907871</v>
      </c>
      <c r="S851" s="5" cm="1">
        <f t="array" ref="S851">MAX(IF((DiscreteStatsTable[GroupByKey]=DiscreteStatsTable[[#This Row],[GroupByKey]]),(DiscreteStatsTable[GroupByKey]=DiscreteStatsTable[[#This Row],[GroupByKey]])*DiscreteStatsTable[Average]))</f>
        <v>0.37952723924807102</v>
      </c>
      <c r="T851" s="5" cm="1">
        <f t="array" ref="T851">MIN(IF((DiscreteStatsTable[GroupByKey]=DiscreteStatsTable[[#This Row],[GroupByKey]]),(DiscreteStatsTable[GroupByKey]=DiscreteStatsTable[[#This Row],[GroupByKey]])*DiscreteStatsTable[Minimum]))</f>
        <v>7.7143139311317598E-3</v>
      </c>
      <c r="U851" s="5" cm="1">
        <f t="array" ref="U851">MAX(IF((DiscreteStatsTable[GroupByKey]=DiscreteStatsTable[[#This Row],[GroupByKey]]),(DiscreteStatsTable[GroupByKey]=DiscreteStatsTable[[#This Row],[GroupByKey]])*DiscreteStatsTable[Maximum]))</f>
        <v>2.34378124046611</v>
      </c>
      <c r="V851" s="5" cm="1">
        <f t="array" ref="V851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51" s="5">
        <f>IF((DiscreteStatsTable[[#This Row],[RepsRequested]]&gt;1),DiscreteStatsTable[[#This Row],[HalfWidth]],DiscreteStatsTable[[#This Row],[BatchMeansHalfWidth]])</f>
        <v>1.4409558525563334E-2</v>
      </c>
      <c r="X851" s="5" cm="1">
        <f t="array" ref="X851">COUNT(IF((DiscreteStatsTable[GroupByKey]=DiscreteStatsTable[[#This Row],[GroupByKey]]),(DiscreteStatsTable[GroupByKey]=DiscreteStatsTable[[#This Row],[GroupByKey]])*DiscreteStatsTable[Replication]))</f>
        <v>19</v>
      </c>
      <c r="Y851" s="5">
        <f>IF(DiscreteStatsTable[[#This Row],[RepsRequested]]=DiscreteStatsTable[[#This Row],[RepsWithStatObserved]],1,0)</f>
        <v>1</v>
      </c>
    </row>
    <row r="852" spans="1:25" x14ac:dyDescent="0.25">
      <c r="A852" t="s">
        <v>67</v>
      </c>
      <c r="B852" t="s">
        <v>69</v>
      </c>
      <c r="C852">
        <v>1</v>
      </c>
      <c r="D852" t="s">
        <v>116</v>
      </c>
      <c r="E852" t="s">
        <v>79</v>
      </c>
      <c r="F852" t="s">
        <v>80</v>
      </c>
      <c r="G852">
        <v>0.34068822893337097</v>
      </c>
      <c r="H852">
        <v>2E+20</v>
      </c>
      <c r="I852">
        <v>3.6332865054561098E-2</v>
      </c>
      <c r="J852">
        <v>1.1254827335592399</v>
      </c>
      <c r="K852">
        <v>150</v>
      </c>
      <c r="L85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compartida)TiempoPedidoExpressionUser Specified</v>
      </c>
      <c r="M852" s="5" cm="1">
        <f t="array" ref="M852">MAX(IF((ProjectInfoTable[ProjectName]=DiscreteStatsTable[[#This Row],[ProjectName]]),(ProjectInfoTable[ProjectName]=DiscreteStatsTable[[#This Row],[ProjectName]])*ProjectInfoTable[NumberOfReplications]))</f>
        <v>19</v>
      </c>
      <c r="N852" s="5" cm="1">
        <f t="array" ref="N852">IFERROR(AVERAGE(IF((DiscreteStatsTable[GroupByKey]=DiscreteStatsTable[[#This Row],[GroupByKey]]),(DiscreteStatsTable[GroupByKey]=DiscreteStatsTable[[#This Row],[GroupByKey]])*DiscreteStatsTable[Average])),0)</f>
        <v>0.30942332048567528</v>
      </c>
      <c r="O852" s="5" cm="1">
        <f t="array" ref="O852">IFERROR(_xlfn.STDEV.S(IF((DiscreteStatsTable[GroupByKey]=DiscreteStatsTable[[#This Row],[GroupByKey]]),(DiscreteStatsTable[GroupByKey]=DiscreteStatsTable[[#This Row],[GroupByKey]])*DiscreteStatsTable[Average])),0)</f>
        <v>1.8447793739684307E-2</v>
      </c>
      <c r="P852" s="5" cm="1">
        <f t="array" ref="P852">MAX(IF((ProjectInfoTable[ProjectName]=DiscreteStatsTable[[#This Row],[ProjectName]]),(ProjectInfoTable[ProjectName]=DiscreteStatsTable[[#This Row],[ProjectName]])*ProjectInfoTable[ConfidenceInterval]))</f>
        <v>0.95</v>
      </c>
      <c r="Q852" s="5">
        <f>IF(AND(DiscreteStatsTable[[#This Row],[RepsWithStatObserved]]=1,Y852=0),200000000000000000000,IFERROR(_xlfn.T.INV.2T(1 -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8.8915519638180264E-3</v>
      </c>
      <c r="R852" s="5" cm="1">
        <f t="array" ref="R852">MIN(IF((DiscreteStatsTable[GroupByKey]=DiscreteStatsTable[[#This Row],[GroupByKey]]),(DiscreteStatsTable[GroupByKey]=DiscreteStatsTable[[#This Row],[GroupByKey]])*DiscreteStatsTable[Average]))</f>
        <v>0.27409788076790698</v>
      </c>
      <c r="S852" s="5" cm="1">
        <f t="array" ref="S852">MAX(IF((DiscreteStatsTable[GroupByKey]=DiscreteStatsTable[[#This Row],[GroupByKey]]),(DiscreteStatsTable[GroupByKey]=DiscreteStatsTable[[#This Row],[GroupByKey]])*DiscreteStatsTable[Average]))</f>
        <v>0.34566100502619002</v>
      </c>
      <c r="T852" s="5" cm="1">
        <f t="array" ref="T852">MIN(IF((DiscreteStatsTable[GroupByKey]=DiscreteStatsTable[[#This Row],[GroupByKey]]),(DiscreteStatsTable[GroupByKey]=DiscreteStatsTable[[#This Row],[GroupByKey]])*DiscreteStatsTable[Minimum]))</f>
        <v>2.7295964517620099E-2</v>
      </c>
      <c r="U852" s="5" cm="1">
        <f t="array" ref="U852">MAX(IF((DiscreteStatsTable[GroupByKey]=DiscreteStatsTable[[#This Row],[GroupByKey]]),(DiscreteStatsTable[GroupByKey]=DiscreteStatsTable[[#This Row],[GroupByKey]])*DiscreteStatsTable[Maximum]))</f>
        <v>1.3578592622225301</v>
      </c>
      <c r="V852" s="5" cm="1">
        <f t="array" ref="V852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52" s="5">
        <f>IF((DiscreteStatsTable[[#This Row],[RepsRequested]]&gt;1),DiscreteStatsTable[[#This Row],[HalfWidth]],DiscreteStatsTable[[#This Row],[BatchMeansHalfWidth]])</f>
        <v>8.8915519638180264E-3</v>
      </c>
      <c r="X852" s="5" cm="1">
        <f t="array" ref="X852">COUNT(IF((DiscreteStatsTable[GroupByKey]=DiscreteStatsTable[[#This Row],[GroupByKey]]),(DiscreteStatsTable[GroupByKey]=DiscreteStatsTable[[#This Row],[GroupByKey]])*DiscreteStatsTable[Replication]))</f>
        <v>19</v>
      </c>
      <c r="Y852" s="5">
        <f>IF(DiscreteStatsTable[[#This Row],[RepsRequested]]=DiscreteStatsTable[[#This Row],[RepsWithStatObserved]],1,0)</f>
        <v>1</v>
      </c>
    </row>
    <row r="853" spans="1:25" x14ac:dyDescent="0.25">
      <c r="A853" t="s">
        <v>67</v>
      </c>
      <c r="B853" t="s">
        <v>69</v>
      </c>
      <c r="C853">
        <v>2</v>
      </c>
      <c r="D853" t="s">
        <v>116</v>
      </c>
      <c r="E853" t="s">
        <v>79</v>
      </c>
      <c r="F853" t="s">
        <v>80</v>
      </c>
      <c r="G853">
        <v>0.30174041009956498</v>
      </c>
      <c r="H853">
        <v>2E+20</v>
      </c>
      <c r="I853">
        <v>3.2691388069679299E-2</v>
      </c>
      <c r="J853">
        <v>1.30125691063139</v>
      </c>
      <c r="K853">
        <v>109</v>
      </c>
      <c r="L85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compartida)TiempoPedidoExpressionUser Specified</v>
      </c>
      <c r="M853" s="5" cm="1">
        <f t="array" ref="M853">MAX(IF((ProjectInfoTable[ProjectName]=DiscreteStatsTable[[#This Row],[ProjectName]]),(ProjectInfoTable[ProjectName]=DiscreteStatsTable[[#This Row],[ProjectName]])*ProjectInfoTable[NumberOfReplications]))</f>
        <v>19</v>
      </c>
      <c r="N853" s="5" cm="1">
        <f t="array" ref="N853">IFERROR(AVERAGE(IF((DiscreteStatsTable[GroupByKey]=DiscreteStatsTable[[#This Row],[GroupByKey]]),(DiscreteStatsTable[GroupByKey]=DiscreteStatsTable[[#This Row],[GroupByKey]])*DiscreteStatsTable[Average])),0)</f>
        <v>0.30942332048567528</v>
      </c>
      <c r="O853" s="5" cm="1">
        <f t="array" ref="O853">IFERROR(_xlfn.STDEV.S(IF((DiscreteStatsTable[GroupByKey]=DiscreteStatsTable[[#This Row],[GroupByKey]]),(DiscreteStatsTable[GroupByKey]=DiscreteStatsTable[[#This Row],[GroupByKey]])*DiscreteStatsTable[Average])),0)</f>
        <v>1.8447793739684307E-2</v>
      </c>
      <c r="P853" s="5" cm="1">
        <f t="array" ref="P853">MAX(IF((ProjectInfoTable[ProjectName]=DiscreteStatsTable[[#This Row],[ProjectName]]),(ProjectInfoTable[ProjectName]=DiscreteStatsTable[[#This Row],[ProjectName]])*ProjectInfoTable[ConfidenceInterval]))</f>
        <v>0.95</v>
      </c>
      <c r="Q853" s="5">
        <f>IF(AND(DiscreteStatsTable[[#This Row],[RepsWithStatObserved]]=1,Y853=0),200000000000000000000,IFERROR(_xlfn.T.INV.2T(1 -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8.8915519638180264E-3</v>
      </c>
      <c r="R853" s="5" cm="1">
        <f t="array" ref="R853">MIN(IF((DiscreteStatsTable[GroupByKey]=DiscreteStatsTable[[#This Row],[GroupByKey]]),(DiscreteStatsTable[GroupByKey]=DiscreteStatsTable[[#This Row],[GroupByKey]])*DiscreteStatsTable[Average]))</f>
        <v>0.27409788076790698</v>
      </c>
      <c r="S853" s="5" cm="1">
        <f t="array" ref="S853">MAX(IF((DiscreteStatsTable[GroupByKey]=DiscreteStatsTable[[#This Row],[GroupByKey]]),(DiscreteStatsTable[GroupByKey]=DiscreteStatsTable[[#This Row],[GroupByKey]])*DiscreteStatsTable[Average]))</f>
        <v>0.34566100502619002</v>
      </c>
      <c r="T853" s="5" cm="1">
        <f t="array" ref="T853">MIN(IF((DiscreteStatsTable[GroupByKey]=DiscreteStatsTable[[#This Row],[GroupByKey]]),(DiscreteStatsTable[GroupByKey]=DiscreteStatsTable[[#This Row],[GroupByKey]])*DiscreteStatsTable[Minimum]))</f>
        <v>2.7295964517620099E-2</v>
      </c>
      <c r="U853" s="5" cm="1">
        <f t="array" ref="U853">MAX(IF((DiscreteStatsTable[GroupByKey]=DiscreteStatsTable[[#This Row],[GroupByKey]]),(DiscreteStatsTable[GroupByKey]=DiscreteStatsTable[[#This Row],[GroupByKey]])*DiscreteStatsTable[Maximum]))</f>
        <v>1.3578592622225301</v>
      </c>
      <c r="V853" s="5" cm="1">
        <f t="array" ref="V853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53" s="5">
        <f>IF((DiscreteStatsTable[[#This Row],[RepsRequested]]&gt;1),DiscreteStatsTable[[#This Row],[HalfWidth]],DiscreteStatsTable[[#This Row],[BatchMeansHalfWidth]])</f>
        <v>8.8915519638180264E-3</v>
      </c>
      <c r="X853" s="5" cm="1">
        <f t="array" ref="X853">COUNT(IF((DiscreteStatsTable[GroupByKey]=DiscreteStatsTable[[#This Row],[GroupByKey]]),(DiscreteStatsTable[GroupByKey]=DiscreteStatsTable[[#This Row],[GroupByKey]])*DiscreteStatsTable[Replication]))</f>
        <v>19</v>
      </c>
      <c r="Y853" s="5">
        <f>IF(DiscreteStatsTable[[#This Row],[RepsRequested]]=DiscreteStatsTable[[#This Row],[RepsWithStatObserved]],1,0)</f>
        <v>1</v>
      </c>
    </row>
    <row r="854" spans="1:25" x14ac:dyDescent="0.25">
      <c r="A854" t="s">
        <v>67</v>
      </c>
      <c r="B854" t="s">
        <v>69</v>
      </c>
      <c r="C854">
        <v>3</v>
      </c>
      <c r="D854" t="s">
        <v>116</v>
      </c>
      <c r="E854" t="s">
        <v>79</v>
      </c>
      <c r="F854" t="s">
        <v>80</v>
      </c>
      <c r="G854">
        <v>0.32262956680430299</v>
      </c>
      <c r="H854">
        <v>2E+20</v>
      </c>
      <c r="I854">
        <v>5.3475730445683198E-2</v>
      </c>
      <c r="J854">
        <v>1.3578592622225301</v>
      </c>
      <c r="K854">
        <v>115</v>
      </c>
      <c r="L85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compartida)TiempoPedidoExpressionUser Specified</v>
      </c>
      <c r="M854" s="5" cm="1">
        <f t="array" ref="M854">MAX(IF((ProjectInfoTable[ProjectName]=DiscreteStatsTable[[#This Row],[ProjectName]]),(ProjectInfoTable[ProjectName]=DiscreteStatsTable[[#This Row],[ProjectName]])*ProjectInfoTable[NumberOfReplications]))</f>
        <v>19</v>
      </c>
      <c r="N854" s="5" cm="1">
        <f t="array" ref="N854">IFERROR(AVERAGE(IF((DiscreteStatsTable[GroupByKey]=DiscreteStatsTable[[#This Row],[GroupByKey]]),(DiscreteStatsTable[GroupByKey]=DiscreteStatsTable[[#This Row],[GroupByKey]])*DiscreteStatsTable[Average])),0)</f>
        <v>0.30942332048567528</v>
      </c>
      <c r="O854" s="5" cm="1">
        <f t="array" ref="O854">IFERROR(_xlfn.STDEV.S(IF((DiscreteStatsTable[GroupByKey]=DiscreteStatsTable[[#This Row],[GroupByKey]]),(DiscreteStatsTable[GroupByKey]=DiscreteStatsTable[[#This Row],[GroupByKey]])*DiscreteStatsTable[Average])),0)</f>
        <v>1.8447793739684307E-2</v>
      </c>
      <c r="P854" s="5" cm="1">
        <f t="array" ref="P854">MAX(IF((ProjectInfoTable[ProjectName]=DiscreteStatsTable[[#This Row],[ProjectName]]),(ProjectInfoTable[ProjectName]=DiscreteStatsTable[[#This Row],[ProjectName]])*ProjectInfoTable[ConfidenceInterval]))</f>
        <v>0.95</v>
      </c>
      <c r="Q854" s="5">
        <f>IF(AND(DiscreteStatsTable[[#This Row],[RepsWithStatObserved]]=1,Y854=0),200000000000000000000,IFERROR(_xlfn.T.INV.2T(1 -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8.8915519638180264E-3</v>
      </c>
      <c r="R854" s="5" cm="1">
        <f t="array" ref="R854">MIN(IF((DiscreteStatsTable[GroupByKey]=DiscreteStatsTable[[#This Row],[GroupByKey]]),(DiscreteStatsTable[GroupByKey]=DiscreteStatsTable[[#This Row],[GroupByKey]])*DiscreteStatsTable[Average]))</f>
        <v>0.27409788076790698</v>
      </c>
      <c r="S854" s="5" cm="1">
        <f t="array" ref="S854">MAX(IF((DiscreteStatsTable[GroupByKey]=DiscreteStatsTable[[#This Row],[GroupByKey]]),(DiscreteStatsTable[GroupByKey]=DiscreteStatsTable[[#This Row],[GroupByKey]])*DiscreteStatsTable[Average]))</f>
        <v>0.34566100502619002</v>
      </c>
      <c r="T854" s="5" cm="1">
        <f t="array" ref="T854">MIN(IF((DiscreteStatsTable[GroupByKey]=DiscreteStatsTable[[#This Row],[GroupByKey]]),(DiscreteStatsTable[GroupByKey]=DiscreteStatsTable[[#This Row],[GroupByKey]])*DiscreteStatsTable[Minimum]))</f>
        <v>2.7295964517620099E-2</v>
      </c>
      <c r="U854" s="5" cm="1">
        <f t="array" ref="U854">MAX(IF((DiscreteStatsTable[GroupByKey]=DiscreteStatsTable[[#This Row],[GroupByKey]]),(DiscreteStatsTable[GroupByKey]=DiscreteStatsTable[[#This Row],[GroupByKey]])*DiscreteStatsTable[Maximum]))</f>
        <v>1.3578592622225301</v>
      </c>
      <c r="V854" s="5" cm="1">
        <f t="array" ref="V854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54" s="5">
        <f>IF((DiscreteStatsTable[[#This Row],[RepsRequested]]&gt;1),DiscreteStatsTable[[#This Row],[HalfWidth]],DiscreteStatsTable[[#This Row],[BatchMeansHalfWidth]])</f>
        <v>8.8915519638180264E-3</v>
      </c>
      <c r="X854" s="5" cm="1">
        <f t="array" ref="X854">COUNT(IF((DiscreteStatsTable[GroupByKey]=DiscreteStatsTable[[#This Row],[GroupByKey]]),(DiscreteStatsTable[GroupByKey]=DiscreteStatsTable[[#This Row],[GroupByKey]])*DiscreteStatsTable[Replication]))</f>
        <v>19</v>
      </c>
      <c r="Y854" s="5">
        <f>IF(DiscreteStatsTable[[#This Row],[RepsRequested]]=DiscreteStatsTable[[#This Row],[RepsWithStatObserved]],1,0)</f>
        <v>1</v>
      </c>
    </row>
    <row r="855" spans="1:25" x14ac:dyDescent="0.25">
      <c r="A855" t="s">
        <v>67</v>
      </c>
      <c r="B855" t="s">
        <v>69</v>
      </c>
      <c r="C855">
        <v>4</v>
      </c>
      <c r="D855" t="s">
        <v>116</v>
      </c>
      <c r="E855" t="s">
        <v>79</v>
      </c>
      <c r="F855" t="s">
        <v>80</v>
      </c>
      <c r="G855">
        <v>0.32121627682439802</v>
      </c>
      <c r="H855">
        <v>2E+20</v>
      </c>
      <c r="I855">
        <v>3.4985691403335302E-2</v>
      </c>
      <c r="J855">
        <v>0.97320538721399397</v>
      </c>
      <c r="K855">
        <v>116</v>
      </c>
      <c r="L85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compartida)TiempoPedidoExpressionUser Specified</v>
      </c>
      <c r="M855" s="5" cm="1">
        <f t="array" ref="M855">MAX(IF((ProjectInfoTable[ProjectName]=DiscreteStatsTable[[#This Row],[ProjectName]]),(ProjectInfoTable[ProjectName]=DiscreteStatsTable[[#This Row],[ProjectName]])*ProjectInfoTable[NumberOfReplications]))</f>
        <v>19</v>
      </c>
      <c r="N855" s="5" cm="1">
        <f t="array" ref="N855">IFERROR(AVERAGE(IF((DiscreteStatsTable[GroupByKey]=DiscreteStatsTable[[#This Row],[GroupByKey]]),(DiscreteStatsTable[GroupByKey]=DiscreteStatsTable[[#This Row],[GroupByKey]])*DiscreteStatsTable[Average])),0)</f>
        <v>0.30942332048567528</v>
      </c>
      <c r="O855" s="5" cm="1">
        <f t="array" ref="O855">IFERROR(_xlfn.STDEV.S(IF((DiscreteStatsTable[GroupByKey]=DiscreteStatsTable[[#This Row],[GroupByKey]]),(DiscreteStatsTable[GroupByKey]=DiscreteStatsTable[[#This Row],[GroupByKey]])*DiscreteStatsTable[Average])),0)</f>
        <v>1.8447793739684307E-2</v>
      </c>
      <c r="P855" s="5" cm="1">
        <f t="array" ref="P855">MAX(IF((ProjectInfoTable[ProjectName]=DiscreteStatsTable[[#This Row],[ProjectName]]),(ProjectInfoTable[ProjectName]=DiscreteStatsTable[[#This Row],[ProjectName]])*ProjectInfoTable[ConfidenceInterval]))</f>
        <v>0.95</v>
      </c>
      <c r="Q855" s="5">
        <f>IF(AND(DiscreteStatsTable[[#This Row],[RepsWithStatObserved]]=1,Y855=0),200000000000000000000,IFERROR(_xlfn.T.INV.2T(1 -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8.8915519638180264E-3</v>
      </c>
      <c r="R855" s="5" cm="1">
        <f t="array" ref="R855">MIN(IF((DiscreteStatsTable[GroupByKey]=DiscreteStatsTable[[#This Row],[GroupByKey]]),(DiscreteStatsTable[GroupByKey]=DiscreteStatsTable[[#This Row],[GroupByKey]])*DiscreteStatsTable[Average]))</f>
        <v>0.27409788076790698</v>
      </c>
      <c r="S855" s="5" cm="1">
        <f t="array" ref="S855">MAX(IF((DiscreteStatsTable[GroupByKey]=DiscreteStatsTable[[#This Row],[GroupByKey]]),(DiscreteStatsTable[GroupByKey]=DiscreteStatsTable[[#This Row],[GroupByKey]])*DiscreteStatsTable[Average]))</f>
        <v>0.34566100502619002</v>
      </c>
      <c r="T855" s="5" cm="1">
        <f t="array" ref="T855">MIN(IF((DiscreteStatsTable[GroupByKey]=DiscreteStatsTable[[#This Row],[GroupByKey]]),(DiscreteStatsTable[GroupByKey]=DiscreteStatsTable[[#This Row],[GroupByKey]])*DiscreteStatsTable[Minimum]))</f>
        <v>2.7295964517620099E-2</v>
      </c>
      <c r="U855" s="5" cm="1">
        <f t="array" ref="U855">MAX(IF((DiscreteStatsTable[GroupByKey]=DiscreteStatsTable[[#This Row],[GroupByKey]]),(DiscreteStatsTable[GroupByKey]=DiscreteStatsTable[[#This Row],[GroupByKey]])*DiscreteStatsTable[Maximum]))</f>
        <v>1.3578592622225301</v>
      </c>
      <c r="V855" s="5" cm="1">
        <f t="array" ref="V855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55" s="5">
        <f>IF((DiscreteStatsTable[[#This Row],[RepsRequested]]&gt;1),DiscreteStatsTable[[#This Row],[HalfWidth]],DiscreteStatsTable[[#This Row],[BatchMeansHalfWidth]])</f>
        <v>8.8915519638180264E-3</v>
      </c>
      <c r="X855" s="5" cm="1">
        <f t="array" ref="X855">COUNT(IF((DiscreteStatsTable[GroupByKey]=DiscreteStatsTable[[#This Row],[GroupByKey]]),(DiscreteStatsTable[GroupByKey]=DiscreteStatsTable[[#This Row],[GroupByKey]])*DiscreteStatsTable[Replication]))</f>
        <v>19</v>
      </c>
      <c r="Y855" s="5">
        <f>IF(DiscreteStatsTable[[#This Row],[RepsRequested]]=DiscreteStatsTable[[#This Row],[RepsWithStatObserved]],1,0)</f>
        <v>1</v>
      </c>
    </row>
    <row r="856" spans="1:25" x14ac:dyDescent="0.25">
      <c r="A856" t="s">
        <v>67</v>
      </c>
      <c r="B856" t="s">
        <v>69</v>
      </c>
      <c r="C856">
        <v>5</v>
      </c>
      <c r="D856" t="s">
        <v>116</v>
      </c>
      <c r="E856" t="s">
        <v>79</v>
      </c>
      <c r="F856" t="s">
        <v>80</v>
      </c>
      <c r="G856">
        <v>0.29975502428012202</v>
      </c>
      <c r="H856">
        <v>2E+20</v>
      </c>
      <c r="I856">
        <v>2.7295964517620099E-2</v>
      </c>
      <c r="J856">
        <v>1.0232158211595399</v>
      </c>
      <c r="K856">
        <v>129</v>
      </c>
      <c r="L85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compartida)TiempoPedidoExpressionUser Specified</v>
      </c>
      <c r="M856" s="5" cm="1">
        <f t="array" ref="M856">MAX(IF((ProjectInfoTable[ProjectName]=DiscreteStatsTable[[#This Row],[ProjectName]]),(ProjectInfoTable[ProjectName]=DiscreteStatsTable[[#This Row],[ProjectName]])*ProjectInfoTable[NumberOfReplications]))</f>
        <v>19</v>
      </c>
      <c r="N856" s="5" cm="1">
        <f t="array" ref="N856">IFERROR(AVERAGE(IF((DiscreteStatsTable[GroupByKey]=DiscreteStatsTable[[#This Row],[GroupByKey]]),(DiscreteStatsTable[GroupByKey]=DiscreteStatsTable[[#This Row],[GroupByKey]])*DiscreteStatsTable[Average])),0)</f>
        <v>0.30942332048567528</v>
      </c>
      <c r="O856" s="5" cm="1">
        <f t="array" ref="O856">IFERROR(_xlfn.STDEV.S(IF((DiscreteStatsTable[GroupByKey]=DiscreteStatsTable[[#This Row],[GroupByKey]]),(DiscreteStatsTable[GroupByKey]=DiscreteStatsTable[[#This Row],[GroupByKey]])*DiscreteStatsTable[Average])),0)</f>
        <v>1.8447793739684307E-2</v>
      </c>
      <c r="P856" s="5" cm="1">
        <f t="array" ref="P856">MAX(IF((ProjectInfoTable[ProjectName]=DiscreteStatsTable[[#This Row],[ProjectName]]),(ProjectInfoTable[ProjectName]=DiscreteStatsTable[[#This Row],[ProjectName]])*ProjectInfoTable[ConfidenceInterval]))</f>
        <v>0.95</v>
      </c>
      <c r="Q856" s="5">
        <f>IF(AND(DiscreteStatsTable[[#This Row],[RepsWithStatObserved]]=1,Y856=0),200000000000000000000,IFERROR(_xlfn.T.INV.2T(1 -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8.8915519638180264E-3</v>
      </c>
      <c r="R856" s="5" cm="1">
        <f t="array" ref="R856">MIN(IF((DiscreteStatsTable[GroupByKey]=DiscreteStatsTable[[#This Row],[GroupByKey]]),(DiscreteStatsTable[GroupByKey]=DiscreteStatsTable[[#This Row],[GroupByKey]])*DiscreteStatsTable[Average]))</f>
        <v>0.27409788076790698</v>
      </c>
      <c r="S856" s="5" cm="1">
        <f t="array" ref="S856">MAX(IF((DiscreteStatsTable[GroupByKey]=DiscreteStatsTable[[#This Row],[GroupByKey]]),(DiscreteStatsTable[GroupByKey]=DiscreteStatsTable[[#This Row],[GroupByKey]])*DiscreteStatsTable[Average]))</f>
        <v>0.34566100502619002</v>
      </c>
      <c r="T856" s="5" cm="1">
        <f t="array" ref="T856">MIN(IF((DiscreteStatsTable[GroupByKey]=DiscreteStatsTable[[#This Row],[GroupByKey]]),(DiscreteStatsTable[GroupByKey]=DiscreteStatsTable[[#This Row],[GroupByKey]])*DiscreteStatsTable[Minimum]))</f>
        <v>2.7295964517620099E-2</v>
      </c>
      <c r="U856" s="5" cm="1">
        <f t="array" ref="U856">MAX(IF((DiscreteStatsTable[GroupByKey]=DiscreteStatsTable[[#This Row],[GroupByKey]]),(DiscreteStatsTable[GroupByKey]=DiscreteStatsTable[[#This Row],[GroupByKey]])*DiscreteStatsTable[Maximum]))</f>
        <v>1.3578592622225301</v>
      </c>
      <c r="V856" s="5" cm="1">
        <f t="array" ref="V856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56" s="5">
        <f>IF((DiscreteStatsTable[[#This Row],[RepsRequested]]&gt;1),DiscreteStatsTable[[#This Row],[HalfWidth]],DiscreteStatsTable[[#This Row],[BatchMeansHalfWidth]])</f>
        <v>8.8915519638180264E-3</v>
      </c>
      <c r="X856" s="5" cm="1">
        <f t="array" ref="X856">COUNT(IF((DiscreteStatsTable[GroupByKey]=DiscreteStatsTable[[#This Row],[GroupByKey]]),(DiscreteStatsTable[GroupByKey]=DiscreteStatsTable[[#This Row],[GroupByKey]])*DiscreteStatsTable[Replication]))</f>
        <v>19</v>
      </c>
      <c r="Y856" s="5">
        <f>IF(DiscreteStatsTable[[#This Row],[RepsRequested]]=DiscreteStatsTable[[#This Row],[RepsWithStatObserved]],1,0)</f>
        <v>1</v>
      </c>
    </row>
    <row r="857" spans="1:25" x14ac:dyDescent="0.25">
      <c r="A857" t="s">
        <v>67</v>
      </c>
      <c r="B857" t="s">
        <v>69</v>
      </c>
      <c r="C857">
        <v>6</v>
      </c>
      <c r="D857" t="s">
        <v>116</v>
      </c>
      <c r="E857" t="s">
        <v>79</v>
      </c>
      <c r="F857" t="s">
        <v>80</v>
      </c>
      <c r="G857">
        <v>0.32140058418511902</v>
      </c>
      <c r="H857">
        <v>2E+20</v>
      </c>
      <c r="I857">
        <v>3.3565205325928098E-2</v>
      </c>
      <c r="J857">
        <v>1.2035509078425</v>
      </c>
      <c r="K857">
        <v>117</v>
      </c>
      <c r="L85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compartida)TiempoPedidoExpressionUser Specified</v>
      </c>
      <c r="M857" s="5" cm="1">
        <f t="array" ref="M857">MAX(IF((ProjectInfoTable[ProjectName]=DiscreteStatsTable[[#This Row],[ProjectName]]),(ProjectInfoTable[ProjectName]=DiscreteStatsTable[[#This Row],[ProjectName]])*ProjectInfoTable[NumberOfReplications]))</f>
        <v>19</v>
      </c>
      <c r="N857" s="5" cm="1">
        <f t="array" ref="N857">IFERROR(AVERAGE(IF((DiscreteStatsTable[GroupByKey]=DiscreteStatsTable[[#This Row],[GroupByKey]]),(DiscreteStatsTable[GroupByKey]=DiscreteStatsTable[[#This Row],[GroupByKey]])*DiscreteStatsTable[Average])),0)</f>
        <v>0.30942332048567528</v>
      </c>
      <c r="O857" s="5" cm="1">
        <f t="array" ref="O857">IFERROR(_xlfn.STDEV.S(IF((DiscreteStatsTable[GroupByKey]=DiscreteStatsTable[[#This Row],[GroupByKey]]),(DiscreteStatsTable[GroupByKey]=DiscreteStatsTable[[#This Row],[GroupByKey]])*DiscreteStatsTable[Average])),0)</f>
        <v>1.8447793739684307E-2</v>
      </c>
      <c r="P857" s="5" cm="1">
        <f t="array" ref="P857">MAX(IF((ProjectInfoTable[ProjectName]=DiscreteStatsTable[[#This Row],[ProjectName]]),(ProjectInfoTable[ProjectName]=DiscreteStatsTable[[#This Row],[ProjectName]])*ProjectInfoTable[ConfidenceInterval]))</f>
        <v>0.95</v>
      </c>
      <c r="Q857" s="5">
        <f>IF(AND(DiscreteStatsTable[[#This Row],[RepsWithStatObserved]]=1,Y857=0),200000000000000000000,IFERROR(_xlfn.T.INV.2T(1 -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8.8915519638180264E-3</v>
      </c>
      <c r="R857" s="5" cm="1">
        <f t="array" ref="R857">MIN(IF((DiscreteStatsTable[GroupByKey]=DiscreteStatsTable[[#This Row],[GroupByKey]]),(DiscreteStatsTable[GroupByKey]=DiscreteStatsTable[[#This Row],[GroupByKey]])*DiscreteStatsTable[Average]))</f>
        <v>0.27409788076790698</v>
      </c>
      <c r="S857" s="5" cm="1">
        <f t="array" ref="S857">MAX(IF((DiscreteStatsTable[GroupByKey]=DiscreteStatsTable[[#This Row],[GroupByKey]]),(DiscreteStatsTable[GroupByKey]=DiscreteStatsTable[[#This Row],[GroupByKey]])*DiscreteStatsTable[Average]))</f>
        <v>0.34566100502619002</v>
      </c>
      <c r="T857" s="5" cm="1">
        <f t="array" ref="T857">MIN(IF((DiscreteStatsTable[GroupByKey]=DiscreteStatsTable[[#This Row],[GroupByKey]]),(DiscreteStatsTable[GroupByKey]=DiscreteStatsTable[[#This Row],[GroupByKey]])*DiscreteStatsTable[Minimum]))</f>
        <v>2.7295964517620099E-2</v>
      </c>
      <c r="U857" s="5" cm="1">
        <f t="array" ref="U857">MAX(IF((DiscreteStatsTable[GroupByKey]=DiscreteStatsTable[[#This Row],[GroupByKey]]),(DiscreteStatsTable[GroupByKey]=DiscreteStatsTable[[#This Row],[GroupByKey]])*DiscreteStatsTable[Maximum]))</f>
        <v>1.3578592622225301</v>
      </c>
      <c r="V857" s="5" cm="1">
        <f t="array" ref="V857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57" s="5">
        <f>IF((DiscreteStatsTable[[#This Row],[RepsRequested]]&gt;1),DiscreteStatsTable[[#This Row],[HalfWidth]],DiscreteStatsTable[[#This Row],[BatchMeansHalfWidth]])</f>
        <v>8.8915519638180264E-3</v>
      </c>
      <c r="X857" s="5" cm="1">
        <f t="array" ref="X857">COUNT(IF((DiscreteStatsTable[GroupByKey]=DiscreteStatsTable[[#This Row],[GroupByKey]]),(DiscreteStatsTable[GroupByKey]=DiscreteStatsTable[[#This Row],[GroupByKey]])*DiscreteStatsTable[Replication]))</f>
        <v>19</v>
      </c>
      <c r="Y857" s="5">
        <f>IF(DiscreteStatsTable[[#This Row],[RepsRequested]]=DiscreteStatsTable[[#This Row],[RepsWithStatObserved]],1,0)</f>
        <v>1</v>
      </c>
    </row>
    <row r="858" spans="1:25" x14ac:dyDescent="0.25">
      <c r="A858" t="s">
        <v>67</v>
      </c>
      <c r="B858" t="s">
        <v>69</v>
      </c>
      <c r="C858">
        <v>7</v>
      </c>
      <c r="D858" t="s">
        <v>116</v>
      </c>
      <c r="E858" t="s">
        <v>79</v>
      </c>
      <c r="F858" t="s">
        <v>80</v>
      </c>
      <c r="G858">
        <v>0.32893644944573103</v>
      </c>
      <c r="H858">
        <v>2E+20</v>
      </c>
      <c r="I858">
        <v>2.9708481357886299E-2</v>
      </c>
      <c r="J858">
        <v>0.81018957858330498</v>
      </c>
      <c r="K858">
        <v>112</v>
      </c>
      <c r="L85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compartida)TiempoPedidoExpressionUser Specified</v>
      </c>
      <c r="M858" s="5" cm="1">
        <f t="array" ref="M858">MAX(IF((ProjectInfoTable[ProjectName]=DiscreteStatsTable[[#This Row],[ProjectName]]),(ProjectInfoTable[ProjectName]=DiscreteStatsTable[[#This Row],[ProjectName]])*ProjectInfoTable[NumberOfReplications]))</f>
        <v>19</v>
      </c>
      <c r="N858" s="5" cm="1">
        <f t="array" ref="N858">IFERROR(AVERAGE(IF((DiscreteStatsTable[GroupByKey]=DiscreteStatsTable[[#This Row],[GroupByKey]]),(DiscreteStatsTable[GroupByKey]=DiscreteStatsTable[[#This Row],[GroupByKey]])*DiscreteStatsTable[Average])),0)</f>
        <v>0.30942332048567528</v>
      </c>
      <c r="O858" s="5" cm="1">
        <f t="array" ref="O858">IFERROR(_xlfn.STDEV.S(IF((DiscreteStatsTable[GroupByKey]=DiscreteStatsTable[[#This Row],[GroupByKey]]),(DiscreteStatsTable[GroupByKey]=DiscreteStatsTable[[#This Row],[GroupByKey]])*DiscreteStatsTable[Average])),0)</f>
        <v>1.8447793739684307E-2</v>
      </c>
      <c r="P858" s="5" cm="1">
        <f t="array" ref="P858">MAX(IF((ProjectInfoTable[ProjectName]=DiscreteStatsTable[[#This Row],[ProjectName]]),(ProjectInfoTable[ProjectName]=DiscreteStatsTable[[#This Row],[ProjectName]])*ProjectInfoTable[ConfidenceInterval]))</f>
        <v>0.95</v>
      </c>
      <c r="Q858" s="5">
        <f>IF(AND(DiscreteStatsTable[[#This Row],[RepsWithStatObserved]]=1,Y858=0),200000000000000000000,IFERROR(_xlfn.T.INV.2T(1 -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8.8915519638180264E-3</v>
      </c>
      <c r="R858" s="5" cm="1">
        <f t="array" ref="R858">MIN(IF((DiscreteStatsTable[GroupByKey]=DiscreteStatsTable[[#This Row],[GroupByKey]]),(DiscreteStatsTable[GroupByKey]=DiscreteStatsTable[[#This Row],[GroupByKey]])*DiscreteStatsTable[Average]))</f>
        <v>0.27409788076790698</v>
      </c>
      <c r="S858" s="5" cm="1">
        <f t="array" ref="S858">MAX(IF((DiscreteStatsTable[GroupByKey]=DiscreteStatsTable[[#This Row],[GroupByKey]]),(DiscreteStatsTable[GroupByKey]=DiscreteStatsTable[[#This Row],[GroupByKey]])*DiscreteStatsTable[Average]))</f>
        <v>0.34566100502619002</v>
      </c>
      <c r="T858" s="5" cm="1">
        <f t="array" ref="T858">MIN(IF((DiscreteStatsTable[GroupByKey]=DiscreteStatsTable[[#This Row],[GroupByKey]]),(DiscreteStatsTable[GroupByKey]=DiscreteStatsTable[[#This Row],[GroupByKey]])*DiscreteStatsTable[Minimum]))</f>
        <v>2.7295964517620099E-2</v>
      </c>
      <c r="U858" s="5" cm="1">
        <f t="array" ref="U858">MAX(IF((DiscreteStatsTable[GroupByKey]=DiscreteStatsTable[[#This Row],[GroupByKey]]),(DiscreteStatsTable[GroupByKey]=DiscreteStatsTable[[#This Row],[GroupByKey]])*DiscreteStatsTable[Maximum]))</f>
        <v>1.3578592622225301</v>
      </c>
      <c r="V858" s="5" cm="1">
        <f t="array" ref="V858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58" s="5">
        <f>IF((DiscreteStatsTable[[#This Row],[RepsRequested]]&gt;1),DiscreteStatsTable[[#This Row],[HalfWidth]],DiscreteStatsTable[[#This Row],[BatchMeansHalfWidth]])</f>
        <v>8.8915519638180264E-3</v>
      </c>
      <c r="X858" s="5" cm="1">
        <f t="array" ref="X858">COUNT(IF((DiscreteStatsTable[GroupByKey]=DiscreteStatsTable[[#This Row],[GroupByKey]]),(DiscreteStatsTable[GroupByKey]=DiscreteStatsTable[[#This Row],[GroupByKey]])*DiscreteStatsTable[Replication]))</f>
        <v>19</v>
      </c>
      <c r="Y858" s="5">
        <f>IF(DiscreteStatsTable[[#This Row],[RepsRequested]]=DiscreteStatsTable[[#This Row],[RepsWithStatObserved]],1,0)</f>
        <v>1</v>
      </c>
    </row>
    <row r="859" spans="1:25" x14ac:dyDescent="0.25">
      <c r="A859" t="s">
        <v>67</v>
      </c>
      <c r="B859" t="s">
        <v>69</v>
      </c>
      <c r="C859">
        <v>8</v>
      </c>
      <c r="D859" t="s">
        <v>116</v>
      </c>
      <c r="E859" t="s">
        <v>79</v>
      </c>
      <c r="F859" t="s">
        <v>80</v>
      </c>
      <c r="G859">
        <v>0.31206000462417299</v>
      </c>
      <c r="H859">
        <v>2E+20</v>
      </c>
      <c r="I859">
        <v>3.15929628477747E-2</v>
      </c>
      <c r="J859">
        <v>1.1916587921259401</v>
      </c>
      <c r="K859">
        <v>135</v>
      </c>
      <c r="L85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compartida)TiempoPedidoExpressionUser Specified</v>
      </c>
      <c r="M859" s="5" cm="1">
        <f t="array" ref="M859">MAX(IF((ProjectInfoTable[ProjectName]=DiscreteStatsTable[[#This Row],[ProjectName]]),(ProjectInfoTable[ProjectName]=DiscreteStatsTable[[#This Row],[ProjectName]])*ProjectInfoTable[NumberOfReplications]))</f>
        <v>19</v>
      </c>
      <c r="N859" s="5" cm="1">
        <f t="array" ref="N859">IFERROR(AVERAGE(IF((DiscreteStatsTable[GroupByKey]=DiscreteStatsTable[[#This Row],[GroupByKey]]),(DiscreteStatsTable[GroupByKey]=DiscreteStatsTable[[#This Row],[GroupByKey]])*DiscreteStatsTable[Average])),0)</f>
        <v>0.30942332048567528</v>
      </c>
      <c r="O859" s="5" cm="1">
        <f t="array" ref="O859">IFERROR(_xlfn.STDEV.S(IF((DiscreteStatsTable[GroupByKey]=DiscreteStatsTable[[#This Row],[GroupByKey]]),(DiscreteStatsTable[GroupByKey]=DiscreteStatsTable[[#This Row],[GroupByKey]])*DiscreteStatsTable[Average])),0)</f>
        <v>1.8447793739684307E-2</v>
      </c>
      <c r="P859" s="5" cm="1">
        <f t="array" ref="P859">MAX(IF((ProjectInfoTable[ProjectName]=DiscreteStatsTable[[#This Row],[ProjectName]]),(ProjectInfoTable[ProjectName]=DiscreteStatsTable[[#This Row],[ProjectName]])*ProjectInfoTable[ConfidenceInterval]))</f>
        <v>0.95</v>
      </c>
      <c r="Q859" s="5">
        <f>IF(AND(DiscreteStatsTable[[#This Row],[RepsWithStatObserved]]=1,Y859=0),200000000000000000000,IFERROR(_xlfn.T.INV.2T(1 -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8.8915519638180264E-3</v>
      </c>
      <c r="R859" s="5" cm="1">
        <f t="array" ref="R859">MIN(IF((DiscreteStatsTable[GroupByKey]=DiscreteStatsTable[[#This Row],[GroupByKey]]),(DiscreteStatsTable[GroupByKey]=DiscreteStatsTable[[#This Row],[GroupByKey]])*DiscreteStatsTable[Average]))</f>
        <v>0.27409788076790698</v>
      </c>
      <c r="S859" s="5" cm="1">
        <f t="array" ref="S859">MAX(IF((DiscreteStatsTable[GroupByKey]=DiscreteStatsTable[[#This Row],[GroupByKey]]),(DiscreteStatsTable[GroupByKey]=DiscreteStatsTable[[#This Row],[GroupByKey]])*DiscreteStatsTable[Average]))</f>
        <v>0.34566100502619002</v>
      </c>
      <c r="T859" s="5" cm="1">
        <f t="array" ref="T859">MIN(IF((DiscreteStatsTable[GroupByKey]=DiscreteStatsTable[[#This Row],[GroupByKey]]),(DiscreteStatsTable[GroupByKey]=DiscreteStatsTable[[#This Row],[GroupByKey]])*DiscreteStatsTable[Minimum]))</f>
        <v>2.7295964517620099E-2</v>
      </c>
      <c r="U859" s="5" cm="1">
        <f t="array" ref="U859">MAX(IF((DiscreteStatsTable[GroupByKey]=DiscreteStatsTable[[#This Row],[GroupByKey]]),(DiscreteStatsTable[GroupByKey]=DiscreteStatsTable[[#This Row],[GroupByKey]])*DiscreteStatsTable[Maximum]))</f>
        <v>1.3578592622225301</v>
      </c>
      <c r="V859" s="5" cm="1">
        <f t="array" ref="V859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59" s="5">
        <f>IF((DiscreteStatsTable[[#This Row],[RepsRequested]]&gt;1),DiscreteStatsTable[[#This Row],[HalfWidth]],DiscreteStatsTable[[#This Row],[BatchMeansHalfWidth]])</f>
        <v>8.8915519638180264E-3</v>
      </c>
      <c r="X859" s="5" cm="1">
        <f t="array" ref="X859">COUNT(IF((DiscreteStatsTable[GroupByKey]=DiscreteStatsTable[[#This Row],[GroupByKey]]),(DiscreteStatsTable[GroupByKey]=DiscreteStatsTable[[#This Row],[GroupByKey]])*DiscreteStatsTable[Replication]))</f>
        <v>19</v>
      </c>
      <c r="Y859" s="5">
        <f>IF(DiscreteStatsTable[[#This Row],[RepsRequested]]=DiscreteStatsTable[[#This Row],[RepsWithStatObserved]],1,0)</f>
        <v>1</v>
      </c>
    </row>
    <row r="860" spans="1:25" x14ac:dyDescent="0.25">
      <c r="A860" t="s">
        <v>67</v>
      </c>
      <c r="B860" t="s">
        <v>69</v>
      </c>
      <c r="C860">
        <v>9</v>
      </c>
      <c r="D860" t="s">
        <v>116</v>
      </c>
      <c r="E860" t="s">
        <v>79</v>
      </c>
      <c r="F860" t="s">
        <v>80</v>
      </c>
      <c r="G860">
        <v>0.32279213942045198</v>
      </c>
      <c r="H860">
        <v>2E+20</v>
      </c>
      <c r="I860">
        <v>3.7208010601062803E-2</v>
      </c>
      <c r="J860">
        <v>1.0494109444083199</v>
      </c>
      <c r="K860">
        <v>114</v>
      </c>
      <c r="L86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compartida)TiempoPedidoExpressionUser Specified</v>
      </c>
      <c r="M860" s="5" cm="1">
        <f t="array" ref="M860">MAX(IF((ProjectInfoTable[ProjectName]=DiscreteStatsTable[[#This Row],[ProjectName]]),(ProjectInfoTable[ProjectName]=DiscreteStatsTable[[#This Row],[ProjectName]])*ProjectInfoTable[NumberOfReplications]))</f>
        <v>19</v>
      </c>
      <c r="N860" s="5" cm="1">
        <f t="array" ref="N860">IFERROR(AVERAGE(IF((DiscreteStatsTable[GroupByKey]=DiscreteStatsTable[[#This Row],[GroupByKey]]),(DiscreteStatsTable[GroupByKey]=DiscreteStatsTable[[#This Row],[GroupByKey]])*DiscreteStatsTable[Average])),0)</f>
        <v>0.30942332048567528</v>
      </c>
      <c r="O860" s="5" cm="1">
        <f t="array" ref="O860">IFERROR(_xlfn.STDEV.S(IF((DiscreteStatsTable[GroupByKey]=DiscreteStatsTable[[#This Row],[GroupByKey]]),(DiscreteStatsTable[GroupByKey]=DiscreteStatsTable[[#This Row],[GroupByKey]])*DiscreteStatsTable[Average])),0)</f>
        <v>1.8447793739684307E-2</v>
      </c>
      <c r="P860" s="5" cm="1">
        <f t="array" ref="P860">MAX(IF((ProjectInfoTable[ProjectName]=DiscreteStatsTable[[#This Row],[ProjectName]]),(ProjectInfoTable[ProjectName]=DiscreteStatsTable[[#This Row],[ProjectName]])*ProjectInfoTable[ConfidenceInterval]))</f>
        <v>0.95</v>
      </c>
      <c r="Q860" s="5">
        <f>IF(AND(DiscreteStatsTable[[#This Row],[RepsWithStatObserved]]=1,Y860=0),200000000000000000000,IFERROR(_xlfn.T.INV.2T(1 -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8.8915519638180264E-3</v>
      </c>
      <c r="R860" s="5" cm="1">
        <f t="array" ref="R860">MIN(IF((DiscreteStatsTable[GroupByKey]=DiscreteStatsTable[[#This Row],[GroupByKey]]),(DiscreteStatsTable[GroupByKey]=DiscreteStatsTable[[#This Row],[GroupByKey]])*DiscreteStatsTable[Average]))</f>
        <v>0.27409788076790698</v>
      </c>
      <c r="S860" s="5" cm="1">
        <f t="array" ref="S860">MAX(IF((DiscreteStatsTable[GroupByKey]=DiscreteStatsTable[[#This Row],[GroupByKey]]),(DiscreteStatsTable[GroupByKey]=DiscreteStatsTable[[#This Row],[GroupByKey]])*DiscreteStatsTable[Average]))</f>
        <v>0.34566100502619002</v>
      </c>
      <c r="T860" s="5" cm="1">
        <f t="array" ref="T860">MIN(IF((DiscreteStatsTable[GroupByKey]=DiscreteStatsTable[[#This Row],[GroupByKey]]),(DiscreteStatsTable[GroupByKey]=DiscreteStatsTable[[#This Row],[GroupByKey]])*DiscreteStatsTable[Minimum]))</f>
        <v>2.7295964517620099E-2</v>
      </c>
      <c r="U860" s="5" cm="1">
        <f t="array" ref="U860">MAX(IF((DiscreteStatsTable[GroupByKey]=DiscreteStatsTable[[#This Row],[GroupByKey]]),(DiscreteStatsTable[GroupByKey]=DiscreteStatsTable[[#This Row],[GroupByKey]])*DiscreteStatsTable[Maximum]))</f>
        <v>1.3578592622225301</v>
      </c>
      <c r="V860" s="5" cm="1">
        <f t="array" ref="V860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60" s="5">
        <f>IF((DiscreteStatsTable[[#This Row],[RepsRequested]]&gt;1),DiscreteStatsTable[[#This Row],[HalfWidth]],DiscreteStatsTable[[#This Row],[BatchMeansHalfWidth]])</f>
        <v>8.8915519638180264E-3</v>
      </c>
      <c r="X860" s="5" cm="1">
        <f t="array" ref="X860">COUNT(IF((DiscreteStatsTable[GroupByKey]=DiscreteStatsTable[[#This Row],[GroupByKey]]),(DiscreteStatsTable[GroupByKey]=DiscreteStatsTable[[#This Row],[GroupByKey]])*DiscreteStatsTable[Replication]))</f>
        <v>19</v>
      </c>
      <c r="Y860" s="5">
        <f>IF(DiscreteStatsTable[[#This Row],[RepsRequested]]=DiscreteStatsTable[[#This Row],[RepsWithStatObserved]],1,0)</f>
        <v>1</v>
      </c>
    </row>
    <row r="861" spans="1:25" x14ac:dyDescent="0.25">
      <c r="A861" t="s">
        <v>67</v>
      </c>
      <c r="B861" t="s">
        <v>69</v>
      </c>
      <c r="C861">
        <v>10</v>
      </c>
      <c r="D861" t="s">
        <v>116</v>
      </c>
      <c r="E861" t="s">
        <v>79</v>
      </c>
      <c r="F861" t="s">
        <v>80</v>
      </c>
      <c r="G861">
        <v>0.34566100502619002</v>
      </c>
      <c r="H861">
        <v>2E+20</v>
      </c>
      <c r="I861">
        <v>4.4039780477021402E-2</v>
      </c>
      <c r="J861">
        <v>1.2124289806024799</v>
      </c>
      <c r="K861">
        <v>116</v>
      </c>
      <c r="L86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compartida)TiempoPedidoExpressionUser Specified</v>
      </c>
      <c r="M861" s="5" cm="1">
        <f t="array" ref="M861">MAX(IF((ProjectInfoTable[ProjectName]=DiscreteStatsTable[[#This Row],[ProjectName]]),(ProjectInfoTable[ProjectName]=DiscreteStatsTable[[#This Row],[ProjectName]])*ProjectInfoTable[NumberOfReplications]))</f>
        <v>19</v>
      </c>
      <c r="N861" s="5" cm="1">
        <f t="array" ref="N861">IFERROR(AVERAGE(IF((DiscreteStatsTable[GroupByKey]=DiscreteStatsTable[[#This Row],[GroupByKey]]),(DiscreteStatsTable[GroupByKey]=DiscreteStatsTable[[#This Row],[GroupByKey]])*DiscreteStatsTable[Average])),0)</f>
        <v>0.30942332048567528</v>
      </c>
      <c r="O861" s="5" cm="1">
        <f t="array" ref="O861">IFERROR(_xlfn.STDEV.S(IF((DiscreteStatsTable[GroupByKey]=DiscreteStatsTable[[#This Row],[GroupByKey]]),(DiscreteStatsTable[GroupByKey]=DiscreteStatsTable[[#This Row],[GroupByKey]])*DiscreteStatsTable[Average])),0)</f>
        <v>1.8447793739684307E-2</v>
      </c>
      <c r="P861" s="5" cm="1">
        <f t="array" ref="P861">MAX(IF((ProjectInfoTable[ProjectName]=DiscreteStatsTable[[#This Row],[ProjectName]]),(ProjectInfoTable[ProjectName]=DiscreteStatsTable[[#This Row],[ProjectName]])*ProjectInfoTable[ConfidenceInterval]))</f>
        <v>0.95</v>
      </c>
      <c r="Q861" s="5">
        <f>IF(AND(DiscreteStatsTable[[#This Row],[RepsWithStatObserved]]=1,Y861=0),200000000000000000000,IFERROR(_xlfn.T.INV.2T(1 -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8.8915519638180264E-3</v>
      </c>
      <c r="R861" s="5" cm="1">
        <f t="array" ref="R861">MIN(IF((DiscreteStatsTable[GroupByKey]=DiscreteStatsTable[[#This Row],[GroupByKey]]),(DiscreteStatsTable[GroupByKey]=DiscreteStatsTable[[#This Row],[GroupByKey]])*DiscreteStatsTable[Average]))</f>
        <v>0.27409788076790698</v>
      </c>
      <c r="S861" s="5" cm="1">
        <f t="array" ref="S861">MAX(IF((DiscreteStatsTable[GroupByKey]=DiscreteStatsTable[[#This Row],[GroupByKey]]),(DiscreteStatsTable[GroupByKey]=DiscreteStatsTable[[#This Row],[GroupByKey]])*DiscreteStatsTable[Average]))</f>
        <v>0.34566100502619002</v>
      </c>
      <c r="T861" s="5" cm="1">
        <f t="array" ref="T861">MIN(IF((DiscreteStatsTable[GroupByKey]=DiscreteStatsTable[[#This Row],[GroupByKey]]),(DiscreteStatsTable[GroupByKey]=DiscreteStatsTable[[#This Row],[GroupByKey]])*DiscreteStatsTable[Minimum]))</f>
        <v>2.7295964517620099E-2</v>
      </c>
      <c r="U861" s="5" cm="1">
        <f t="array" ref="U861">MAX(IF((DiscreteStatsTable[GroupByKey]=DiscreteStatsTable[[#This Row],[GroupByKey]]),(DiscreteStatsTable[GroupByKey]=DiscreteStatsTable[[#This Row],[GroupByKey]])*DiscreteStatsTable[Maximum]))</f>
        <v>1.3578592622225301</v>
      </c>
      <c r="V861" s="5" cm="1">
        <f t="array" ref="V861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61" s="5">
        <f>IF((DiscreteStatsTable[[#This Row],[RepsRequested]]&gt;1),DiscreteStatsTable[[#This Row],[HalfWidth]],DiscreteStatsTable[[#This Row],[BatchMeansHalfWidth]])</f>
        <v>8.8915519638180264E-3</v>
      </c>
      <c r="X861" s="5" cm="1">
        <f t="array" ref="X861">COUNT(IF((DiscreteStatsTable[GroupByKey]=DiscreteStatsTable[[#This Row],[GroupByKey]]),(DiscreteStatsTable[GroupByKey]=DiscreteStatsTable[[#This Row],[GroupByKey]])*DiscreteStatsTable[Replication]))</f>
        <v>19</v>
      </c>
      <c r="Y861" s="5">
        <f>IF(DiscreteStatsTable[[#This Row],[RepsRequested]]=DiscreteStatsTable[[#This Row],[RepsWithStatObserved]],1,0)</f>
        <v>1</v>
      </c>
    </row>
    <row r="862" spans="1:25" x14ac:dyDescent="0.25">
      <c r="A862" t="s">
        <v>67</v>
      </c>
      <c r="B862" t="s">
        <v>69</v>
      </c>
      <c r="C862">
        <v>11</v>
      </c>
      <c r="D862" t="s">
        <v>116</v>
      </c>
      <c r="E862" t="s">
        <v>79</v>
      </c>
      <c r="F862" t="s">
        <v>80</v>
      </c>
      <c r="G862">
        <v>0.29018771023844597</v>
      </c>
      <c r="H862">
        <v>2E+20</v>
      </c>
      <c r="I862">
        <v>3.6342852181689998E-2</v>
      </c>
      <c r="J862">
        <v>0.84178935787227305</v>
      </c>
      <c r="K862">
        <v>115</v>
      </c>
      <c r="L86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compartida)TiempoPedidoExpressionUser Specified</v>
      </c>
      <c r="M862" s="5" cm="1">
        <f t="array" ref="M862">MAX(IF((ProjectInfoTable[ProjectName]=DiscreteStatsTable[[#This Row],[ProjectName]]),(ProjectInfoTable[ProjectName]=DiscreteStatsTable[[#This Row],[ProjectName]])*ProjectInfoTable[NumberOfReplications]))</f>
        <v>19</v>
      </c>
      <c r="N862" s="5" cm="1">
        <f t="array" ref="N862">IFERROR(AVERAGE(IF((DiscreteStatsTable[GroupByKey]=DiscreteStatsTable[[#This Row],[GroupByKey]]),(DiscreteStatsTable[GroupByKey]=DiscreteStatsTable[[#This Row],[GroupByKey]])*DiscreteStatsTable[Average])),0)</f>
        <v>0.30942332048567528</v>
      </c>
      <c r="O862" s="5" cm="1">
        <f t="array" ref="O862">IFERROR(_xlfn.STDEV.S(IF((DiscreteStatsTable[GroupByKey]=DiscreteStatsTable[[#This Row],[GroupByKey]]),(DiscreteStatsTable[GroupByKey]=DiscreteStatsTable[[#This Row],[GroupByKey]])*DiscreteStatsTable[Average])),0)</f>
        <v>1.8447793739684307E-2</v>
      </c>
      <c r="P862" s="5" cm="1">
        <f t="array" ref="P862">MAX(IF((ProjectInfoTable[ProjectName]=DiscreteStatsTable[[#This Row],[ProjectName]]),(ProjectInfoTable[ProjectName]=DiscreteStatsTable[[#This Row],[ProjectName]])*ProjectInfoTable[ConfidenceInterval]))</f>
        <v>0.95</v>
      </c>
      <c r="Q862" s="5">
        <f>IF(AND(DiscreteStatsTable[[#This Row],[RepsWithStatObserved]]=1,Y862=0),200000000000000000000,IFERROR(_xlfn.T.INV.2T(1 -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8.8915519638180264E-3</v>
      </c>
      <c r="R862" s="5" cm="1">
        <f t="array" ref="R862">MIN(IF((DiscreteStatsTable[GroupByKey]=DiscreteStatsTable[[#This Row],[GroupByKey]]),(DiscreteStatsTable[GroupByKey]=DiscreteStatsTable[[#This Row],[GroupByKey]])*DiscreteStatsTable[Average]))</f>
        <v>0.27409788076790698</v>
      </c>
      <c r="S862" s="5" cm="1">
        <f t="array" ref="S862">MAX(IF((DiscreteStatsTable[GroupByKey]=DiscreteStatsTable[[#This Row],[GroupByKey]]),(DiscreteStatsTable[GroupByKey]=DiscreteStatsTable[[#This Row],[GroupByKey]])*DiscreteStatsTable[Average]))</f>
        <v>0.34566100502619002</v>
      </c>
      <c r="T862" s="5" cm="1">
        <f t="array" ref="T862">MIN(IF((DiscreteStatsTable[GroupByKey]=DiscreteStatsTable[[#This Row],[GroupByKey]]),(DiscreteStatsTable[GroupByKey]=DiscreteStatsTable[[#This Row],[GroupByKey]])*DiscreteStatsTable[Minimum]))</f>
        <v>2.7295964517620099E-2</v>
      </c>
      <c r="U862" s="5" cm="1">
        <f t="array" ref="U862">MAX(IF((DiscreteStatsTable[GroupByKey]=DiscreteStatsTable[[#This Row],[GroupByKey]]),(DiscreteStatsTable[GroupByKey]=DiscreteStatsTable[[#This Row],[GroupByKey]])*DiscreteStatsTable[Maximum]))</f>
        <v>1.3578592622225301</v>
      </c>
      <c r="V862" s="5" cm="1">
        <f t="array" ref="V862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62" s="5">
        <f>IF((DiscreteStatsTable[[#This Row],[RepsRequested]]&gt;1),DiscreteStatsTable[[#This Row],[HalfWidth]],DiscreteStatsTable[[#This Row],[BatchMeansHalfWidth]])</f>
        <v>8.8915519638180264E-3</v>
      </c>
      <c r="X862" s="5" cm="1">
        <f t="array" ref="X862">COUNT(IF((DiscreteStatsTable[GroupByKey]=DiscreteStatsTable[[#This Row],[GroupByKey]]),(DiscreteStatsTable[GroupByKey]=DiscreteStatsTable[[#This Row],[GroupByKey]])*DiscreteStatsTable[Replication]))</f>
        <v>19</v>
      </c>
      <c r="Y862" s="5">
        <f>IF(DiscreteStatsTable[[#This Row],[RepsRequested]]=DiscreteStatsTable[[#This Row],[RepsWithStatObserved]],1,0)</f>
        <v>1</v>
      </c>
    </row>
    <row r="863" spans="1:25" x14ac:dyDescent="0.25">
      <c r="A863" t="s">
        <v>67</v>
      </c>
      <c r="B863" t="s">
        <v>69</v>
      </c>
      <c r="C863">
        <v>12</v>
      </c>
      <c r="D863" t="s">
        <v>116</v>
      </c>
      <c r="E863" t="s">
        <v>79</v>
      </c>
      <c r="F863" t="s">
        <v>80</v>
      </c>
      <c r="G863">
        <v>0.29189041378244701</v>
      </c>
      <c r="H863">
        <v>2E+20</v>
      </c>
      <c r="I863">
        <v>3.10299731586667E-2</v>
      </c>
      <c r="J863">
        <v>1.03414098983842</v>
      </c>
      <c r="K863">
        <v>120</v>
      </c>
      <c r="L86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compartida)TiempoPedidoExpressionUser Specified</v>
      </c>
      <c r="M863" s="5" cm="1">
        <f t="array" ref="M863">MAX(IF((ProjectInfoTable[ProjectName]=DiscreteStatsTable[[#This Row],[ProjectName]]),(ProjectInfoTable[ProjectName]=DiscreteStatsTable[[#This Row],[ProjectName]])*ProjectInfoTable[NumberOfReplications]))</f>
        <v>19</v>
      </c>
      <c r="N863" s="5" cm="1">
        <f t="array" ref="N863">IFERROR(AVERAGE(IF((DiscreteStatsTable[GroupByKey]=DiscreteStatsTable[[#This Row],[GroupByKey]]),(DiscreteStatsTable[GroupByKey]=DiscreteStatsTable[[#This Row],[GroupByKey]])*DiscreteStatsTable[Average])),0)</f>
        <v>0.30942332048567528</v>
      </c>
      <c r="O863" s="5" cm="1">
        <f t="array" ref="O863">IFERROR(_xlfn.STDEV.S(IF((DiscreteStatsTable[GroupByKey]=DiscreteStatsTable[[#This Row],[GroupByKey]]),(DiscreteStatsTable[GroupByKey]=DiscreteStatsTable[[#This Row],[GroupByKey]])*DiscreteStatsTable[Average])),0)</f>
        <v>1.8447793739684307E-2</v>
      </c>
      <c r="P863" s="5" cm="1">
        <f t="array" ref="P863">MAX(IF((ProjectInfoTable[ProjectName]=DiscreteStatsTable[[#This Row],[ProjectName]]),(ProjectInfoTable[ProjectName]=DiscreteStatsTable[[#This Row],[ProjectName]])*ProjectInfoTable[ConfidenceInterval]))</f>
        <v>0.95</v>
      </c>
      <c r="Q863" s="5">
        <f>IF(AND(DiscreteStatsTable[[#This Row],[RepsWithStatObserved]]=1,Y863=0),200000000000000000000,IFERROR(_xlfn.T.INV.2T(1 -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8.8915519638180264E-3</v>
      </c>
      <c r="R863" s="5" cm="1">
        <f t="array" ref="R863">MIN(IF((DiscreteStatsTable[GroupByKey]=DiscreteStatsTable[[#This Row],[GroupByKey]]),(DiscreteStatsTable[GroupByKey]=DiscreteStatsTable[[#This Row],[GroupByKey]])*DiscreteStatsTable[Average]))</f>
        <v>0.27409788076790698</v>
      </c>
      <c r="S863" s="5" cm="1">
        <f t="array" ref="S863">MAX(IF((DiscreteStatsTable[GroupByKey]=DiscreteStatsTable[[#This Row],[GroupByKey]]),(DiscreteStatsTable[GroupByKey]=DiscreteStatsTable[[#This Row],[GroupByKey]])*DiscreteStatsTable[Average]))</f>
        <v>0.34566100502619002</v>
      </c>
      <c r="T863" s="5" cm="1">
        <f t="array" ref="T863">MIN(IF((DiscreteStatsTable[GroupByKey]=DiscreteStatsTable[[#This Row],[GroupByKey]]),(DiscreteStatsTable[GroupByKey]=DiscreteStatsTable[[#This Row],[GroupByKey]])*DiscreteStatsTable[Minimum]))</f>
        <v>2.7295964517620099E-2</v>
      </c>
      <c r="U863" s="5" cm="1">
        <f t="array" ref="U863">MAX(IF((DiscreteStatsTable[GroupByKey]=DiscreteStatsTable[[#This Row],[GroupByKey]]),(DiscreteStatsTable[GroupByKey]=DiscreteStatsTable[[#This Row],[GroupByKey]])*DiscreteStatsTable[Maximum]))</f>
        <v>1.3578592622225301</v>
      </c>
      <c r="V863" s="5" cm="1">
        <f t="array" ref="V863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63" s="5">
        <f>IF((DiscreteStatsTable[[#This Row],[RepsRequested]]&gt;1),DiscreteStatsTable[[#This Row],[HalfWidth]],DiscreteStatsTable[[#This Row],[BatchMeansHalfWidth]])</f>
        <v>8.8915519638180264E-3</v>
      </c>
      <c r="X863" s="5" cm="1">
        <f t="array" ref="X863">COUNT(IF((DiscreteStatsTable[GroupByKey]=DiscreteStatsTable[[#This Row],[GroupByKey]]),(DiscreteStatsTable[GroupByKey]=DiscreteStatsTable[[#This Row],[GroupByKey]])*DiscreteStatsTable[Replication]))</f>
        <v>19</v>
      </c>
      <c r="Y863" s="5">
        <f>IF(DiscreteStatsTable[[#This Row],[RepsRequested]]=DiscreteStatsTable[[#This Row],[RepsWithStatObserved]],1,0)</f>
        <v>1</v>
      </c>
    </row>
    <row r="864" spans="1:25" x14ac:dyDescent="0.25">
      <c r="A864" t="s">
        <v>67</v>
      </c>
      <c r="B864" t="s">
        <v>69</v>
      </c>
      <c r="C864">
        <v>13</v>
      </c>
      <c r="D864" t="s">
        <v>116</v>
      </c>
      <c r="E864" t="s">
        <v>79</v>
      </c>
      <c r="F864" t="s">
        <v>80</v>
      </c>
      <c r="G864">
        <v>0.30606106379374698</v>
      </c>
      <c r="H864">
        <v>2E+20</v>
      </c>
      <c r="I864">
        <v>2.8807272420088698E-2</v>
      </c>
      <c r="J864">
        <v>1.24290008737611</v>
      </c>
      <c r="K864">
        <v>116</v>
      </c>
      <c r="L86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compartida)TiempoPedidoExpressionUser Specified</v>
      </c>
      <c r="M864" s="5" cm="1">
        <f t="array" ref="M864">MAX(IF((ProjectInfoTable[ProjectName]=DiscreteStatsTable[[#This Row],[ProjectName]]),(ProjectInfoTable[ProjectName]=DiscreteStatsTable[[#This Row],[ProjectName]])*ProjectInfoTable[NumberOfReplications]))</f>
        <v>19</v>
      </c>
      <c r="N864" s="5" cm="1">
        <f t="array" ref="N864">IFERROR(AVERAGE(IF((DiscreteStatsTable[GroupByKey]=DiscreteStatsTable[[#This Row],[GroupByKey]]),(DiscreteStatsTable[GroupByKey]=DiscreteStatsTable[[#This Row],[GroupByKey]])*DiscreteStatsTable[Average])),0)</f>
        <v>0.30942332048567528</v>
      </c>
      <c r="O864" s="5" cm="1">
        <f t="array" ref="O864">IFERROR(_xlfn.STDEV.S(IF((DiscreteStatsTable[GroupByKey]=DiscreteStatsTable[[#This Row],[GroupByKey]]),(DiscreteStatsTable[GroupByKey]=DiscreteStatsTable[[#This Row],[GroupByKey]])*DiscreteStatsTable[Average])),0)</f>
        <v>1.8447793739684307E-2</v>
      </c>
      <c r="P864" s="5" cm="1">
        <f t="array" ref="P864">MAX(IF((ProjectInfoTable[ProjectName]=DiscreteStatsTable[[#This Row],[ProjectName]]),(ProjectInfoTable[ProjectName]=DiscreteStatsTable[[#This Row],[ProjectName]])*ProjectInfoTable[ConfidenceInterval]))</f>
        <v>0.95</v>
      </c>
      <c r="Q864" s="5">
        <f>IF(AND(DiscreteStatsTable[[#This Row],[RepsWithStatObserved]]=1,Y864=0),200000000000000000000,IFERROR(_xlfn.T.INV.2T(1 -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8.8915519638180264E-3</v>
      </c>
      <c r="R864" s="5" cm="1">
        <f t="array" ref="R864">MIN(IF((DiscreteStatsTable[GroupByKey]=DiscreteStatsTable[[#This Row],[GroupByKey]]),(DiscreteStatsTable[GroupByKey]=DiscreteStatsTable[[#This Row],[GroupByKey]])*DiscreteStatsTable[Average]))</f>
        <v>0.27409788076790698</v>
      </c>
      <c r="S864" s="5" cm="1">
        <f t="array" ref="S864">MAX(IF((DiscreteStatsTable[GroupByKey]=DiscreteStatsTable[[#This Row],[GroupByKey]]),(DiscreteStatsTable[GroupByKey]=DiscreteStatsTable[[#This Row],[GroupByKey]])*DiscreteStatsTable[Average]))</f>
        <v>0.34566100502619002</v>
      </c>
      <c r="T864" s="5" cm="1">
        <f t="array" ref="T864">MIN(IF((DiscreteStatsTable[GroupByKey]=DiscreteStatsTable[[#This Row],[GroupByKey]]),(DiscreteStatsTable[GroupByKey]=DiscreteStatsTable[[#This Row],[GroupByKey]])*DiscreteStatsTable[Minimum]))</f>
        <v>2.7295964517620099E-2</v>
      </c>
      <c r="U864" s="5" cm="1">
        <f t="array" ref="U864">MAX(IF((DiscreteStatsTable[GroupByKey]=DiscreteStatsTable[[#This Row],[GroupByKey]]),(DiscreteStatsTable[GroupByKey]=DiscreteStatsTable[[#This Row],[GroupByKey]])*DiscreteStatsTable[Maximum]))</f>
        <v>1.3578592622225301</v>
      </c>
      <c r="V864" s="5" cm="1">
        <f t="array" ref="V864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64" s="5">
        <f>IF((DiscreteStatsTable[[#This Row],[RepsRequested]]&gt;1),DiscreteStatsTable[[#This Row],[HalfWidth]],DiscreteStatsTable[[#This Row],[BatchMeansHalfWidth]])</f>
        <v>8.8915519638180264E-3</v>
      </c>
      <c r="X864" s="5" cm="1">
        <f t="array" ref="X864">COUNT(IF((DiscreteStatsTable[GroupByKey]=DiscreteStatsTable[[#This Row],[GroupByKey]]),(DiscreteStatsTable[GroupByKey]=DiscreteStatsTable[[#This Row],[GroupByKey]])*DiscreteStatsTable[Replication]))</f>
        <v>19</v>
      </c>
      <c r="Y864" s="5">
        <f>IF(DiscreteStatsTable[[#This Row],[RepsRequested]]=DiscreteStatsTable[[#This Row],[RepsWithStatObserved]],1,0)</f>
        <v>1</v>
      </c>
    </row>
    <row r="865" spans="1:25" x14ac:dyDescent="0.25">
      <c r="A865" t="s">
        <v>67</v>
      </c>
      <c r="B865" t="s">
        <v>69</v>
      </c>
      <c r="C865">
        <v>14</v>
      </c>
      <c r="D865" t="s">
        <v>116</v>
      </c>
      <c r="E865" t="s">
        <v>79</v>
      </c>
      <c r="F865" t="s">
        <v>80</v>
      </c>
      <c r="G865">
        <v>0.28900406127390499</v>
      </c>
      <c r="H865">
        <v>2E+20</v>
      </c>
      <c r="I865">
        <v>3.3918669767985E-2</v>
      </c>
      <c r="J865">
        <v>0.87043292760920099</v>
      </c>
      <c r="K865">
        <v>135</v>
      </c>
      <c r="L86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compartida)TiempoPedidoExpressionUser Specified</v>
      </c>
      <c r="M865" s="5" cm="1">
        <f t="array" ref="M865">MAX(IF((ProjectInfoTable[ProjectName]=DiscreteStatsTable[[#This Row],[ProjectName]]),(ProjectInfoTable[ProjectName]=DiscreteStatsTable[[#This Row],[ProjectName]])*ProjectInfoTable[NumberOfReplications]))</f>
        <v>19</v>
      </c>
      <c r="N865" s="5" cm="1">
        <f t="array" ref="N865">IFERROR(AVERAGE(IF((DiscreteStatsTable[GroupByKey]=DiscreteStatsTable[[#This Row],[GroupByKey]]),(DiscreteStatsTable[GroupByKey]=DiscreteStatsTable[[#This Row],[GroupByKey]])*DiscreteStatsTable[Average])),0)</f>
        <v>0.30942332048567528</v>
      </c>
      <c r="O865" s="5" cm="1">
        <f t="array" ref="O865">IFERROR(_xlfn.STDEV.S(IF((DiscreteStatsTable[GroupByKey]=DiscreteStatsTable[[#This Row],[GroupByKey]]),(DiscreteStatsTable[GroupByKey]=DiscreteStatsTable[[#This Row],[GroupByKey]])*DiscreteStatsTable[Average])),0)</f>
        <v>1.8447793739684307E-2</v>
      </c>
      <c r="P865" s="5" cm="1">
        <f t="array" ref="P865">MAX(IF((ProjectInfoTable[ProjectName]=DiscreteStatsTable[[#This Row],[ProjectName]]),(ProjectInfoTable[ProjectName]=DiscreteStatsTable[[#This Row],[ProjectName]])*ProjectInfoTable[ConfidenceInterval]))</f>
        <v>0.95</v>
      </c>
      <c r="Q865" s="5">
        <f>IF(AND(DiscreteStatsTable[[#This Row],[RepsWithStatObserved]]=1,Y865=0),200000000000000000000,IFERROR(_xlfn.T.INV.2T(1 -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8.8915519638180264E-3</v>
      </c>
      <c r="R865" s="5" cm="1">
        <f t="array" ref="R865">MIN(IF((DiscreteStatsTable[GroupByKey]=DiscreteStatsTable[[#This Row],[GroupByKey]]),(DiscreteStatsTable[GroupByKey]=DiscreteStatsTable[[#This Row],[GroupByKey]])*DiscreteStatsTable[Average]))</f>
        <v>0.27409788076790698</v>
      </c>
      <c r="S865" s="5" cm="1">
        <f t="array" ref="S865">MAX(IF((DiscreteStatsTable[GroupByKey]=DiscreteStatsTable[[#This Row],[GroupByKey]]),(DiscreteStatsTable[GroupByKey]=DiscreteStatsTable[[#This Row],[GroupByKey]])*DiscreteStatsTable[Average]))</f>
        <v>0.34566100502619002</v>
      </c>
      <c r="T865" s="5" cm="1">
        <f t="array" ref="T865">MIN(IF((DiscreteStatsTable[GroupByKey]=DiscreteStatsTable[[#This Row],[GroupByKey]]),(DiscreteStatsTable[GroupByKey]=DiscreteStatsTable[[#This Row],[GroupByKey]])*DiscreteStatsTable[Minimum]))</f>
        <v>2.7295964517620099E-2</v>
      </c>
      <c r="U865" s="5" cm="1">
        <f t="array" ref="U865">MAX(IF((DiscreteStatsTable[GroupByKey]=DiscreteStatsTable[[#This Row],[GroupByKey]]),(DiscreteStatsTable[GroupByKey]=DiscreteStatsTable[[#This Row],[GroupByKey]])*DiscreteStatsTable[Maximum]))</f>
        <v>1.3578592622225301</v>
      </c>
      <c r="V865" s="5" cm="1">
        <f t="array" ref="V865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65" s="5">
        <f>IF((DiscreteStatsTable[[#This Row],[RepsRequested]]&gt;1),DiscreteStatsTable[[#This Row],[HalfWidth]],DiscreteStatsTable[[#This Row],[BatchMeansHalfWidth]])</f>
        <v>8.8915519638180264E-3</v>
      </c>
      <c r="X865" s="5" cm="1">
        <f t="array" ref="X865">COUNT(IF((DiscreteStatsTable[GroupByKey]=DiscreteStatsTable[[#This Row],[GroupByKey]]),(DiscreteStatsTable[GroupByKey]=DiscreteStatsTable[[#This Row],[GroupByKey]])*DiscreteStatsTable[Replication]))</f>
        <v>19</v>
      </c>
      <c r="Y865" s="5">
        <f>IF(DiscreteStatsTable[[#This Row],[RepsRequested]]=DiscreteStatsTable[[#This Row],[RepsWithStatObserved]],1,0)</f>
        <v>1</v>
      </c>
    </row>
    <row r="866" spans="1:25" x14ac:dyDescent="0.25">
      <c r="A866" t="s">
        <v>67</v>
      </c>
      <c r="B866" t="s">
        <v>69</v>
      </c>
      <c r="C866">
        <v>15</v>
      </c>
      <c r="D866" t="s">
        <v>116</v>
      </c>
      <c r="E866" t="s">
        <v>79</v>
      </c>
      <c r="F866" t="s">
        <v>80</v>
      </c>
      <c r="G866">
        <v>0.30010162280610497</v>
      </c>
      <c r="H866">
        <v>2E+20</v>
      </c>
      <c r="I866">
        <v>3.3346523162805397E-2</v>
      </c>
      <c r="J866">
        <v>0.80052104397313395</v>
      </c>
      <c r="K866">
        <v>128</v>
      </c>
      <c r="L86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compartida)TiempoPedidoExpressionUser Specified</v>
      </c>
      <c r="M866" s="5" cm="1">
        <f t="array" ref="M866">MAX(IF((ProjectInfoTable[ProjectName]=DiscreteStatsTable[[#This Row],[ProjectName]]),(ProjectInfoTable[ProjectName]=DiscreteStatsTable[[#This Row],[ProjectName]])*ProjectInfoTable[NumberOfReplications]))</f>
        <v>19</v>
      </c>
      <c r="N866" s="5" cm="1">
        <f t="array" ref="N866">IFERROR(AVERAGE(IF((DiscreteStatsTable[GroupByKey]=DiscreteStatsTable[[#This Row],[GroupByKey]]),(DiscreteStatsTable[GroupByKey]=DiscreteStatsTable[[#This Row],[GroupByKey]])*DiscreteStatsTable[Average])),0)</f>
        <v>0.30942332048567528</v>
      </c>
      <c r="O866" s="5" cm="1">
        <f t="array" ref="O866">IFERROR(_xlfn.STDEV.S(IF((DiscreteStatsTable[GroupByKey]=DiscreteStatsTable[[#This Row],[GroupByKey]]),(DiscreteStatsTable[GroupByKey]=DiscreteStatsTable[[#This Row],[GroupByKey]])*DiscreteStatsTable[Average])),0)</f>
        <v>1.8447793739684307E-2</v>
      </c>
      <c r="P866" s="5" cm="1">
        <f t="array" ref="P866">MAX(IF((ProjectInfoTable[ProjectName]=DiscreteStatsTable[[#This Row],[ProjectName]]),(ProjectInfoTable[ProjectName]=DiscreteStatsTable[[#This Row],[ProjectName]])*ProjectInfoTable[ConfidenceInterval]))</f>
        <v>0.95</v>
      </c>
      <c r="Q866" s="5">
        <f>IF(AND(DiscreteStatsTable[[#This Row],[RepsWithStatObserved]]=1,Y866=0),200000000000000000000,IFERROR(_xlfn.T.INV.2T(1 -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8.8915519638180264E-3</v>
      </c>
      <c r="R866" s="5" cm="1">
        <f t="array" ref="R866">MIN(IF((DiscreteStatsTable[GroupByKey]=DiscreteStatsTable[[#This Row],[GroupByKey]]),(DiscreteStatsTable[GroupByKey]=DiscreteStatsTable[[#This Row],[GroupByKey]])*DiscreteStatsTable[Average]))</f>
        <v>0.27409788076790698</v>
      </c>
      <c r="S866" s="5" cm="1">
        <f t="array" ref="S866">MAX(IF((DiscreteStatsTable[GroupByKey]=DiscreteStatsTable[[#This Row],[GroupByKey]]),(DiscreteStatsTable[GroupByKey]=DiscreteStatsTable[[#This Row],[GroupByKey]])*DiscreteStatsTable[Average]))</f>
        <v>0.34566100502619002</v>
      </c>
      <c r="T866" s="5" cm="1">
        <f t="array" ref="T866">MIN(IF((DiscreteStatsTable[GroupByKey]=DiscreteStatsTable[[#This Row],[GroupByKey]]),(DiscreteStatsTable[GroupByKey]=DiscreteStatsTable[[#This Row],[GroupByKey]])*DiscreteStatsTable[Minimum]))</f>
        <v>2.7295964517620099E-2</v>
      </c>
      <c r="U866" s="5" cm="1">
        <f t="array" ref="U866">MAX(IF((DiscreteStatsTable[GroupByKey]=DiscreteStatsTable[[#This Row],[GroupByKey]]),(DiscreteStatsTable[GroupByKey]=DiscreteStatsTable[[#This Row],[GroupByKey]])*DiscreteStatsTable[Maximum]))</f>
        <v>1.3578592622225301</v>
      </c>
      <c r="V866" s="5" cm="1">
        <f t="array" ref="V866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66" s="5">
        <f>IF((DiscreteStatsTable[[#This Row],[RepsRequested]]&gt;1),DiscreteStatsTable[[#This Row],[HalfWidth]],DiscreteStatsTable[[#This Row],[BatchMeansHalfWidth]])</f>
        <v>8.8915519638180264E-3</v>
      </c>
      <c r="X866" s="5" cm="1">
        <f t="array" ref="X866">COUNT(IF((DiscreteStatsTable[GroupByKey]=DiscreteStatsTable[[#This Row],[GroupByKey]]),(DiscreteStatsTable[GroupByKey]=DiscreteStatsTable[[#This Row],[GroupByKey]])*DiscreteStatsTable[Replication]))</f>
        <v>19</v>
      </c>
      <c r="Y866" s="5">
        <f>IF(DiscreteStatsTable[[#This Row],[RepsRequested]]=DiscreteStatsTable[[#This Row],[RepsWithStatObserved]],1,0)</f>
        <v>1</v>
      </c>
    </row>
    <row r="867" spans="1:25" x14ac:dyDescent="0.25">
      <c r="A867" t="s">
        <v>67</v>
      </c>
      <c r="B867" t="s">
        <v>69</v>
      </c>
      <c r="C867">
        <v>16</v>
      </c>
      <c r="D867" t="s">
        <v>116</v>
      </c>
      <c r="E867" t="s">
        <v>79</v>
      </c>
      <c r="F867" t="s">
        <v>80</v>
      </c>
      <c r="G867">
        <v>0.29819761495284097</v>
      </c>
      <c r="H867">
        <v>2E+20</v>
      </c>
      <c r="I867">
        <v>5.1668077727015302E-2</v>
      </c>
      <c r="J867">
        <v>1.02537441700147</v>
      </c>
      <c r="K867">
        <v>131</v>
      </c>
      <c r="L86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compartida)TiempoPedidoExpressionUser Specified</v>
      </c>
      <c r="M867" s="5" cm="1">
        <f t="array" ref="M867">MAX(IF((ProjectInfoTable[ProjectName]=DiscreteStatsTable[[#This Row],[ProjectName]]),(ProjectInfoTable[ProjectName]=DiscreteStatsTable[[#This Row],[ProjectName]])*ProjectInfoTable[NumberOfReplications]))</f>
        <v>19</v>
      </c>
      <c r="N867" s="5" cm="1">
        <f t="array" ref="N867">IFERROR(AVERAGE(IF((DiscreteStatsTable[GroupByKey]=DiscreteStatsTable[[#This Row],[GroupByKey]]),(DiscreteStatsTable[GroupByKey]=DiscreteStatsTable[[#This Row],[GroupByKey]])*DiscreteStatsTable[Average])),0)</f>
        <v>0.30942332048567528</v>
      </c>
      <c r="O867" s="5" cm="1">
        <f t="array" ref="O867">IFERROR(_xlfn.STDEV.S(IF((DiscreteStatsTable[GroupByKey]=DiscreteStatsTable[[#This Row],[GroupByKey]]),(DiscreteStatsTable[GroupByKey]=DiscreteStatsTable[[#This Row],[GroupByKey]])*DiscreteStatsTable[Average])),0)</f>
        <v>1.8447793739684307E-2</v>
      </c>
      <c r="P867" s="5" cm="1">
        <f t="array" ref="P867">MAX(IF((ProjectInfoTable[ProjectName]=DiscreteStatsTable[[#This Row],[ProjectName]]),(ProjectInfoTable[ProjectName]=DiscreteStatsTable[[#This Row],[ProjectName]])*ProjectInfoTable[ConfidenceInterval]))</f>
        <v>0.95</v>
      </c>
      <c r="Q867" s="5">
        <f>IF(AND(DiscreteStatsTable[[#This Row],[RepsWithStatObserved]]=1,Y867=0),200000000000000000000,IFERROR(_xlfn.T.INV.2T(1 -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8.8915519638180264E-3</v>
      </c>
      <c r="R867" s="5" cm="1">
        <f t="array" ref="R867">MIN(IF((DiscreteStatsTable[GroupByKey]=DiscreteStatsTable[[#This Row],[GroupByKey]]),(DiscreteStatsTable[GroupByKey]=DiscreteStatsTable[[#This Row],[GroupByKey]])*DiscreteStatsTable[Average]))</f>
        <v>0.27409788076790698</v>
      </c>
      <c r="S867" s="5" cm="1">
        <f t="array" ref="S867">MAX(IF((DiscreteStatsTable[GroupByKey]=DiscreteStatsTable[[#This Row],[GroupByKey]]),(DiscreteStatsTable[GroupByKey]=DiscreteStatsTable[[#This Row],[GroupByKey]])*DiscreteStatsTable[Average]))</f>
        <v>0.34566100502619002</v>
      </c>
      <c r="T867" s="5" cm="1">
        <f t="array" ref="T867">MIN(IF((DiscreteStatsTable[GroupByKey]=DiscreteStatsTable[[#This Row],[GroupByKey]]),(DiscreteStatsTable[GroupByKey]=DiscreteStatsTable[[#This Row],[GroupByKey]])*DiscreteStatsTable[Minimum]))</f>
        <v>2.7295964517620099E-2</v>
      </c>
      <c r="U867" s="5" cm="1">
        <f t="array" ref="U867">MAX(IF((DiscreteStatsTable[GroupByKey]=DiscreteStatsTable[[#This Row],[GroupByKey]]),(DiscreteStatsTable[GroupByKey]=DiscreteStatsTable[[#This Row],[GroupByKey]])*DiscreteStatsTable[Maximum]))</f>
        <v>1.3578592622225301</v>
      </c>
      <c r="V867" s="5" cm="1">
        <f t="array" ref="V867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67" s="5">
        <f>IF((DiscreteStatsTable[[#This Row],[RepsRequested]]&gt;1),DiscreteStatsTable[[#This Row],[HalfWidth]],DiscreteStatsTable[[#This Row],[BatchMeansHalfWidth]])</f>
        <v>8.8915519638180264E-3</v>
      </c>
      <c r="X867" s="5" cm="1">
        <f t="array" ref="X867">COUNT(IF((DiscreteStatsTable[GroupByKey]=DiscreteStatsTable[[#This Row],[GroupByKey]]),(DiscreteStatsTable[GroupByKey]=DiscreteStatsTable[[#This Row],[GroupByKey]])*DiscreteStatsTable[Replication]))</f>
        <v>19</v>
      </c>
      <c r="Y867" s="5">
        <f>IF(DiscreteStatsTable[[#This Row],[RepsRequested]]=DiscreteStatsTable[[#This Row],[RepsWithStatObserved]],1,0)</f>
        <v>1</v>
      </c>
    </row>
    <row r="868" spans="1:25" x14ac:dyDescent="0.25">
      <c r="A868" t="s">
        <v>67</v>
      </c>
      <c r="B868" t="s">
        <v>69</v>
      </c>
      <c r="C868">
        <v>17</v>
      </c>
      <c r="D868" t="s">
        <v>116</v>
      </c>
      <c r="E868" t="s">
        <v>79</v>
      </c>
      <c r="F868" t="s">
        <v>80</v>
      </c>
      <c r="G868">
        <v>0.27409788076790698</v>
      </c>
      <c r="H868">
        <v>2E+20</v>
      </c>
      <c r="I868">
        <v>3.1975835765393902E-2</v>
      </c>
      <c r="J868">
        <v>1.0744399206973601</v>
      </c>
      <c r="K868">
        <v>124</v>
      </c>
      <c r="L86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compartida)TiempoPedidoExpressionUser Specified</v>
      </c>
      <c r="M868" s="5" cm="1">
        <f t="array" ref="M868">MAX(IF((ProjectInfoTable[ProjectName]=DiscreteStatsTable[[#This Row],[ProjectName]]),(ProjectInfoTable[ProjectName]=DiscreteStatsTable[[#This Row],[ProjectName]])*ProjectInfoTable[NumberOfReplications]))</f>
        <v>19</v>
      </c>
      <c r="N868" s="5" cm="1">
        <f t="array" ref="N868">IFERROR(AVERAGE(IF((DiscreteStatsTable[GroupByKey]=DiscreteStatsTable[[#This Row],[GroupByKey]]),(DiscreteStatsTable[GroupByKey]=DiscreteStatsTable[[#This Row],[GroupByKey]])*DiscreteStatsTable[Average])),0)</f>
        <v>0.30942332048567528</v>
      </c>
      <c r="O868" s="5" cm="1">
        <f t="array" ref="O868">IFERROR(_xlfn.STDEV.S(IF((DiscreteStatsTable[GroupByKey]=DiscreteStatsTable[[#This Row],[GroupByKey]]),(DiscreteStatsTable[GroupByKey]=DiscreteStatsTable[[#This Row],[GroupByKey]])*DiscreteStatsTable[Average])),0)</f>
        <v>1.8447793739684307E-2</v>
      </c>
      <c r="P868" s="5" cm="1">
        <f t="array" ref="P868">MAX(IF((ProjectInfoTable[ProjectName]=DiscreteStatsTable[[#This Row],[ProjectName]]),(ProjectInfoTable[ProjectName]=DiscreteStatsTable[[#This Row],[ProjectName]])*ProjectInfoTable[ConfidenceInterval]))</f>
        <v>0.95</v>
      </c>
      <c r="Q868" s="5">
        <f>IF(AND(DiscreteStatsTable[[#This Row],[RepsWithStatObserved]]=1,Y868=0),200000000000000000000,IFERROR(_xlfn.T.INV.2T(1 -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8.8915519638180264E-3</v>
      </c>
      <c r="R868" s="5" cm="1">
        <f t="array" ref="R868">MIN(IF((DiscreteStatsTable[GroupByKey]=DiscreteStatsTable[[#This Row],[GroupByKey]]),(DiscreteStatsTable[GroupByKey]=DiscreteStatsTable[[#This Row],[GroupByKey]])*DiscreteStatsTable[Average]))</f>
        <v>0.27409788076790698</v>
      </c>
      <c r="S868" s="5" cm="1">
        <f t="array" ref="S868">MAX(IF((DiscreteStatsTable[GroupByKey]=DiscreteStatsTable[[#This Row],[GroupByKey]]),(DiscreteStatsTable[GroupByKey]=DiscreteStatsTable[[#This Row],[GroupByKey]])*DiscreteStatsTable[Average]))</f>
        <v>0.34566100502619002</v>
      </c>
      <c r="T868" s="5" cm="1">
        <f t="array" ref="T868">MIN(IF((DiscreteStatsTable[GroupByKey]=DiscreteStatsTable[[#This Row],[GroupByKey]]),(DiscreteStatsTable[GroupByKey]=DiscreteStatsTable[[#This Row],[GroupByKey]])*DiscreteStatsTable[Minimum]))</f>
        <v>2.7295964517620099E-2</v>
      </c>
      <c r="U868" s="5" cm="1">
        <f t="array" ref="U868">MAX(IF((DiscreteStatsTable[GroupByKey]=DiscreteStatsTable[[#This Row],[GroupByKey]]),(DiscreteStatsTable[GroupByKey]=DiscreteStatsTable[[#This Row],[GroupByKey]])*DiscreteStatsTable[Maximum]))</f>
        <v>1.3578592622225301</v>
      </c>
      <c r="V868" s="5" cm="1">
        <f t="array" ref="V868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68" s="5">
        <f>IF((DiscreteStatsTable[[#This Row],[RepsRequested]]&gt;1),DiscreteStatsTable[[#This Row],[HalfWidth]],DiscreteStatsTable[[#This Row],[BatchMeansHalfWidth]])</f>
        <v>8.8915519638180264E-3</v>
      </c>
      <c r="X868" s="5" cm="1">
        <f t="array" ref="X868">COUNT(IF((DiscreteStatsTable[GroupByKey]=DiscreteStatsTable[[#This Row],[GroupByKey]]),(DiscreteStatsTable[GroupByKey]=DiscreteStatsTable[[#This Row],[GroupByKey]])*DiscreteStatsTable[Replication]))</f>
        <v>19</v>
      </c>
      <c r="Y868" s="5">
        <f>IF(DiscreteStatsTable[[#This Row],[RepsRequested]]=DiscreteStatsTable[[#This Row],[RepsWithStatObserved]],1,0)</f>
        <v>1</v>
      </c>
    </row>
    <row r="869" spans="1:25" x14ac:dyDescent="0.25">
      <c r="A869" t="s">
        <v>67</v>
      </c>
      <c r="B869" t="s">
        <v>69</v>
      </c>
      <c r="C869">
        <v>18</v>
      </c>
      <c r="D869" t="s">
        <v>116</v>
      </c>
      <c r="E869" t="s">
        <v>79</v>
      </c>
      <c r="F869" t="s">
        <v>80</v>
      </c>
      <c r="G869">
        <v>0.30025293449221002</v>
      </c>
      <c r="H869">
        <v>2E+20</v>
      </c>
      <c r="I869">
        <v>3.0771398004731099E-2</v>
      </c>
      <c r="J869">
        <v>1.0201468279618999</v>
      </c>
      <c r="K869">
        <v>122</v>
      </c>
      <c r="L86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compartida)TiempoPedidoExpressionUser Specified</v>
      </c>
      <c r="M869" s="5" cm="1">
        <f t="array" ref="M869">MAX(IF((ProjectInfoTable[ProjectName]=DiscreteStatsTable[[#This Row],[ProjectName]]),(ProjectInfoTable[ProjectName]=DiscreteStatsTable[[#This Row],[ProjectName]])*ProjectInfoTable[NumberOfReplications]))</f>
        <v>19</v>
      </c>
      <c r="N869" s="5" cm="1">
        <f t="array" ref="N869">IFERROR(AVERAGE(IF((DiscreteStatsTable[GroupByKey]=DiscreteStatsTable[[#This Row],[GroupByKey]]),(DiscreteStatsTable[GroupByKey]=DiscreteStatsTable[[#This Row],[GroupByKey]])*DiscreteStatsTable[Average])),0)</f>
        <v>0.30942332048567528</v>
      </c>
      <c r="O869" s="5" cm="1">
        <f t="array" ref="O869">IFERROR(_xlfn.STDEV.S(IF((DiscreteStatsTable[GroupByKey]=DiscreteStatsTable[[#This Row],[GroupByKey]]),(DiscreteStatsTable[GroupByKey]=DiscreteStatsTable[[#This Row],[GroupByKey]])*DiscreteStatsTable[Average])),0)</f>
        <v>1.8447793739684307E-2</v>
      </c>
      <c r="P869" s="5" cm="1">
        <f t="array" ref="P869">MAX(IF((ProjectInfoTable[ProjectName]=DiscreteStatsTable[[#This Row],[ProjectName]]),(ProjectInfoTable[ProjectName]=DiscreteStatsTable[[#This Row],[ProjectName]])*ProjectInfoTable[ConfidenceInterval]))</f>
        <v>0.95</v>
      </c>
      <c r="Q869" s="5">
        <f>IF(AND(DiscreteStatsTable[[#This Row],[RepsWithStatObserved]]=1,Y869=0),200000000000000000000,IFERROR(_xlfn.T.INV.2T(1 -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8.8915519638180264E-3</v>
      </c>
      <c r="R869" s="5" cm="1">
        <f t="array" ref="R869">MIN(IF((DiscreteStatsTable[GroupByKey]=DiscreteStatsTable[[#This Row],[GroupByKey]]),(DiscreteStatsTable[GroupByKey]=DiscreteStatsTable[[#This Row],[GroupByKey]])*DiscreteStatsTable[Average]))</f>
        <v>0.27409788076790698</v>
      </c>
      <c r="S869" s="5" cm="1">
        <f t="array" ref="S869">MAX(IF((DiscreteStatsTable[GroupByKey]=DiscreteStatsTable[[#This Row],[GroupByKey]]),(DiscreteStatsTable[GroupByKey]=DiscreteStatsTable[[#This Row],[GroupByKey]])*DiscreteStatsTable[Average]))</f>
        <v>0.34566100502619002</v>
      </c>
      <c r="T869" s="5" cm="1">
        <f t="array" ref="T869">MIN(IF((DiscreteStatsTable[GroupByKey]=DiscreteStatsTable[[#This Row],[GroupByKey]]),(DiscreteStatsTable[GroupByKey]=DiscreteStatsTable[[#This Row],[GroupByKey]])*DiscreteStatsTable[Minimum]))</f>
        <v>2.7295964517620099E-2</v>
      </c>
      <c r="U869" s="5" cm="1">
        <f t="array" ref="U869">MAX(IF((DiscreteStatsTable[GroupByKey]=DiscreteStatsTable[[#This Row],[GroupByKey]]),(DiscreteStatsTable[GroupByKey]=DiscreteStatsTable[[#This Row],[GroupByKey]])*DiscreteStatsTable[Maximum]))</f>
        <v>1.3578592622225301</v>
      </c>
      <c r="V869" s="5" cm="1">
        <f t="array" ref="V869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69" s="5">
        <f>IF((DiscreteStatsTable[[#This Row],[RepsRequested]]&gt;1),DiscreteStatsTable[[#This Row],[HalfWidth]],DiscreteStatsTable[[#This Row],[BatchMeansHalfWidth]])</f>
        <v>8.8915519638180264E-3</v>
      </c>
      <c r="X869" s="5" cm="1">
        <f t="array" ref="X869">COUNT(IF((DiscreteStatsTable[GroupByKey]=DiscreteStatsTable[[#This Row],[GroupByKey]]),(DiscreteStatsTable[GroupByKey]=DiscreteStatsTable[[#This Row],[GroupByKey]])*DiscreteStatsTable[Replication]))</f>
        <v>19</v>
      </c>
      <c r="Y869" s="5">
        <f>IF(DiscreteStatsTable[[#This Row],[RepsRequested]]=DiscreteStatsTable[[#This Row],[RepsWithStatObserved]],1,0)</f>
        <v>1</v>
      </c>
    </row>
    <row r="870" spans="1:25" x14ac:dyDescent="0.25">
      <c r="A870" t="s">
        <v>67</v>
      </c>
      <c r="B870" t="s">
        <v>69</v>
      </c>
      <c r="C870">
        <v>19</v>
      </c>
      <c r="D870" t="s">
        <v>116</v>
      </c>
      <c r="E870" t="s">
        <v>79</v>
      </c>
      <c r="F870" t="s">
        <v>80</v>
      </c>
      <c r="G870">
        <v>0.312370097476798</v>
      </c>
      <c r="H870">
        <v>2E+20</v>
      </c>
      <c r="I870">
        <v>4.4950642078305202E-2</v>
      </c>
      <c r="J870">
        <v>0.94804765579124295</v>
      </c>
      <c r="K870">
        <v>121</v>
      </c>
      <c r="L87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compartida)TiempoPedidoExpressionUser Specified</v>
      </c>
      <c r="M870" s="5" cm="1">
        <f t="array" ref="M870">MAX(IF((ProjectInfoTable[ProjectName]=DiscreteStatsTable[[#This Row],[ProjectName]]),(ProjectInfoTable[ProjectName]=DiscreteStatsTable[[#This Row],[ProjectName]])*ProjectInfoTable[NumberOfReplications]))</f>
        <v>19</v>
      </c>
      <c r="N870" s="5" cm="1">
        <f t="array" ref="N870">IFERROR(AVERAGE(IF((DiscreteStatsTable[GroupByKey]=DiscreteStatsTable[[#This Row],[GroupByKey]]),(DiscreteStatsTable[GroupByKey]=DiscreteStatsTable[[#This Row],[GroupByKey]])*DiscreteStatsTable[Average])),0)</f>
        <v>0.30942332048567528</v>
      </c>
      <c r="O870" s="5" cm="1">
        <f t="array" ref="O870">IFERROR(_xlfn.STDEV.S(IF((DiscreteStatsTable[GroupByKey]=DiscreteStatsTable[[#This Row],[GroupByKey]]),(DiscreteStatsTable[GroupByKey]=DiscreteStatsTable[[#This Row],[GroupByKey]])*DiscreteStatsTable[Average])),0)</f>
        <v>1.8447793739684307E-2</v>
      </c>
      <c r="P870" s="5" cm="1">
        <f t="array" ref="P870">MAX(IF((ProjectInfoTable[ProjectName]=DiscreteStatsTable[[#This Row],[ProjectName]]),(ProjectInfoTable[ProjectName]=DiscreteStatsTable[[#This Row],[ProjectName]])*ProjectInfoTable[ConfidenceInterval]))</f>
        <v>0.95</v>
      </c>
      <c r="Q870" s="5">
        <f>IF(AND(DiscreteStatsTable[[#This Row],[RepsWithStatObserved]]=1,Y870=0),200000000000000000000,IFERROR(_xlfn.T.INV.2T(1 -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8.8915519638180264E-3</v>
      </c>
      <c r="R870" s="5" cm="1">
        <f t="array" ref="R870">MIN(IF((DiscreteStatsTable[GroupByKey]=DiscreteStatsTable[[#This Row],[GroupByKey]]),(DiscreteStatsTable[GroupByKey]=DiscreteStatsTable[[#This Row],[GroupByKey]])*DiscreteStatsTable[Average]))</f>
        <v>0.27409788076790698</v>
      </c>
      <c r="S870" s="5" cm="1">
        <f t="array" ref="S870">MAX(IF((DiscreteStatsTable[GroupByKey]=DiscreteStatsTable[[#This Row],[GroupByKey]]),(DiscreteStatsTable[GroupByKey]=DiscreteStatsTable[[#This Row],[GroupByKey]])*DiscreteStatsTable[Average]))</f>
        <v>0.34566100502619002</v>
      </c>
      <c r="T870" s="5" cm="1">
        <f t="array" ref="T870">MIN(IF((DiscreteStatsTable[GroupByKey]=DiscreteStatsTable[[#This Row],[GroupByKey]]),(DiscreteStatsTable[GroupByKey]=DiscreteStatsTable[[#This Row],[GroupByKey]])*DiscreteStatsTable[Minimum]))</f>
        <v>2.7295964517620099E-2</v>
      </c>
      <c r="U870" s="5" cm="1">
        <f t="array" ref="U870">MAX(IF((DiscreteStatsTable[GroupByKey]=DiscreteStatsTable[[#This Row],[GroupByKey]]),(DiscreteStatsTable[GroupByKey]=DiscreteStatsTable[[#This Row],[GroupByKey]])*DiscreteStatsTable[Maximum]))</f>
        <v>1.3578592622225301</v>
      </c>
      <c r="V870" s="5" cm="1">
        <f t="array" ref="V870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70" s="5">
        <f>IF((DiscreteStatsTable[[#This Row],[RepsRequested]]&gt;1),DiscreteStatsTable[[#This Row],[HalfWidth]],DiscreteStatsTable[[#This Row],[BatchMeansHalfWidth]])</f>
        <v>8.8915519638180264E-3</v>
      </c>
      <c r="X870" s="5" cm="1">
        <f t="array" ref="X870">COUNT(IF((DiscreteStatsTable[GroupByKey]=DiscreteStatsTable[[#This Row],[GroupByKey]]),(DiscreteStatsTable[GroupByKey]=DiscreteStatsTable[[#This Row],[GroupByKey]])*DiscreteStatsTable[Replication]))</f>
        <v>19</v>
      </c>
      <c r="Y870" s="5">
        <f>IF(DiscreteStatsTable[[#This Row],[RepsRequested]]=DiscreteStatsTable[[#This Row],[RepsWithStatObserved]],1,0)</f>
        <v>1</v>
      </c>
    </row>
    <row r="871" spans="1:25" x14ac:dyDescent="0.25">
      <c r="A871" t="s">
        <v>67</v>
      </c>
      <c r="B871" t="s">
        <v>69</v>
      </c>
      <c r="C871">
        <v>1</v>
      </c>
      <c r="D871" t="s">
        <v>117</v>
      </c>
      <c r="E871" t="s">
        <v>79</v>
      </c>
      <c r="F871" t="s">
        <v>80</v>
      </c>
      <c r="G871">
        <v>22.3932978203521</v>
      </c>
      <c r="H871">
        <v>2E+20</v>
      </c>
      <c r="I871">
        <v>20.867460976460301</v>
      </c>
      <c r="J871">
        <v>31.574504495586101</v>
      </c>
      <c r="K871">
        <v>150</v>
      </c>
      <c r="L87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compartida)TiempoPromEnMesaExpressionUser Specified</v>
      </c>
      <c r="M871" s="5" cm="1">
        <f t="array" ref="M871">MAX(IF((ProjectInfoTable[ProjectName]=DiscreteStatsTable[[#This Row],[ProjectName]]),(ProjectInfoTable[ProjectName]=DiscreteStatsTable[[#This Row],[ProjectName]])*ProjectInfoTable[NumberOfReplications]))</f>
        <v>19</v>
      </c>
      <c r="N871" s="5" cm="1">
        <f t="array" ref="N871">IFERROR(AVERAGE(IF((DiscreteStatsTable[GroupByKey]=DiscreteStatsTable[[#This Row],[GroupByKey]]),(DiscreteStatsTable[GroupByKey]=DiscreteStatsTable[[#This Row],[GroupByKey]])*DiscreteStatsTable[Average])),0)</f>
        <v>17.206313798024606</v>
      </c>
      <c r="O871" s="5" cm="1">
        <f t="array" ref="O871">IFERROR(_xlfn.STDEV.S(IF((DiscreteStatsTable[GroupByKey]=DiscreteStatsTable[[#This Row],[GroupByKey]]),(DiscreteStatsTable[GroupByKey]=DiscreteStatsTable[[#This Row],[GroupByKey]])*DiscreteStatsTable[Average])),0)</f>
        <v>3.7886051578243847</v>
      </c>
      <c r="P871" s="5" cm="1">
        <f t="array" ref="P871">MAX(IF((ProjectInfoTable[ProjectName]=DiscreteStatsTable[[#This Row],[ProjectName]]),(ProjectInfoTable[ProjectName]=DiscreteStatsTable[[#This Row],[ProjectName]])*ProjectInfoTable[ConfidenceInterval]))</f>
        <v>0.95</v>
      </c>
      <c r="Q871" s="5">
        <f>IF(AND(DiscreteStatsTable[[#This Row],[RepsWithStatObserved]]=1,Y871=0),200000000000000000000,IFERROR(_xlfn.T.INV.2T(1 -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1.826049234208371</v>
      </c>
      <c r="R871" s="5" cm="1">
        <f t="array" ref="R871">MIN(IF((DiscreteStatsTable[GroupByKey]=DiscreteStatsTable[[#This Row],[GroupByKey]]),(DiscreteStatsTable[GroupByKey]=DiscreteStatsTable[[#This Row],[GroupByKey]])*DiscreteStatsTable[Average]))</f>
        <v>10.9249913192987</v>
      </c>
      <c r="S871" s="5" cm="1">
        <f t="array" ref="S871">MAX(IF((DiscreteStatsTable[GroupByKey]=DiscreteStatsTable[[#This Row],[GroupByKey]]),(DiscreteStatsTable[GroupByKey]=DiscreteStatsTable[[#This Row],[GroupByKey]])*DiscreteStatsTable[Average]))</f>
        <v>22.866424489953602</v>
      </c>
      <c r="T871" s="5" cm="1">
        <f t="array" ref="T871">MIN(IF((DiscreteStatsTable[GroupByKey]=DiscreteStatsTable[[#This Row],[GroupByKey]]),(DiscreteStatsTable[GroupByKey]=DiscreteStatsTable[[#This Row],[GroupByKey]])*DiscreteStatsTable[Minimum]))</f>
        <v>0</v>
      </c>
      <c r="U871" s="5" cm="1">
        <f t="array" ref="U871">MAX(IF((DiscreteStatsTable[GroupByKey]=DiscreteStatsTable[[#This Row],[GroupByKey]]),(DiscreteStatsTable[GroupByKey]=DiscreteStatsTable[[#This Row],[GroupByKey]])*DiscreteStatsTable[Maximum]))</f>
        <v>34.374891013709401</v>
      </c>
      <c r="V871" s="5" cm="1">
        <f t="array" ref="V871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71" s="5">
        <f>IF((DiscreteStatsTable[[#This Row],[RepsRequested]]&gt;1),DiscreteStatsTable[[#This Row],[HalfWidth]],DiscreteStatsTable[[#This Row],[BatchMeansHalfWidth]])</f>
        <v>1.826049234208371</v>
      </c>
      <c r="X871" s="5" cm="1">
        <f t="array" ref="X871">COUNT(IF((DiscreteStatsTable[GroupByKey]=DiscreteStatsTable[[#This Row],[GroupByKey]]),(DiscreteStatsTable[GroupByKey]=DiscreteStatsTable[[#This Row],[GroupByKey]])*DiscreteStatsTable[Replication]))</f>
        <v>19</v>
      </c>
      <c r="Y871" s="5">
        <f>IF(DiscreteStatsTable[[#This Row],[RepsRequested]]=DiscreteStatsTable[[#This Row],[RepsWithStatObserved]],1,0)</f>
        <v>1</v>
      </c>
    </row>
    <row r="872" spans="1:25" x14ac:dyDescent="0.25">
      <c r="A872" t="s">
        <v>67</v>
      </c>
      <c r="B872" t="s">
        <v>69</v>
      </c>
      <c r="C872">
        <v>2</v>
      </c>
      <c r="D872" t="s">
        <v>117</v>
      </c>
      <c r="E872" t="s">
        <v>79</v>
      </c>
      <c r="F872" t="s">
        <v>80</v>
      </c>
      <c r="G872">
        <v>18.984465624564301</v>
      </c>
      <c r="H872">
        <v>2E+20</v>
      </c>
      <c r="I872">
        <v>17.498014439900999</v>
      </c>
      <c r="J872">
        <v>25.0516020619601</v>
      </c>
      <c r="K872">
        <v>109</v>
      </c>
      <c r="L87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compartida)TiempoPromEnMesaExpressionUser Specified</v>
      </c>
      <c r="M872" s="5" cm="1">
        <f t="array" ref="M872">MAX(IF((ProjectInfoTable[ProjectName]=DiscreteStatsTable[[#This Row],[ProjectName]]),(ProjectInfoTable[ProjectName]=DiscreteStatsTable[[#This Row],[ProjectName]])*ProjectInfoTable[NumberOfReplications]))</f>
        <v>19</v>
      </c>
      <c r="N872" s="5" cm="1">
        <f t="array" ref="N872">IFERROR(AVERAGE(IF((DiscreteStatsTable[GroupByKey]=DiscreteStatsTable[[#This Row],[GroupByKey]]),(DiscreteStatsTable[GroupByKey]=DiscreteStatsTable[[#This Row],[GroupByKey]])*DiscreteStatsTable[Average])),0)</f>
        <v>17.206313798024606</v>
      </c>
      <c r="O872" s="5" cm="1">
        <f t="array" ref="O872">IFERROR(_xlfn.STDEV.S(IF((DiscreteStatsTable[GroupByKey]=DiscreteStatsTable[[#This Row],[GroupByKey]]),(DiscreteStatsTable[GroupByKey]=DiscreteStatsTable[[#This Row],[GroupByKey]])*DiscreteStatsTable[Average])),0)</f>
        <v>3.7886051578243847</v>
      </c>
      <c r="P872" s="5" cm="1">
        <f t="array" ref="P872">MAX(IF((ProjectInfoTable[ProjectName]=DiscreteStatsTable[[#This Row],[ProjectName]]),(ProjectInfoTable[ProjectName]=DiscreteStatsTable[[#This Row],[ProjectName]])*ProjectInfoTable[ConfidenceInterval]))</f>
        <v>0.95</v>
      </c>
      <c r="Q872" s="5">
        <f>IF(AND(DiscreteStatsTable[[#This Row],[RepsWithStatObserved]]=1,Y872=0),200000000000000000000,IFERROR(_xlfn.T.INV.2T(1 -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1.826049234208371</v>
      </c>
      <c r="R872" s="5" cm="1">
        <f t="array" ref="R872">MIN(IF((DiscreteStatsTable[GroupByKey]=DiscreteStatsTable[[#This Row],[GroupByKey]]),(DiscreteStatsTable[GroupByKey]=DiscreteStatsTable[[#This Row],[GroupByKey]])*DiscreteStatsTable[Average]))</f>
        <v>10.9249913192987</v>
      </c>
      <c r="S872" s="5" cm="1">
        <f t="array" ref="S872">MAX(IF((DiscreteStatsTable[GroupByKey]=DiscreteStatsTable[[#This Row],[GroupByKey]]),(DiscreteStatsTable[GroupByKey]=DiscreteStatsTable[[#This Row],[GroupByKey]])*DiscreteStatsTable[Average]))</f>
        <v>22.866424489953602</v>
      </c>
      <c r="T872" s="5" cm="1">
        <f t="array" ref="T872">MIN(IF((DiscreteStatsTable[GroupByKey]=DiscreteStatsTable[[#This Row],[GroupByKey]]),(DiscreteStatsTable[GroupByKey]=DiscreteStatsTable[[#This Row],[GroupByKey]])*DiscreteStatsTable[Minimum]))</f>
        <v>0</v>
      </c>
      <c r="U872" s="5" cm="1">
        <f t="array" ref="U872">MAX(IF((DiscreteStatsTable[GroupByKey]=DiscreteStatsTable[[#This Row],[GroupByKey]]),(DiscreteStatsTable[GroupByKey]=DiscreteStatsTable[[#This Row],[GroupByKey]])*DiscreteStatsTable[Maximum]))</f>
        <v>34.374891013709401</v>
      </c>
      <c r="V872" s="5" cm="1">
        <f t="array" ref="V872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72" s="5">
        <f>IF((DiscreteStatsTable[[#This Row],[RepsRequested]]&gt;1),DiscreteStatsTable[[#This Row],[HalfWidth]],DiscreteStatsTable[[#This Row],[BatchMeansHalfWidth]])</f>
        <v>1.826049234208371</v>
      </c>
      <c r="X872" s="5" cm="1">
        <f t="array" ref="X872">COUNT(IF((DiscreteStatsTable[GroupByKey]=DiscreteStatsTable[[#This Row],[GroupByKey]]),(DiscreteStatsTable[GroupByKey]=DiscreteStatsTable[[#This Row],[GroupByKey]])*DiscreteStatsTable[Replication]))</f>
        <v>19</v>
      </c>
      <c r="Y872" s="5">
        <f>IF(DiscreteStatsTable[[#This Row],[RepsRequested]]=DiscreteStatsTable[[#This Row],[RepsWithStatObserved]],1,0)</f>
        <v>1</v>
      </c>
    </row>
    <row r="873" spans="1:25" x14ac:dyDescent="0.25">
      <c r="A873" t="s">
        <v>67</v>
      </c>
      <c r="B873" t="s">
        <v>69</v>
      </c>
      <c r="C873">
        <v>3</v>
      </c>
      <c r="D873" t="s">
        <v>117</v>
      </c>
      <c r="E873" t="s">
        <v>79</v>
      </c>
      <c r="F873" t="s">
        <v>80</v>
      </c>
      <c r="G873">
        <v>17.690995600175299</v>
      </c>
      <c r="H873">
        <v>2E+20</v>
      </c>
      <c r="I873">
        <v>0</v>
      </c>
      <c r="J873">
        <v>25.037856745776601</v>
      </c>
      <c r="K873">
        <v>115</v>
      </c>
      <c r="L87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compartida)TiempoPromEnMesaExpressionUser Specified</v>
      </c>
      <c r="M873" s="5" cm="1">
        <f t="array" ref="M873">MAX(IF((ProjectInfoTable[ProjectName]=DiscreteStatsTable[[#This Row],[ProjectName]]),(ProjectInfoTable[ProjectName]=DiscreteStatsTable[[#This Row],[ProjectName]])*ProjectInfoTable[NumberOfReplications]))</f>
        <v>19</v>
      </c>
      <c r="N873" s="5" cm="1">
        <f t="array" ref="N873">IFERROR(AVERAGE(IF((DiscreteStatsTable[GroupByKey]=DiscreteStatsTable[[#This Row],[GroupByKey]]),(DiscreteStatsTable[GroupByKey]=DiscreteStatsTable[[#This Row],[GroupByKey]])*DiscreteStatsTable[Average])),0)</f>
        <v>17.206313798024606</v>
      </c>
      <c r="O873" s="5" cm="1">
        <f t="array" ref="O873">IFERROR(_xlfn.STDEV.S(IF((DiscreteStatsTable[GroupByKey]=DiscreteStatsTable[[#This Row],[GroupByKey]]),(DiscreteStatsTable[GroupByKey]=DiscreteStatsTable[[#This Row],[GroupByKey]])*DiscreteStatsTable[Average])),0)</f>
        <v>3.7886051578243847</v>
      </c>
      <c r="P873" s="5" cm="1">
        <f t="array" ref="P873">MAX(IF((ProjectInfoTable[ProjectName]=DiscreteStatsTable[[#This Row],[ProjectName]]),(ProjectInfoTable[ProjectName]=DiscreteStatsTable[[#This Row],[ProjectName]])*ProjectInfoTable[ConfidenceInterval]))</f>
        <v>0.95</v>
      </c>
      <c r="Q873" s="5">
        <f>IF(AND(DiscreteStatsTable[[#This Row],[RepsWithStatObserved]]=1,Y873=0),200000000000000000000,IFERROR(_xlfn.T.INV.2T(1 -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1.826049234208371</v>
      </c>
      <c r="R873" s="5" cm="1">
        <f t="array" ref="R873">MIN(IF((DiscreteStatsTable[GroupByKey]=DiscreteStatsTable[[#This Row],[GroupByKey]]),(DiscreteStatsTable[GroupByKey]=DiscreteStatsTable[[#This Row],[GroupByKey]])*DiscreteStatsTable[Average]))</f>
        <v>10.9249913192987</v>
      </c>
      <c r="S873" s="5" cm="1">
        <f t="array" ref="S873">MAX(IF((DiscreteStatsTable[GroupByKey]=DiscreteStatsTable[[#This Row],[GroupByKey]]),(DiscreteStatsTable[GroupByKey]=DiscreteStatsTable[[#This Row],[GroupByKey]])*DiscreteStatsTable[Average]))</f>
        <v>22.866424489953602</v>
      </c>
      <c r="T873" s="5" cm="1">
        <f t="array" ref="T873">MIN(IF((DiscreteStatsTable[GroupByKey]=DiscreteStatsTable[[#This Row],[GroupByKey]]),(DiscreteStatsTable[GroupByKey]=DiscreteStatsTable[[#This Row],[GroupByKey]])*DiscreteStatsTable[Minimum]))</f>
        <v>0</v>
      </c>
      <c r="U873" s="5" cm="1">
        <f t="array" ref="U873">MAX(IF((DiscreteStatsTable[GroupByKey]=DiscreteStatsTable[[#This Row],[GroupByKey]]),(DiscreteStatsTable[GroupByKey]=DiscreteStatsTable[[#This Row],[GroupByKey]])*DiscreteStatsTable[Maximum]))</f>
        <v>34.374891013709401</v>
      </c>
      <c r="V873" s="5" cm="1">
        <f t="array" ref="V873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73" s="5">
        <f>IF((DiscreteStatsTable[[#This Row],[RepsRequested]]&gt;1),DiscreteStatsTable[[#This Row],[HalfWidth]],DiscreteStatsTable[[#This Row],[BatchMeansHalfWidth]])</f>
        <v>1.826049234208371</v>
      </c>
      <c r="X873" s="5" cm="1">
        <f t="array" ref="X873">COUNT(IF((DiscreteStatsTable[GroupByKey]=DiscreteStatsTable[[#This Row],[GroupByKey]]),(DiscreteStatsTable[GroupByKey]=DiscreteStatsTable[[#This Row],[GroupByKey]])*DiscreteStatsTable[Replication]))</f>
        <v>19</v>
      </c>
      <c r="Y873" s="5">
        <f>IF(DiscreteStatsTable[[#This Row],[RepsRequested]]=DiscreteStatsTable[[#This Row],[RepsWithStatObserved]],1,0)</f>
        <v>1</v>
      </c>
    </row>
    <row r="874" spans="1:25" x14ac:dyDescent="0.25">
      <c r="A874" t="s">
        <v>67</v>
      </c>
      <c r="B874" t="s">
        <v>69</v>
      </c>
      <c r="C874">
        <v>4</v>
      </c>
      <c r="D874" t="s">
        <v>117</v>
      </c>
      <c r="E874" t="s">
        <v>79</v>
      </c>
      <c r="F874" t="s">
        <v>80</v>
      </c>
      <c r="G874">
        <v>11.4392429514899</v>
      </c>
      <c r="H874">
        <v>2E+20</v>
      </c>
      <c r="I874">
        <v>0</v>
      </c>
      <c r="J874">
        <v>19.8109468349327</v>
      </c>
      <c r="K874">
        <v>116</v>
      </c>
      <c r="L87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compartida)TiempoPromEnMesaExpressionUser Specified</v>
      </c>
      <c r="M874" s="5" cm="1">
        <f t="array" ref="M874">MAX(IF((ProjectInfoTable[ProjectName]=DiscreteStatsTable[[#This Row],[ProjectName]]),(ProjectInfoTable[ProjectName]=DiscreteStatsTable[[#This Row],[ProjectName]])*ProjectInfoTable[NumberOfReplications]))</f>
        <v>19</v>
      </c>
      <c r="N874" s="5" cm="1">
        <f t="array" ref="N874">IFERROR(AVERAGE(IF((DiscreteStatsTable[GroupByKey]=DiscreteStatsTable[[#This Row],[GroupByKey]]),(DiscreteStatsTable[GroupByKey]=DiscreteStatsTable[[#This Row],[GroupByKey]])*DiscreteStatsTable[Average])),0)</f>
        <v>17.206313798024606</v>
      </c>
      <c r="O874" s="5" cm="1">
        <f t="array" ref="O874">IFERROR(_xlfn.STDEV.S(IF((DiscreteStatsTable[GroupByKey]=DiscreteStatsTable[[#This Row],[GroupByKey]]),(DiscreteStatsTable[GroupByKey]=DiscreteStatsTable[[#This Row],[GroupByKey]])*DiscreteStatsTable[Average])),0)</f>
        <v>3.7886051578243847</v>
      </c>
      <c r="P874" s="5" cm="1">
        <f t="array" ref="P874">MAX(IF((ProjectInfoTable[ProjectName]=DiscreteStatsTable[[#This Row],[ProjectName]]),(ProjectInfoTable[ProjectName]=DiscreteStatsTable[[#This Row],[ProjectName]])*ProjectInfoTable[ConfidenceInterval]))</f>
        <v>0.95</v>
      </c>
      <c r="Q874" s="5">
        <f>IF(AND(DiscreteStatsTable[[#This Row],[RepsWithStatObserved]]=1,Y874=0),200000000000000000000,IFERROR(_xlfn.T.INV.2T(1 -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1.826049234208371</v>
      </c>
      <c r="R874" s="5" cm="1">
        <f t="array" ref="R874">MIN(IF((DiscreteStatsTable[GroupByKey]=DiscreteStatsTable[[#This Row],[GroupByKey]]),(DiscreteStatsTable[GroupByKey]=DiscreteStatsTable[[#This Row],[GroupByKey]])*DiscreteStatsTable[Average]))</f>
        <v>10.9249913192987</v>
      </c>
      <c r="S874" s="5" cm="1">
        <f t="array" ref="S874">MAX(IF((DiscreteStatsTable[GroupByKey]=DiscreteStatsTable[[#This Row],[GroupByKey]]),(DiscreteStatsTable[GroupByKey]=DiscreteStatsTable[[#This Row],[GroupByKey]])*DiscreteStatsTable[Average]))</f>
        <v>22.866424489953602</v>
      </c>
      <c r="T874" s="5" cm="1">
        <f t="array" ref="T874">MIN(IF((DiscreteStatsTable[GroupByKey]=DiscreteStatsTable[[#This Row],[GroupByKey]]),(DiscreteStatsTable[GroupByKey]=DiscreteStatsTable[[#This Row],[GroupByKey]])*DiscreteStatsTable[Minimum]))</f>
        <v>0</v>
      </c>
      <c r="U874" s="5" cm="1">
        <f t="array" ref="U874">MAX(IF((DiscreteStatsTable[GroupByKey]=DiscreteStatsTable[[#This Row],[GroupByKey]]),(DiscreteStatsTable[GroupByKey]=DiscreteStatsTable[[#This Row],[GroupByKey]])*DiscreteStatsTable[Maximum]))</f>
        <v>34.374891013709401</v>
      </c>
      <c r="V874" s="5" cm="1">
        <f t="array" ref="V874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74" s="5">
        <f>IF((DiscreteStatsTable[[#This Row],[RepsRequested]]&gt;1),DiscreteStatsTable[[#This Row],[HalfWidth]],DiscreteStatsTable[[#This Row],[BatchMeansHalfWidth]])</f>
        <v>1.826049234208371</v>
      </c>
      <c r="X874" s="5" cm="1">
        <f t="array" ref="X874">COUNT(IF((DiscreteStatsTable[GroupByKey]=DiscreteStatsTable[[#This Row],[GroupByKey]]),(DiscreteStatsTable[GroupByKey]=DiscreteStatsTable[[#This Row],[GroupByKey]])*DiscreteStatsTable[Replication]))</f>
        <v>19</v>
      </c>
      <c r="Y874" s="5">
        <f>IF(DiscreteStatsTable[[#This Row],[RepsRequested]]=DiscreteStatsTable[[#This Row],[RepsWithStatObserved]],1,0)</f>
        <v>1</v>
      </c>
    </row>
    <row r="875" spans="1:25" x14ac:dyDescent="0.25">
      <c r="A875" t="s">
        <v>67</v>
      </c>
      <c r="B875" t="s">
        <v>69</v>
      </c>
      <c r="C875">
        <v>5</v>
      </c>
      <c r="D875" t="s">
        <v>117</v>
      </c>
      <c r="E875" t="s">
        <v>79</v>
      </c>
      <c r="F875" t="s">
        <v>80</v>
      </c>
      <c r="G875">
        <v>16.640998754637501</v>
      </c>
      <c r="H875">
        <v>2E+20</v>
      </c>
      <c r="I875">
        <v>8.5496079165879699</v>
      </c>
      <c r="J875">
        <v>19.651254552665002</v>
      </c>
      <c r="K875">
        <v>129</v>
      </c>
      <c r="L87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compartida)TiempoPromEnMesaExpressionUser Specified</v>
      </c>
      <c r="M875" s="5" cm="1">
        <f t="array" ref="M875">MAX(IF((ProjectInfoTable[ProjectName]=DiscreteStatsTable[[#This Row],[ProjectName]]),(ProjectInfoTable[ProjectName]=DiscreteStatsTable[[#This Row],[ProjectName]])*ProjectInfoTable[NumberOfReplications]))</f>
        <v>19</v>
      </c>
      <c r="N875" s="5" cm="1">
        <f t="array" ref="N875">IFERROR(AVERAGE(IF((DiscreteStatsTable[GroupByKey]=DiscreteStatsTable[[#This Row],[GroupByKey]]),(DiscreteStatsTable[GroupByKey]=DiscreteStatsTable[[#This Row],[GroupByKey]])*DiscreteStatsTable[Average])),0)</f>
        <v>17.206313798024606</v>
      </c>
      <c r="O875" s="5" cm="1">
        <f t="array" ref="O875">IFERROR(_xlfn.STDEV.S(IF((DiscreteStatsTable[GroupByKey]=DiscreteStatsTable[[#This Row],[GroupByKey]]),(DiscreteStatsTable[GroupByKey]=DiscreteStatsTable[[#This Row],[GroupByKey]])*DiscreteStatsTable[Average])),0)</f>
        <v>3.7886051578243847</v>
      </c>
      <c r="P875" s="5" cm="1">
        <f t="array" ref="P875">MAX(IF((ProjectInfoTable[ProjectName]=DiscreteStatsTable[[#This Row],[ProjectName]]),(ProjectInfoTable[ProjectName]=DiscreteStatsTable[[#This Row],[ProjectName]])*ProjectInfoTable[ConfidenceInterval]))</f>
        <v>0.95</v>
      </c>
      <c r="Q875" s="5">
        <f>IF(AND(DiscreteStatsTable[[#This Row],[RepsWithStatObserved]]=1,Y875=0),200000000000000000000,IFERROR(_xlfn.T.INV.2T(1 -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1.826049234208371</v>
      </c>
      <c r="R875" s="5" cm="1">
        <f t="array" ref="R875">MIN(IF((DiscreteStatsTable[GroupByKey]=DiscreteStatsTable[[#This Row],[GroupByKey]]),(DiscreteStatsTable[GroupByKey]=DiscreteStatsTable[[#This Row],[GroupByKey]])*DiscreteStatsTable[Average]))</f>
        <v>10.9249913192987</v>
      </c>
      <c r="S875" s="5" cm="1">
        <f t="array" ref="S875">MAX(IF((DiscreteStatsTable[GroupByKey]=DiscreteStatsTable[[#This Row],[GroupByKey]]),(DiscreteStatsTable[GroupByKey]=DiscreteStatsTable[[#This Row],[GroupByKey]])*DiscreteStatsTable[Average]))</f>
        <v>22.866424489953602</v>
      </c>
      <c r="T875" s="5" cm="1">
        <f t="array" ref="T875">MIN(IF((DiscreteStatsTable[GroupByKey]=DiscreteStatsTable[[#This Row],[GroupByKey]]),(DiscreteStatsTable[GroupByKey]=DiscreteStatsTable[[#This Row],[GroupByKey]])*DiscreteStatsTable[Minimum]))</f>
        <v>0</v>
      </c>
      <c r="U875" s="5" cm="1">
        <f t="array" ref="U875">MAX(IF((DiscreteStatsTable[GroupByKey]=DiscreteStatsTable[[#This Row],[GroupByKey]]),(DiscreteStatsTable[GroupByKey]=DiscreteStatsTable[[#This Row],[GroupByKey]])*DiscreteStatsTable[Maximum]))</f>
        <v>34.374891013709401</v>
      </c>
      <c r="V875" s="5" cm="1">
        <f t="array" ref="V875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75" s="5">
        <f>IF((DiscreteStatsTable[[#This Row],[RepsRequested]]&gt;1),DiscreteStatsTable[[#This Row],[HalfWidth]],DiscreteStatsTable[[#This Row],[BatchMeansHalfWidth]])</f>
        <v>1.826049234208371</v>
      </c>
      <c r="X875" s="5" cm="1">
        <f t="array" ref="X875">COUNT(IF((DiscreteStatsTable[GroupByKey]=DiscreteStatsTable[[#This Row],[GroupByKey]]),(DiscreteStatsTable[GroupByKey]=DiscreteStatsTable[[#This Row],[GroupByKey]])*DiscreteStatsTable[Replication]))</f>
        <v>19</v>
      </c>
      <c r="Y875" s="5">
        <f>IF(DiscreteStatsTable[[#This Row],[RepsRequested]]=DiscreteStatsTable[[#This Row],[RepsWithStatObserved]],1,0)</f>
        <v>1</v>
      </c>
    </row>
    <row r="876" spans="1:25" x14ac:dyDescent="0.25">
      <c r="A876" t="s">
        <v>67</v>
      </c>
      <c r="B876" t="s">
        <v>69</v>
      </c>
      <c r="C876">
        <v>6</v>
      </c>
      <c r="D876" t="s">
        <v>117</v>
      </c>
      <c r="E876" t="s">
        <v>79</v>
      </c>
      <c r="F876" t="s">
        <v>80</v>
      </c>
      <c r="G876">
        <v>18.326527987564099</v>
      </c>
      <c r="H876">
        <v>2E+20</v>
      </c>
      <c r="I876">
        <v>15.9568624069253</v>
      </c>
      <c r="J876">
        <v>22.435921006349002</v>
      </c>
      <c r="K876">
        <v>117</v>
      </c>
      <c r="L87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compartida)TiempoPromEnMesaExpressionUser Specified</v>
      </c>
      <c r="M876" s="5" cm="1">
        <f t="array" ref="M876">MAX(IF((ProjectInfoTable[ProjectName]=DiscreteStatsTable[[#This Row],[ProjectName]]),(ProjectInfoTable[ProjectName]=DiscreteStatsTable[[#This Row],[ProjectName]])*ProjectInfoTable[NumberOfReplications]))</f>
        <v>19</v>
      </c>
      <c r="N876" s="5" cm="1">
        <f t="array" ref="N876">IFERROR(AVERAGE(IF((DiscreteStatsTable[GroupByKey]=DiscreteStatsTable[[#This Row],[GroupByKey]]),(DiscreteStatsTable[GroupByKey]=DiscreteStatsTable[[#This Row],[GroupByKey]])*DiscreteStatsTable[Average])),0)</f>
        <v>17.206313798024606</v>
      </c>
      <c r="O876" s="5" cm="1">
        <f t="array" ref="O876">IFERROR(_xlfn.STDEV.S(IF((DiscreteStatsTable[GroupByKey]=DiscreteStatsTable[[#This Row],[GroupByKey]]),(DiscreteStatsTable[GroupByKey]=DiscreteStatsTable[[#This Row],[GroupByKey]])*DiscreteStatsTable[Average])),0)</f>
        <v>3.7886051578243847</v>
      </c>
      <c r="P876" s="5" cm="1">
        <f t="array" ref="P876">MAX(IF((ProjectInfoTable[ProjectName]=DiscreteStatsTable[[#This Row],[ProjectName]]),(ProjectInfoTable[ProjectName]=DiscreteStatsTable[[#This Row],[ProjectName]])*ProjectInfoTable[ConfidenceInterval]))</f>
        <v>0.95</v>
      </c>
      <c r="Q876" s="5">
        <f>IF(AND(DiscreteStatsTable[[#This Row],[RepsWithStatObserved]]=1,Y876=0),200000000000000000000,IFERROR(_xlfn.T.INV.2T(1 -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1.826049234208371</v>
      </c>
      <c r="R876" s="5" cm="1">
        <f t="array" ref="R876">MIN(IF((DiscreteStatsTable[GroupByKey]=DiscreteStatsTable[[#This Row],[GroupByKey]]),(DiscreteStatsTable[GroupByKey]=DiscreteStatsTable[[#This Row],[GroupByKey]])*DiscreteStatsTable[Average]))</f>
        <v>10.9249913192987</v>
      </c>
      <c r="S876" s="5" cm="1">
        <f t="array" ref="S876">MAX(IF((DiscreteStatsTable[GroupByKey]=DiscreteStatsTable[[#This Row],[GroupByKey]]),(DiscreteStatsTable[GroupByKey]=DiscreteStatsTable[[#This Row],[GroupByKey]])*DiscreteStatsTable[Average]))</f>
        <v>22.866424489953602</v>
      </c>
      <c r="T876" s="5" cm="1">
        <f t="array" ref="T876">MIN(IF((DiscreteStatsTable[GroupByKey]=DiscreteStatsTable[[#This Row],[GroupByKey]]),(DiscreteStatsTable[GroupByKey]=DiscreteStatsTable[[#This Row],[GroupByKey]])*DiscreteStatsTable[Minimum]))</f>
        <v>0</v>
      </c>
      <c r="U876" s="5" cm="1">
        <f t="array" ref="U876">MAX(IF((DiscreteStatsTable[GroupByKey]=DiscreteStatsTable[[#This Row],[GroupByKey]]),(DiscreteStatsTable[GroupByKey]=DiscreteStatsTable[[#This Row],[GroupByKey]])*DiscreteStatsTable[Maximum]))</f>
        <v>34.374891013709401</v>
      </c>
      <c r="V876" s="5" cm="1">
        <f t="array" ref="V876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76" s="5">
        <f>IF((DiscreteStatsTable[[#This Row],[RepsRequested]]&gt;1),DiscreteStatsTable[[#This Row],[HalfWidth]],DiscreteStatsTable[[#This Row],[BatchMeansHalfWidth]])</f>
        <v>1.826049234208371</v>
      </c>
      <c r="X876" s="5" cm="1">
        <f t="array" ref="X876">COUNT(IF((DiscreteStatsTable[GroupByKey]=DiscreteStatsTable[[#This Row],[GroupByKey]]),(DiscreteStatsTable[GroupByKey]=DiscreteStatsTable[[#This Row],[GroupByKey]])*DiscreteStatsTable[Replication]))</f>
        <v>19</v>
      </c>
      <c r="Y876" s="5">
        <f>IF(DiscreteStatsTable[[#This Row],[RepsRequested]]=DiscreteStatsTable[[#This Row],[RepsWithStatObserved]],1,0)</f>
        <v>1</v>
      </c>
    </row>
    <row r="877" spans="1:25" x14ac:dyDescent="0.25">
      <c r="A877" t="s">
        <v>67</v>
      </c>
      <c r="B877" t="s">
        <v>69</v>
      </c>
      <c r="C877">
        <v>7</v>
      </c>
      <c r="D877" t="s">
        <v>117</v>
      </c>
      <c r="E877" t="s">
        <v>79</v>
      </c>
      <c r="F877" t="s">
        <v>80</v>
      </c>
      <c r="G877">
        <v>12.749055579761601</v>
      </c>
      <c r="H877">
        <v>2E+20</v>
      </c>
      <c r="I877">
        <v>0</v>
      </c>
      <c r="J877">
        <v>16.7366646348583</v>
      </c>
      <c r="K877">
        <v>112</v>
      </c>
      <c r="L87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compartida)TiempoPromEnMesaExpressionUser Specified</v>
      </c>
      <c r="M877" s="5" cm="1">
        <f t="array" ref="M877">MAX(IF((ProjectInfoTable[ProjectName]=DiscreteStatsTable[[#This Row],[ProjectName]]),(ProjectInfoTable[ProjectName]=DiscreteStatsTable[[#This Row],[ProjectName]])*ProjectInfoTable[NumberOfReplications]))</f>
        <v>19</v>
      </c>
      <c r="N877" s="5" cm="1">
        <f t="array" ref="N877">IFERROR(AVERAGE(IF((DiscreteStatsTable[GroupByKey]=DiscreteStatsTable[[#This Row],[GroupByKey]]),(DiscreteStatsTable[GroupByKey]=DiscreteStatsTable[[#This Row],[GroupByKey]])*DiscreteStatsTable[Average])),0)</f>
        <v>17.206313798024606</v>
      </c>
      <c r="O877" s="5" cm="1">
        <f t="array" ref="O877">IFERROR(_xlfn.STDEV.S(IF((DiscreteStatsTable[GroupByKey]=DiscreteStatsTable[[#This Row],[GroupByKey]]),(DiscreteStatsTable[GroupByKey]=DiscreteStatsTable[[#This Row],[GroupByKey]])*DiscreteStatsTable[Average])),0)</f>
        <v>3.7886051578243847</v>
      </c>
      <c r="P877" s="5" cm="1">
        <f t="array" ref="P877">MAX(IF((ProjectInfoTable[ProjectName]=DiscreteStatsTable[[#This Row],[ProjectName]]),(ProjectInfoTable[ProjectName]=DiscreteStatsTable[[#This Row],[ProjectName]])*ProjectInfoTable[ConfidenceInterval]))</f>
        <v>0.95</v>
      </c>
      <c r="Q877" s="5">
        <f>IF(AND(DiscreteStatsTable[[#This Row],[RepsWithStatObserved]]=1,Y877=0),200000000000000000000,IFERROR(_xlfn.T.INV.2T(1 -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1.826049234208371</v>
      </c>
      <c r="R877" s="5" cm="1">
        <f t="array" ref="R877">MIN(IF((DiscreteStatsTable[GroupByKey]=DiscreteStatsTable[[#This Row],[GroupByKey]]),(DiscreteStatsTable[GroupByKey]=DiscreteStatsTable[[#This Row],[GroupByKey]])*DiscreteStatsTable[Average]))</f>
        <v>10.9249913192987</v>
      </c>
      <c r="S877" s="5" cm="1">
        <f t="array" ref="S877">MAX(IF((DiscreteStatsTable[GroupByKey]=DiscreteStatsTable[[#This Row],[GroupByKey]]),(DiscreteStatsTable[GroupByKey]=DiscreteStatsTable[[#This Row],[GroupByKey]])*DiscreteStatsTable[Average]))</f>
        <v>22.866424489953602</v>
      </c>
      <c r="T877" s="5" cm="1">
        <f t="array" ref="T877">MIN(IF((DiscreteStatsTable[GroupByKey]=DiscreteStatsTable[[#This Row],[GroupByKey]]),(DiscreteStatsTable[GroupByKey]=DiscreteStatsTable[[#This Row],[GroupByKey]])*DiscreteStatsTable[Minimum]))</f>
        <v>0</v>
      </c>
      <c r="U877" s="5" cm="1">
        <f t="array" ref="U877">MAX(IF((DiscreteStatsTable[GroupByKey]=DiscreteStatsTable[[#This Row],[GroupByKey]]),(DiscreteStatsTable[GroupByKey]=DiscreteStatsTable[[#This Row],[GroupByKey]])*DiscreteStatsTable[Maximum]))</f>
        <v>34.374891013709401</v>
      </c>
      <c r="V877" s="5" cm="1">
        <f t="array" ref="V877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77" s="5">
        <f>IF((DiscreteStatsTable[[#This Row],[RepsRequested]]&gt;1),DiscreteStatsTable[[#This Row],[HalfWidth]],DiscreteStatsTable[[#This Row],[BatchMeansHalfWidth]])</f>
        <v>1.826049234208371</v>
      </c>
      <c r="X877" s="5" cm="1">
        <f t="array" ref="X877">COUNT(IF((DiscreteStatsTable[GroupByKey]=DiscreteStatsTable[[#This Row],[GroupByKey]]),(DiscreteStatsTable[GroupByKey]=DiscreteStatsTable[[#This Row],[GroupByKey]])*DiscreteStatsTable[Replication]))</f>
        <v>19</v>
      </c>
      <c r="Y877" s="5">
        <f>IF(DiscreteStatsTable[[#This Row],[RepsRequested]]=DiscreteStatsTable[[#This Row],[RepsWithStatObserved]],1,0)</f>
        <v>1</v>
      </c>
    </row>
    <row r="878" spans="1:25" x14ac:dyDescent="0.25">
      <c r="A878" t="s">
        <v>67</v>
      </c>
      <c r="B878" t="s">
        <v>69</v>
      </c>
      <c r="C878">
        <v>8</v>
      </c>
      <c r="D878" t="s">
        <v>117</v>
      </c>
      <c r="E878" t="s">
        <v>79</v>
      </c>
      <c r="F878" t="s">
        <v>80</v>
      </c>
      <c r="G878">
        <v>17.3381774302051</v>
      </c>
      <c r="H878">
        <v>2E+20</v>
      </c>
      <c r="I878">
        <v>0</v>
      </c>
      <c r="J878">
        <v>19.024468023680001</v>
      </c>
      <c r="K878">
        <v>135</v>
      </c>
      <c r="L87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compartida)TiempoPromEnMesaExpressionUser Specified</v>
      </c>
      <c r="M878" s="5" cm="1">
        <f t="array" ref="M878">MAX(IF((ProjectInfoTable[ProjectName]=DiscreteStatsTable[[#This Row],[ProjectName]]),(ProjectInfoTable[ProjectName]=DiscreteStatsTable[[#This Row],[ProjectName]])*ProjectInfoTable[NumberOfReplications]))</f>
        <v>19</v>
      </c>
      <c r="N878" s="5" cm="1">
        <f t="array" ref="N878">IFERROR(AVERAGE(IF((DiscreteStatsTable[GroupByKey]=DiscreteStatsTable[[#This Row],[GroupByKey]]),(DiscreteStatsTable[GroupByKey]=DiscreteStatsTable[[#This Row],[GroupByKey]])*DiscreteStatsTable[Average])),0)</f>
        <v>17.206313798024606</v>
      </c>
      <c r="O878" s="5" cm="1">
        <f t="array" ref="O878">IFERROR(_xlfn.STDEV.S(IF((DiscreteStatsTable[GroupByKey]=DiscreteStatsTable[[#This Row],[GroupByKey]]),(DiscreteStatsTable[GroupByKey]=DiscreteStatsTable[[#This Row],[GroupByKey]])*DiscreteStatsTable[Average])),0)</f>
        <v>3.7886051578243847</v>
      </c>
      <c r="P878" s="5" cm="1">
        <f t="array" ref="P878">MAX(IF((ProjectInfoTable[ProjectName]=DiscreteStatsTable[[#This Row],[ProjectName]]),(ProjectInfoTable[ProjectName]=DiscreteStatsTable[[#This Row],[ProjectName]])*ProjectInfoTable[ConfidenceInterval]))</f>
        <v>0.95</v>
      </c>
      <c r="Q878" s="5">
        <f>IF(AND(DiscreteStatsTable[[#This Row],[RepsWithStatObserved]]=1,Y878=0),200000000000000000000,IFERROR(_xlfn.T.INV.2T(1 -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1.826049234208371</v>
      </c>
      <c r="R878" s="5" cm="1">
        <f t="array" ref="R878">MIN(IF((DiscreteStatsTable[GroupByKey]=DiscreteStatsTable[[#This Row],[GroupByKey]]),(DiscreteStatsTable[GroupByKey]=DiscreteStatsTable[[#This Row],[GroupByKey]])*DiscreteStatsTable[Average]))</f>
        <v>10.9249913192987</v>
      </c>
      <c r="S878" s="5" cm="1">
        <f t="array" ref="S878">MAX(IF((DiscreteStatsTable[GroupByKey]=DiscreteStatsTable[[#This Row],[GroupByKey]]),(DiscreteStatsTable[GroupByKey]=DiscreteStatsTable[[#This Row],[GroupByKey]])*DiscreteStatsTable[Average]))</f>
        <v>22.866424489953602</v>
      </c>
      <c r="T878" s="5" cm="1">
        <f t="array" ref="T878">MIN(IF((DiscreteStatsTable[GroupByKey]=DiscreteStatsTable[[#This Row],[GroupByKey]]),(DiscreteStatsTable[GroupByKey]=DiscreteStatsTable[[#This Row],[GroupByKey]])*DiscreteStatsTable[Minimum]))</f>
        <v>0</v>
      </c>
      <c r="U878" s="5" cm="1">
        <f t="array" ref="U878">MAX(IF((DiscreteStatsTable[GroupByKey]=DiscreteStatsTable[[#This Row],[GroupByKey]]),(DiscreteStatsTable[GroupByKey]=DiscreteStatsTable[[#This Row],[GroupByKey]])*DiscreteStatsTable[Maximum]))</f>
        <v>34.374891013709401</v>
      </c>
      <c r="V878" s="5" cm="1">
        <f t="array" ref="V878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78" s="5">
        <f>IF((DiscreteStatsTable[[#This Row],[RepsRequested]]&gt;1),DiscreteStatsTable[[#This Row],[HalfWidth]],DiscreteStatsTable[[#This Row],[BatchMeansHalfWidth]])</f>
        <v>1.826049234208371</v>
      </c>
      <c r="X878" s="5" cm="1">
        <f t="array" ref="X878">COUNT(IF((DiscreteStatsTable[GroupByKey]=DiscreteStatsTable[[#This Row],[GroupByKey]]),(DiscreteStatsTable[GroupByKey]=DiscreteStatsTable[[#This Row],[GroupByKey]])*DiscreteStatsTable[Replication]))</f>
        <v>19</v>
      </c>
      <c r="Y878" s="5">
        <f>IF(DiscreteStatsTable[[#This Row],[RepsRequested]]=DiscreteStatsTable[[#This Row],[RepsWithStatObserved]],1,0)</f>
        <v>1</v>
      </c>
    </row>
    <row r="879" spans="1:25" x14ac:dyDescent="0.25">
      <c r="A879" t="s">
        <v>67</v>
      </c>
      <c r="B879" t="s">
        <v>69</v>
      </c>
      <c r="C879">
        <v>9</v>
      </c>
      <c r="D879" t="s">
        <v>117</v>
      </c>
      <c r="E879" t="s">
        <v>79</v>
      </c>
      <c r="F879" t="s">
        <v>80</v>
      </c>
      <c r="G879">
        <v>14.993869773570101</v>
      </c>
      <c r="H879">
        <v>2E+20</v>
      </c>
      <c r="I879">
        <v>0</v>
      </c>
      <c r="J879">
        <v>20.975024443674901</v>
      </c>
      <c r="K879">
        <v>114</v>
      </c>
      <c r="L87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compartida)TiempoPromEnMesaExpressionUser Specified</v>
      </c>
      <c r="M879" s="5" cm="1">
        <f t="array" ref="M879">MAX(IF((ProjectInfoTable[ProjectName]=DiscreteStatsTable[[#This Row],[ProjectName]]),(ProjectInfoTable[ProjectName]=DiscreteStatsTable[[#This Row],[ProjectName]])*ProjectInfoTable[NumberOfReplications]))</f>
        <v>19</v>
      </c>
      <c r="N879" s="5" cm="1">
        <f t="array" ref="N879">IFERROR(AVERAGE(IF((DiscreteStatsTable[GroupByKey]=DiscreteStatsTable[[#This Row],[GroupByKey]]),(DiscreteStatsTable[GroupByKey]=DiscreteStatsTable[[#This Row],[GroupByKey]])*DiscreteStatsTable[Average])),0)</f>
        <v>17.206313798024606</v>
      </c>
      <c r="O879" s="5" cm="1">
        <f t="array" ref="O879">IFERROR(_xlfn.STDEV.S(IF((DiscreteStatsTable[GroupByKey]=DiscreteStatsTable[[#This Row],[GroupByKey]]),(DiscreteStatsTable[GroupByKey]=DiscreteStatsTable[[#This Row],[GroupByKey]])*DiscreteStatsTable[Average])),0)</f>
        <v>3.7886051578243847</v>
      </c>
      <c r="P879" s="5" cm="1">
        <f t="array" ref="P879">MAX(IF((ProjectInfoTable[ProjectName]=DiscreteStatsTable[[#This Row],[ProjectName]]),(ProjectInfoTable[ProjectName]=DiscreteStatsTable[[#This Row],[ProjectName]])*ProjectInfoTable[ConfidenceInterval]))</f>
        <v>0.95</v>
      </c>
      <c r="Q879" s="5">
        <f>IF(AND(DiscreteStatsTable[[#This Row],[RepsWithStatObserved]]=1,Y879=0),200000000000000000000,IFERROR(_xlfn.T.INV.2T(1 -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1.826049234208371</v>
      </c>
      <c r="R879" s="5" cm="1">
        <f t="array" ref="R879">MIN(IF((DiscreteStatsTable[GroupByKey]=DiscreteStatsTable[[#This Row],[GroupByKey]]),(DiscreteStatsTable[GroupByKey]=DiscreteStatsTable[[#This Row],[GroupByKey]])*DiscreteStatsTable[Average]))</f>
        <v>10.9249913192987</v>
      </c>
      <c r="S879" s="5" cm="1">
        <f t="array" ref="S879">MAX(IF((DiscreteStatsTable[GroupByKey]=DiscreteStatsTable[[#This Row],[GroupByKey]]),(DiscreteStatsTable[GroupByKey]=DiscreteStatsTable[[#This Row],[GroupByKey]])*DiscreteStatsTable[Average]))</f>
        <v>22.866424489953602</v>
      </c>
      <c r="T879" s="5" cm="1">
        <f t="array" ref="T879">MIN(IF((DiscreteStatsTable[GroupByKey]=DiscreteStatsTable[[#This Row],[GroupByKey]]),(DiscreteStatsTable[GroupByKey]=DiscreteStatsTable[[#This Row],[GroupByKey]])*DiscreteStatsTable[Minimum]))</f>
        <v>0</v>
      </c>
      <c r="U879" s="5" cm="1">
        <f t="array" ref="U879">MAX(IF((DiscreteStatsTable[GroupByKey]=DiscreteStatsTable[[#This Row],[GroupByKey]]),(DiscreteStatsTable[GroupByKey]=DiscreteStatsTable[[#This Row],[GroupByKey]])*DiscreteStatsTable[Maximum]))</f>
        <v>34.374891013709401</v>
      </c>
      <c r="V879" s="5" cm="1">
        <f t="array" ref="V879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79" s="5">
        <f>IF((DiscreteStatsTable[[#This Row],[RepsRequested]]&gt;1),DiscreteStatsTable[[#This Row],[HalfWidth]],DiscreteStatsTable[[#This Row],[BatchMeansHalfWidth]])</f>
        <v>1.826049234208371</v>
      </c>
      <c r="X879" s="5" cm="1">
        <f t="array" ref="X879">COUNT(IF((DiscreteStatsTable[GroupByKey]=DiscreteStatsTable[[#This Row],[GroupByKey]]),(DiscreteStatsTable[GroupByKey]=DiscreteStatsTable[[#This Row],[GroupByKey]])*DiscreteStatsTable[Replication]))</f>
        <v>19</v>
      </c>
      <c r="Y879" s="5">
        <f>IF(DiscreteStatsTable[[#This Row],[RepsRequested]]=DiscreteStatsTable[[#This Row],[RepsWithStatObserved]],1,0)</f>
        <v>1</v>
      </c>
    </row>
    <row r="880" spans="1:25" x14ac:dyDescent="0.25">
      <c r="A880" t="s">
        <v>67</v>
      </c>
      <c r="B880" t="s">
        <v>69</v>
      </c>
      <c r="C880">
        <v>10</v>
      </c>
      <c r="D880" t="s">
        <v>117</v>
      </c>
      <c r="E880" t="s">
        <v>79</v>
      </c>
      <c r="F880" t="s">
        <v>80</v>
      </c>
      <c r="G880">
        <v>13.3280034835342</v>
      </c>
      <c r="H880">
        <v>2E+20</v>
      </c>
      <c r="I880">
        <v>0</v>
      </c>
      <c r="J880">
        <v>17.5379961470727</v>
      </c>
      <c r="K880">
        <v>116</v>
      </c>
      <c r="L88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compartida)TiempoPromEnMesaExpressionUser Specified</v>
      </c>
      <c r="M880" s="5" cm="1">
        <f t="array" ref="M880">MAX(IF((ProjectInfoTable[ProjectName]=DiscreteStatsTable[[#This Row],[ProjectName]]),(ProjectInfoTable[ProjectName]=DiscreteStatsTable[[#This Row],[ProjectName]])*ProjectInfoTable[NumberOfReplications]))</f>
        <v>19</v>
      </c>
      <c r="N880" s="5" cm="1">
        <f t="array" ref="N880">IFERROR(AVERAGE(IF((DiscreteStatsTable[GroupByKey]=DiscreteStatsTable[[#This Row],[GroupByKey]]),(DiscreteStatsTable[GroupByKey]=DiscreteStatsTable[[#This Row],[GroupByKey]])*DiscreteStatsTable[Average])),0)</f>
        <v>17.206313798024606</v>
      </c>
      <c r="O880" s="5" cm="1">
        <f t="array" ref="O880">IFERROR(_xlfn.STDEV.S(IF((DiscreteStatsTable[GroupByKey]=DiscreteStatsTable[[#This Row],[GroupByKey]]),(DiscreteStatsTable[GroupByKey]=DiscreteStatsTable[[#This Row],[GroupByKey]])*DiscreteStatsTable[Average])),0)</f>
        <v>3.7886051578243847</v>
      </c>
      <c r="P880" s="5" cm="1">
        <f t="array" ref="P880">MAX(IF((ProjectInfoTable[ProjectName]=DiscreteStatsTable[[#This Row],[ProjectName]]),(ProjectInfoTable[ProjectName]=DiscreteStatsTable[[#This Row],[ProjectName]])*ProjectInfoTable[ConfidenceInterval]))</f>
        <v>0.95</v>
      </c>
      <c r="Q880" s="5">
        <f>IF(AND(DiscreteStatsTable[[#This Row],[RepsWithStatObserved]]=1,Y880=0),200000000000000000000,IFERROR(_xlfn.T.INV.2T(1 -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1.826049234208371</v>
      </c>
      <c r="R880" s="5" cm="1">
        <f t="array" ref="R880">MIN(IF((DiscreteStatsTable[GroupByKey]=DiscreteStatsTable[[#This Row],[GroupByKey]]),(DiscreteStatsTable[GroupByKey]=DiscreteStatsTable[[#This Row],[GroupByKey]])*DiscreteStatsTable[Average]))</f>
        <v>10.9249913192987</v>
      </c>
      <c r="S880" s="5" cm="1">
        <f t="array" ref="S880">MAX(IF((DiscreteStatsTable[GroupByKey]=DiscreteStatsTable[[#This Row],[GroupByKey]]),(DiscreteStatsTable[GroupByKey]=DiscreteStatsTable[[#This Row],[GroupByKey]])*DiscreteStatsTable[Average]))</f>
        <v>22.866424489953602</v>
      </c>
      <c r="T880" s="5" cm="1">
        <f t="array" ref="T880">MIN(IF((DiscreteStatsTable[GroupByKey]=DiscreteStatsTable[[#This Row],[GroupByKey]]),(DiscreteStatsTable[GroupByKey]=DiscreteStatsTable[[#This Row],[GroupByKey]])*DiscreteStatsTable[Minimum]))</f>
        <v>0</v>
      </c>
      <c r="U880" s="5" cm="1">
        <f t="array" ref="U880">MAX(IF((DiscreteStatsTable[GroupByKey]=DiscreteStatsTable[[#This Row],[GroupByKey]]),(DiscreteStatsTable[GroupByKey]=DiscreteStatsTable[[#This Row],[GroupByKey]])*DiscreteStatsTable[Maximum]))</f>
        <v>34.374891013709401</v>
      </c>
      <c r="V880" s="5" cm="1">
        <f t="array" ref="V880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80" s="5">
        <f>IF((DiscreteStatsTable[[#This Row],[RepsRequested]]&gt;1),DiscreteStatsTable[[#This Row],[HalfWidth]],DiscreteStatsTable[[#This Row],[BatchMeansHalfWidth]])</f>
        <v>1.826049234208371</v>
      </c>
      <c r="X880" s="5" cm="1">
        <f t="array" ref="X880">COUNT(IF((DiscreteStatsTable[GroupByKey]=DiscreteStatsTable[[#This Row],[GroupByKey]]),(DiscreteStatsTable[GroupByKey]=DiscreteStatsTable[[#This Row],[GroupByKey]])*DiscreteStatsTable[Replication]))</f>
        <v>19</v>
      </c>
      <c r="Y880" s="5">
        <f>IF(DiscreteStatsTable[[#This Row],[RepsRequested]]=DiscreteStatsTable[[#This Row],[RepsWithStatObserved]],1,0)</f>
        <v>1</v>
      </c>
    </row>
    <row r="881" spans="1:25" x14ac:dyDescent="0.25">
      <c r="A881" t="s">
        <v>67</v>
      </c>
      <c r="B881" t="s">
        <v>69</v>
      </c>
      <c r="C881">
        <v>11</v>
      </c>
      <c r="D881" t="s">
        <v>117</v>
      </c>
      <c r="E881" t="s">
        <v>79</v>
      </c>
      <c r="F881" t="s">
        <v>80</v>
      </c>
      <c r="G881">
        <v>10.9249913192987</v>
      </c>
      <c r="H881">
        <v>2E+20</v>
      </c>
      <c r="I881">
        <v>0</v>
      </c>
      <c r="J881">
        <v>14.2546755862785</v>
      </c>
      <c r="K881">
        <v>115</v>
      </c>
      <c r="L88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compartida)TiempoPromEnMesaExpressionUser Specified</v>
      </c>
      <c r="M881" s="5" cm="1">
        <f t="array" ref="M881">MAX(IF((ProjectInfoTable[ProjectName]=DiscreteStatsTable[[#This Row],[ProjectName]]),(ProjectInfoTable[ProjectName]=DiscreteStatsTable[[#This Row],[ProjectName]])*ProjectInfoTable[NumberOfReplications]))</f>
        <v>19</v>
      </c>
      <c r="N881" s="5" cm="1">
        <f t="array" ref="N881">IFERROR(AVERAGE(IF((DiscreteStatsTable[GroupByKey]=DiscreteStatsTable[[#This Row],[GroupByKey]]),(DiscreteStatsTable[GroupByKey]=DiscreteStatsTable[[#This Row],[GroupByKey]])*DiscreteStatsTable[Average])),0)</f>
        <v>17.206313798024606</v>
      </c>
      <c r="O881" s="5" cm="1">
        <f t="array" ref="O881">IFERROR(_xlfn.STDEV.S(IF((DiscreteStatsTable[GroupByKey]=DiscreteStatsTable[[#This Row],[GroupByKey]]),(DiscreteStatsTable[GroupByKey]=DiscreteStatsTable[[#This Row],[GroupByKey]])*DiscreteStatsTable[Average])),0)</f>
        <v>3.7886051578243847</v>
      </c>
      <c r="P881" s="5" cm="1">
        <f t="array" ref="P881">MAX(IF((ProjectInfoTable[ProjectName]=DiscreteStatsTable[[#This Row],[ProjectName]]),(ProjectInfoTable[ProjectName]=DiscreteStatsTable[[#This Row],[ProjectName]])*ProjectInfoTable[ConfidenceInterval]))</f>
        <v>0.95</v>
      </c>
      <c r="Q881" s="5">
        <f>IF(AND(DiscreteStatsTable[[#This Row],[RepsWithStatObserved]]=1,Y881=0),200000000000000000000,IFERROR(_xlfn.T.INV.2T(1 -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1.826049234208371</v>
      </c>
      <c r="R881" s="5" cm="1">
        <f t="array" ref="R881">MIN(IF((DiscreteStatsTable[GroupByKey]=DiscreteStatsTable[[#This Row],[GroupByKey]]),(DiscreteStatsTable[GroupByKey]=DiscreteStatsTable[[#This Row],[GroupByKey]])*DiscreteStatsTable[Average]))</f>
        <v>10.9249913192987</v>
      </c>
      <c r="S881" s="5" cm="1">
        <f t="array" ref="S881">MAX(IF((DiscreteStatsTable[GroupByKey]=DiscreteStatsTable[[#This Row],[GroupByKey]]),(DiscreteStatsTable[GroupByKey]=DiscreteStatsTable[[#This Row],[GroupByKey]])*DiscreteStatsTable[Average]))</f>
        <v>22.866424489953602</v>
      </c>
      <c r="T881" s="5" cm="1">
        <f t="array" ref="T881">MIN(IF((DiscreteStatsTable[GroupByKey]=DiscreteStatsTable[[#This Row],[GroupByKey]]),(DiscreteStatsTable[GroupByKey]=DiscreteStatsTable[[#This Row],[GroupByKey]])*DiscreteStatsTable[Minimum]))</f>
        <v>0</v>
      </c>
      <c r="U881" s="5" cm="1">
        <f t="array" ref="U881">MAX(IF((DiscreteStatsTable[GroupByKey]=DiscreteStatsTable[[#This Row],[GroupByKey]]),(DiscreteStatsTable[GroupByKey]=DiscreteStatsTable[[#This Row],[GroupByKey]])*DiscreteStatsTable[Maximum]))</f>
        <v>34.374891013709401</v>
      </c>
      <c r="V881" s="5" cm="1">
        <f t="array" ref="V881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81" s="5">
        <f>IF((DiscreteStatsTable[[#This Row],[RepsRequested]]&gt;1),DiscreteStatsTable[[#This Row],[HalfWidth]],DiscreteStatsTable[[#This Row],[BatchMeansHalfWidth]])</f>
        <v>1.826049234208371</v>
      </c>
      <c r="X881" s="5" cm="1">
        <f t="array" ref="X881">COUNT(IF((DiscreteStatsTable[GroupByKey]=DiscreteStatsTable[[#This Row],[GroupByKey]]),(DiscreteStatsTable[GroupByKey]=DiscreteStatsTable[[#This Row],[GroupByKey]])*DiscreteStatsTable[Replication]))</f>
        <v>19</v>
      </c>
      <c r="Y881" s="5">
        <f>IF(DiscreteStatsTable[[#This Row],[RepsRequested]]=DiscreteStatsTable[[#This Row],[RepsWithStatObserved]],1,0)</f>
        <v>1</v>
      </c>
    </row>
    <row r="882" spans="1:25" x14ac:dyDescent="0.25">
      <c r="A882" t="s">
        <v>67</v>
      </c>
      <c r="B882" t="s">
        <v>69</v>
      </c>
      <c r="C882">
        <v>12</v>
      </c>
      <c r="D882" t="s">
        <v>117</v>
      </c>
      <c r="E882" t="s">
        <v>79</v>
      </c>
      <c r="F882" t="s">
        <v>80</v>
      </c>
      <c r="G882">
        <v>21.700197518603002</v>
      </c>
      <c r="H882">
        <v>2E+20</v>
      </c>
      <c r="I882">
        <v>0</v>
      </c>
      <c r="J882">
        <v>31.410110505773002</v>
      </c>
      <c r="K882">
        <v>120</v>
      </c>
      <c r="L88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compartida)TiempoPromEnMesaExpressionUser Specified</v>
      </c>
      <c r="M882" s="5" cm="1">
        <f t="array" ref="M882">MAX(IF((ProjectInfoTable[ProjectName]=DiscreteStatsTable[[#This Row],[ProjectName]]),(ProjectInfoTable[ProjectName]=DiscreteStatsTable[[#This Row],[ProjectName]])*ProjectInfoTable[NumberOfReplications]))</f>
        <v>19</v>
      </c>
      <c r="N882" s="5" cm="1">
        <f t="array" ref="N882">IFERROR(AVERAGE(IF((DiscreteStatsTable[GroupByKey]=DiscreteStatsTable[[#This Row],[GroupByKey]]),(DiscreteStatsTable[GroupByKey]=DiscreteStatsTable[[#This Row],[GroupByKey]])*DiscreteStatsTable[Average])),0)</f>
        <v>17.206313798024606</v>
      </c>
      <c r="O882" s="5" cm="1">
        <f t="array" ref="O882">IFERROR(_xlfn.STDEV.S(IF((DiscreteStatsTable[GroupByKey]=DiscreteStatsTable[[#This Row],[GroupByKey]]),(DiscreteStatsTable[GroupByKey]=DiscreteStatsTable[[#This Row],[GroupByKey]])*DiscreteStatsTable[Average])),0)</f>
        <v>3.7886051578243847</v>
      </c>
      <c r="P882" s="5" cm="1">
        <f t="array" ref="P882">MAX(IF((ProjectInfoTable[ProjectName]=DiscreteStatsTable[[#This Row],[ProjectName]]),(ProjectInfoTable[ProjectName]=DiscreteStatsTable[[#This Row],[ProjectName]])*ProjectInfoTable[ConfidenceInterval]))</f>
        <v>0.95</v>
      </c>
      <c r="Q882" s="5">
        <f>IF(AND(DiscreteStatsTable[[#This Row],[RepsWithStatObserved]]=1,Y882=0),200000000000000000000,IFERROR(_xlfn.T.INV.2T(1 -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1.826049234208371</v>
      </c>
      <c r="R882" s="5" cm="1">
        <f t="array" ref="R882">MIN(IF((DiscreteStatsTable[GroupByKey]=DiscreteStatsTable[[#This Row],[GroupByKey]]),(DiscreteStatsTable[GroupByKey]=DiscreteStatsTable[[#This Row],[GroupByKey]])*DiscreteStatsTable[Average]))</f>
        <v>10.9249913192987</v>
      </c>
      <c r="S882" s="5" cm="1">
        <f t="array" ref="S882">MAX(IF((DiscreteStatsTable[GroupByKey]=DiscreteStatsTable[[#This Row],[GroupByKey]]),(DiscreteStatsTable[GroupByKey]=DiscreteStatsTable[[#This Row],[GroupByKey]])*DiscreteStatsTable[Average]))</f>
        <v>22.866424489953602</v>
      </c>
      <c r="T882" s="5" cm="1">
        <f t="array" ref="T882">MIN(IF((DiscreteStatsTable[GroupByKey]=DiscreteStatsTable[[#This Row],[GroupByKey]]),(DiscreteStatsTable[GroupByKey]=DiscreteStatsTable[[#This Row],[GroupByKey]])*DiscreteStatsTable[Minimum]))</f>
        <v>0</v>
      </c>
      <c r="U882" s="5" cm="1">
        <f t="array" ref="U882">MAX(IF((DiscreteStatsTable[GroupByKey]=DiscreteStatsTable[[#This Row],[GroupByKey]]),(DiscreteStatsTable[GroupByKey]=DiscreteStatsTable[[#This Row],[GroupByKey]])*DiscreteStatsTable[Maximum]))</f>
        <v>34.374891013709401</v>
      </c>
      <c r="V882" s="5" cm="1">
        <f t="array" ref="V882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82" s="5">
        <f>IF((DiscreteStatsTable[[#This Row],[RepsRequested]]&gt;1),DiscreteStatsTable[[#This Row],[HalfWidth]],DiscreteStatsTable[[#This Row],[BatchMeansHalfWidth]])</f>
        <v>1.826049234208371</v>
      </c>
      <c r="X882" s="5" cm="1">
        <f t="array" ref="X882">COUNT(IF((DiscreteStatsTable[GroupByKey]=DiscreteStatsTable[[#This Row],[GroupByKey]]),(DiscreteStatsTable[GroupByKey]=DiscreteStatsTable[[#This Row],[GroupByKey]])*DiscreteStatsTable[Replication]))</f>
        <v>19</v>
      </c>
      <c r="Y882" s="5">
        <f>IF(DiscreteStatsTable[[#This Row],[RepsRequested]]=DiscreteStatsTable[[#This Row],[RepsWithStatObserved]],1,0)</f>
        <v>1</v>
      </c>
    </row>
    <row r="883" spans="1:25" x14ac:dyDescent="0.25">
      <c r="A883" t="s">
        <v>67</v>
      </c>
      <c r="B883" t="s">
        <v>69</v>
      </c>
      <c r="C883">
        <v>13</v>
      </c>
      <c r="D883" t="s">
        <v>117</v>
      </c>
      <c r="E883" t="s">
        <v>79</v>
      </c>
      <c r="F883" t="s">
        <v>80</v>
      </c>
      <c r="G883">
        <v>22.866424489953602</v>
      </c>
      <c r="H883">
        <v>2E+20</v>
      </c>
      <c r="I883">
        <v>0</v>
      </c>
      <c r="J883">
        <v>32.627952325797203</v>
      </c>
      <c r="K883">
        <v>116</v>
      </c>
      <c r="L88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compartida)TiempoPromEnMesaExpressionUser Specified</v>
      </c>
      <c r="M883" s="5" cm="1">
        <f t="array" ref="M883">MAX(IF((ProjectInfoTable[ProjectName]=DiscreteStatsTable[[#This Row],[ProjectName]]),(ProjectInfoTable[ProjectName]=DiscreteStatsTable[[#This Row],[ProjectName]])*ProjectInfoTable[NumberOfReplications]))</f>
        <v>19</v>
      </c>
      <c r="N883" s="5" cm="1">
        <f t="array" ref="N883">IFERROR(AVERAGE(IF((DiscreteStatsTable[GroupByKey]=DiscreteStatsTable[[#This Row],[GroupByKey]]),(DiscreteStatsTable[GroupByKey]=DiscreteStatsTable[[#This Row],[GroupByKey]])*DiscreteStatsTable[Average])),0)</f>
        <v>17.206313798024606</v>
      </c>
      <c r="O883" s="5" cm="1">
        <f t="array" ref="O883">IFERROR(_xlfn.STDEV.S(IF((DiscreteStatsTable[GroupByKey]=DiscreteStatsTable[[#This Row],[GroupByKey]]),(DiscreteStatsTable[GroupByKey]=DiscreteStatsTable[[#This Row],[GroupByKey]])*DiscreteStatsTable[Average])),0)</f>
        <v>3.7886051578243847</v>
      </c>
      <c r="P883" s="5" cm="1">
        <f t="array" ref="P883">MAX(IF((ProjectInfoTable[ProjectName]=DiscreteStatsTable[[#This Row],[ProjectName]]),(ProjectInfoTable[ProjectName]=DiscreteStatsTable[[#This Row],[ProjectName]])*ProjectInfoTable[ConfidenceInterval]))</f>
        <v>0.95</v>
      </c>
      <c r="Q883" s="5">
        <f>IF(AND(DiscreteStatsTable[[#This Row],[RepsWithStatObserved]]=1,Y883=0),200000000000000000000,IFERROR(_xlfn.T.INV.2T(1 -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1.826049234208371</v>
      </c>
      <c r="R883" s="5" cm="1">
        <f t="array" ref="R883">MIN(IF((DiscreteStatsTable[GroupByKey]=DiscreteStatsTable[[#This Row],[GroupByKey]]),(DiscreteStatsTable[GroupByKey]=DiscreteStatsTable[[#This Row],[GroupByKey]])*DiscreteStatsTable[Average]))</f>
        <v>10.9249913192987</v>
      </c>
      <c r="S883" s="5" cm="1">
        <f t="array" ref="S883">MAX(IF((DiscreteStatsTable[GroupByKey]=DiscreteStatsTable[[#This Row],[GroupByKey]]),(DiscreteStatsTable[GroupByKey]=DiscreteStatsTable[[#This Row],[GroupByKey]])*DiscreteStatsTable[Average]))</f>
        <v>22.866424489953602</v>
      </c>
      <c r="T883" s="5" cm="1">
        <f t="array" ref="T883">MIN(IF((DiscreteStatsTable[GroupByKey]=DiscreteStatsTable[[#This Row],[GroupByKey]]),(DiscreteStatsTable[GroupByKey]=DiscreteStatsTable[[#This Row],[GroupByKey]])*DiscreteStatsTable[Minimum]))</f>
        <v>0</v>
      </c>
      <c r="U883" s="5" cm="1">
        <f t="array" ref="U883">MAX(IF((DiscreteStatsTable[GroupByKey]=DiscreteStatsTable[[#This Row],[GroupByKey]]),(DiscreteStatsTable[GroupByKey]=DiscreteStatsTable[[#This Row],[GroupByKey]])*DiscreteStatsTable[Maximum]))</f>
        <v>34.374891013709401</v>
      </c>
      <c r="V883" s="5" cm="1">
        <f t="array" ref="V883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83" s="5">
        <f>IF((DiscreteStatsTable[[#This Row],[RepsRequested]]&gt;1),DiscreteStatsTable[[#This Row],[HalfWidth]],DiscreteStatsTable[[#This Row],[BatchMeansHalfWidth]])</f>
        <v>1.826049234208371</v>
      </c>
      <c r="X883" s="5" cm="1">
        <f t="array" ref="X883">COUNT(IF((DiscreteStatsTable[GroupByKey]=DiscreteStatsTable[[#This Row],[GroupByKey]]),(DiscreteStatsTable[GroupByKey]=DiscreteStatsTable[[#This Row],[GroupByKey]])*DiscreteStatsTable[Replication]))</f>
        <v>19</v>
      </c>
      <c r="Y883" s="5">
        <f>IF(DiscreteStatsTable[[#This Row],[RepsRequested]]=DiscreteStatsTable[[#This Row],[RepsWithStatObserved]],1,0)</f>
        <v>1</v>
      </c>
    </row>
    <row r="884" spans="1:25" x14ac:dyDescent="0.25">
      <c r="A884" t="s">
        <v>67</v>
      </c>
      <c r="B884" t="s">
        <v>69</v>
      </c>
      <c r="C884">
        <v>14</v>
      </c>
      <c r="D884" t="s">
        <v>117</v>
      </c>
      <c r="E884" t="s">
        <v>79</v>
      </c>
      <c r="F884" t="s">
        <v>80</v>
      </c>
      <c r="G884">
        <v>18.1288208179637</v>
      </c>
      <c r="H884">
        <v>2E+20</v>
      </c>
      <c r="I884">
        <v>16.106995028483801</v>
      </c>
      <c r="J884">
        <v>21.8291059759473</v>
      </c>
      <c r="K884">
        <v>135</v>
      </c>
      <c r="L88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compartida)TiempoPromEnMesaExpressionUser Specified</v>
      </c>
      <c r="M884" s="5" cm="1">
        <f t="array" ref="M884">MAX(IF((ProjectInfoTable[ProjectName]=DiscreteStatsTable[[#This Row],[ProjectName]]),(ProjectInfoTable[ProjectName]=DiscreteStatsTable[[#This Row],[ProjectName]])*ProjectInfoTable[NumberOfReplications]))</f>
        <v>19</v>
      </c>
      <c r="N884" s="5" cm="1">
        <f t="array" ref="N884">IFERROR(AVERAGE(IF((DiscreteStatsTable[GroupByKey]=DiscreteStatsTable[[#This Row],[GroupByKey]]),(DiscreteStatsTable[GroupByKey]=DiscreteStatsTable[[#This Row],[GroupByKey]])*DiscreteStatsTable[Average])),0)</f>
        <v>17.206313798024606</v>
      </c>
      <c r="O884" s="5" cm="1">
        <f t="array" ref="O884">IFERROR(_xlfn.STDEV.S(IF((DiscreteStatsTable[GroupByKey]=DiscreteStatsTable[[#This Row],[GroupByKey]]),(DiscreteStatsTable[GroupByKey]=DiscreteStatsTable[[#This Row],[GroupByKey]])*DiscreteStatsTable[Average])),0)</f>
        <v>3.7886051578243847</v>
      </c>
      <c r="P884" s="5" cm="1">
        <f t="array" ref="P884">MAX(IF((ProjectInfoTable[ProjectName]=DiscreteStatsTable[[#This Row],[ProjectName]]),(ProjectInfoTable[ProjectName]=DiscreteStatsTable[[#This Row],[ProjectName]])*ProjectInfoTable[ConfidenceInterval]))</f>
        <v>0.95</v>
      </c>
      <c r="Q884" s="5">
        <f>IF(AND(DiscreteStatsTable[[#This Row],[RepsWithStatObserved]]=1,Y884=0),200000000000000000000,IFERROR(_xlfn.T.INV.2T(1 -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1.826049234208371</v>
      </c>
      <c r="R884" s="5" cm="1">
        <f t="array" ref="R884">MIN(IF((DiscreteStatsTable[GroupByKey]=DiscreteStatsTable[[#This Row],[GroupByKey]]),(DiscreteStatsTable[GroupByKey]=DiscreteStatsTable[[#This Row],[GroupByKey]])*DiscreteStatsTable[Average]))</f>
        <v>10.9249913192987</v>
      </c>
      <c r="S884" s="5" cm="1">
        <f t="array" ref="S884">MAX(IF((DiscreteStatsTable[GroupByKey]=DiscreteStatsTable[[#This Row],[GroupByKey]]),(DiscreteStatsTable[GroupByKey]=DiscreteStatsTable[[#This Row],[GroupByKey]])*DiscreteStatsTable[Average]))</f>
        <v>22.866424489953602</v>
      </c>
      <c r="T884" s="5" cm="1">
        <f t="array" ref="T884">MIN(IF((DiscreteStatsTable[GroupByKey]=DiscreteStatsTable[[#This Row],[GroupByKey]]),(DiscreteStatsTable[GroupByKey]=DiscreteStatsTable[[#This Row],[GroupByKey]])*DiscreteStatsTable[Minimum]))</f>
        <v>0</v>
      </c>
      <c r="U884" s="5" cm="1">
        <f t="array" ref="U884">MAX(IF((DiscreteStatsTable[GroupByKey]=DiscreteStatsTable[[#This Row],[GroupByKey]]),(DiscreteStatsTable[GroupByKey]=DiscreteStatsTable[[#This Row],[GroupByKey]])*DiscreteStatsTable[Maximum]))</f>
        <v>34.374891013709401</v>
      </c>
      <c r="V884" s="5" cm="1">
        <f t="array" ref="V884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84" s="5">
        <f>IF((DiscreteStatsTable[[#This Row],[RepsRequested]]&gt;1),DiscreteStatsTable[[#This Row],[HalfWidth]],DiscreteStatsTable[[#This Row],[BatchMeansHalfWidth]])</f>
        <v>1.826049234208371</v>
      </c>
      <c r="X884" s="5" cm="1">
        <f t="array" ref="X884">COUNT(IF((DiscreteStatsTable[GroupByKey]=DiscreteStatsTable[[#This Row],[GroupByKey]]),(DiscreteStatsTable[GroupByKey]=DiscreteStatsTable[[#This Row],[GroupByKey]])*DiscreteStatsTable[Replication]))</f>
        <v>19</v>
      </c>
      <c r="Y884" s="5">
        <f>IF(DiscreteStatsTable[[#This Row],[RepsRequested]]=DiscreteStatsTable[[#This Row],[RepsWithStatObserved]],1,0)</f>
        <v>1</v>
      </c>
    </row>
    <row r="885" spans="1:25" x14ac:dyDescent="0.25">
      <c r="A885" t="s">
        <v>67</v>
      </c>
      <c r="B885" t="s">
        <v>69</v>
      </c>
      <c r="C885">
        <v>15</v>
      </c>
      <c r="D885" t="s">
        <v>117</v>
      </c>
      <c r="E885" t="s">
        <v>79</v>
      </c>
      <c r="F885" t="s">
        <v>80</v>
      </c>
      <c r="G885">
        <v>20.645260238418899</v>
      </c>
      <c r="H885">
        <v>2E+20</v>
      </c>
      <c r="I885">
        <v>0</v>
      </c>
      <c r="J885">
        <v>23.7453739010218</v>
      </c>
      <c r="K885">
        <v>128</v>
      </c>
      <c r="L88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compartida)TiempoPromEnMesaExpressionUser Specified</v>
      </c>
      <c r="M885" s="5" cm="1">
        <f t="array" ref="M885">MAX(IF((ProjectInfoTable[ProjectName]=DiscreteStatsTable[[#This Row],[ProjectName]]),(ProjectInfoTable[ProjectName]=DiscreteStatsTable[[#This Row],[ProjectName]])*ProjectInfoTable[NumberOfReplications]))</f>
        <v>19</v>
      </c>
      <c r="N885" s="5" cm="1">
        <f t="array" ref="N885">IFERROR(AVERAGE(IF((DiscreteStatsTable[GroupByKey]=DiscreteStatsTable[[#This Row],[GroupByKey]]),(DiscreteStatsTable[GroupByKey]=DiscreteStatsTable[[#This Row],[GroupByKey]])*DiscreteStatsTable[Average])),0)</f>
        <v>17.206313798024606</v>
      </c>
      <c r="O885" s="5" cm="1">
        <f t="array" ref="O885">IFERROR(_xlfn.STDEV.S(IF((DiscreteStatsTable[GroupByKey]=DiscreteStatsTable[[#This Row],[GroupByKey]]),(DiscreteStatsTable[GroupByKey]=DiscreteStatsTable[[#This Row],[GroupByKey]])*DiscreteStatsTable[Average])),0)</f>
        <v>3.7886051578243847</v>
      </c>
      <c r="P885" s="5" cm="1">
        <f t="array" ref="P885">MAX(IF((ProjectInfoTable[ProjectName]=DiscreteStatsTable[[#This Row],[ProjectName]]),(ProjectInfoTable[ProjectName]=DiscreteStatsTable[[#This Row],[ProjectName]])*ProjectInfoTable[ConfidenceInterval]))</f>
        <v>0.95</v>
      </c>
      <c r="Q885" s="5">
        <f>IF(AND(DiscreteStatsTable[[#This Row],[RepsWithStatObserved]]=1,Y885=0),200000000000000000000,IFERROR(_xlfn.T.INV.2T(1 -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1.826049234208371</v>
      </c>
      <c r="R885" s="5" cm="1">
        <f t="array" ref="R885">MIN(IF((DiscreteStatsTable[GroupByKey]=DiscreteStatsTable[[#This Row],[GroupByKey]]),(DiscreteStatsTable[GroupByKey]=DiscreteStatsTable[[#This Row],[GroupByKey]])*DiscreteStatsTable[Average]))</f>
        <v>10.9249913192987</v>
      </c>
      <c r="S885" s="5" cm="1">
        <f t="array" ref="S885">MAX(IF((DiscreteStatsTable[GroupByKey]=DiscreteStatsTable[[#This Row],[GroupByKey]]),(DiscreteStatsTable[GroupByKey]=DiscreteStatsTable[[#This Row],[GroupByKey]])*DiscreteStatsTable[Average]))</f>
        <v>22.866424489953602</v>
      </c>
      <c r="T885" s="5" cm="1">
        <f t="array" ref="T885">MIN(IF((DiscreteStatsTable[GroupByKey]=DiscreteStatsTable[[#This Row],[GroupByKey]]),(DiscreteStatsTable[GroupByKey]=DiscreteStatsTable[[#This Row],[GroupByKey]])*DiscreteStatsTable[Minimum]))</f>
        <v>0</v>
      </c>
      <c r="U885" s="5" cm="1">
        <f t="array" ref="U885">MAX(IF((DiscreteStatsTable[GroupByKey]=DiscreteStatsTable[[#This Row],[GroupByKey]]),(DiscreteStatsTable[GroupByKey]=DiscreteStatsTable[[#This Row],[GroupByKey]])*DiscreteStatsTable[Maximum]))</f>
        <v>34.374891013709401</v>
      </c>
      <c r="V885" s="5" cm="1">
        <f t="array" ref="V885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85" s="5">
        <f>IF((DiscreteStatsTable[[#This Row],[RepsRequested]]&gt;1),DiscreteStatsTable[[#This Row],[HalfWidth]],DiscreteStatsTable[[#This Row],[BatchMeansHalfWidth]])</f>
        <v>1.826049234208371</v>
      </c>
      <c r="X885" s="5" cm="1">
        <f t="array" ref="X885">COUNT(IF((DiscreteStatsTable[GroupByKey]=DiscreteStatsTable[[#This Row],[GroupByKey]]),(DiscreteStatsTable[GroupByKey]=DiscreteStatsTable[[#This Row],[GroupByKey]])*DiscreteStatsTable[Replication]))</f>
        <v>19</v>
      </c>
      <c r="Y885" s="5">
        <f>IF(DiscreteStatsTable[[#This Row],[RepsRequested]]=DiscreteStatsTable[[#This Row],[RepsWithStatObserved]],1,0)</f>
        <v>1</v>
      </c>
    </row>
    <row r="886" spans="1:25" x14ac:dyDescent="0.25">
      <c r="A886" t="s">
        <v>67</v>
      </c>
      <c r="B886" t="s">
        <v>69</v>
      </c>
      <c r="C886">
        <v>16</v>
      </c>
      <c r="D886" t="s">
        <v>117</v>
      </c>
      <c r="E886" t="s">
        <v>79</v>
      </c>
      <c r="F886" t="s">
        <v>80</v>
      </c>
      <c r="G886">
        <v>16.603546107817699</v>
      </c>
      <c r="H886">
        <v>2E+20</v>
      </c>
      <c r="I886">
        <v>0</v>
      </c>
      <c r="J886">
        <v>20.818240770479299</v>
      </c>
      <c r="K886">
        <v>131</v>
      </c>
      <c r="L88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compartida)TiempoPromEnMesaExpressionUser Specified</v>
      </c>
      <c r="M886" s="5" cm="1">
        <f t="array" ref="M886">MAX(IF((ProjectInfoTable[ProjectName]=DiscreteStatsTable[[#This Row],[ProjectName]]),(ProjectInfoTable[ProjectName]=DiscreteStatsTable[[#This Row],[ProjectName]])*ProjectInfoTable[NumberOfReplications]))</f>
        <v>19</v>
      </c>
      <c r="N886" s="5" cm="1">
        <f t="array" ref="N886">IFERROR(AVERAGE(IF((DiscreteStatsTable[GroupByKey]=DiscreteStatsTable[[#This Row],[GroupByKey]]),(DiscreteStatsTable[GroupByKey]=DiscreteStatsTable[[#This Row],[GroupByKey]])*DiscreteStatsTable[Average])),0)</f>
        <v>17.206313798024606</v>
      </c>
      <c r="O886" s="5" cm="1">
        <f t="array" ref="O886">IFERROR(_xlfn.STDEV.S(IF((DiscreteStatsTable[GroupByKey]=DiscreteStatsTable[[#This Row],[GroupByKey]]),(DiscreteStatsTable[GroupByKey]=DiscreteStatsTable[[#This Row],[GroupByKey]])*DiscreteStatsTable[Average])),0)</f>
        <v>3.7886051578243847</v>
      </c>
      <c r="P886" s="5" cm="1">
        <f t="array" ref="P886">MAX(IF((ProjectInfoTable[ProjectName]=DiscreteStatsTable[[#This Row],[ProjectName]]),(ProjectInfoTable[ProjectName]=DiscreteStatsTable[[#This Row],[ProjectName]])*ProjectInfoTable[ConfidenceInterval]))</f>
        <v>0.95</v>
      </c>
      <c r="Q886" s="5">
        <f>IF(AND(DiscreteStatsTable[[#This Row],[RepsWithStatObserved]]=1,Y886=0),200000000000000000000,IFERROR(_xlfn.T.INV.2T(1 -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1.826049234208371</v>
      </c>
      <c r="R886" s="5" cm="1">
        <f t="array" ref="R886">MIN(IF((DiscreteStatsTable[GroupByKey]=DiscreteStatsTable[[#This Row],[GroupByKey]]),(DiscreteStatsTable[GroupByKey]=DiscreteStatsTable[[#This Row],[GroupByKey]])*DiscreteStatsTable[Average]))</f>
        <v>10.9249913192987</v>
      </c>
      <c r="S886" s="5" cm="1">
        <f t="array" ref="S886">MAX(IF((DiscreteStatsTable[GroupByKey]=DiscreteStatsTable[[#This Row],[GroupByKey]]),(DiscreteStatsTable[GroupByKey]=DiscreteStatsTable[[#This Row],[GroupByKey]])*DiscreteStatsTable[Average]))</f>
        <v>22.866424489953602</v>
      </c>
      <c r="T886" s="5" cm="1">
        <f t="array" ref="T886">MIN(IF((DiscreteStatsTable[GroupByKey]=DiscreteStatsTable[[#This Row],[GroupByKey]]),(DiscreteStatsTable[GroupByKey]=DiscreteStatsTable[[#This Row],[GroupByKey]])*DiscreteStatsTable[Minimum]))</f>
        <v>0</v>
      </c>
      <c r="U886" s="5" cm="1">
        <f t="array" ref="U886">MAX(IF((DiscreteStatsTable[GroupByKey]=DiscreteStatsTable[[#This Row],[GroupByKey]]),(DiscreteStatsTable[GroupByKey]=DiscreteStatsTable[[#This Row],[GroupByKey]])*DiscreteStatsTable[Maximum]))</f>
        <v>34.374891013709401</v>
      </c>
      <c r="V886" s="5" cm="1">
        <f t="array" ref="V886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86" s="5">
        <f>IF((DiscreteStatsTable[[#This Row],[RepsRequested]]&gt;1),DiscreteStatsTable[[#This Row],[HalfWidth]],DiscreteStatsTable[[#This Row],[BatchMeansHalfWidth]])</f>
        <v>1.826049234208371</v>
      </c>
      <c r="X886" s="5" cm="1">
        <f t="array" ref="X886">COUNT(IF((DiscreteStatsTable[GroupByKey]=DiscreteStatsTable[[#This Row],[GroupByKey]]),(DiscreteStatsTable[GroupByKey]=DiscreteStatsTable[[#This Row],[GroupByKey]])*DiscreteStatsTable[Replication]))</f>
        <v>19</v>
      </c>
      <c r="Y886" s="5">
        <f>IF(DiscreteStatsTable[[#This Row],[RepsRequested]]=DiscreteStatsTable[[#This Row],[RepsWithStatObserved]],1,0)</f>
        <v>1</v>
      </c>
    </row>
    <row r="887" spans="1:25" x14ac:dyDescent="0.25">
      <c r="A887" t="s">
        <v>67</v>
      </c>
      <c r="B887" t="s">
        <v>69</v>
      </c>
      <c r="C887">
        <v>17</v>
      </c>
      <c r="D887" t="s">
        <v>117</v>
      </c>
      <c r="E887" t="s">
        <v>79</v>
      </c>
      <c r="F887" t="s">
        <v>80</v>
      </c>
      <c r="G887">
        <v>19.928281174968401</v>
      </c>
      <c r="H887">
        <v>2E+20</v>
      </c>
      <c r="I887">
        <v>0</v>
      </c>
      <c r="J887">
        <v>31.843646296482</v>
      </c>
      <c r="K887">
        <v>124</v>
      </c>
      <c r="L88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compartida)TiempoPromEnMesaExpressionUser Specified</v>
      </c>
      <c r="M887" s="5" cm="1">
        <f t="array" ref="M887">MAX(IF((ProjectInfoTable[ProjectName]=DiscreteStatsTable[[#This Row],[ProjectName]]),(ProjectInfoTable[ProjectName]=DiscreteStatsTable[[#This Row],[ProjectName]])*ProjectInfoTable[NumberOfReplications]))</f>
        <v>19</v>
      </c>
      <c r="N887" s="5" cm="1">
        <f t="array" ref="N887">IFERROR(AVERAGE(IF((DiscreteStatsTable[GroupByKey]=DiscreteStatsTable[[#This Row],[GroupByKey]]),(DiscreteStatsTable[GroupByKey]=DiscreteStatsTable[[#This Row],[GroupByKey]])*DiscreteStatsTable[Average])),0)</f>
        <v>17.206313798024606</v>
      </c>
      <c r="O887" s="5" cm="1">
        <f t="array" ref="O887">IFERROR(_xlfn.STDEV.S(IF((DiscreteStatsTable[GroupByKey]=DiscreteStatsTable[[#This Row],[GroupByKey]]),(DiscreteStatsTable[GroupByKey]=DiscreteStatsTable[[#This Row],[GroupByKey]])*DiscreteStatsTable[Average])),0)</f>
        <v>3.7886051578243847</v>
      </c>
      <c r="P887" s="5" cm="1">
        <f t="array" ref="P887">MAX(IF((ProjectInfoTable[ProjectName]=DiscreteStatsTable[[#This Row],[ProjectName]]),(ProjectInfoTable[ProjectName]=DiscreteStatsTable[[#This Row],[ProjectName]])*ProjectInfoTable[ConfidenceInterval]))</f>
        <v>0.95</v>
      </c>
      <c r="Q887" s="5">
        <f>IF(AND(DiscreteStatsTable[[#This Row],[RepsWithStatObserved]]=1,Y887=0),200000000000000000000,IFERROR(_xlfn.T.INV.2T(1 -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1.826049234208371</v>
      </c>
      <c r="R887" s="5" cm="1">
        <f t="array" ref="R887">MIN(IF((DiscreteStatsTable[GroupByKey]=DiscreteStatsTable[[#This Row],[GroupByKey]]),(DiscreteStatsTable[GroupByKey]=DiscreteStatsTable[[#This Row],[GroupByKey]])*DiscreteStatsTable[Average]))</f>
        <v>10.9249913192987</v>
      </c>
      <c r="S887" s="5" cm="1">
        <f t="array" ref="S887">MAX(IF((DiscreteStatsTable[GroupByKey]=DiscreteStatsTable[[#This Row],[GroupByKey]]),(DiscreteStatsTable[GroupByKey]=DiscreteStatsTable[[#This Row],[GroupByKey]])*DiscreteStatsTable[Average]))</f>
        <v>22.866424489953602</v>
      </c>
      <c r="T887" s="5" cm="1">
        <f t="array" ref="T887">MIN(IF((DiscreteStatsTable[GroupByKey]=DiscreteStatsTable[[#This Row],[GroupByKey]]),(DiscreteStatsTable[GroupByKey]=DiscreteStatsTable[[#This Row],[GroupByKey]])*DiscreteStatsTable[Minimum]))</f>
        <v>0</v>
      </c>
      <c r="U887" s="5" cm="1">
        <f t="array" ref="U887">MAX(IF((DiscreteStatsTable[GroupByKey]=DiscreteStatsTable[[#This Row],[GroupByKey]]),(DiscreteStatsTable[GroupByKey]=DiscreteStatsTable[[#This Row],[GroupByKey]])*DiscreteStatsTable[Maximum]))</f>
        <v>34.374891013709401</v>
      </c>
      <c r="V887" s="5" cm="1">
        <f t="array" ref="V887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87" s="5">
        <f>IF((DiscreteStatsTable[[#This Row],[RepsRequested]]&gt;1),DiscreteStatsTable[[#This Row],[HalfWidth]],DiscreteStatsTable[[#This Row],[BatchMeansHalfWidth]])</f>
        <v>1.826049234208371</v>
      </c>
      <c r="X887" s="5" cm="1">
        <f t="array" ref="X887">COUNT(IF((DiscreteStatsTable[GroupByKey]=DiscreteStatsTable[[#This Row],[GroupByKey]]),(DiscreteStatsTable[GroupByKey]=DiscreteStatsTable[[#This Row],[GroupByKey]])*DiscreteStatsTable[Replication]))</f>
        <v>19</v>
      </c>
      <c r="Y887" s="5">
        <f>IF(DiscreteStatsTable[[#This Row],[RepsRequested]]=DiscreteStatsTable[[#This Row],[RepsWithStatObserved]],1,0)</f>
        <v>1</v>
      </c>
    </row>
    <row r="888" spans="1:25" x14ac:dyDescent="0.25">
      <c r="A888" t="s">
        <v>67</v>
      </c>
      <c r="B888" t="s">
        <v>69</v>
      </c>
      <c r="C888">
        <v>18</v>
      </c>
      <c r="D888" t="s">
        <v>117</v>
      </c>
      <c r="E888" t="s">
        <v>79</v>
      </c>
      <c r="F888" t="s">
        <v>80</v>
      </c>
      <c r="G888">
        <v>20.529463085218701</v>
      </c>
      <c r="H888">
        <v>2E+20</v>
      </c>
      <c r="I888">
        <v>0</v>
      </c>
      <c r="J888">
        <v>34.374891013709401</v>
      </c>
      <c r="K888">
        <v>122</v>
      </c>
      <c r="L88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compartida)TiempoPromEnMesaExpressionUser Specified</v>
      </c>
      <c r="M888" s="5" cm="1">
        <f t="array" ref="M888">MAX(IF((ProjectInfoTable[ProjectName]=DiscreteStatsTable[[#This Row],[ProjectName]]),(ProjectInfoTable[ProjectName]=DiscreteStatsTable[[#This Row],[ProjectName]])*ProjectInfoTable[NumberOfReplications]))</f>
        <v>19</v>
      </c>
      <c r="N888" s="5" cm="1">
        <f t="array" ref="N888">IFERROR(AVERAGE(IF((DiscreteStatsTable[GroupByKey]=DiscreteStatsTable[[#This Row],[GroupByKey]]),(DiscreteStatsTable[GroupByKey]=DiscreteStatsTable[[#This Row],[GroupByKey]])*DiscreteStatsTable[Average])),0)</f>
        <v>17.206313798024606</v>
      </c>
      <c r="O888" s="5" cm="1">
        <f t="array" ref="O888">IFERROR(_xlfn.STDEV.S(IF((DiscreteStatsTable[GroupByKey]=DiscreteStatsTable[[#This Row],[GroupByKey]]),(DiscreteStatsTable[GroupByKey]=DiscreteStatsTable[[#This Row],[GroupByKey]])*DiscreteStatsTable[Average])),0)</f>
        <v>3.7886051578243847</v>
      </c>
      <c r="P888" s="5" cm="1">
        <f t="array" ref="P888">MAX(IF((ProjectInfoTable[ProjectName]=DiscreteStatsTable[[#This Row],[ProjectName]]),(ProjectInfoTable[ProjectName]=DiscreteStatsTable[[#This Row],[ProjectName]])*ProjectInfoTable[ConfidenceInterval]))</f>
        <v>0.95</v>
      </c>
      <c r="Q888" s="5">
        <f>IF(AND(DiscreteStatsTable[[#This Row],[RepsWithStatObserved]]=1,Y888=0),200000000000000000000,IFERROR(_xlfn.T.INV.2T(1 -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1.826049234208371</v>
      </c>
      <c r="R888" s="5" cm="1">
        <f t="array" ref="R888">MIN(IF((DiscreteStatsTable[GroupByKey]=DiscreteStatsTable[[#This Row],[GroupByKey]]),(DiscreteStatsTable[GroupByKey]=DiscreteStatsTable[[#This Row],[GroupByKey]])*DiscreteStatsTable[Average]))</f>
        <v>10.9249913192987</v>
      </c>
      <c r="S888" s="5" cm="1">
        <f t="array" ref="S888">MAX(IF((DiscreteStatsTable[GroupByKey]=DiscreteStatsTable[[#This Row],[GroupByKey]]),(DiscreteStatsTable[GroupByKey]=DiscreteStatsTable[[#This Row],[GroupByKey]])*DiscreteStatsTable[Average]))</f>
        <v>22.866424489953602</v>
      </c>
      <c r="T888" s="5" cm="1">
        <f t="array" ref="T888">MIN(IF((DiscreteStatsTable[GroupByKey]=DiscreteStatsTable[[#This Row],[GroupByKey]]),(DiscreteStatsTable[GroupByKey]=DiscreteStatsTable[[#This Row],[GroupByKey]])*DiscreteStatsTable[Minimum]))</f>
        <v>0</v>
      </c>
      <c r="U888" s="5" cm="1">
        <f t="array" ref="U888">MAX(IF((DiscreteStatsTable[GroupByKey]=DiscreteStatsTable[[#This Row],[GroupByKey]]),(DiscreteStatsTable[GroupByKey]=DiscreteStatsTable[[#This Row],[GroupByKey]])*DiscreteStatsTable[Maximum]))</f>
        <v>34.374891013709401</v>
      </c>
      <c r="V888" s="5" cm="1">
        <f t="array" ref="V888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88" s="5">
        <f>IF((DiscreteStatsTable[[#This Row],[RepsRequested]]&gt;1),DiscreteStatsTable[[#This Row],[HalfWidth]],DiscreteStatsTable[[#This Row],[BatchMeansHalfWidth]])</f>
        <v>1.826049234208371</v>
      </c>
      <c r="X888" s="5" cm="1">
        <f t="array" ref="X888">COUNT(IF((DiscreteStatsTable[GroupByKey]=DiscreteStatsTable[[#This Row],[GroupByKey]]),(DiscreteStatsTable[GroupByKey]=DiscreteStatsTable[[#This Row],[GroupByKey]])*DiscreteStatsTable[Replication]))</f>
        <v>19</v>
      </c>
      <c r="Y888" s="5">
        <f>IF(DiscreteStatsTable[[#This Row],[RepsRequested]]=DiscreteStatsTable[[#This Row],[RepsWithStatObserved]],1,0)</f>
        <v>1</v>
      </c>
    </row>
    <row r="889" spans="1:25" x14ac:dyDescent="0.25">
      <c r="A889" t="s">
        <v>67</v>
      </c>
      <c r="B889" t="s">
        <v>69</v>
      </c>
      <c r="C889">
        <v>19</v>
      </c>
      <c r="D889" t="s">
        <v>117</v>
      </c>
      <c r="E889" t="s">
        <v>79</v>
      </c>
      <c r="F889" t="s">
        <v>80</v>
      </c>
      <c r="G889">
        <v>11.708342404370599</v>
      </c>
      <c r="H889">
        <v>2E+20</v>
      </c>
      <c r="I889">
        <v>0</v>
      </c>
      <c r="J889">
        <v>19.735585972751998</v>
      </c>
      <c r="K889">
        <v>121</v>
      </c>
      <c r="L88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compartida)TiempoPromEnMesaExpressionUser Specified</v>
      </c>
      <c r="M889" s="5" cm="1">
        <f t="array" ref="M889">MAX(IF((ProjectInfoTable[ProjectName]=DiscreteStatsTable[[#This Row],[ProjectName]]),(ProjectInfoTable[ProjectName]=DiscreteStatsTable[[#This Row],[ProjectName]])*ProjectInfoTable[NumberOfReplications]))</f>
        <v>19</v>
      </c>
      <c r="N889" s="5" cm="1">
        <f t="array" ref="N889">IFERROR(AVERAGE(IF((DiscreteStatsTable[GroupByKey]=DiscreteStatsTable[[#This Row],[GroupByKey]]),(DiscreteStatsTable[GroupByKey]=DiscreteStatsTable[[#This Row],[GroupByKey]])*DiscreteStatsTable[Average])),0)</f>
        <v>17.206313798024606</v>
      </c>
      <c r="O889" s="5" cm="1">
        <f t="array" ref="O889">IFERROR(_xlfn.STDEV.S(IF((DiscreteStatsTable[GroupByKey]=DiscreteStatsTable[[#This Row],[GroupByKey]]),(DiscreteStatsTable[GroupByKey]=DiscreteStatsTable[[#This Row],[GroupByKey]])*DiscreteStatsTable[Average])),0)</f>
        <v>3.7886051578243847</v>
      </c>
      <c r="P889" s="5" cm="1">
        <f t="array" ref="P889">MAX(IF((ProjectInfoTable[ProjectName]=DiscreteStatsTable[[#This Row],[ProjectName]]),(ProjectInfoTable[ProjectName]=DiscreteStatsTable[[#This Row],[ProjectName]])*ProjectInfoTable[ConfidenceInterval]))</f>
        <v>0.95</v>
      </c>
      <c r="Q889" s="5">
        <f>IF(AND(DiscreteStatsTable[[#This Row],[RepsWithStatObserved]]=1,Y889=0),200000000000000000000,IFERROR(_xlfn.T.INV.2T(1 -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1.826049234208371</v>
      </c>
      <c r="R889" s="5" cm="1">
        <f t="array" ref="R889">MIN(IF((DiscreteStatsTable[GroupByKey]=DiscreteStatsTable[[#This Row],[GroupByKey]]),(DiscreteStatsTable[GroupByKey]=DiscreteStatsTable[[#This Row],[GroupByKey]])*DiscreteStatsTable[Average]))</f>
        <v>10.9249913192987</v>
      </c>
      <c r="S889" s="5" cm="1">
        <f t="array" ref="S889">MAX(IF((DiscreteStatsTable[GroupByKey]=DiscreteStatsTable[[#This Row],[GroupByKey]]),(DiscreteStatsTable[GroupByKey]=DiscreteStatsTable[[#This Row],[GroupByKey]])*DiscreteStatsTable[Average]))</f>
        <v>22.866424489953602</v>
      </c>
      <c r="T889" s="5" cm="1">
        <f t="array" ref="T889">MIN(IF((DiscreteStatsTable[GroupByKey]=DiscreteStatsTable[[#This Row],[GroupByKey]]),(DiscreteStatsTable[GroupByKey]=DiscreteStatsTable[[#This Row],[GroupByKey]])*DiscreteStatsTable[Minimum]))</f>
        <v>0</v>
      </c>
      <c r="U889" s="5" cm="1">
        <f t="array" ref="U889">MAX(IF((DiscreteStatsTable[GroupByKey]=DiscreteStatsTable[[#This Row],[GroupByKey]]),(DiscreteStatsTable[GroupByKey]=DiscreteStatsTable[[#This Row],[GroupByKey]])*DiscreteStatsTable[Maximum]))</f>
        <v>34.374891013709401</v>
      </c>
      <c r="V889" s="5" cm="1">
        <f t="array" ref="V889">IFERROR(AVERAGE(IF((DiscreteStatsTable[GroupByKey]=DiscreteStatsTable[[#This Row],[GroupByKey]]),(DiscreteStatsTable[GroupByKey]=DiscreteStatsTable[[#This Row],[GroupByKey]])*DiscreteStatsTable[NumberObservations])),0)</f>
        <v>122.36842105263158</v>
      </c>
      <c r="W889" s="5">
        <f>IF((DiscreteStatsTable[[#This Row],[RepsRequested]]&gt;1),DiscreteStatsTable[[#This Row],[HalfWidth]],DiscreteStatsTable[[#This Row],[BatchMeansHalfWidth]])</f>
        <v>1.826049234208371</v>
      </c>
      <c r="X889" s="5" cm="1">
        <f t="array" ref="X889">COUNT(IF((DiscreteStatsTable[GroupByKey]=DiscreteStatsTable[[#This Row],[GroupByKey]]),(DiscreteStatsTable[GroupByKey]=DiscreteStatsTable[[#This Row],[GroupByKey]])*DiscreteStatsTable[Replication]))</f>
        <v>19</v>
      </c>
      <c r="Y889" s="5">
        <f>IF(DiscreteStatsTable[[#This Row],[RepsRequested]]=DiscreteStatsTable[[#This Row],[RepsWithStatObserved]],1,0)</f>
        <v>1</v>
      </c>
    </row>
    <row r="890" spans="1:25" x14ac:dyDescent="0.25">
      <c r="A890" t="s">
        <v>67</v>
      </c>
      <c r="B890" t="s">
        <v>69</v>
      </c>
      <c r="C890">
        <v>1</v>
      </c>
      <c r="D890" t="s">
        <v>118</v>
      </c>
      <c r="E890" t="s">
        <v>79</v>
      </c>
      <c r="F890" t="s">
        <v>80</v>
      </c>
      <c r="G890">
        <v>23.5684194805701</v>
      </c>
      <c r="H890">
        <v>2E+20</v>
      </c>
      <c r="I890">
        <v>23.5684194805701</v>
      </c>
      <c r="J890">
        <v>23.5684194805701</v>
      </c>
      <c r="K890">
        <v>1</v>
      </c>
      <c r="L89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compartida)TiempoSistemaTodosH1ExpressionUser Specified</v>
      </c>
      <c r="M890" s="5" cm="1">
        <f t="array" ref="M890">MAX(IF((ProjectInfoTable[ProjectName]=DiscreteStatsTable[[#This Row],[ProjectName]]),(ProjectInfoTable[ProjectName]=DiscreteStatsTable[[#This Row],[ProjectName]])*ProjectInfoTable[NumberOfReplications]))</f>
        <v>19</v>
      </c>
      <c r="N890" s="5" cm="1">
        <f t="array" ref="N890">IFERROR(AVERAGE(IF((DiscreteStatsTable[GroupByKey]=DiscreteStatsTable[[#This Row],[GroupByKey]]),(DiscreteStatsTable[GroupByKey]=DiscreteStatsTable[[#This Row],[GroupByKey]])*DiscreteStatsTable[Average])),0)</f>
        <v>7.21924481490937</v>
      </c>
      <c r="O890" s="5" cm="1">
        <f t="array" ref="O890">IFERROR(_xlfn.STDEV.S(IF((DiscreteStatsTable[GroupByKey]=DiscreteStatsTable[[#This Row],[GroupByKey]]),(DiscreteStatsTable[GroupByKey]=DiscreteStatsTable[[#This Row],[GroupByKey]])*DiscreteStatsTable[Average])),0)</f>
        <v>4.6581447823048947</v>
      </c>
      <c r="P890" s="5" cm="1">
        <f t="array" ref="P890">MAX(IF((ProjectInfoTable[ProjectName]=DiscreteStatsTable[[#This Row],[ProjectName]]),(ProjectInfoTable[ProjectName]=DiscreteStatsTable[[#This Row],[ProjectName]])*ProjectInfoTable[ConfidenceInterval]))</f>
        <v>0.95</v>
      </c>
      <c r="Q890" s="5">
        <f>IF(AND(DiscreteStatsTable[[#This Row],[RepsWithStatObserved]]=1,Y890=0),200000000000000000000,IFERROR(_xlfn.T.INV.2T(1 -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2.2451539176608639</v>
      </c>
      <c r="R890" s="5" cm="1">
        <f t="array" ref="R890">MIN(IF((DiscreteStatsTable[GroupByKey]=DiscreteStatsTable[[#This Row],[GroupByKey]]),(DiscreteStatsTable[GroupByKey]=DiscreteStatsTable[[#This Row],[GroupByKey]])*DiscreteStatsTable[Average]))</f>
        <v>3.5254104253296199</v>
      </c>
      <c r="S890" s="5" cm="1">
        <f t="array" ref="S890">MAX(IF((DiscreteStatsTable[GroupByKey]=DiscreteStatsTable[[#This Row],[GroupByKey]]),(DiscreteStatsTable[GroupByKey]=DiscreteStatsTable[[#This Row],[GroupByKey]])*DiscreteStatsTable[Average]))</f>
        <v>23.5684194805701</v>
      </c>
      <c r="T890" s="5" cm="1">
        <f t="array" ref="T890">MIN(IF((DiscreteStatsTable[GroupByKey]=DiscreteStatsTable[[#This Row],[GroupByKey]]),(DiscreteStatsTable[GroupByKey]=DiscreteStatsTable[[#This Row],[GroupByKey]])*DiscreteStatsTable[Minimum]))</f>
        <v>3.5254104253296199</v>
      </c>
      <c r="U890" s="5" cm="1">
        <f t="array" ref="U890">MAX(IF((DiscreteStatsTable[GroupByKey]=DiscreteStatsTable[[#This Row],[GroupByKey]]),(DiscreteStatsTable[GroupByKey]=DiscreteStatsTable[[#This Row],[GroupByKey]])*DiscreteStatsTable[Maximum]))</f>
        <v>23.5684194805701</v>
      </c>
      <c r="V890" s="5" cm="1">
        <f t="array" ref="V890">IFERROR(AVERAGE(IF((DiscreteStatsTable[GroupByKey]=DiscreteStatsTable[[#This Row],[GroupByKey]]),(DiscreteStatsTable[GroupByKey]=DiscreteStatsTable[[#This Row],[GroupByKey]])*DiscreteStatsTable[NumberObservations])),0)</f>
        <v>1</v>
      </c>
      <c r="W890" s="5">
        <f>IF((DiscreteStatsTable[[#This Row],[RepsRequested]]&gt;1),DiscreteStatsTable[[#This Row],[HalfWidth]],DiscreteStatsTable[[#This Row],[BatchMeansHalfWidth]])</f>
        <v>2.2451539176608639</v>
      </c>
      <c r="X890" s="5" cm="1">
        <f t="array" ref="X890">COUNT(IF((DiscreteStatsTable[GroupByKey]=DiscreteStatsTable[[#This Row],[GroupByKey]]),(DiscreteStatsTable[GroupByKey]=DiscreteStatsTable[[#This Row],[GroupByKey]])*DiscreteStatsTable[Replication]))</f>
        <v>19</v>
      </c>
      <c r="Y890" s="5">
        <f>IF(DiscreteStatsTable[[#This Row],[RepsRequested]]=DiscreteStatsTable[[#This Row],[RepsWithStatObserved]],1,0)</f>
        <v>1</v>
      </c>
    </row>
    <row r="891" spans="1:25" x14ac:dyDescent="0.25">
      <c r="A891" t="s">
        <v>67</v>
      </c>
      <c r="B891" t="s">
        <v>69</v>
      </c>
      <c r="C891">
        <v>2</v>
      </c>
      <c r="D891" t="s">
        <v>118</v>
      </c>
      <c r="E891" t="s">
        <v>79</v>
      </c>
      <c r="F891" t="s">
        <v>80</v>
      </c>
      <c r="G891">
        <v>4.8608168712678204</v>
      </c>
      <c r="H891">
        <v>2E+20</v>
      </c>
      <c r="I891">
        <v>4.8608168712678204</v>
      </c>
      <c r="J891">
        <v>4.8608168712678204</v>
      </c>
      <c r="K891">
        <v>1</v>
      </c>
      <c r="L89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compartida)TiempoSistemaTodosH1ExpressionUser Specified</v>
      </c>
      <c r="M891" s="5" cm="1">
        <f t="array" ref="M891">MAX(IF((ProjectInfoTable[ProjectName]=DiscreteStatsTable[[#This Row],[ProjectName]]),(ProjectInfoTable[ProjectName]=DiscreteStatsTable[[#This Row],[ProjectName]])*ProjectInfoTable[NumberOfReplications]))</f>
        <v>19</v>
      </c>
      <c r="N891" s="5" cm="1">
        <f t="array" ref="N891">IFERROR(AVERAGE(IF((DiscreteStatsTable[GroupByKey]=DiscreteStatsTable[[#This Row],[GroupByKey]]),(DiscreteStatsTable[GroupByKey]=DiscreteStatsTable[[#This Row],[GroupByKey]])*DiscreteStatsTable[Average])),0)</f>
        <v>7.21924481490937</v>
      </c>
      <c r="O891" s="5" cm="1">
        <f t="array" ref="O891">IFERROR(_xlfn.STDEV.S(IF((DiscreteStatsTable[GroupByKey]=DiscreteStatsTable[[#This Row],[GroupByKey]]),(DiscreteStatsTable[GroupByKey]=DiscreteStatsTable[[#This Row],[GroupByKey]])*DiscreteStatsTable[Average])),0)</f>
        <v>4.6581447823048947</v>
      </c>
      <c r="P891" s="5" cm="1">
        <f t="array" ref="P891">MAX(IF((ProjectInfoTable[ProjectName]=DiscreteStatsTable[[#This Row],[ProjectName]]),(ProjectInfoTable[ProjectName]=DiscreteStatsTable[[#This Row],[ProjectName]])*ProjectInfoTable[ConfidenceInterval]))</f>
        <v>0.95</v>
      </c>
      <c r="Q891" s="5">
        <f>IF(AND(DiscreteStatsTable[[#This Row],[RepsWithStatObserved]]=1,Y891=0),200000000000000000000,IFERROR(_xlfn.T.INV.2T(1 -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2.2451539176608639</v>
      </c>
      <c r="R891" s="5" cm="1">
        <f t="array" ref="R891">MIN(IF((DiscreteStatsTable[GroupByKey]=DiscreteStatsTable[[#This Row],[GroupByKey]]),(DiscreteStatsTable[GroupByKey]=DiscreteStatsTable[[#This Row],[GroupByKey]])*DiscreteStatsTable[Average]))</f>
        <v>3.5254104253296199</v>
      </c>
      <c r="S891" s="5" cm="1">
        <f t="array" ref="S891">MAX(IF((DiscreteStatsTable[GroupByKey]=DiscreteStatsTable[[#This Row],[GroupByKey]]),(DiscreteStatsTable[GroupByKey]=DiscreteStatsTable[[#This Row],[GroupByKey]])*DiscreteStatsTable[Average]))</f>
        <v>23.5684194805701</v>
      </c>
      <c r="T891" s="5" cm="1">
        <f t="array" ref="T891">MIN(IF((DiscreteStatsTable[GroupByKey]=DiscreteStatsTable[[#This Row],[GroupByKey]]),(DiscreteStatsTable[GroupByKey]=DiscreteStatsTable[[#This Row],[GroupByKey]])*DiscreteStatsTable[Minimum]))</f>
        <v>3.5254104253296199</v>
      </c>
      <c r="U891" s="5" cm="1">
        <f t="array" ref="U891">MAX(IF((DiscreteStatsTable[GroupByKey]=DiscreteStatsTable[[#This Row],[GroupByKey]]),(DiscreteStatsTable[GroupByKey]=DiscreteStatsTable[[#This Row],[GroupByKey]])*DiscreteStatsTable[Maximum]))</f>
        <v>23.5684194805701</v>
      </c>
      <c r="V891" s="5" cm="1">
        <f t="array" ref="V891">IFERROR(AVERAGE(IF((DiscreteStatsTable[GroupByKey]=DiscreteStatsTable[[#This Row],[GroupByKey]]),(DiscreteStatsTable[GroupByKey]=DiscreteStatsTable[[#This Row],[GroupByKey]])*DiscreteStatsTable[NumberObservations])),0)</f>
        <v>1</v>
      </c>
      <c r="W891" s="5">
        <f>IF((DiscreteStatsTable[[#This Row],[RepsRequested]]&gt;1),DiscreteStatsTable[[#This Row],[HalfWidth]],DiscreteStatsTable[[#This Row],[BatchMeansHalfWidth]])</f>
        <v>2.2451539176608639</v>
      </c>
      <c r="X891" s="5" cm="1">
        <f t="array" ref="X891">COUNT(IF((DiscreteStatsTable[GroupByKey]=DiscreteStatsTable[[#This Row],[GroupByKey]]),(DiscreteStatsTable[GroupByKey]=DiscreteStatsTable[[#This Row],[GroupByKey]])*DiscreteStatsTable[Replication]))</f>
        <v>19</v>
      </c>
      <c r="Y891" s="5">
        <f>IF(DiscreteStatsTable[[#This Row],[RepsRequested]]=DiscreteStatsTable[[#This Row],[RepsWithStatObserved]],1,0)</f>
        <v>1</v>
      </c>
    </row>
    <row r="892" spans="1:25" x14ac:dyDescent="0.25">
      <c r="A892" t="s">
        <v>67</v>
      </c>
      <c r="B892" t="s">
        <v>69</v>
      </c>
      <c r="C892">
        <v>3</v>
      </c>
      <c r="D892" t="s">
        <v>118</v>
      </c>
      <c r="E892" t="s">
        <v>79</v>
      </c>
      <c r="F892" t="s">
        <v>80</v>
      </c>
      <c r="G892">
        <v>14.821270860799901</v>
      </c>
      <c r="H892">
        <v>2E+20</v>
      </c>
      <c r="I892">
        <v>14.821270860799901</v>
      </c>
      <c r="J892">
        <v>14.821270860799901</v>
      </c>
      <c r="K892">
        <v>1</v>
      </c>
      <c r="L89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compartida)TiempoSistemaTodosH1ExpressionUser Specified</v>
      </c>
      <c r="M892" s="5" cm="1">
        <f t="array" ref="M892">MAX(IF((ProjectInfoTable[ProjectName]=DiscreteStatsTable[[#This Row],[ProjectName]]),(ProjectInfoTable[ProjectName]=DiscreteStatsTable[[#This Row],[ProjectName]])*ProjectInfoTable[NumberOfReplications]))</f>
        <v>19</v>
      </c>
      <c r="N892" s="5" cm="1">
        <f t="array" ref="N892">IFERROR(AVERAGE(IF((DiscreteStatsTable[GroupByKey]=DiscreteStatsTable[[#This Row],[GroupByKey]]),(DiscreteStatsTable[GroupByKey]=DiscreteStatsTable[[#This Row],[GroupByKey]])*DiscreteStatsTable[Average])),0)</f>
        <v>7.21924481490937</v>
      </c>
      <c r="O892" s="5" cm="1">
        <f t="array" ref="O892">IFERROR(_xlfn.STDEV.S(IF((DiscreteStatsTable[GroupByKey]=DiscreteStatsTable[[#This Row],[GroupByKey]]),(DiscreteStatsTable[GroupByKey]=DiscreteStatsTable[[#This Row],[GroupByKey]])*DiscreteStatsTable[Average])),0)</f>
        <v>4.6581447823048947</v>
      </c>
      <c r="P892" s="5" cm="1">
        <f t="array" ref="P892">MAX(IF((ProjectInfoTable[ProjectName]=DiscreteStatsTable[[#This Row],[ProjectName]]),(ProjectInfoTable[ProjectName]=DiscreteStatsTable[[#This Row],[ProjectName]])*ProjectInfoTable[ConfidenceInterval]))</f>
        <v>0.95</v>
      </c>
      <c r="Q892" s="5">
        <f>IF(AND(DiscreteStatsTable[[#This Row],[RepsWithStatObserved]]=1,Y892=0),200000000000000000000,IFERROR(_xlfn.T.INV.2T(1 -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2.2451539176608639</v>
      </c>
      <c r="R892" s="5" cm="1">
        <f t="array" ref="R892">MIN(IF((DiscreteStatsTable[GroupByKey]=DiscreteStatsTable[[#This Row],[GroupByKey]]),(DiscreteStatsTable[GroupByKey]=DiscreteStatsTable[[#This Row],[GroupByKey]])*DiscreteStatsTable[Average]))</f>
        <v>3.5254104253296199</v>
      </c>
      <c r="S892" s="5" cm="1">
        <f t="array" ref="S892">MAX(IF((DiscreteStatsTable[GroupByKey]=DiscreteStatsTable[[#This Row],[GroupByKey]]),(DiscreteStatsTable[GroupByKey]=DiscreteStatsTable[[#This Row],[GroupByKey]])*DiscreteStatsTable[Average]))</f>
        <v>23.5684194805701</v>
      </c>
      <c r="T892" s="5" cm="1">
        <f t="array" ref="T892">MIN(IF((DiscreteStatsTable[GroupByKey]=DiscreteStatsTable[[#This Row],[GroupByKey]]),(DiscreteStatsTable[GroupByKey]=DiscreteStatsTable[[#This Row],[GroupByKey]])*DiscreteStatsTable[Minimum]))</f>
        <v>3.5254104253296199</v>
      </c>
      <c r="U892" s="5" cm="1">
        <f t="array" ref="U892">MAX(IF((DiscreteStatsTable[GroupByKey]=DiscreteStatsTable[[#This Row],[GroupByKey]]),(DiscreteStatsTable[GroupByKey]=DiscreteStatsTable[[#This Row],[GroupByKey]])*DiscreteStatsTable[Maximum]))</f>
        <v>23.5684194805701</v>
      </c>
      <c r="V892" s="5" cm="1">
        <f t="array" ref="V892">IFERROR(AVERAGE(IF((DiscreteStatsTable[GroupByKey]=DiscreteStatsTable[[#This Row],[GroupByKey]]),(DiscreteStatsTable[GroupByKey]=DiscreteStatsTable[[#This Row],[GroupByKey]])*DiscreteStatsTable[NumberObservations])),0)</f>
        <v>1</v>
      </c>
      <c r="W892" s="5">
        <f>IF((DiscreteStatsTable[[#This Row],[RepsRequested]]&gt;1),DiscreteStatsTable[[#This Row],[HalfWidth]],DiscreteStatsTable[[#This Row],[BatchMeansHalfWidth]])</f>
        <v>2.2451539176608639</v>
      </c>
      <c r="X892" s="5" cm="1">
        <f t="array" ref="X892">COUNT(IF((DiscreteStatsTable[GroupByKey]=DiscreteStatsTable[[#This Row],[GroupByKey]]),(DiscreteStatsTable[GroupByKey]=DiscreteStatsTable[[#This Row],[GroupByKey]])*DiscreteStatsTable[Replication]))</f>
        <v>19</v>
      </c>
      <c r="Y892" s="5">
        <f>IF(DiscreteStatsTable[[#This Row],[RepsRequested]]=DiscreteStatsTable[[#This Row],[RepsWithStatObserved]],1,0)</f>
        <v>1</v>
      </c>
    </row>
    <row r="893" spans="1:25" x14ac:dyDescent="0.25">
      <c r="A893" t="s">
        <v>67</v>
      </c>
      <c r="B893" t="s">
        <v>69</v>
      </c>
      <c r="C893">
        <v>4</v>
      </c>
      <c r="D893" t="s">
        <v>118</v>
      </c>
      <c r="E893" t="s">
        <v>79</v>
      </c>
      <c r="F893" t="s">
        <v>80</v>
      </c>
      <c r="G893">
        <v>4.6185931522815604</v>
      </c>
      <c r="H893">
        <v>2E+20</v>
      </c>
      <c r="I893">
        <v>4.6185931522815604</v>
      </c>
      <c r="J893">
        <v>4.6185931522815604</v>
      </c>
      <c r="K893">
        <v>1</v>
      </c>
      <c r="L89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compartida)TiempoSistemaTodosH1ExpressionUser Specified</v>
      </c>
      <c r="M893" s="5" cm="1">
        <f t="array" ref="M893">MAX(IF((ProjectInfoTable[ProjectName]=DiscreteStatsTable[[#This Row],[ProjectName]]),(ProjectInfoTable[ProjectName]=DiscreteStatsTable[[#This Row],[ProjectName]])*ProjectInfoTable[NumberOfReplications]))</f>
        <v>19</v>
      </c>
      <c r="N893" s="5" cm="1">
        <f t="array" ref="N893">IFERROR(AVERAGE(IF((DiscreteStatsTable[GroupByKey]=DiscreteStatsTable[[#This Row],[GroupByKey]]),(DiscreteStatsTable[GroupByKey]=DiscreteStatsTable[[#This Row],[GroupByKey]])*DiscreteStatsTable[Average])),0)</f>
        <v>7.21924481490937</v>
      </c>
      <c r="O893" s="5" cm="1">
        <f t="array" ref="O893">IFERROR(_xlfn.STDEV.S(IF((DiscreteStatsTable[GroupByKey]=DiscreteStatsTable[[#This Row],[GroupByKey]]),(DiscreteStatsTable[GroupByKey]=DiscreteStatsTable[[#This Row],[GroupByKey]])*DiscreteStatsTable[Average])),0)</f>
        <v>4.6581447823048947</v>
      </c>
      <c r="P893" s="5" cm="1">
        <f t="array" ref="P893">MAX(IF((ProjectInfoTable[ProjectName]=DiscreteStatsTable[[#This Row],[ProjectName]]),(ProjectInfoTable[ProjectName]=DiscreteStatsTable[[#This Row],[ProjectName]])*ProjectInfoTable[ConfidenceInterval]))</f>
        <v>0.95</v>
      </c>
      <c r="Q893" s="5">
        <f>IF(AND(DiscreteStatsTable[[#This Row],[RepsWithStatObserved]]=1,Y893=0),200000000000000000000,IFERROR(_xlfn.T.INV.2T(1 -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2.2451539176608639</v>
      </c>
      <c r="R893" s="5" cm="1">
        <f t="array" ref="R893">MIN(IF((DiscreteStatsTable[GroupByKey]=DiscreteStatsTable[[#This Row],[GroupByKey]]),(DiscreteStatsTable[GroupByKey]=DiscreteStatsTable[[#This Row],[GroupByKey]])*DiscreteStatsTable[Average]))</f>
        <v>3.5254104253296199</v>
      </c>
      <c r="S893" s="5" cm="1">
        <f t="array" ref="S893">MAX(IF((DiscreteStatsTable[GroupByKey]=DiscreteStatsTable[[#This Row],[GroupByKey]]),(DiscreteStatsTable[GroupByKey]=DiscreteStatsTable[[#This Row],[GroupByKey]])*DiscreteStatsTable[Average]))</f>
        <v>23.5684194805701</v>
      </c>
      <c r="T893" s="5" cm="1">
        <f t="array" ref="T893">MIN(IF((DiscreteStatsTable[GroupByKey]=DiscreteStatsTable[[#This Row],[GroupByKey]]),(DiscreteStatsTable[GroupByKey]=DiscreteStatsTable[[#This Row],[GroupByKey]])*DiscreteStatsTable[Minimum]))</f>
        <v>3.5254104253296199</v>
      </c>
      <c r="U893" s="5" cm="1">
        <f t="array" ref="U893">MAX(IF((DiscreteStatsTable[GroupByKey]=DiscreteStatsTable[[#This Row],[GroupByKey]]),(DiscreteStatsTable[GroupByKey]=DiscreteStatsTable[[#This Row],[GroupByKey]])*DiscreteStatsTable[Maximum]))</f>
        <v>23.5684194805701</v>
      </c>
      <c r="V893" s="5" cm="1">
        <f t="array" ref="V893">IFERROR(AVERAGE(IF((DiscreteStatsTable[GroupByKey]=DiscreteStatsTable[[#This Row],[GroupByKey]]),(DiscreteStatsTable[GroupByKey]=DiscreteStatsTable[[#This Row],[GroupByKey]])*DiscreteStatsTable[NumberObservations])),0)</f>
        <v>1</v>
      </c>
      <c r="W893" s="5">
        <f>IF((DiscreteStatsTable[[#This Row],[RepsRequested]]&gt;1),DiscreteStatsTable[[#This Row],[HalfWidth]],DiscreteStatsTable[[#This Row],[BatchMeansHalfWidth]])</f>
        <v>2.2451539176608639</v>
      </c>
      <c r="X893" s="5" cm="1">
        <f t="array" ref="X893">COUNT(IF((DiscreteStatsTable[GroupByKey]=DiscreteStatsTable[[#This Row],[GroupByKey]]),(DiscreteStatsTable[GroupByKey]=DiscreteStatsTable[[#This Row],[GroupByKey]])*DiscreteStatsTable[Replication]))</f>
        <v>19</v>
      </c>
      <c r="Y893" s="5">
        <f>IF(DiscreteStatsTable[[#This Row],[RepsRequested]]=DiscreteStatsTable[[#This Row],[RepsWithStatObserved]],1,0)</f>
        <v>1</v>
      </c>
    </row>
    <row r="894" spans="1:25" x14ac:dyDescent="0.25">
      <c r="A894" t="s">
        <v>67</v>
      </c>
      <c r="B894" t="s">
        <v>69</v>
      </c>
      <c r="C894">
        <v>5</v>
      </c>
      <c r="D894" t="s">
        <v>118</v>
      </c>
      <c r="E894" t="s">
        <v>79</v>
      </c>
      <c r="F894" t="s">
        <v>80</v>
      </c>
      <c r="G894">
        <v>3.5254104253296199</v>
      </c>
      <c r="H894">
        <v>2E+20</v>
      </c>
      <c r="I894">
        <v>3.5254104253296199</v>
      </c>
      <c r="J894">
        <v>3.5254104253296199</v>
      </c>
      <c r="K894">
        <v>1</v>
      </c>
      <c r="L89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compartida)TiempoSistemaTodosH1ExpressionUser Specified</v>
      </c>
      <c r="M894" s="5" cm="1">
        <f t="array" ref="M894">MAX(IF((ProjectInfoTable[ProjectName]=DiscreteStatsTable[[#This Row],[ProjectName]]),(ProjectInfoTable[ProjectName]=DiscreteStatsTable[[#This Row],[ProjectName]])*ProjectInfoTable[NumberOfReplications]))</f>
        <v>19</v>
      </c>
      <c r="N894" s="5" cm="1">
        <f t="array" ref="N894">IFERROR(AVERAGE(IF((DiscreteStatsTable[GroupByKey]=DiscreteStatsTable[[#This Row],[GroupByKey]]),(DiscreteStatsTable[GroupByKey]=DiscreteStatsTable[[#This Row],[GroupByKey]])*DiscreteStatsTable[Average])),0)</f>
        <v>7.21924481490937</v>
      </c>
      <c r="O894" s="5" cm="1">
        <f t="array" ref="O894">IFERROR(_xlfn.STDEV.S(IF((DiscreteStatsTable[GroupByKey]=DiscreteStatsTable[[#This Row],[GroupByKey]]),(DiscreteStatsTable[GroupByKey]=DiscreteStatsTable[[#This Row],[GroupByKey]])*DiscreteStatsTable[Average])),0)</f>
        <v>4.6581447823048947</v>
      </c>
      <c r="P894" s="5" cm="1">
        <f t="array" ref="P894">MAX(IF((ProjectInfoTable[ProjectName]=DiscreteStatsTable[[#This Row],[ProjectName]]),(ProjectInfoTable[ProjectName]=DiscreteStatsTable[[#This Row],[ProjectName]])*ProjectInfoTable[ConfidenceInterval]))</f>
        <v>0.95</v>
      </c>
      <c r="Q894" s="5">
        <f>IF(AND(DiscreteStatsTable[[#This Row],[RepsWithStatObserved]]=1,Y894=0),200000000000000000000,IFERROR(_xlfn.T.INV.2T(1 -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2.2451539176608639</v>
      </c>
      <c r="R894" s="5" cm="1">
        <f t="array" ref="R894">MIN(IF((DiscreteStatsTable[GroupByKey]=DiscreteStatsTable[[#This Row],[GroupByKey]]),(DiscreteStatsTable[GroupByKey]=DiscreteStatsTable[[#This Row],[GroupByKey]])*DiscreteStatsTable[Average]))</f>
        <v>3.5254104253296199</v>
      </c>
      <c r="S894" s="5" cm="1">
        <f t="array" ref="S894">MAX(IF((DiscreteStatsTable[GroupByKey]=DiscreteStatsTable[[#This Row],[GroupByKey]]),(DiscreteStatsTable[GroupByKey]=DiscreteStatsTable[[#This Row],[GroupByKey]])*DiscreteStatsTable[Average]))</f>
        <v>23.5684194805701</v>
      </c>
      <c r="T894" s="5" cm="1">
        <f t="array" ref="T894">MIN(IF((DiscreteStatsTable[GroupByKey]=DiscreteStatsTable[[#This Row],[GroupByKey]]),(DiscreteStatsTable[GroupByKey]=DiscreteStatsTable[[#This Row],[GroupByKey]])*DiscreteStatsTable[Minimum]))</f>
        <v>3.5254104253296199</v>
      </c>
      <c r="U894" s="5" cm="1">
        <f t="array" ref="U894">MAX(IF((DiscreteStatsTable[GroupByKey]=DiscreteStatsTable[[#This Row],[GroupByKey]]),(DiscreteStatsTable[GroupByKey]=DiscreteStatsTable[[#This Row],[GroupByKey]])*DiscreteStatsTable[Maximum]))</f>
        <v>23.5684194805701</v>
      </c>
      <c r="V894" s="5" cm="1">
        <f t="array" ref="V894">IFERROR(AVERAGE(IF((DiscreteStatsTable[GroupByKey]=DiscreteStatsTable[[#This Row],[GroupByKey]]),(DiscreteStatsTable[GroupByKey]=DiscreteStatsTable[[#This Row],[GroupByKey]])*DiscreteStatsTable[NumberObservations])),0)</f>
        <v>1</v>
      </c>
      <c r="W894" s="5">
        <f>IF((DiscreteStatsTable[[#This Row],[RepsRequested]]&gt;1),DiscreteStatsTable[[#This Row],[HalfWidth]],DiscreteStatsTable[[#This Row],[BatchMeansHalfWidth]])</f>
        <v>2.2451539176608639</v>
      </c>
      <c r="X894" s="5" cm="1">
        <f t="array" ref="X894">COUNT(IF((DiscreteStatsTable[GroupByKey]=DiscreteStatsTable[[#This Row],[GroupByKey]]),(DiscreteStatsTable[GroupByKey]=DiscreteStatsTable[[#This Row],[GroupByKey]])*DiscreteStatsTable[Replication]))</f>
        <v>19</v>
      </c>
      <c r="Y894" s="5">
        <f>IF(DiscreteStatsTable[[#This Row],[RepsRequested]]=DiscreteStatsTable[[#This Row],[RepsWithStatObserved]],1,0)</f>
        <v>1</v>
      </c>
    </row>
    <row r="895" spans="1:25" x14ac:dyDescent="0.25">
      <c r="A895" t="s">
        <v>67</v>
      </c>
      <c r="B895" t="s">
        <v>69</v>
      </c>
      <c r="C895">
        <v>6</v>
      </c>
      <c r="D895" t="s">
        <v>118</v>
      </c>
      <c r="E895" t="s">
        <v>79</v>
      </c>
      <c r="F895" t="s">
        <v>80</v>
      </c>
      <c r="G895">
        <v>6.52510542525315</v>
      </c>
      <c r="H895">
        <v>2E+20</v>
      </c>
      <c r="I895">
        <v>6.52510542525315</v>
      </c>
      <c r="J895">
        <v>6.52510542525315</v>
      </c>
      <c r="K895">
        <v>1</v>
      </c>
      <c r="L89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compartida)TiempoSistemaTodosH1ExpressionUser Specified</v>
      </c>
      <c r="M895" s="5" cm="1">
        <f t="array" ref="M895">MAX(IF((ProjectInfoTable[ProjectName]=DiscreteStatsTable[[#This Row],[ProjectName]]),(ProjectInfoTable[ProjectName]=DiscreteStatsTable[[#This Row],[ProjectName]])*ProjectInfoTable[NumberOfReplications]))</f>
        <v>19</v>
      </c>
      <c r="N895" s="5" cm="1">
        <f t="array" ref="N895">IFERROR(AVERAGE(IF((DiscreteStatsTable[GroupByKey]=DiscreteStatsTable[[#This Row],[GroupByKey]]),(DiscreteStatsTable[GroupByKey]=DiscreteStatsTable[[#This Row],[GroupByKey]])*DiscreteStatsTable[Average])),0)</f>
        <v>7.21924481490937</v>
      </c>
      <c r="O895" s="5" cm="1">
        <f t="array" ref="O895">IFERROR(_xlfn.STDEV.S(IF((DiscreteStatsTable[GroupByKey]=DiscreteStatsTable[[#This Row],[GroupByKey]]),(DiscreteStatsTable[GroupByKey]=DiscreteStatsTable[[#This Row],[GroupByKey]])*DiscreteStatsTable[Average])),0)</f>
        <v>4.6581447823048947</v>
      </c>
      <c r="P895" s="5" cm="1">
        <f t="array" ref="P895">MAX(IF((ProjectInfoTable[ProjectName]=DiscreteStatsTable[[#This Row],[ProjectName]]),(ProjectInfoTable[ProjectName]=DiscreteStatsTable[[#This Row],[ProjectName]])*ProjectInfoTable[ConfidenceInterval]))</f>
        <v>0.95</v>
      </c>
      <c r="Q895" s="5">
        <f>IF(AND(DiscreteStatsTable[[#This Row],[RepsWithStatObserved]]=1,Y895=0),200000000000000000000,IFERROR(_xlfn.T.INV.2T(1 -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2.2451539176608639</v>
      </c>
      <c r="R895" s="5" cm="1">
        <f t="array" ref="R895">MIN(IF((DiscreteStatsTable[GroupByKey]=DiscreteStatsTable[[#This Row],[GroupByKey]]),(DiscreteStatsTable[GroupByKey]=DiscreteStatsTable[[#This Row],[GroupByKey]])*DiscreteStatsTable[Average]))</f>
        <v>3.5254104253296199</v>
      </c>
      <c r="S895" s="5" cm="1">
        <f t="array" ref="S895">MAX(IF((DiscreteStatsTable[GroupByKey]=DiscreteStatsTable[[#This Row],[GroupByKey]]),(DiscreteStatsTable[GroupByKey]=DiscreteStatsTable[[#This Row],[GroupByKey]])*DiscreteStatsTable[Average]))</f>
        <v>23.5684194805701</v>
      </c>
      <c r="T895" s="5" cm="1">
        <f t="array" ref="T895">MIN(IF((DiscreteStatsTable[GroupByKey]=DiscreteStatsTable[[#This Row],[GroupByKey]]),(DiscreteStatsTable[GroupByKey]=DiscreteStatsTable[[#This Row],[GroupByKey]])*DiscreteStatsTable[Minimum]))</f>
        <v>3.5254104253296199</v>
      </c>
      <c r="U895" s="5" cm="1">
        <f t="array" ref="U895">MAX(IF((DiscreteStatsTable[GroupByKey]=DiscreteStatsTable[[#This Row],[GroupByKey]]),(DiscreteStatsTable[GroupByKey]=DiscreteStatsTable[[#This Row],[GroupByKey]])*DiscreteStatsTable[Maximum]))</f>
        <v>23.5684194805701</v>
      </c>
      <c r="V895" s="5" cm="1">
        <f t="array" ref="V895">IFERROR(AVERAGE(IF((DiscreteStatsTable[GroupByKey]=DiscreteStatsTable[[#This Row],[GroupByKey]]),(DiscreteStatsTable[GroupByKey]=DiscreteStatsTable[[#This Row],[GroupByKey]])*DiscreteStatsTable[NumberObservations])),0)</f>
        <v>1</v>
      </c>
      <c r="W895" s="5">
        <f>IF((DiscreteStatsTable[[#This Row],[RepsRequested]]&gt;1),DiscreteStatsTable[[#This Row],[HalfWidth]],DiscreteStatsTable[[#This Row],[BatchMeansHalfWidth]])</f>
        <v>2.2451539176608639</v>
      </c>
      <c r="X895" s="5" cm="1">
        <f t="array" ref="X895">COUNT(IF((DiscreteStatsTable[GroupByKey]=DiscreteStatsTable[[#This Row],[GroupByKey]]),(DiscreteStatsTable[GroupByKey]=DiscreteStatsTable[[#This Row],[GroupByKey]])*DiscreteStatsTable[Replication]))</f>
        <v>19</v>
      </c>
      <c r="Y895" s="5">
        <f>IF(DiscreteStatsTable[[#This Row],[RepsRequested]]=DiscreteStatsTable[[#This Row],[RepsWithStatObserved]],1,0)</f>
        <v>1</v>
      </c>
    </row>
    <row r="896" spans="1:25" x14ac:dyDescent="0.25">
      <c r="A896" t="s">
        <v>67</v>
      </c>
      <c r="B896" t="s">
        <v>69</v>
      </c>
      <c r="C896">
        <v>7</v>
      </c>
      <c r="D896" t="s">
        <v>118</v>
      </c>
      <c r="E896" t="s">
        <v>79</v>
      </c>
      <c r="F896" t="s">
        <v>80</v>
      </c>
      <c r="G896">
        <v>5.1914002022162302</v>
      </c>
      <c r="H896">
        <v>2E+20</v>
      </c>
      <c r="I896">
        <v>5.1914002022162302</v>
      </c>
      <c r="J896">
        <v>5.1914002022162302</v>
      </c>
      <c r="K896">
        <v>1</v>
      </c>
      <c r="L89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compartida)TiempoSistemaTodosH1ExpressionUser Specified</v>
      </c>
      <c r="M896" s="5" cm="1">
        <f t="array" ref="M896">MAX(IF((ProjectInfoTable[ProjectName]=DiscreteStatsTable[[#This Row],[ProjectName]]),(ProjectInfoTable[ProjectName]=DiscreteStatsTable[[#This Row],[ProjectName]])*ProjectInfoTable[NumberOfReplications]))</f>
        <v>19</v>
      </c>
      <c r="N896" s="5" cm="1">
        <f t="array" ref="N896">IFERROR(AVERAGE(IF((DiscreteStatsTable[GroupByKey]=DiscreteStatsTable[[#This Row],[GroupByKey]]),(DiscreteStatsTable[GroupByKey]=DiscreteStatsTable[[#This Row],[GroupByKey]])*DiscreteStatsTable[Average])),0)</f>
        <v>7.21924481490937</v>
      </c>
      <c r="O896" s="5" cm="1">
        <f t="array" ref="O896">IFERROR(_xlfn.STDEV.S(IF((DiscreteStatsTable[GroupByKey]=DiscreteStatsTable[[#This Row],[GroupByKey]]),(DiscreteStatsTable[GroupByKey]=DiscreteStatsTable[[#This Row],[GroupByKey]])*DiscreteStatsTable[Average])),0)</f>
        <v>4.6581447823048947</v>
      </c>
      <c r="P896" s="5" cm="1">
        <f t="array" ref="P896">MAX(IF((ProjectInfoTable[ProjectName]=DiscreteStatsTable[[#This Row],[ProjectName]]),(ProjectInfoTable[ProjectName]=DiscreteStatsTable[[#This Row],[ProjectName]])*ProjectInfoTable[ConfidenceInterval]))</f>
        <v>0.95</v>
      </c>
      <c r="Q896" s="5">
        <f>IF(AND(DiscreteStatsTable[[#This Row],[RepsWithStatObserved]]=1,Y896=0),200000000000000000000,IFERROR(_xlfn.T.INV.2T(1 -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2.2451539176608639</v>
      </c>
      <c r="R896" s="5" cm="1">
        <f t="array" ref="R896">MIN(IF((DiscreteStatsTable[GroupByKey]=DiscreteStatsTable[[#This Row],[GroupByKey]]),(DiscreteStatsTable[GroupByKey]=DiscreteStatsTable[[#This Row],[GroupByKey]])*DiscreteStatsTable[Average]))</f>
        <v>3.5254104253296199</v>
      </c>
      <c r="S896" s="5" cm="1">
        <f t="array" ref="S896">MAX(IF((DiscreteStatsTable[GroupByKey]=DiscreteStatsTable[[#This Row],[GroupByKey]]),(DiscreteStatsTable[GroupByKey]=DiscreteStatsTable[[#This Row],[GroupByKey]])*DiscreteStatsTable[Average]))</f>
        <v>23.5684194805701</v>
      </c>
      <c r="T896" s="5" cm="1">
        <f t="array" ref="T896">MIN(IF((DiscreteStatsTable[GroupByKey]=DiscreteStatsTable[[#This Row],[GroupByKey]]),(DiscreteStatsTable[GroupByKey]=DiscreteStatsTable[[#This Row],[GroupByKey]])*DiscreteStatsTable[Minimum]))</f>
        <v>3.5254104253296199</v>
      </c>
      <c r="U896" s="5" cm="1">
        <f t="array" ref="U896">MAX(IF((DiscreteStatsTable[GroupByKey]=DiscreteStatsTable[[#This Row],[GroupByKey]]),(DiscreteStatsTable[GroupByKey]=DiscreteStatsTable[[#This Row],[GroupByKey]])*DiscreteStatsTable[Maximum]))</f>
        <v>23.5684194805701</v>
      </c>
      <c r="V896" s="5" cm="1">
        <f t="array" ref="V896">IFERROR(AVERAGE(IF((DiscreteStatsTable[GroupByKey]=DiscreteStatsTable[[#This Row],[GroupByKey]]),(DiscreteStatsTable[GroupByKey]=DiscreteStatsTable[[#This Row],[GroupByKey]])*DiscreteStatsTable[NumberObservations])),0)</f>
        <v>1</v>
      </c>
      <c r="W896" s="5">
        <f>IF((DiscreteStatsTable[[#This Row],[RepsRequested]]&gt;1),DiscreteStatsTable[[#This Row],[HalfWidth]],DiscreteStatsTable[[#This Row],[BatchMeansHalfWidth]])</f>
        <v>2.2451539176608639</v>
      </c>
      <c r="X896" s="5" cm="1">
        <f t="array" ref="X896">COUNT(IF((DiscreteStatsTable[GroupByKey]=DiscreteStatsTable[[#This Row],[GroupByKey]]),(DiscreteStatsTable[GroupByKey]=DiscreteStatsTable[[#This Row],[GroupByKey]])*DiscreteStatsTable[Replication]))</f>
        <v>19</v>
      </c>
      <c r="Y896" s="5">
        <f>IF(DiscreteStatsTable[[#This Row],[RepsRequested]]=DiscreteStatsTable[[#This Row],[RepsWithStatObserved]],1,0)</f>
        <v>1</v>
      </c>
    </row>
    <row r="897" spans="1:25" x14ac:dyDescent="0.25">
      <c r="A897" t="s">
        <v>67</v>
      </c>
      <c r="B897" t="s">
        <v>69</v>
      </c>
      <c r="C897">
        <v>8</v>
      </c>
      <c r="D897" t="s">
        <v>118</v>
      </c>
      <c r="E897" t="s">
        <v>79</v>
      </c>
      <c r="F897" t="s">
        <v>80</v>
      </c>
      <c r="G897">
        <v>5.6071871288170998</v>
      </c>
      <c r="H897">
        <v>2E+20</v>
      </c>
      <c r="I897">
        <v>5.6071871288170998</v>
      </c>
      <c r="J897">
        <v>5.6071871288170998</v>
      </c>
      <c r="K897">
        <v>1</v>
      </c>
      <c r="L89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compartida)TiempoSistemaTodosH1ExpressionUser Specified</v>
      </c>
      <c r="M897" s="5" cm="1">
        <f t="array" ref="M897">MAX(IF((ProjectInfoTable[ProjectName]=DiscreteStatsTable[[#This Row],[ProjectName]]),(ProjectInfoTable[ProjectName]=DiscreteStatsTable[[#This Row],[ProjectName]])*ProjectInfoTable[NumberOfReplications]))</f>
        <v>19</v>
      </c>
      <c r="N897" s="5" cm="1">
        <f t="array" ref="N897">IFERROR(AVERAGE(IF((DiscreteStatsTable[GroupByKey]=DiscreteStatsTable[[#This Row],[GroupByKey]]),(DiscreteStatsTable[GroupByKey]=DiscreteStatsTable[[#This Row],[GroupByKey]])*DiscreteStatsTable[Average])),0)</f>
        <v>7.21924481490937</v>
      </c>
      <c r="O897" s="5" cm="1">
        <f t="array" ref="O897">IFERROR(_xlfn.STDEV.S(IF((DiscreteStatsTable[GroupByKey]=DiscreteStatsTable[[#This Row],[GroupByKey]]),(DiscreteStatsTable[GroupByKey]=DiscreteStatsTable[[#This Row],[GroupByKey]])*DiscreteStatsTable[Average])),0)</f>
        <v>4.6581447823048947</v>
      </c>
      <c r="P897" s="5" cm="1">
        <f t="array" ref="P897">MAX(IF((ProjectInfoTable[ProjectName]=DiscreteStatsTable[[#This Row],[ProjectName]]),(ProjectInfoTable[ProjectName]=DiscreteStatsTable[[#This Row],[ProjectName]])*ProjectInfoTable[ConfidenceInterval]))</f>
        <v>0.95</v>
      </c>
      <c r="Q897" s="5">
        <f>IF(AND(DiscreteStatsTable[[#This Row],[RepsWithStatObserved]]=1,Y897=0),200000000000000000000,IFERROR(_xlfn.T.INV.2T(1 -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2.2451539176608639</v>
      </c>
      <c r="R897" s="5" cm="1">
        <f t="array" ref="R897">MIN(IF((DiscreteStatsTable[GroupByKey]=DiscreteStatsTable[[#This Row],[GroupByKey]]),(DiscreteStatsTable[GroupByKey]=DiscreteStatsTable[[#This Row],[GroupByKey]])*DiscreteStatsTable[Average]))</f>
        <v>3.5254104253296199</v>
      </c>
      <c r="S897" s="5" cm="1">
        <f t="array" ref="S897">MAX(IF((DiscreteStatsTable[GroupByKey]=DiscreteStatsTable[[#This Row],[GroupByKey]]),(DiscreteStatsTable[GroupByKey]=DiscreteStatsTable[[#This Row],[GroupByKey]])*DiscreteStatsTable[Average]))</f>
        <v>23.5684194805701</v>
      </c>
      <c r="T897" s="5" cm="1">
        <f t="array" ref="T897">MIN(IF((DiscreteStatsTable[GroupByKey]=DiscreteStatsTable[[#This Row],[GroupByKey]]),(DiscreteStatsTable[GroupByKey]=DiscreteStatsTable[[#This Row],[GroupByKey]])*DiscreteStatsTable[Minimum]))</f>
        <v>3.5254104253296199</v>
      </c>
      <c r="U897" s="5" cm="1">
        <f t="array" ref="U897">MAX(IF((DiscreteStatsTable[GroupByKey]=DiscreteStatsTable[[#This Row],[GroupByKey]]),(DiscreteStatsTable[GroupByKey]=DiscreteStatsTable[[#This Row],[GroupByKey]])*DiscreteStatsTable[Maximum]))</f>
        <v>23.5684194805701</v>
      </c>
      <c r="V897" s="5" cm="1">
        <f t="array" ref="V897">IFERROR(AVERAGE(IF((DiscreteStatsTable[GroupByKey]=DiscreteStatsTable[[#This Row],[GroupByKey]]),(DiscreteStatsTable[GroupByKey]=DiscreteStatsTable[[#This Row],[GroupByKey]])*DiscreteStatsTable[NumberObservations])),0)</f>
        <v>1</v>
      </c>
      <c r="W897" s="5">
        <f>IF((DiscreteStatsTable[[#This Row],[RepsRequested]]&gt;1),DiscreteStatsTable[[#This Row],[HalfWidth]],DiscreteStatsTable[[#This Row],[BatchMeansHalfWidth]])</f>
        <v>2.2451539176608639</v>
      </c>
      <c r="X897" s="5" cm="1">
        <f t="array" ref="X897">COUNT(IF((DiscreteStatsTable[GroupByKey]=DiscreteStatsTable[[#This Row],[GroupByKey]]),(DiscreteStatsTable[GroupByKey]=DiscreteStatsTable[[#This Row],[GroupByKey]])*DiscreteStatsTable[Replication]))</f>
        <v>19</v>
      </c>
      <c r="Y897" s="5">
        <f>IF(DiscreteStatsTable[[#This Row],[RepsRequested]]=DiscreteStatsTable[[#This Row],[RepsWithStatObserved]],1,0)</f>
        <v>1</v>
      </c>
    </row>
    <row r="898" spans="1:25" x14ac:dyDescent="0.25">
      <c r="A898" t="s">
        <v>67</v>
      </c>
      <c r="B898" t="s">
        <v>69</v>
      </c>
      <c r="C898">
        <v>9</v>
      </c>
      <c r="D898" t="s">
        <v>118</v>
      </c>
      <c r="E898" t="s">
        <v>79</v>
      </c>
      <c r="F898" t="s">
        <v>80</v>
      </c>
      <c r="G898">
        <v>7.4328184816178702</v>
      </c>
      <c r="H898">
        <v>2E+20</v>
      </c>
      <c r="I898">
        <v>7.4328184816178702</v>
      </c>
      <c r="J898">
        <v>7.4328184816178702</v>
      </c>
      <c r="K898">
        <v>1</v>
      </c>
      <c r="L89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compartida)TiempoSistemaTodosH1ExpressionUser Specified</v>
      </c>
      <c r="M898" s="5" cm="1">
        <f t="array" ref="M898">MAX(IF((ProjectInfoTable[ProjectName]=DiscreteStatsTable[[#This Row],[ProjectName]]),(ProjectInfoTable[ProjectName]=DiscreteStatsTable[[#This Row],[ProjectName]])*ProjectInfoTable[NumberOfReplications]))</f>
        <v>19</v>
      </c>
      <c r="N898" s="5" cm="1">
        <f t="array" ref="N898">IFERROR(AVERAGE(IF((DiscreteStatsTable[GroupByKey]=DiscreteStatsTable[[#This Row],[GroupByKey]]),(DiscreteStatsTable[GroupByKey]=DiscreteStatsTable[[#This Row],[GroupByKey]])*DiscreteStatsTable[Average])),0)</f>
        <v>7.21924481490937</v>
      </c>
      <c r="O898" s="5" cm="1">
        <f t="array" ref="O898">IFERROR(_xlfn.STDEV.S(IF((DiscreteStatsTable[GroupByKey]=DiscreteStatsTable[[#This Row],[GroupByKey]]),(DiscreteStatsTable[GroupByKey]=DiscreteStatsTable[[#This Row],[GroupByKey]])*DiscreteStatsTable[Average])),0)</f>
        <v>4.6581447823048947</v>
      </c>
      <c r="P898" s="5" cm="1">
        <f t="array" ref="P898">MAX(IF((ProjectInfoTable[ProjectName]=DiscreteStatsTable[[#This Row],[ProjectName]]),(ProjectInfoTable[ProjectName]=DiscreteStatsTable[[#This Row],[ProjectName]])*ProjectInfoTable[ConfidenceInterval]))</f>
        <v>0.95</v>
      </c>
      <c r="Q898" s="5">
        <f>IF(AND(DiscreteStatsTable[[#This Row],[RepsWithStatObserved]]=1,Y898=0),200000000000000000000,IFERROR(_xlfn.T.INV.2T(1 -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2.2451539176608639</v>
      </c>
      <c r="R898" s="5" cm="1">
        <f t="array" ref="R898">MIN(IF((DiscreteStatsTable[GroupByKey]=DiscreteStatsTable[[#This Row],[GroupByKey]]),(DiscreteStatsTable[GroupByKey]=DiscreteStatsTable[[#This Row],[GroupByKey]])*DiscreteStatsTable[Average]))</f>
        <v>3.5254104253296199</v>
      </c>
      <c r="S898" s="5" cm="1">
        <f t="array" ref="S898">MAX(IF((DiscreteStatsTable[GroupByKey]=DiscreteStatsTable[[#This Row],[GroupByKey]]),(DiscreteStatsTable[GroupByKey]=DiscreteStatsTable[[#This Row],[GroupByKey]])*DiscreteStatsTable[Average]))</f>
        <v>23.5684194805701</v>
      </c>
      <c r="T898" s="5" cm="1">
        <f t="array" ref="T898">MIN(IF((DiscreteStatsTable[GroupByKey]=DiscreteStatsTable[[#This Row],[GroupByKey]]),(DiscreteStatsTable[GroupByKey]=DiscreteStatsTable[[#This Row],[GroupByKey]])*DiscreteStatsTable[Minimum]))</f>
        <v>3.5254104253296199</v>
      </c>
      <c r="U898" s="5" cm="1">
        <f t="array" ref="U898">MAX(IF((DiscreteStatsTable[GroupByKey]=DiscreteStatsTable[[#This Row],[GroupByKey]]),(DiscreteStatsTable[GroupByKey]=DiscreteStatsTable[[#This Row],[GroupByKey]])*DiscreteStatsTable[Maximum]))</f>
        <v>23.5684194805701</v>
      </c>
      <c r="V898" s="5" cm="1">
        <f t="array" ref="V898">IFERROR(AVERAGE(IF((DiscreteStatsTable[GroupByKey]=DiscreteStatsTable[[#This Row],[GroupByKey]]),(DiscreteStatsTable[GroupByKey]=DiscreteStatsTable[[#This Row],[GroupByKey]])*DiscreteStatsTable[NumberObservations])),0)</f>
        <v>1</v>
      </c>
      <c r="W898" s="5">
        <f>IF((DiscreteStatsTable[[#This Row],[RepsRequested]]&gt;1),DiscreteStatsTable[[#This Row],[HalfWidth]],DiscreteStatsTable[[#This Row],[BatchMeansHalfWidth]])</f>
        <v>2.2451539176608639</v>
      </c>
      <c r="X898" s="5" cm="1">
        <f t="array" ref="X898">COUNT(IF((DiscreteStatsTable[GroupByKey]=DiscreteStatsTable[[#This Row],[GroupByKey]]),(DiscreteStatsTable[GroupByKey]=DiscreteStatsTable[[#This Row],[GroupByKey]])*DiscreteStatsTable[Replication]))</f>
        <v>19</v>
      </c>
      <c r="Y898" s="5">
        <f>IF(DiscreteStatsTable[[#This Row],[RepsRequested]]=DiscreteStatsTable[[#This Row],[RepsWithStatObserved]],1,0)</f>
        <v>1</v>
      </c>
    </row>
    <row r="899" spans="1:25" x14ac:dyDescent="0.25">
      <c r="A899" t="s">
        <v>67</v>
      </c>
      <c r="B899" t="s">
        <v>69</v>
      </c>
      <c r="C899">
        <v>10</v>
      </c>
      <c r="D899" t="s">
        <v>118</v>
      </c>
      <c r="E899" t="s">
        <v>79</v>
      </c>
      <c r="F899" t="s">
        <v>80</v>
      </c>
      <c r="G899">
        <v>5.6973889517113898</v>
      </c>
      <c r="H899">
        <v>2E+20</v>
      </c>
      <c r="I899">
        <v>5.6973889517113898</v>
      </c>
      <c r="J899">
        <v>5.6973889517113898</v>
      </c>
      <c r="K899">
        <v>1</v>
      </c>
      <c r="L89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compartida)TiempoSistemaTodosH1ExpressionUser Specified</v>
      </c>
      <c r="M899" s="5" cm="1">
        <f t="array" ref="M899">MAX(IF((ProjectInfoTable[ProjectName]=DiscreteStatsTable[[#This Row],[ProjectName]]),(ProjectInfoTable[ProjectName]=DiscreteStatsTable[[#This Row],[ProjectName]])*ProjectInfoTable[NumberOfReplications]))</f>
        <v>19</v>
      </c>
      <c r="N899" s="5" cm="1">
        <f t="array" ref="N899">IFERROR(AVERAGE(IF((DiscreteStatsTable[GroupByKey]=DiscreteStatsTable[[#This Row],[GroupByKey]]),(DiscreteStatsTable[GroupByKey]=DiscreteStatsTable[[#This Row],[GroupByKey]])*DiscreteStatsTable[Average])),0)</f>
        <v>7.21924481490937</v>
      </c>
      <c r="O899" s="5" cm="1">
        <f t="array" ref="O899">IFERROR(_xlfn.STDEV.S(IF((DiscreteStatsTable[GroupByKey]=DiscreteStatsTable[[#This Row],[GroupByKey]]),(DiscreteStatsTable[GroupByKey]=DiscreteStatsTable[[#This Row],[GroupByKey]])*DiscreteStatsTable[Average])),0)</f>
        <v>4.6581447823048947</v>
      </c>
      <c r="P899" s="5" cm="1">
        <f t="array" ref="P899">MAX(IF((ProjectInfoTable[ProjectName]=DiscreteStatsTable[[#This Row],[ProjectName]]),(ProjectInfoTable[ProjectName]=DiscreteStatsTable[[#This Row],[ProjectName]])*ProjectInfoTable[ConfidenceInterval]))</f>
        <v>0.95</v>
      </c>
      <c r="Q899" s="5">
        <f>IF(AND(DiscreteStatsTable[[#This Row],[RepsWithStatObserved]]=1,Y899=0),200000000000000000000,IFERROR(_xlfn.T.INV.2T(1 -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2.2451539176608639</v>
      </c>
      <c r="R899" s="5" cm="1">
        <f t="array" ref="R899">MIN(IF((DiscreteStatsTable[GroupByKey]=DiscreteStatsTable[[#This Row],[GroupByKey]]),(DiscreteStatsTable[GroupByKey]=DiscreteStatsTable[[#This Row],[GroupByKey]])*DiscreteStatsTable[Average]))</f>
        <v>3.5254104253296199</v>
      </c>
      <c r="S899" s="5" cm="1">
        <f t="array" ref="S899">MAX(IF((DiscreteStatsTable[GroupByKey]=DiscreteStatsTable[[#This Row],[GroupByKey]]),(DiscreteStatsTable[GroupByKey]=DiscreteStatsTable[[#This Row],[GroupByKey]])*DiscreteStatsTable[Average]))</f>
        <v>23.5684194805701</v>
      </c>
      <c r="T899" s="5" cm="1">
        <f t="array" ref="T899">MIN(IF((DiscreteStatsTable[GroupByKey]=DiscreteStatsTable[[#This Row],[GroupByKey]]),(DiscreteStatsTable[GroupByKey]=DiscreteStatsTable[[#This Row],[GroupByKey]])*DiscreteStatsTable[Minimum]))</f>
        <v>3.5254104253296199</v>
      </c>
      <c r="U899" s="5" cm="1">
        <f t="array" ref="U899">MAX(IF((DiscreteStatsTable[GroupByKey]=DiscreteStatsTable[[#This Row],[GroupByKey]]),(DiscreteStatsTable[GroupByKey]=DiscreteStatsTable[[#This Row],[GroupByKey]])*DiscreteStatsTable[Maximum]))</f>
        <v>23.5684194805701</v>
      </c>
      <c r="V899" s="5" cm="1">
        <f t="array" ref="V899">IFERROR(AVERAGE(IF((DiscreteStatsTable[GroupByKey]=DiscreteStatsTable[[#This Row],[GroupByKey]]),(DiscreteStatsTable[GroupByKey]=DiscreteStatsTable[[#This Row],[GroupByKey]])*DiscreteStatsTable[NumberObservations])),0)</f>
        <v>1</v>
      </c>
      <c r="W899" s="5">
        <f>IF((DiscreteStatsTable[[#This Row],[RepsRequested]]&gt;1),DiscreteStatsTable[[#This Row],[HalfWidth]],DiscreteStatsTable[[#This Row],[BatchMeansHalfWidth]])</f>
        <v>2.2451539176608639</v>
      </c>
      <c r="X899" s="5" cm="1">
        <f t="array" ref="X899">COUNT(IF((DiscreteStatsTable[GroupByKey]=DiscreteStatsTable[[#This Row],[GroupByKey]]),(DiscreteStatsTable[GroupByKey]=DiscreteStatsTable[[#This Row],[GroupByKey]])*DiscreteStatsTable[Replication]))</f>
        <v>19</v>
      </c>
      <c r="Y899" s="5">
        <f>IF(DiscreteStatsTable[[#This Row],[RepsRequested]]=DiscreteStatsTable[[#This Row],[RepsWithStatObserved]],1,0)</f>
        <v>1</v>
      </c>
    </row>
    <row r="900" spans="1:25" x14ac:dyDescent="0.25">
      <c r="A900" t="s">
        <v>67</v>
      </c>
      <c r="B900" t="s">
        <v>69</v>
      </c>
      <c r="C900">
        <v>11</v>
      </c>
      <c r="D900" t="s">
        <v>118</v>
      </c>
      <c r="E900" t="s">
        <v>79</v>
      </c>
      <c r="F900" t="s">
        <v>80</v>
      </c>
      <c r="G900">
        <v>3.7968894868763599</v>
      </c>
      <c r="H900">
        <v>2E+20</v>
      </c>
      <c r="I900">
        <v>3.7968894868763599</v>
      </c>
      <c r="J900">
        <v>3.7968894868763599</v>
      </c>
      <c r="K900">
        <v>1</v>
      </c>
      <c r="L90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compartida)TiempoSistemaTodosH1ExpressionUser Specified</v>
      </c>
      <c r="M900" s="5" cm="1">
        <f t="array" ref="M900">MAX(IF((ProjectInfoTable[ProjectName]=DiscreteStatsTable[[#This Row],[ProjectName]]),(ProjectInfoTable[ProjectName]=DiscreteStatsTable[[#This Row],[ProjectName]])*ProjectInfoTable[NumberOfReplications]))</f>
        <v>19</v>
      </c>
      <c r="N900" s="5" cm="1">
        <f t="array" ref="N900">IFERROR(AVERAGE(IF((DiscreteStatsTable[GroupByKey]=DiscreteStatsTable[[#This Row],[GroupByKey]]),(DiscreteStatsTable[GroupByKey]=DiscreteStatsTable[[#This Row],[GroupByKey]])*DiscreteStatsTable[Average])),0)</f>
        <v>7.21924481490937</v>
      </c>
      <c r="O900" s="5" cm="1">
        <f t="array" ref="O900">IFERROR(_xlfn.STDEV.S(IF((DiscreteStatsTable[GroupByKey]=DiscreteStatsTable[[#This Row],[GroupByKey]]),(DiscreteStatsTable[GroupByKey]=DiscreteStatsTable[[#This Row],[GroupByKey]])*DiscreteStatsTable[Average])),0)</f>
        <v>4.6581447823048947</v>
      </c>
      <c r="P900" s="5" cm="1">
        <f t="array" ref="P900">MAX(IF((ProjectInfoTable[ProjectName]=DiscreteStatsTable[[#This Row],[ProjectName]]),(ProjectInfoTable[ProjectName]=DiscreteStatsTable[[#This Row],[ProjectName]])*ProjectInfoTable[ConfidenceInterval]))</f>
        <v>0.95</v>
      </c>
      <c r="Q900" s="5">
        <f>IF(AND(DiscreteStatsTable[[#This Row],[RepsWithStatObserved]]=1,Y900=0),200000000000000000000,IFERROR(_xlfn.T.INV.2T(1 -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2.2451539176608639</v>
      </c>
      <c r="R900" s="5" cm="1">
        <f t="array" ref="R900">MIN(IF((DiscreteStatsTable[GroupByKey]=DiscreteStatsTable[[#This Row],[GroupByKey]]),(DiscreteStatsTable[GroupByKey]=DiscreteStatsTable[[#This Row],[GroupByKey]])*DiscreteStatsTable[Average]))</f>
        <v>3.5254104253296199</v>
      </c>
      <c r="S900" s="5" cm="1">
        <f t="array" ref="S900">MAX(IF((DiscreteStatsTable[GroupByKey]=DiscreteStatsTable[[#This Row],[GroupByKey]]),(DiscreteStatsTable[GroupByKey]=DiscreteStatsTable[[#This Row],[GroupByKey]])*DiscreteStatsTable[Average]))</f>
        <v>23.5684194805701</v>
      </c>
      <c r="T900" s="5" cm="1">
        <f t="array" ref="T900">MIN(IF((DiscreteStatsTable[GroupByKey]=DiscreteStatsTable[[#This Row],[GroupByKey]]),(DiscreteStatsTable[GroupByKey]=DiscreteStatsTable[[#This Row],[GroupByKey]])*DiscreteStatsTable[Minimum]))</f>
        <v>3.5254104253296199</v>
      </c>
      <c r="U900" s="5" cm="1">
        <f t="array" ref="U900">MAX(IF((DiscreteStatsTable[GroupByKey]=DiscreteStatsTable[[#This Row],[GroupByKey]]),(DiscreteStatsTable[GroupByKey]=DiscreteStatsTable[[#This Row],[GroupByKey]])*DiscreteStatsTable[Maximum]))</f>
        <v>23.5684194805701</v>
      </c>
      <c r="V900" s="5" cm="1">
        <f t="array" ref="V900">IFERROR(AVERAGE(IF((DiscreteStatsTable[GroupByKey]=DiscreteStatsTable[[#This Row],[GroupByKey]]),(DiscreteStatsTable[GroupByKey]=DiscreteStatsTable[[#This Row],[GroupByKey]])*DiscreteStatsTable[NumberObservations])),0)</f>
        <v>1</v>
      </c>
      <c r="W900" s="5">
        <f>IF((DiscreteStatsTable[[#This Row],[RepsRequested]]&gt;1),DiscreteStatsTable[[#This Row],[HalfWidth]],DiscreteStatsTable[[#This Row],[BatchMeansHalfWidth]])</f>
        <v>2.2451539176608639</v>
      </c>
      <c r="X900" s="5" cm="1">
        <f t="array" ref="X900">COUNT(IF((DiscreteStatsTable[GroupByKey]=DiscreteStatsTable[[#This Row],[GroupByKey]]),(DiscreteStatsTable[GroupByKey]=DiscreteStatsTable[[#This Row],[GroupByKey]])*DiscreteStatsTable[Replication]))</f>
        <v>19</v>
      </c>
      <c r="Y900" s="5">
        <f>IF(DiscreteStatsTable[[#This Row],[RepsRequested]]=DiscreteStatsTable[[#This Row],[RepsWithStatObserved]],1,0)</f>
        <v>1</v>
      </c>
    </row>
    <row r="901" spans="1:25" x14ac:dyDescent="0.25">
      <c r="A901" t="s">
        <v>67</v>
      </c>
      <c r="B901" t="s">
        <v>69</v>
      </c>
      <c r="C901">
        <v>12</v>
      </c>
      <c r="D901" t="s">
        <v>118</v>
      </c>
      <c r="E901" t="s">
        <v>79</v>
      </c>
      <c r="F901" t="s">
        <v>80</v>
      </c>
      <c r="G901">
        <v>8.4903304056400302</v>
      </c>
      <c r="H901">
        <v>2E+20</v>
      </c>
      <c r="I901">
        <v>8.4903304056400302</v>
      </c>
      <c r="J901">
        <v>8.4903304056400302</v>
      </c>
      <c r="K901">
        <v>1</v>
      </c>
      <c r="L90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compartida)TiempoSistemaTodosH1ExpressionUser Specified</v>
      </c>
      <c r="M901" s="5" cm="1">
        <f t="array" ref="M901">MAX(IF((ProjectInfoTable[ProjectName]=DiscreteStatsTable[[#This Row],[ProjectName]]),(ProjectInfoTable[ProjectName]=DiscreteStatsTable[[#This Row],[ProjectName]])*ProjectInfoTable[NumberOfReplications]))</f>
        <v>19</v>
      </c>
      <c r="N901" s="5" cm="1">
        <f t="array" ref="N901">IFERROR(AVERAGE(IF((DiscreteStatsTable[GroupByKey]=DiscreteStatsTable[[#This Row],[GroupByKey]]),(DiscreteStatsTable[GroupByKey]=DiscreteStatsTable[[#This Row],[GroupByKey]])*DiscreteStatsTable[Average])),0)</f>
        <v>7.21924481490937</v>
      </c>
      <c r="O901" s="5" cm="1">
        <f t="array" ref="O901">IFERROR(_xlfn.STDEV.S(IF((DiscreteStatsTable[GroupByKey]=DiscreteStatsTable[[#This Row],[GroupByKey]]),(DiscreteStatsTable[GroupByKey]=DiscreteStatsTable[[#This Row],[GroupByKey]])*DiscreteStatsTable[Average])),0)</f>
        <v>4.6581447823048947</v>
      </c>
      <c r="P901" s="5" cm="1">
        <f t="array" ref="P901">MAX(IF((ProjectInfoTable[ProjectName]=DiscreteStatsTable[[#This Row],[ProjectName]]),(ProjectInfoTable[ProjectName]=DiscreteStatsTable[[#This Row],[ProjectName]])*ProjectInfoTable[ConfidenceInterval]))</f>
        <v>0.95</v>
      </c>
      <c r="Q901" s="5">
        <f>IF(AND(DiscreteStatsTable[[#This Row],[RepsWithStatObserved]]=1,Y901=0),200000000000000000000,IFERROR(_xlfn.T.INV.2T(1 -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2.2451539176608639</v>
      </c>
      <c r="R901" s="5" cm="1">
        <f t="array" ref="R901">MIN(IF((DiscreteStatsTable[GroupByKey]=DiscreteStatsTable[[#This Row],[GroupByKey]]),(DiscreteStatsTable[GroupByKey]=DiscreteStatsTable[[#This Row],[GroupByKey]])*DiscreteStatsTable[Average]))</f>
        <v>3.5254104253296199</v>
      </c>
      <c r="S901" s="5" cm="1">
        <f t="array" ref="S901">MAX(IF((DiscreteStatsTable[GroupByKey]=DiscreteStatsTable[[#This Row],[GroupByKey]]),(DiscreteStatsTable[GroupByKey]=DiscreteStatsTable[[#This Row],[GroupByKey]])*DiscreteStatsTable[Average]))</f>
        <v>23.5684194805701</v>
      </c>
      <c r="T901" s="5" cm="1">
        <f t="array" ref="T901">MIN(IF((DiscreteStatsTable[GroupByKey]=DiscreteStatsTable[[#This Row],[GroupByKey]]),(DiscreteStatsTable[GroupByKey]=DiscreteStatsTable[[#This Row],[GroupByKey]])*DiscreteStatsTable[Minimum]))</f>
        <v>3.5254104253296199</v>
      </c>
      <c r="U901" s="5" cm="1">
        <f t="array" ref="U901">MAX(IF((DiscreteStatsTable[GroupByKey]=DiscreteStatsTable[[#This Row],[GroupByKey]]),(DiscreteStatsTable[GroupByKey]=DiscreteStatsTable[[#This Row],[GroupByKey]])*DiscreteStatsTable[Maximum]))</f>
        <v>23.5684194805701</v>
      </c>
      <c r="V901" s="5" cm="1">
        <f t="array" ref="V901">IFERROR(AVERAGE(IF((DiscreteStatsTable[GroupByKey]=DiscreteStatsTable[[#This Row],[GroupByKey]]),(DiscreteStatsTable[GroupByKey]=DiscreteStatsTable[[#This Row],[GroupByKey]])*DiscreteStatsTable[NumberObservations])),0)</f>
        <v>1</v>
      </c>
      <c r="W901" s="5">
        <f>IF((DiscreteStatsTable[[#This Row],[RepsRequested]]&gt;1),DiscreteStatsTable[[#This Row],[HalfWidth]],DiscreteStatsTable[[#This Row],[BatchMeansHalfWidth]])</f>
        <v>2.2451539176608639</v>
      </c>
      <c r="X901" s="5" cm="1">
        <f t="array" ref="X901">COUNT(IF((DiscreteStatsTable[GroupByKey]=DiscreteStatsTable[[#This Row],[GroupByKey]]),(DiscreteStatsTable[GroupByKey]=DiscreteStatsTable[[#This Row],[GroupByKey]])*DiscreteStatsTable[Replication]))</f>
        <v>19</v>
      </c>
      <c r="Y901" s="5">
        <f>IF(DiscreteStatsTable[[#This Row],[RepsRequested]]=DiscreteStatsTable[[#This Row],[RepsWithStatObserved]],1,0)</f>
        <v>1</v>
      </c>
    </row>
    <row r="902" spans="1:25" x14ac:dyDescent="0.25">
      <c r="A902" t="s">
        <v>67</v>
      </c>
      <c r="B902" t="s">
        <v>69</v>
      </c>
      <c r="C902">
        <v>13</v>
      </c>
      <c r="D902" t="s">
        <v>118</v>
      </c>
      <c r="E902" t="s">
        <v>79</v>
      </c>
      <c r="F902" t="s">
        <v>80</v>
      </c>
      <c r="G902">
        <v>6.3016404289227497</v>
      </c>
      <c r="H902">
        <v>2E+20</v>
      </c>
      <c r="I902">
        <v>6.3016404289227497</v>
      </c>
      <c r="J902">
        <v>6.3016404289227497</v>
      </c>
      <c r="K902">
        <v>1</v>
      </c>
      <c r="L90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compartida)TiempoSistemaTodosH1ExpressionUser Specified</v>
      </c>
      <c r="M902" s="5" cm="1">
        <f t="array" ref="M902">MAX(IF((ProjectInfoTable[ProjectName]=DiscreteStatsTable[[#This Row],[ProjectName]]),(ProjectInfoTable[ProjectName]=DiscreteStatsTable[[#This Row],[ProjectName]])*ProjectInfoTable[NumberOfReplications]))</f>
        <v>19</v>
      </c>
      <c r="N902" s="5" cm="1">
        <f t="array" ref="N902">IFERROR(AVERAGE(IF((DiscreteStatsTable[GroupByKey]=DiscreteStatsTable[[#This Row],[GroupByKey]]),(DiscreteStatsTable[GroupByKey]=DiscreteStatsTable[[#This Row],[GroupByKey]])*DiscreteStatsTable[Average])),0)</f>
        <v>7.21924481490937</v>
      </c>
      <c r="O902" s="5" cm="1">
        <f t="array" ref="O902">IFERROR(_xlfn.STDEV.S(IF((DiscreteStatsTable[GroupByKey]=DiscreteStatsTable[[#This Row],[GroupByKey]]),(DiscreteStatsTable[GroupByKey]=DiscreteStatsTable[[#This Row],[GroupByKey]])*DiscreteStatsTable[Average])),0)</f>
        <v>4.6581447823048947</v>
      </c>
      <c r="P902" s="5" cm="1">
        <f t="array" ref="P902">MAX(IF((ProjectInfoTable[ProjectName]=DiscreteStatsTable[[#This Row],[ProjectName]]),(ProjectInfoTable[ProjectName]=DiscreteStatsTable[[#This Row],[ProjectName]])*ProjectInfoTable[ConfidenceInterval]))</f>
        <v>0.95</v>
      </c>
      <c r="Q902" s="5">
        <f>IF(AND(DiscreteStatsTable[[#This Row],[RepsWithStatObserved]]=1,Y902=0),200000000000000000000,IFERROR(_xlfn.T.INV.2T(1 -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2.2451539176608639</v>
      </c>
      <c r="R902" s="5" cm="1">
        <f t="array" ref="R902">MIN(IF((DiscreteStatsTable[GroupByKey]=DiscreteStatsTable[[#This Row],[GroupByKey]]),(DiscreteStatsTable[GroupByKey]=DiscreteStatsTable[[#This Row],[GroupByKey]])*DiscreteStatsTable[Average]))</f>
        <v>3.5254104253296199</v>
      </c>
      <c r="S902" s="5" cm="1">
        <f t="array" ref="S902">MAX(IF((DiscreteStatsTable[GroupByKey]=DiscreteStatsTable[[#This Row],[GroupByKey]]),(DiscreteStatsTable[GroupByKey]=DiscreteStatsTable[[#This Row],[GroupByKey]])*DiscreteStatsTable[Average]))</f>
        <v>23.5684194805701</v>
      </c>
      <c r="T902" s="5" cm="1">
        <f t="array" ref="T902">MIN(IF((DiscreteStatsTable[GroupByKey]=DiscreteStatsTable[[#This Row],[GroupByKey]]),(DiscreteStatsTable[GroupByKey]=DiscreteStatsTable[[#This Row],[GroupByKey]])*DiscreteStatsTable[Minimum]))</f>
        <v>3.5254104253296199</v>
      </c>
      <c r="U902" s="5" cm="1">
        <f t="array" ref="U902">MAX(IF((DiscreteStatsTable[GroupByKey]=DiscreteStatsTable[[#This Row],[GroupByKey]]),(DiscreteStatsTable[GroupByKey]=DiscreteStatsTable[[#This Row],[GroupByKey]])*DiscreteStatsTable[Maximum]))</f>
        <v>23.5684194805701</v>
      </c>
      <c r="V902" s="5" cm="1">
        <f t="array" ref="V902">IFERROR(AVERAGE(IF((DiscreteStatsTable[GroupByKey]=DiscreteStatsTable[[#This Row],[GroupByKey]]),(DiscreteStatsTable[GroupByKey]=DiscreteStatsTable[[#This Row],[GroupByKey]])*DiscreteStatsTable[NumberObservations])),0)</f>
        <v>1</v>
      </c>
      <c r="W902" s="5">
        <f>IF((DiscreteStatsTable[[#This Row],[RepsRequested]]&gt;1),DiscreteStatsTable[[#This Row],[HalfWidth]],DiscreteStatsTable[[#This Row],[BatchMeansHalfWidth]])</f>
        <v>2.2451539176608639</v>
      </c>
      <c r="X902" s="5" cm="1">
        <f t="array" ref="X902">COUNT(IF((DiscreteStatsTable[GroupByKey]=DiscreteStatsTable[[#This Row],[GroupByKey]]),(DiscreteStatsTable[GroupByKey]=DiscreteStatsTable[[#This Row],[GroupByKey]])*DiscreteStatsTable[Replication]))</f>
        <v>19</v>
      </c>
      <c r="Y902" s="5">
        <f>IF(DiscreteStatsTable[[#This Row],[RepsRequested]]=DiscreteStatsTable[[#This Row],[RepsWithStatObserved]],1,0)</f>
        <v>1</v>
      </c>
    </row>
    <row r="903" spans="1:25" x14ac:dyDescent="0.25">
      <c r="A903" t="s">
        <v>67</v>
      </c>
      <c r="B903" t="s">
        <v>69</v>
      </c>
      <c r="C903">
        <v>14</v>
      </c>
      <c r="D903" t="s">
        <v>118</v>
      </c>
      <c r="E903" t="s">
        <v>79</v>
      </c>
      <c r="F903" t="s">
        <v>80</v>
      </c>
      <c r="G903">
        <v>5.9467234532645401</v>
      </c>
      <c r="H903">
        <v>2E+20</v>
      </c>
      <c r="I903">
        <v>5.9467234532645401</v>
      </c>
      <c r="J903">
        <v>5.9467234532645401</v>
      </c>
      <c r="K903">
        <v>1</v>
      </c>
      <c r="L90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compartida)TiempoSistemaTodosH1ExpressionUser Specified</v>
      </c>
      <c r="M903" s="5" cm="1">
        <f t="array" ref="M903">MAX(IF((ProjectInfoTable[ProjectName]=DiscreteStatsTable[[#This Row],[ProjectName]]),(ProjectInfoTable[ProjectName]=DiscreteStatsTable[[#This Row],[ProjectName]])*ProjectInfoTable[NumberOfReplications]))</f>
        <v>19</v>
      </c>
      <c r="N903" s="5" cm="1">
        <f t="array" ref="N903">IFERROR(AVERAGE(IF((DiscreteStatsTable[GroupByKey]=DiscreteStatsTable[[#This Row],[GroupByKey]]),(DiscreteStatsTable[GroupByKey]=DiscreteStatsTable[[#This Row],[GroupByKey]])*DiscreteStatsTable[Average])),0)</f>
        <v>7.21924481490937</v>
      </c>
      <c r="O903" s="5" cm="1">
        <f t="array" ref="O903">IFERROR(_xlfn.STDEV.S(IF((DiscreteStatsTable[GroupByKey]=DiscreteStatsTable[[#This Row],[GroupByKey]]),(DiscreteStatsTable[GroupByKey]=DiscreteStatsTable[[#This Row],[GroupByKey]])*DiscreteStatsTable[Average])),0)</f>
        <v>4.6581447823048947</v>
      </c>
      <c r="P903" s="5" cm="1">
        <f t="array" ref="P903">MAX(IF((ProjectInfoTable[ProjectName]=DiscreteStatsTable[[#This Row],[ProjectName]]),(ProjectInfoTable[ProjectName]=DiscreteStatsTable[[#This Row],[ProjectName]])*ProjectInfoTable[ConfidenceInterval]))</f>
        <v>0.95</v>
      </c>
      <c r="Q903" s="5">
        <f>IF(AND(DiscreteStatsTable[[#This Row],[RepsWithStatObserved]]=1,Y903=0),200000000000000000000,IFERROR(_xlfn.T.INV.2T(1 -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2.2451539176608639</v>
      </c>
      <c r="R903" s="5" cm="1">
        <f t="array" ref="R903">MIN(IF((DiscreteStatsTable[GroupByKey]=DiscreteStatsTable[[#This Row],[GroupByKey]]),(DiscreteStatsTable[GroupByKey]=DiscreteStatsTable[[#This Row],[GroupByKey]])*DiscreteStatsTable[Average]))</f>
        <v>3.5254104253296199</v>
      </c>
      <c r="S903" s="5" cm="1">
        <f t="array" ref="S903">MAX(IF((DiscreteStatsTable[GroupByKey]=DiscreteStatsTable[[#This Row],[GroupByKey]]),(DiscreteStatsTable[GroupByKey]=DiscreteStatsTable[[#This Row],[GroupByKey]])*DiscreteStatsTable[Average]))</f>
        <v>23.5684194805701</v>
      </c>
      <c r="T903" s="5" cm="1">
        <f t="array" ref="T903">MIN(IF((DiscreteStatsTable[GroupByKey]=DiscreteStatsTable[[#This Row],[GroupByKey]]),(DiscreteStatsTable[GroupByKey]=DiscreteStatsTable[[#This Row],[GroupByKey]])*DiscreteStatsTable[Minimum]))</f>
        <v>3.5254104253296199</v>
      </c>
      <c r="U903" s="5" cm="1">
        <f t="array" ref="U903">MAX(IF((DiscreteStatsTable[GroupByKey]=DiscreteStatsTable[[#This Row],[GroupByKey]]),(DiscreteStatsTable[GroupByKey]=DiscreteStatsTable[[#This Row],[GroupByKey]])*DiscreteStatsTable[Maximum]))</f>
        <v>23.5684194805701</v>
      </c>
      <c r="V903" s="5" cm="1">
        <f t="array" ref="V903">IFERROR(AVERAGE(IF((DiscreteStatsTable[GroupByKey]=DiscreteStatsTable[[#This Row],[GroupByKey]]),(DiscreteStatsTable[GroupByKey]=DiscreteStatsTable[[#This Row],[GroupByKey]])*DiscreteStatsTable[NumberObservations])),0)</f>
        <v>1</v>
      </c>
      <c r="W903" s="5">
        <f>IF((DiscreteStatsTable[[#This Row],[RepsRequested]]&gt;1),DiscreteStatsTable[[#This Row],[HalfWidth]],DiscreteStatsTable[[#This Row],[BatchMeansHalfWidth]])</f>
        <v>2.2451539176608639</v>
      </c>
      <c r="X903" s="5" cm="1">
        <f t="array" ref="X903">COUNT(IF((DiscreteStatsTable[GroupByKey]=DiscreteStatsTable[[#This Row],[GroupByKey]]),(DiscreteStatsTable[GroupByKey]=DiscreteStatsTable[[#This Row],[GroupByKey]])*DiscreteStatsTable[Replication]))</f>
        <v>19</v>
      </c>
      <c r="Y903" s="5">
        <f>IF(DiscreteStatsTable[[#This Row],[RepsRequested]]=DiscreteStatsTable[[#This Row],[RepsWithStatObserved]],1,0)</f>
        <v>1</v>
      </c>
    </row>
    <row r="904" spans="1:25" x14ac:dyDescent="0.25">
      <c r="A904" t="s">
        <v>67</v>
      </c>
      <c r="B904" t="s">
        <v>69</v>
      </c>
      <c r="C904">
        <v>15</v>
      </c>
      <c r="D904" t="s">
        <v>118</v>
      </c>
      <c r="E904" t="s">
        <v>79</v>
      </c>
      <c r="F904" t="s">
        <v>80</v>
      </c>
      <c r="G904">
        <v>6.7122997990669004</v>
      </c>
      <c r="H904">
        <v>2E+20</v>
      </c>
      <c r="I904">
        <v>6.7122997990669004</v>
      </c>
      <c r="J904">
        <v>6.7122997990669004</v>
      </c>
      <c r="K904">
        <v>1</v>
      </c>
      <c r="L90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compartida)TiempoSistemaTodosH1ExpressionUser Specified</v>
      </c>
      <c r="M904" s="5" cm="1">
        <f t="array" ref="M904">MAX(IF((ProjectInfoTable[ProjectName]=DiscreteStatsTable[[#This Row],[ProjectName]]),(ProjectInfoTable[ProjectName]=DiscreteStatsTable[[#This Row],[ProjectName]])*ProjectInfoTable[NumberOfReplications]))</f>
        <v>19</v>
      </c>
      <c r="N904" s="5" cm="1">
        <f t="array" ref="N904">IFERROR(AVERAGE(IF((DiscreteStatsTable[GroupByKey]=DiscreteStatsTable[[#This Row],[GroupByKey]]),(DiscreteStatsTable[GroupByKey]=DiscreteStatsTable[[#This Row],[GroupByKey]])*DiscreteStatsTable[Average])),0)</f>
        <v>7.21924481490937</v>
      </c>
      <c r="O904" s="5" cm="1">
        <f t="array" ref="O904">IFERROR(_xlfn.STDEV.S(IF((DiscreteStatsTable[GroupByKey]=DiscreteStatsTable[[#This Row],[GroupByKey]]),(DiscreteStatsTable[GroupByKey]=DiscreteStatsTable[[#This Row],[GroupByKey]])*DiscreteStatsTable[Average])),0)</f>
        <v>4.6581447823048947</v>
      </c>
      <c r="P904" s="5" cm="1">
        <f t="array" ref="P904">MAX(IF((ProjectInfoTable[ProjectName]=DiscreteStatsTable[[#This Row],[ProjectName]]),(ProjectInfoTable[ProjectName]=DiscreteStatsTable[[#This Row],[ProjectName]])*ProjectInfoTable[ConfidenceInterval]))</f>
        <v>0.95</v>
      </c>
      <c r="Q904" s="5">
        <f>IF(AND(DiscreteStatsTable[[#This Row],[RepsWithStatObserved]]=1,Y904=0),200000000000000000000,IFERROR(_xlfn.T.INV.2T(1 -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2.2451539176608639</v>
      </c>
      <c r="R904" s="5" cm="1">
        <f t="array" ref="R904">MIN(IF((DiscreteStatsTable[GroupByKey]=DiscreteStatsTable[[#This Row],[GroupByKey]]),(DiscreteStatsTable[GroupByKey]=DiscreteStatsTable[[#This Row],[GroupByKey]])*DiscreteStatsTable[Average]))</f>
        <v>3.5254104253296199</v>
      </c>
      <c r="S904" s="5" cm="1">
        <f t="array" ref="S904">MAX(IF((DiscreteStatsTable[GroupByKey]=DiscreteStatsTable[[#This Row],[GroupByKey]]),(DiscreteStatsTable[GroupByKey]=DiscreteStatsTable[[#This Row],[GroupByKey]])*DiscreteStatsTable[Average]))</f>
        <v>23.5684194805701</v>
      </c>
      <c r="T904" s="5" cm="1">
        <f t="array" ref="T904">MIN(IF((DiscreteStatsTable[GroupByKey]=DiscreteStatsTable[[#This Row],[GroupByKey]]),(DiscreteStatsTable[GroupByKey]=DiscreteStatsTable[[#This Row],[GroupByKey]])*DiscreteStatsTable[Minimum]))</f>
        <v>3.5254104253296199</v>
      </c>
      <c r="U904" s="5" cm="1">
        <f t="array" ref="U904">MAX(IF((DiscreteStatsTable[GroupByKey]=DiscreteStatsTable[[#This Row],[GroupByKey]]),(DiscreteStatsTable[GroupByKey]=DiscreteStatsTable[[#This Row],[GroupByKey]])*DiscreteStatsTable[Maximum]))</f>
        <v>23.5684194805701</v>
      </c>
      <c r="V904" s="5" cm="1">
        <f t="array" ref="V904">IFERROR(AVERAGE(IF((DiscreteStatsTable[GroupByKey]=DiscreteStatsTable[[#This Row],[GroupByKey]]),(DiscreteStatsTable[GroupByKey]=DiscreteStatsTable[[#This Row],[GroupByKey]])*DiscreteStatsTable[NumberObservations])),0)</f>
        <v>1</v>
      </c>
      <c r="W904" s="5">
        <f>IF((DiscreteStatsTable[[#This Row],[RepsRequested]]&gt;1),DiscreteStatsTable[[#This Row],[HalfWidth]],DiscreteStatsTable[[#This Row],[BatchMeansHalfWidth]])</f>
        <v>2.2451539176608639</v>
      </c>
      <c r="X904" s="5" cm="1">
        <f t="array" ref="X904">COUNT(IF((DiscreteStatsTable[GroupByKey]=DiscreteStatsTable[[#This Row],[GroupByKey]]),(DiscreteStatsTable[GroupByKey]=DiscreteStatsTable[[#This Row],[GroupByKey]])*DiscreteStatsTable[Replication]))</f>
        <v>19</v>
      </c>
      <c r="Y904" s="5">
        <f>IF(DiscreteStatsTable[[#This Row],[RepsRequested]]=DiscreteStatsTable[[#This Row],[RepsWithStatObserved]],1,0)</f>
        <v>1</v>
      </c>
    </row>
    <row r="905" spans="1:25" x14ac:dyDescent="0.25">
      <c r="A905" t="s">
        <v>67</v>
      </c>
      <c r="B905" t="s">
        <v>69</v>
      </c>
      <c r="C905">
        <v>16</v>
      </c>
      <c r="D905" t="s">
        <v>118</v>
      </c>
      <c r="E905" t="s">
        <v>79</v>
      </c>
      <c r="F905" t="s">
        <v>80</v>
      </c>
      <c r="G905">
        <v>5.7835017766188797</v>
      </c>
      <c r="H905">
        <v>2E+20</v>
      </c>
      <c r="I905">
        <v>5.7835017766188797</v>
      </c>
      <c r="J905">
        <v>5.7835017766188797</v>
      </c>
      <c r="K905">
        <v>1</v>
      </c>
      <c r="L90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compartida)TiempoSistemaTodosH1ExpressionUser Specified</v>
      </c>
      <c r="M905" s="5" cm="1">
        <f t="array" ref="M905">MAX(IF((ProjectInfoTable[ProjectName]=DiscreteStatsTable[[#This Row],[ProjectName]]),(ProjectInfoTable[ProjectName]=DiscreteStatsTable[[#This Row],[ProjectName]])*ProjectInfoTable[NumberOfReplications]))</f>
        <v>19</v>
      </c>
      <c r="N905" s="5" cm="1">
        <f t="array" ref="N905">IFERROR(AVERAGE(IF((DiscreteStatsTable[GroupByKey]=DiscreteStatsTable[[#This Row],[GroupByKey]]),(DiscreteStatsTable[GroupByKey]=DiscreteStatsTable[[#This Row],[GroupByKey]])*DiscreteStatsTable[Average])),0)</f>
        <v>7.21924481490937</v>
      </c>
      <c r="O905" s="5" cm="1">
        <f t="array" ref="O905">IFERROR(_xlfn.STDEV.S(IF((DiscreteStatsTable[GroupByKey]=DiscreteStatsTable[[#This Row],[GroupByKey]]),(DiscreteStatsTable[GroupByKey]=DiscreteStatsTable[[#This Row],[GroupByKey]])*DiscreteStatsTable[Average])),0)</f>
        <v>4.6581447823048947</v>
      </c>
      <c r="P905" s="5" cm="1">
        <f t="array" ref="P905">MAX(IF((ProjectInfoTable[ProjectName]=DiscreteStatsTable[[#This Row],[ProjectName]]),(ProjectInfoTable[ProjectName]=DiscreteStatsTable[[#This Row],[ProjectName]])*ProjectInfoTable[ConfidenceInterval]))</f>
        <v>0.95</v>
      </c>
      <c r="Q905" s="5">
        <f>IF(AND(DiscreteStatsTable[[#This Row],[RepsWithStatObserved]]=1,Y905=0),200000000000000000000,IFERROR(_xlfn.T.INV.2T(1 -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2.2451539176608639</v>
      </c>
      <c r="R905" s="5" cm="1">
        <f t="array" ref="R905">MIN(IF((DiscreteStatsTable[GroupByKey]=DiscreteStatsTable[[#This Row],[GroupByKey]]),(DiscreteStatsTable[GroupByKey]=DiscreteStatsTable[[#This Row],[GroupByKey]])*DiscreteStatsTable[Average]))</f>
        <v>3.5254104253296199</v>
      </c>
      <c r="S905" s="5" cm="1">
        <f t="array" ref="S905">MAX(IF((DiscreteStatsTable[GroupByKey]=DiscreteStatsTable[[#This Row],[GroupByKey]]),(DiscreteStatsTable[GroupByKey]=DiscreteStatsTable[[#This Row],[GroupByKey]])*DiscreteStatsTable[Average]))</f>
        <v>23.5684194805701</v>
      </c>
      <c r="T905" s="5" cm="1">
        <f t="array" ref="T905">MIN(IF((DiscreteStatsTable[GroupByKey]=DiscreteStatsTable[[#This Row],[GroupByKey]]),(DiscreteStatsTable[GroupByKey]=DiscreteStatsTable[[#This Row],[GroupByKey]])*DiscreteStatsTable[Minimum]))</f>
        <v>3.5254104253296199</v>
      </c>
      <c r="U905" s="5" cm="1">
        <f t="array" ref="U905">MAX(IF((DiscreteStatsTable[GroupByKey]=DiscreteStatsTable[[#This Row],[GroupByKey]]),(DiscreteStatsTable[GroupByKey]=DiscreteStatsTable[[#This Row],[GroupByKey]])*DiscreteStatsTable[Maximum]))</f>
        <v>23.5684194805701</v>
      </c>
      <c r="V905" s="5" cm="1">
        <f t="array" ref="V905">IFERROR(AVERAGE(IF((DiscreteStatsTable[GroupByKey]=DiscreteStatsTable[[#This Row],[GroupByKey]]),(DiscreteStatsTable[GroupByKey]=DiscreteStatsTable[[#This Row],[GroupByKey]])*DiscreteStatsTable[NumberObservations])),0)</f>
        <v>1</v>
      </c>
      <c r="W905" s="5">
        <f>IF((DiscreteStatsTable[[#This Row],[RepsRequested]]&gt;1),DiscreteStatsTable[[#This Row],[HalfWidth]],DiscreteStatsTable[[#This Row],[BatchMeansHalfWidth]])</f>
        <v>2.2451539176608639</v>
      </c>
      <c r="X905" s="5" cm="1">
        <f t="array" ref="X905">COUNT(IF((DiscreteStatsTable[GroupByKey]=DiscreteStatsTable[[#This Row],[GroupByKey]]),(DiscreteStatsTable[GroupByKey]=DiscreteStatsTable[[#This Row],[GroupByKey]])*DiscreteStatsTable[Replication]))</f>
        <v>19</v>
      </c>
      <c r="Y905" s="5">
        <f>IF(DiscreteStatsTable[[#This Row],[RepsRequested]]=DiscreteStatsTable[[#This Row],[RepsWithStatObserved]],1,0)</f>
        <v>1</v>
      </c>
    </row>
    <row r="906" spans="1:25" x14ac:dyDescent="0.25">
      <c r="A906" t="s">
        <v>67</v>
      </c>
      <c r="B906" t="s">
        <v>69</v>
      </c>
      <c r="C906">
        <v>17</v>
      </c>
      <c r="D906" t="s">
        <v>118</v>
      </c>
      <c r="E906" t="s">
        <v>79</v>
      </c>
      <c r="F906" t="s">
        <v>80</v>
      </c>
      <c r="G906">
        <v>4.8439860031095101</v>
      </c>
      <c r="H906">
        <v>2E+20</v>
      </c>
      <c r="I906">
        <v>4.8439860031095101</v>
      </c>
      <c r="J906">
        <v>4.8439860031095101</v>
      </c>
      <c r="K906">
        <v>1</v>
      </c>
      <c r="L90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compartida)TiempoSistemaTodosH1ExpressionUser Specified</v>
      </c>
      <c r="M906" s="5" cm="1">
        <f t="array" ref="M906">MAX(IF((ProjectInfoTable[ProjectName]=DiscreteStatsTable[[#This Row],[ProjectName]]),(ProjectInfoTable[ProjectName]=DiscreteStatsTable[[#This Row],[ProjectName]])*ProjectInfoTable[NumberOfReplications]))</f>
        <v>19</v>
      </c>
      <c r="N906" s="5" cm="1">
        <f t="array" ref="N906">IFERROR(AVERAGE(IF((DiscreteStatsTable[GroupByKey]=DiscreteStatsTable[[#This Row],[GroupByKey]]),(DiscreteStatsTable[GroupByKey]=DiscreteStatsTable[[#This Row],[GroupByKey]])*DiscreteStatsTable[Average])),0)</f>
        <v>7.21924481490937</v>
      </c>
      <c r="O906" s="5" cm="1">
        <f t="array" ref="O906">IFERROR(_xlfn.STDEV.S(IF((DiscreteStatsTable[GroupByKey]=DiscreteStatsTable[[#This Row],[GroupByKey]]),(DiscreteStatsTable[GroupByKey]=DiscreteStatsTable[[#This Row],[GroupByKey]])*DiscreteStatsTable[Average])),0)</f>
        <v>4.6581447823048947</v>
      </c>
      <c r="P906" s="5" cm="1">
        <f t="array" ref="P906">MAX(IF((ProjectInfoTable[ProjectName]=DiscreteStatsTable[[#This Row],[ProjectName]]),(ProjectInfoTable[ProjectName]=DiscreteStatsTable[[#This Row],[ProjectName]])*ProjectInfoTable[ConfidenceInterval]))</f>
        <v>0.95</v>
      </c>
      <c r="Q906" s="5">
        <f>IF(AND(DiscreteStatsTable[[#This Row],[RepsWithStatObserved]]=1,Y906=0),200000000000000000000,IFERROR(_xlfn.T.INV.2T(1 -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2.2451539176608639</v>
      </c>
      <c r="R906" s="5" cm="1">
        <f t="array" ref="R906">MIN(IF((DiscreteStatsTable[GroupByKey]=DiscreteStatsTable[[#This Row],[GroupByKey]]),(DiscreteStatsTable[GroupByKey]=DiscreteStatsTable[[#This Row],[GroupByKey]])*DiscreteStatsTable[Average]))</f>
        <v>3.5254104253296199</v>
      </c>
      <c r="S906" s="5" cm="1">
        <f t="array" ref="S906">MAX(IF((DiscreteStatsTable[GroupByKey]=DiscreteStatsTable[[#This Row],[GroupByKey]]),(DiscreteStatsTable[GroupByKey]=DiscreteStatsTable[[#This Row],[GroupByKey]])*DiscreteStatsTable[Average]))</f>
        <v>23.5684194805701</v>
      </c>
      <c r="T906" s="5" cm="1">
        <f t="array" ref="T906">MIN(IF((DiscreteStatsTable[GroupByKey]=DiscreteStatsTable[[#This Row],[GroupByKey]]),(DiscreteStatsTable[GroupByKey]=DiscreteStatsTable[[#This Row],[GroupByKey]])*DiscreteStatsTable[Minimum]))</f>
        <v>3.5254104253296199</v>
      </c>
      <c r="U906" s="5" cm="1">
        <f t="array" ref="U906">MAX(IF((DiscreteStatsTable[GroupByKey]=DiscreteStatsTable[[#This Row],[GroupByKey]]),(DiscreteStatsTable[GroupByKey]=DiscreteStatsTable[[#This Row],[GroupByKey]])*DiscreteStatsTable[Maximum]))</f>
        <v>23.5684194805701</v>
      </c>
      <c r="V906" s="5" cm="1">
        <f t="array" ref="V906">IFERROR(AVERAGE(IF((DiscreteStatsTable[GroupByKey]=DiscreteStatsTable[[#This Row],[GroupByKey]]),(DiscreteStatsTable[GroupByKey]=DiscreteStatsTable[[#This Row],[GroupByKey]])*DiscreteStatsTable[NumberObservations])),0)</f>
        <v>1</v>
      </c>
      <c r="W906" s="5">
        <f>IF((DiscreteStatsTable[[#This Row],[RepsRequested]]&gt;1),DiscreteStatsTable[[#This Row],[HalfWidth]],DiscreteStatsTable[[#This Row],[BatchMeansHalfWidth]])</f>
        <v>2.2451539176608639</v>
      </c>
      <c r="X906" s="5" cm="1">
        <f t="array" ref="X906">COUNT(IF((DiscreteStatsTable[GroupByKey]=DiscreteStatsTable[[#This Row],[GroupByKey]]),(DiscreteStatsTable[GroupByKey]=DiscreteStatsTable[[#This Row],[GroupByKey]])*DiscreteStatsTable[Replication]))</f>
        <v>19</v>
      </c>
      <c r="Y906" s="5">
        <f>IF(DiscreteStatsTable[[#This Row],[RepsRequested]]=DiscreteStatsTable[[#This Row],[RepsWithStatObserved]],1,0)</f>
        <v>1</v>
      </c>
    </row>
    <row r="907" spans="1:25" x14ac:dyDescent="0.25">
      <c r="A907" t="s">
        <v>67</v>
      </c>
      <c r="B907" t="s">
        <v>69</v>
      </c>
      <c r="C907">
        <v>18</v>
      </c>
      <c r="D907" t="s">
        <v>118</v>
      </c>
      <c r="E907" t="s">
        <v>79</v>
      </c>
      <c r="F907" t="s">
        <v>80</v>
      </c>
      <c r="G907">
        <v>8.4110007408659992</v>
      </c>
      <c r="H907">
        <v>2E+20</v>
      </c>
      <c r="I907">
        <v>8.4110007408659992</v>
      </c>
      <c r="J907">
        <v>8.4110007408659992</v>
      </c>
      <c r="K907">
        <v>1</v>
      </c>
      <c r="L90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compartida)TiempoSistemaTodosH1ExpressionUser Specified</v>
      </c>
      <c r="M907" s="5" cm="1">
        <f t="array" ref="M907">MAX(IF((ProjectInfoTable[ProjectName]=DiscreteStatsTable[[#This Row],[ProjectName]]),(ProjectInfoTable[ProjectName]=DiscreteStatsTable[[#This Row],[ProjectName]])*ProjectInfoTable[NumberOfReplications]))</f>
        <v>19</v>
      </c>
      <c r="N907" s="5" cm="1">
        <f t="array" ref="N907">IFERROR(AVERAGE(IF((DiscreteStatsTable[GroupByKey]=DiscreteStatsTable[[#This Row],[GroupByKey]]),(DiscreteStatsTable[GroupByKey]=DiscreteStatsTable[[#This Row],[GroupByKey]])*DiscreteStatsTable[Average])),0)</f>
        <v>7.21924481490937</v>
      </c>
      <c r="O907" s="5" cm="1">
        <f t="array" ref="O907">IFERROR(_xlfn.STDEV.S(IF((DiscreteStatsTable[GroupByKey]=DiscreteStatsTable[[#This Row],[GroupByKey]]),(DiscreteStatsTable[GroupByKey]=DiscreteStatsTable[[#This Row],[GroupByKey]])*DiscreteStatsTable[Average])),0)</f>
        <v>4.6581447823048947</v>
      </c>
      <c r="P907" s="5" cm="1">
        <f t="array" ref="P907">MAX(IF((ProjectInfoTable[ProjectName]=DiscreteStatsTable[[#This Row],[ProjectName]]),(ProjectInfoTable[ProjectName]=DiscreteStatsTable[[#This Row],[ProjectName]])*ProjectInfoTable[ConfidenceInterval]))</f>
        <v>0.95</v>
      </c>
      <c r="Q907" s="5">
        <f>IF(AND(DiscreteStatsTable[[#This Row],[RepsWithStatObserved]]=1,Y907=0),200000000000000000000,IFERROR(_xlfn.T.INV.2T(1 -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2.2451539176608639</v>
      </c>
      <c r="R907" s="5" cm="1">
        <f t="array" ref="R907">MIN(IF((DiscreteStatsTable[GroupByKey]=DiscreteStatsTable[[#This Row],[GroupByKey]]),(DiscreteStatsTable[GroupByKey]=DiscreteStatsTable[[#This Row],[GroupByKey]])*DiscreteStatsTable[Average]))</f>
        <v>3.5254104253296199</v>
      </c>
      <c r="S907" s="5" cm="1">
        <f t="array" ref="S907">MAX(IF((DiscreteStatsTable[GroupByKey]=DiscreteStatsTable[[#This Row],[GroupByKey]]),(DiscreteStatsTable[GroupByKey]=DiscreteStatsTable[[#This Row],[GroupByKey]])*DiscreteStatsTable[Average]))</f>
        <v>23.5684194805701</v>
      </c>
      <c r="T907" s="5" cm="1">
        <f t="array" ref="T907">MIN(IF((DiscreteStatsTable[GroupByKey]=DiscreteStatsTable[[#This Row],[GroupByKey]]),(DiscreteStatsTable[GroupByKey]=DiscreteStatsTable[[#This Row],[GroupByKey]])*DiscreteStatsTable[Minimum]))</f>
        <v>3.5254104253296199</v>
      </c>
      <c r="U907" s="5" cm="1">
        <f t="array" ref="U907">MAX(IF((DiscreteStatsTable[GroupByKey]=DiscreteStatsTable[[#This Row],[GroupByKey]]),(DiscreteStatsTable[GroupByKey]=DiscreteStatsTable[[#This Row],[GroupByKey]])*DiscreteStatsTable[Maximum]))</f>
        <v>23.5684194805701</v>
      </c>
      <c r="V907" s="5" cm="1">
        <f t="array" ref="V907">IFERROR(AVERAGE(IF((DiscreteStatsTable[GroupByKey]=DiscreteStatsTable[[#This Row],[GroupByKey]]),(DiscreteStatsTable[GroupByKey]=DiscreteStatsTable[[#This Row],[GroupByKey]])*DiscreteStatsTable[NumberObservations])),0)</f>
        <v>1</v>
      </c>
      <c r="W907" s="5">
        <f>IF((DiscreteStatsTable[[#This Row],[RepsRequested]]&gt;1),DiscreteStatsTable[[#This Row],[HalfWidth]],DiscreteStatsTable[[#This Row],[BatchMeansHalfWidth]])</f>
        <v>2.2451539176608639</v>
      </c>
      <c r="X907" s="5" cm="1">
        <f t="array" ref="X907">COUNT(IF((DiscreteStatsTable[GroupByKey]=DiscreteStatsTable[[#This Row],[GroupByKey]]),(DiscreteStatsTable[GroupByKey]=DiscreteStatsTable[[#This Row],[GroupByKey]])*DiscreteStatsTable[Replication]))</f>
        <v>19</v>
      </c>
      <c r="Y907" s="5">
        <f>IF(DiscreteStatsTable[[#This Row],[RepsRequested]]=DiscreteStatsTable[[#This Row],[RepsWithStatObserved]],1,0)</f>
        <v>1</v>
      </c>
    </row>
    <row r="908" spans="1:25" x14ac:dyDescent="0.25">
      <c r="A908" t="s">
        <v>67</v>
      </c>
      <c r="B908" t="s">
        <v>69</v>
      </c>
      <c r="C908">
        <v>19</v>
      </c>
      <c r="D908" t="s">
        <v>118</v>
      </c>
      <c r="E908" t="s">
        <v>79</v>
      </c>
      <c r="F908" t="s">
        <v>80</v>
      </c>
      <c r="G908">
        <v>5.0308684090483196</v>
      </c>
      <c r="H908">
        <v>2E+20</v>
      </c>
      <c r="I908">
        <v>5.0308684090483196</v>
      </c>
      <c r="J908">
        <v>5.0308684090483196</v>
      </c>
      <c r="K908">
        <v>1</v>
      </c>
      <c r="L90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compartida)TiempoSistemaTodosH1ExpressionUser Specified</v>
      </c>
      <c r="M908" s="5" cm="1">
        <f t="array" ref="M908">MAX(IF((ProjectInfoTable[ProjectName]=DiscreteStatsTable[[#This Row],[ProjectName]]),(ProjectInfoTable[ProjectName]=DiscreteStatsTable[[#This Row],[ProjectName]])*ProjectInfoTable[NumberOfReplications]))</f>
        <v>19</v>
      </c>
      <c r="N908" s="5" cm="1">
        <f t="array" ref="N908">IFERROR(AVERAGE(IF((DiscreteStatsTable[GroupByKey]=DiscreteStatsTable[[#This Row],[GroupByKey]]),(DiscreteStatsTable[GroupByKey]=DiscreteStatsTable[[#This Row],[GroupByKey]])*DiscreteStatsTable[Average])),0)</f>
        <v>7.21924481490937</v>
      </c>
      <c r="O908" s="5" cm="1">
        <f t="array" ref="O908">IFERROR(_xlfn.STDEV.S(IF((DiscreteStatsTable[GroupByKey]=DiscreteStatsTable[[#This Row],[GroupByKey]]),(DiscreteStatsTable[GroupByKey]=DiscreteStatsTable[[#This Row],[GroupByKey]])*DiscreteStatsTable[Average])),0)</f>
        <v>4.6581447823048947</v>
      </c>
      <c r="P908" s="5" cm="1">
        <f t="array" ref="P908">MAX(IF((ProjectInfoTable[ProjectName]=DiscreteStatsTable[[#This Row],[ProjectName]]),(ProjectInfoTable[ProjectName]=DiscreteStatsTable[[#This Row],[ProjectName]])*ProjectInfoTable[ConfidenceInterval]))</f>
        <v>0.95</v>
      </c>
      <c r="Q908" s="5">
        <f>IF(AND(DiscreteStatsTable[[#This Row],[RepsWithStatObserved]]=1,Y908=0),200000000000000000000,IFERROR(_xlfn.T.INV.2T(1 -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2.2451539176608639</v>
      </c>
      <c r="R908" s="5" cm="1">
        <f t="array" ref="R908">MIN(IF((DiscreteStatsTable[GroupByKey]=DiscreteStatsTable[[#This Row],[GroupByKey]]),(DiscreteStatsTable[GroupByKey]=DiscreteStatsTable[[#This Row],[GroupByKey]])*DiscreteStatsTable[Average]))</f>
        <v>3.5254104253296199</v>
      </c>
      <c r="S908" s="5" cm="1">
        <f t="array" ref="S908">MAX(IF((DiscreteStatsTable[GroupByKey]=DiscreteStatsTable[[#This Row],[GroupByKey]]),(DiscreteStatsTable[GroupByKey]=DiscreteStatsTable[[#This Row],[GroupByKey]])*DiscreteStatsTable[Average]))</f>
        <v>23.5684194805701</v>
      </c>
      <c r="T908" s="5" cm="1">
        <f t="array" ref="T908">MIN(IF((DiscreteStatsTable[GroupByKey]=DiscreteStatsTable[[#This Row],[GroupByKey]]),(DiscreteStatsTable[GroupByKey]=DiscreteStatsTable[[#This Row],[GroupByKey]])*DiscreteStatsTable[Minimum]))</f>
        <v>3.5254104253296199</v>
      </c>
      <c r="U908" s="5" cm="1">
        <f t="array" ref="U908">MAX(IF((DiscreteStatsTable[GroupByKey]=DiscreteStatsTable[[#This Row],[GroupByKey]]),(DiscreteStatsTable[GroupByKey]=DiscreteStatsTable[[#This Row],[GroupByKey]])*DiscreteStatsTable[Maximum]))</f>
        <v>23.5684194805701</v>
      </c>
      <c r="V908" s="5" cm="1">
        <f t="array" ref="V908">IFERROR(AVERAGE(IF((DiscreteStatsTable[GroupByKey]=DiscreteStatsTable[[#This Row],[GroupByKey]]),(DiscreteStatsTable[GroupByKey]=DiscreteStatsTable[[#This Row],[GroupByKey]])*DiscreteStatsTable[NumberObservations])),0)</f>
        <v>1</v>
      </c>
      <c r="W908" s="5">
        <f>IF((DiscreteStatsTable[[#This Row],[RepsRequested]]&gt;1),DiscreteStatsTable[[#This Row],[HalfWidth]],DiscreteStatsTable[[#This Row],[BatchMeansHalfWidth]])</f>
        <v>2.2451539176608639</v>
      </c>
      <c r="X908" s="5" cm="1">
        <f t="array" ref="X908">COUNT(IF((DiscreteStatsTable[GroupByKey]=DiscreteStatsTable[[#This Row],[GroupByKey]]),(DiscreteStatsTable[GroupByKey]=DiscreteStatsTable[[#This Row],[GroupByKey]])*DiscreteStatsTable[Replication]))</f>
        <v>19</v>
      </c>
      <c r="Y908" s="5">
        <f>IF(DiscreteStatsTable[[#This Row],[RepsRequested]]=DiscreteStatsTable[[#This Row],[RepsWithStatObserved]],1,0)</f>
        <v>1</v>
      </c>
    </row>
    <row r="909" spans="1:25" x14ac:dyDescent="0.25">
      <c r="A909" t="s">
        <v>67</v>
      </c>
      <c r="B909" t="s">
        <v>69</v>
      </c>
      <c r="C909">
        <v>1</v>
      </c>
      <c r="D909" t="s">
        <v>119</v>
      </c>
      <c r="E909" t="s">
        <v>79</v>
      </c>
      <c r="F909" t="s">
        <v>80</v>
      </c>
      <c r="G909">
        <v>15.6421643177151</v>
      </c>
      <c r="H909">
        <v>2E+20</v>
      </c>
      <c r="I909">
        <v>15.6421643177151</v>
      </c>
      <c r="J909">
        <v>15.6421643177151</v>
      </c>
      <c r="K909">
        <v>1</v>
      </c>
      <c r="L90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compartida)TiempoSistemaTodosH2ExpressionUser Specified</v>
      </c>
      <c r="M909" s="5" cm="1">
        <f t="array" ref="M909">MAX(IF((ProjectInfoTable[ProjectName]=DiscreteStatsTable[[#This Row],[ProjectName]]),(ProjectInfoTable[ProjectName]=DiscreteStatsTable[[#This Row],[ProjectName]])*ProjectInfoTable[NumberOfReplications]))</f>
        <v>19</v>
      </c>
      <c r="N909" s="5" cm="1">
        <f t="array" ref="N909">IFERROR(AVERAGE(IF((DiscreteStatsTable[GroupByKey]=DiscreteStatsTable[[#This Row],[GroupByKey]]),(DiscreteStatsTable[GroupByKey]=DiscreteStatsTable[[#This Row],[GroupByKey]])*DiscreteStatsTable[Average])),0)</f>
        <v>6.2413723329291182</v>
      </c>
      <c r="O909" s="5" cm="1">
        <f t="array" ref="O909">IFERROR(_xlfn.STDEV.S(IF((DiscreteStatsTable[GroupByKey]=DiscreteStatsTable[[#This Row],[GroupByKey]]),(DiscreteStatsTable[GroupByKey]=DiscreteStatsTable[[#This Row],[GroupByKey]])*DiscreteStatsTable[Average])),0)</f>
        <v>2.6778317329608212</v>
      </c>
      <c r="P909" s="5" cm="1">
        <f t="array" ref="P909">MAX(IF((ProjectInfoTable[ProjectName]=DiscreteStatsTable[[#This Row],[ProjectName]]),(ProjectInfoTable[ProjectName]=DiscreteStatsTable[[#This Row],[ProjectName]])*ProjectInfoTable[ConfidenceInterval]))</f>
        <v>0.95</v>
      </c>
      <c r="Q909" s="5">
        <f>IF(AND(DiscreteStatsTable[[#This Row],[RepsWithStatObserved]]=1,Y909=0),200000000000000000000,IFERROR(_xlfn.T.INV.2T(1 -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1.2906735808067136</v>
      </c>
      <c r="R909" s="5" cm="1">
        <f t="array" ref="R909">MIN(IF((DiscreteStatsTable[GroupByKey]=DiscreteStatsTable[[#This Row],[GroupByKey]]),(DiscreteStatsTable[GroupByKey]=DiscreteStatsTable[[#This Row],[GroupByKey]])*DiscreteStatsTable[Average]))</f>
        <v>4.0121604978615801</v>
      </c>
      <c r="S909" s="5" cm="1">
        <f t="array" ref="S909">MAX(IF((DiscreteStatsTable[GroupByKey]=DiscreteStatsTable[[#This Row],[GroupByKey]]),(DiscreteStatsTable[GroupByKey]=DiscreteStatsTable[[#This Row],[GroupByKey]])*DiscreteStatsTable[Average]))</f>
        <v>15.6421643177151</v>
      </c>
      <c r="T909" s="5" cm="1">
        <f t="array" ref="T909">MIN(IF((DiscreteStatsTable[GroupByKey]=DiscreteStatsTable[[#This Row],[GroupByKey]]),(DiscreteStatsTable[GroupByKey]=DiscreteStatsTable[[#This Row],[GroupByKey]])*DiscreteStatsTable[Minimum]))</f>
        <v>4.0121604978615801</v>
      </c>
      <c r="U909" s="5" cm="1">
        <f t="array" ref="U909">MAX(IF((DiscreteStatsTable[GroupByKey]=DiscreteStatsTable[[#This Row],[GroupByKey]]),(DiscreteStatsTable[GroupByKey]=DiscreteStatsTable[[#This Row],[GroupByKey]])*DiscreteStatsTable[Maximum]))</f>
        <v>15.6421643177151</v>
      </c>
      <c r="V909" s="5" cm="1">
        <f t="array" ref="V909">IFERROR(AVERAGE(IF((DiscreteStatsTable[GroupByKey]=DiscreteStatsTable[[#This Row],[GroupByKey]]),(DiscreteStatsTable[GroupByKey]=DiscreteStatsTable[[#This Row],[GroupByKey]])*DiscreteStatsTable[NumberObservations])),0)</f>
        <v>1</v>
      </c>
      <c r="W909" s="5">
        <f>IF((DiscreteStatsTable[[#This Row],[RepsRequested]]&gt;1),DiscreteStatsTable[[#This Row],[HalfWidth]],DiscreteStatsTable[[#This Row],[BatchMeansHalfWidth]])</f>
        <v>1.2906735808067136</v>
      </c>
      <c r="X909" s="5" cm="1">
        <f t="array" ref="X909">COUNT(IF((DiscreteStatsTable[GroupByKey]=DiscreteStatsTable[[#This Row],[GroupByKey]]),(DiscreteStatsTable[GroupByKey]=DiscreteStatsTable[[#This Row],[GroupByKey]])*DiscreteStatsTable[Replication]))</f>
        <v>19</v>
      </c>
      <c r="Y909" s="5">
        <f>IF(DiscreteStatsTable[[#This Row],[RepsRequested]]=DiscreteStatsTable[[#This Row],[RepsWithStatObserved]],1,0)</f>
        <v>1</v>
      </c>
    </row>
    <row r="910" spans="1:25" x14ac:dyDescent="0.25">
      <c r="A910" t="s">
        <v>67</v>
      </c>
      <c r="B910" t="s">
        <v>69</v>
      </c>
      <c r="C910">
        <v>2</v>
      </c>
      <c r="D910" t="s">
        <v>119</v>
      </c>
      <c r="E910" t="s">
        <v>79</v>
      </c>
      <c r="F910" t="s">
        <v>80</v>
      </c>
      <c r="G910">
        <v>4.3706237840812401</v>
      </c>
      <c r="H910">
        <v>2E+20</v>
      </c>
      <c r="I910">
        <v>4.3706237840812401</v>
      </c>
      <c r="J910">
        <v>4.3706237840812401</v>
      </c>
      <c r="K910">
        <v>1</v>
      </c>
      <c r="L91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compartida)TiempoSistemaTodosH2ExpressionUser Specified</v>
      </c>
      <c r="M910" s="5" cm="1">
        <f t="array" ref="M910">MAX(IF((ProjectInfoTable[ProjectName]=DiscreteStatsTable[[#This Row],[ProjectName]]),(ProjectInfoTable[ProjectName]=DiscreteStatsTable[[#This Row],[ProjectName]])*ProjectInfoTable[NumberOfReplications]))</f>
        <v>19</v>
      </c>
      <c r="N910" s="5" cm="1">
        <f t="array" ref="N910">IFERROR(AVERAGE(IF((DiscreteStatsTable[GroupByKey]=DiscreteStatsTable[[#This Row],[GroupByKey]]),(DiscreteStatsTable[GroupByKey]=DiscreteStatsTable[[#This Row],[GroupByKey]])*DiscreteStatsTable[Average])),0)</f>
        <v>6.2413723329291182</v>
      </c>
      <c r="O910" s="5" cm="1">
        <f t="array" ref="O910">IFERROR(_xlfn.STDEV.S(IF((DiscreteStatsTable[GroupByKey]=DiscreteStatsTable[[#This Row],[GroupByKey]]),(DiscreteStatsTable[GroupByKey]=DiscreteStatsTable[[#This Row],[GroupByKey]])*DiscreteStatsTable[Average])),0)</f>
        <v>2.6778317329608212</v>
      </c>
      <c r="P910" s="5" cm="1">
        <f t="array" ref="P910">MAX(IF((ProjectInfoTable[ProjectName]=DiscreteStatsTable[[#This Row],[ProjectName]]),(ProjectInfoTable[ProjectName]=DiscreteStatsTable[[#This Row],[ProjectName]])*ProjectInfoTable[ConfidenceInterval]))</f>
        <v>0.95</v>
      </c>
      <c r="Q910" s="5">
        <f>IF(AND(DiscreteStatsTable[[#This Row],[RepsWithStatObserved]]=1,Y910=0),200000000000000000000,IFERROR(_xlfn.T.INV.2T(1 -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1.2906735808067136</v>
      </c>
      <c r="R910" s="5" cm="1">
        <f t="array" ref="R910">MIN(IF((DiscreteStatsTable[GroupByKey]=DiscreteStatsTable[[#This Row],[GroupByKey]]),(DiscreteStatsTable[GroupByKey]=DiscreteStatsTable[[#This Row],[GroupByKey]])*DiscreteStatsTable[Average]))</f>
        <v>4.0121604978615801</v>
      </c>
      <c r="S910" s="5" cm="1">
        <f t="array" ref="S910">MAX(IF((DiscreteStatsTable[GroupByKey]=DiscreteStatsTable[[#This Row],[GroupByKey]]),(DiscreteStatsTable[GroupByKey]=DiscreteStatsTable[[#This Row],[GroupByKey]])*DiscreteStatsTable[Average]))</f>
        <v>15.6421643177151</v>
      </c>
      <c r="T910" s="5" cm="1">
        <f t="array" ref="T910">MIN(IF((DiscreteStatsTable[GroupByKey]=DiscreteStatsTable[[#This Row],[GroupByKey]]),(DiscreteStatsTable[GroupByKey]=DiscreteStatsTable[[#This Row],[GroupByKey]])*DiscreteStatsTable[Minimum]))</f>
        <v>4.0121604978615801</v>
      </c>
      <c r="U910" s="5" cm="1">
        <f t="array" ref="U910">MAX(IF((DiscreteStatsTable[GroupByKey]=DiscreteStatsTable[[#This Row],[GroupByKey]]),(DiscreteStatsTable[GroupByKey]=DiscreteStatsTable[[#This Row],[GroupByKey]])*DiscreteStatsTable[Maximum]))</f>
        <v>15.6421643177151</v>
      </c>
      <c r="V910" s="5" cm="1">
        <f t="array" ref="V910">IFERROR(AVERAGE(IF((DiscreteStatsTable[GroupByKey]=DiscreteStatsTable[[#This Row],[GroupByKey]]),(DiscreteStatsTable[GroupByKey]=DiscreteStatsTable[[#This Row],[GroupByKey]])*DiscreteStatsTable[NumberObservations])),0)</f>
        <v>1</v>
      </c>
      <c r="W910" s="5">
        <f>IF((DiscreteStatsTable[[#This Row],[RepsRequested]]&gt;1),DiscreteStatsTable[[#This Row],[HalfWidth]],DiscreteStatsTable[[#This Row],[BatchMeansHalfWidth]])</f>
        <v>1.2906735808067136</v>
      </c>
      <c r="X910" s="5" cm="1">
        <f t="array" ref="X910">COUNT(IF((DiscreteStatsTable[GroupByKey]=DiscreteStatsTable[[#This Row],[GroupByKey]]),(DiscreteStatsTable[GroupByKey]=DiscreteStatsTable[[#This Row],[GroupByKey]])*DiscreteStatsTable[Replication]))</f>
        <v>19</v>
      </c>
      <c r="Y910" s="5">
        <f>IF(DiscreteStatsTable[[#This Row],[RepsRequested]]=DiscreteStatsTable[[#This Row],[RepsWithStatObserved]],1,0)</f>
        <v>1</v>
      </c>
    </row>
    <row r="911" spans="1:25" x14ac:dyDescent="0.25">
      <c r="A911" t="s">
        <v>67</v>
      </c>
      <c r="B911" t="s">
        <v>69</v>
      </c>
      <c r="C911">
        <v>3</v>
      </c>
      <c r="D911" t="s">
        <v>119</v>
      </c>
      <c r="E911" t="s">
        <v>79</v>
      </c>
      <c r="F911" t="s">
        <v>80</v>
      </c>
      <c r="G911">
        <v>10.563509437069399</v>
      </c>
      <c r="H911">
        <v>2E+20</v>
      </c>
      <c r="I911">
        <v>10.563509437069399</v>
      </c>
      <c r="J911">
        <v>10.563509437069399</v>
      </c>
      <c r="K911">
        <v>1</v>
      </c>
      <c r="L91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compartida)TiempoSistemaTodosH2ExpressionUser Specified</v>
      </c>
      <c r="M911" s="5" cm="1">
        <f t="array" ref="M911">MAX(IF((ProjectInfoTable[ProjectName]=DiscreteStatsTable[[#This Row],[ProjectName]]),(ProjectInfoTable[ProjectName]=DiscreteStatsTable[[#This Row],[ProjectName]])*ProjectInfoTable[NumberOfReplications]))</f>
        <v>19</v>
      </c>
      <c r="N911" s="5" cm="1">
        <f t="array" ref="N911">IFERROR(AVERAGE(IF((DiscreteStatsTable[GroupByKey]=DiscreteStatsTable[[#This Row],[GroupByKey]]),(DiscreteStatsTable[GroupByKey]=DiscreteStatsTable[[#This Row],[GroupByKey]])*DiscreteStatsTable[Average])),0)</f>
        <v>6.2413723329291182</v>
      </c>
      <c r="O911" s="5" cm="1">
        <f t="array" ref="O911">IFERROR(_xlfn.STDEV.S(IF((DiscreteStatsTable[GroupByKey]=DiscreteStatsTable[[#This Row],[GroupByKey]]),(DiscreteStatsTable[GroupByKey]=DiscreteStatsTable[[#This Row],[GroupByKey]])*DiscreteStatsTable[Average])),0)</f>
        <v>2.6778317329608212</v>
      </c>
      <c r="P911" s="5" cm="1">
        <f t="array" ref="P911">MAX(IF((ProjectInfoTable[ProjectName]=DiscreteStatsTable[[#This Row],[ProjectName]]),(ProjectInfoTable[ProjectName]=DiscreteStatsTable[[#This Row],[ProjectName]])*ProjectInfoTable[ConfidenceInterval]))</f>
        <v>0.95</v>
      </c>
      <c r="Q911" s="5">
        <f>IF(AND(DiscreteStatsTable[[#This Row],[RepsWithStatObserved]]=1,Y911=0),200000000000000000000,IFERROR(_xlfn.T.INV.2T(1 -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1.2906735808067136</v>
      </c>
      <c r="R911" s="5" cm="1">
        <f t="array" ref="R911">MIN(IF((DiscreteStatsTable[GroupByKey]=DiscreteStatsTable[[#This Row],[GroupByKey]]),(DiscreteStatsTable[GroupByKey]=DiscreteStatsTable[[#This Row],[GroupByKey]])*DiscreteStatsTable[Average]))</f>
        <v>4.0121604978615801</v>
      </c>
      <c r="S911" s="5" cm="1">
        <f t="array" ref="S911">MAX(IF((DiscreteStatsTable[GroupByKey]=DiscreteStatsTable[[#This Row],[GroupByKey]]),(DiscreteStatsTable[GroupByKey]=DiscreteStatsTable[[#This Row],[GroupByKey]])*DiscreteStatsTable[Average]))</f>
        <v>15.6421643177151</v>
      </c>
      <c r="T911" s="5" cm="1">
        <f t="array" ref="T911">MIN(IF((DiscreteStatsTable[GroupByKey]=DiscreteStatsTable[[#This Row],[GroupByKey]]),(DiscreteStatsTable[GroupByKey]=DiscreteStatsTable[[#This Row],[GroupByKey]])*DiscreteStatsTable[Minimum]))</f>
        <v>4.0121604978615801</v>
      </c>
      <c r="U911" s="5" cm="1">
        <f t="array" ref="U911">MAX(IF((DiscreteStatsTable[GroupByKey]=DiscreteStatsTable[[#This Row],[GroupByKey]]),(DiscreteStatsTable[GroupByKey]=DiscreteStatsTable[[#This Row],[GroupByKey]])*DiscreteStatsTable[Maximum]))</f>
        <v>15.6421643177151</v>
      </c>
      <c r="V911" s="5" cm="1">
        <f t="array" ref="V911">IFERROR(AVERAGE(IF((DiscreteStatsTable[GroupByKey]=DiscreteStatsTable[[#This Row],[GroupByKey]]),(DiscreteStatsTable[GroupByKey]=DiscreteStatsTable[[#This Row],[GroupByKey]])*DiscreteStatsTable[NumberObservations])),0)</f>
        <v>1</v>
      </c>
      <c r="W911" s="5">
        <f>IF((DiscreteStatsTable[[#This Row],[RepsRequested]]&gt;1),DiscreteStatsTable[[#This Row],[HalfWidth]],DiscreteStatsTable[[#This Row],[BatchMeansHalfWidth]])</f>
        <v>1.2906735808067136</v>
      </c>
      <c r="X911" s="5" cm="1">
        <f t="array" ref="X911">COUNT(IF((DiscreteStatsTable[GroupByKey]=DiscreteStatsTable[[#This Row],[GroupByKey]]),(DiscreteStatsTable[GroupByKey]=DiscreteStatsTable[[#This Row],[GroupByKey]])*DiscreteStatsTable[Replication]))</f>
        <v>19</v>
      </c>
      <c r="Y911" s="5">
        <f>IF(DiscreteStatsTable[[#This Row],[RepsRequested]]=DiscreteStatsTable[[#This Row],[RepsWithStatObserved]],1,0)</f>
        <v>1</v>
      </c>
    </row>
    <row r="912" spans="1:25" x14ac:dyDescent="0.25">
      <c r="A912" t="s">
        <v>67</v>
      </c>
      <c r="B912" t="s">
        <v>69</v>
      </c>
      <c r="C912">
        <v>4</v>
      </c>
      <c r="D912" t="s">
        <v>119</v>
      </c>
      <c r="E912" t="s">
        <v>79</v>
      </c>
      <c r="F912" t="s">
        <v>80</v>
      </c>
      <c r="G912">
        <v>4.5471023284040601</v>
      </c>
      <c r="H912">
        <v>2E+20</v>
      </c>
      <c r="I912">
        <v>4.5471023284040601</v>
      </c>
      <c r="J912">
        <v>4.5471023284040601</v>
      </c>
      <c r="K912">
        <v>1</v>
      </c>
      <c r="L91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compartida)TiempoSistemaTodosH2ExpressionUser Specified</v>
      </c>
      <c r="M912" s="5" cm="1">
        <f t="array" ref="M912">MAX(IF((ProjectInfoTable[ProjectName]=DiscreteStatsTable[[#This Row],[ProjectName]]),(ProjectInfoTable[ProjectName]=DiscreteStatsTable[[#This Row],[ProjectName]])*ProjectInfoTable[NumberOfReplications]))</f>
        <v>19</v>
      </c>
      <c r="N912" s="5" cm="1">
        <f t="array" ref="N912">IFERROR(AVERAGE(IF((DiscreteStatsTable[GroupByKey]=DiscreteStatsTable[[#This Row],[GroupByKey]]),(DiscreteStatsTable[GroupByKey]=DiscreteStatsTable[[#This Row],[GroupByKey]])*DiscreteStatsTable[Average])),0)</f>
        <v>6.2413723329291182</v>
      </c>
      <c r="O912" s="5" cm="1">
        <f t="array" ref="O912">IFERROR(_xlfn.STDEV.S(IF((DiscreteStatsTable[GroupByKey]=DiscreteStatsTable[[#This Row],[GroupByKey]]),(DiscreteStatsTable[GroupByKey]=DiscreteStatsTable[[#This Row],[GroupByKey]])*DiscreteStatsTable[Average])),0)</f>
        <v>2.6778317329608212</v>
      </c>
      <c r="P912" s="5" cm="1">
        <f t="array" ref="P912">MAX(IF((ProjectInfoTable[ProjectName]=DiscreteStatsTable[[#This Row],[ProjectName]]),(ProjectInfoTable[ProjectName]=DiscreteStatsTable[[#This Row],[ProjectName]])*ProjectInfoTable[ConfidenceInterval]))</f>
        <v>0.95</v>
      </c>
      <c r="Q912" s="5">
        <f>IF(AND(DiscreteStatsTable[[#This Row],[RepsWithStatObserved]]=1,Y912=0),200000000000000000000,IFERROR(_xlfn.T.INV.2T(1 -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1.2906735808067136</v>
      </c>
      <c r="R912" s="5" cm="1">
        <f t="array" ref="R912">MIN(IF((DiscreteStatsTable[GroupByKey]=DiscreteStatsTable[[#This Row],[GroupByKey]]),(DiscreteStatsTable[GroupByKey]=DiscreteStatsTable[[#This Row],[GroupByKey]])*DiscreteStatsTable[Average]))</f>
        <v>4.0121604978615801</v>
      </c>
      <c r="S912" s="5" cm="1">
        <f t="array" ref="S912">MAX(IF((DiscreteStatsTable[GroupByKey]=DiscreteStatsTable[[#This Row],[GroupByKey]]),(DiscreteStatsTable[GroupByKey]=DiscreteStatsTable[[#This Row],[GroupByKey]])*DiscreteStatsTable[Average]))</f>
        <v>15.6421643177151</v>
      </c>
      <c r="T912" s="5" cm="1">
        <f t="array" ref="T912">MIN(IF((DiscreteStatsTable[GroupByKey]=DiscreteStatsTable[[#This Row],[GroupByKey]]),(DiscreteStatsTable[GroupByKey]=DiscreteStatsTable[[#This Row],[GroupByKey]])*DiscreteStatsTable[Minimum]))</f>
        <v>4.0121604978615801</v>
      </c>
      <c r="U912" s="5" cm="1">
        <f t="array" ref="U912">MAX(IF((DiscreteStatsTable[GroupByKey]=DiscreteStatsTable[[#This Row],[GroupByKey]]),(DiscreteStatsTable[GroupByKey]=DiscreteStatsTable[[#This Row],[GroupByKey]])*DiscreteStatsTable[Maximum]))</f>
        <v>15.6421643177151</v>
      </c>
      <c r="V912" s="5" cm="1">
        <f t="array" ref="V912">IFERROR(AVERAGE(IF((DiscreteStatsTable[GroupByKey]=DiscreteStatsTable[[#This Row],[GroupByKey]]),(DiscreteStatsTable[GroupByKey]=DiscreteStatsTable[[#This Row],[GroupByKey]])*DiscreteStatsTable[NumberObservations])),0)</f>
        <v>1</v>
      </c>
      <c r="W912" s="5">
        <f>IF((DiscreteStatsTable[[#This Row],[RepsRequested]]&gt;1),DiscreteStatsTable[[#This Row],[HalfWidth]],DiscreteStatsTable[[#This Row],[BatchMeansHalfWidth]])</f>
        <v>1.2906735808067136</v>
      </c>
      <c r="X912" s="5" cm="1">
        <f t="array" ref="X912">COUNT(IF((DiscreteStatsTable[GroupByKey]=DiscreteStatsTable[[#This Row],[GroupByKey]]),(DiscreteStatsTable[GroupByKey]=DiscreteStatsTable[[#This Row],[GroupByKey]])*DiscreteStatsTable[Replication]))</f>
        <v>19</v>
      </c>
      <c r="Y912" s="5">
        <f>IF(DiscreteStatsTable[[#This Row],[RepsRequested]]=DiscreteStatsTable[[#This Row],[RepsWithStatObserved]],1,0)</f>
        <v>1</v>
      </c>
    </row>
    <row r="913" spans="1:25" x14ac:dyDescent="0.25">
      <c r="A913" t="s">
        <v>67</v>
      </c>
      <c r="B913" t="s">
        <v>69</v>
      </c>
      <c r="C913">
        <v>5</v>
      </c>
      <c r="D913" t="s">
        <v>119</v>
      </c>
      <c r="E913" t="s">
        <v>79</v>
      </c>
      <c r="F913" t="s">
        <v>80</v>
      </c>
      <c r="G913">
        <v>4.0121604978615801</v>
      </c>
      <c r="H913">
        <v>2E+20</v>
      </c>
      <c r="I913">
        <v>4.0121604978615801</v>
      </c>
      <c r="J913">
        <v>4.0121604978615801</v>
      </c>
      <c r="K913">
        <v>1</v>
      </c>
      <c r="L91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compartida)TiempoSistemaTodosH2ExpressionUser Specified</v>
      </c>
      <c r="M913" s="5" cm="1">
        <f t="array" ref="M913">MAX(IF((ProjectInfoTable[ProjectName]=DiscreteStatsTable[[#This Row],[ProjectName]]),(ProjectInfoTable[ProjectName]=DiscreteStatsTable[[#This Row],[ProjectName]])*ProjectInfoTable[NumberOfReplications]))</f>
        <v>19</v>
      </c>
      <c r="N913" s="5" cm="1">
        <f t="array" ref="N913">IFERROR(AVERAGE(IF((DiscreteStatsTable[GroupByKey]=DiscreteStatsTable[[#This Row],[GroupByKey]]),(DiscreteStatsTable[GroupByKey]=DiscreteStatsTable[[#This Row],[GroupByKey]])*DiscreteStatsTable[Average])),0)</f>
        <v>6.2413723329291182</v>
      </c>
      <c r="O913" s="5" cm="1">
        <f t="array" ref="O913">IFERROR(_xlfn.STDEV.S(IF((DiscreteStatsTable[GroupByKey]=DiscreteStatsTable[[#This Row],[GroupByKey]]),(DiscreteStatsTable[GroupByKey]=DiscreteStatsTable[[#This Row],[GroupByKey]])*DiscreteStatsTable[Average])),0)</f>
        <v>2.6778317329608212</v>
      </c>
      <c r="P913" s="5" cm="1">
        <f t="array" ref="P913">MAX(IF((ProjectInfoTable[ProjectName]=DiscreteStatsTable[[#This Row],[ProjectName]]),(ProjectInfoTable[ProjectName]=DiscreteStatsTable[[#This Row],[ProjectName]])*ProjectInfoTable[ConfidenceInterval]))</f>
        <v>0.95</v>
      </c>
      <c r="Q913" s="5">
        <f>IF(AND(DiscreteStatsTable[[#This Row],[RepsWithStatObserved]]=1,Y913=0),200000000000000000000,IFERROR(_xlfn.T.INV.2T(1 -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1.2906735808067136</v>
      </c>
      <c r="R913" s="5" cm="1">
        <f t="array" ref="R913">MIN(IF((DiscreteStatsTable[GroupByKey]=DiscreteStatsTable[[#This Row],[GroupByKey]]),(DiscreteStatsTable[GroupByKey]=DiscreteStatsTable[[#This Row],[GroupByKey]])*DiscreteStatsTable[Average]))</f>
        <v>4.0121604978615801</v>
      </c>
      <c r="S913" s="5" cm="1">
        <f t="array" ref="S913">MAX(IF((DiscreteStatsTable[GroupByKey]=DiscreteStatsTable[[#This Row],[GroupByKey]]),(DiscreteStatsTable[GroupByKey]=DiscreteStatsTable[[#This Row],[GroupByKey]])*DiscreteStatsTable[Average]))</f>
        <v>15.6421643177151</v>
      </c>
      <c r="T913" s="5" cm="1">
        <f t="array" ref="T913">MIN(IF((DiscreteStatsTable[GroupByKey]=DiscreteStatsTable[[#This Row],[GroupByKey]]),(DiscreteStatsTable[GroupByKey]=DiscreteStatsTable[[#This Row],[GroupByKey]])*DiscreteStatsTable[Minimum]))</f>
        <v>4.0121604978615801</v>
      </c>
      <c r="U913" s="5" cm="1">
        <f t="array" ref="U913">MAX(IF((DiscreteStatsTable[GroupByKey]=DiscreteStatsTable[[#This Row],[GroupByKey]]),(DiscreteStatsTable[GroupByKey]=DiscreteStatsTable[[#This Row],[GroupByKey]])*DiscreteStatsTable[Maximum]))</f>
        <v>15.6421643177151</v>
      </c>
      <c r="V913" s="5" cm="1">
        <f t="array" ref="V913">IFERROR(AVERAGE(IF((DiscreteStatsTable[GroupByKey]=DiscreteStatsTable[[#This Row],[GroupByKey]]),(DiscreteStatsTable[GroupByKey]=DiscreteStatsTable[[#This Row],[GroupByKey]])*DiscreteStatsTable[NumberObservations])),0)</f>
        <v>1</v>
      </c>
      <c r="W913" s="5">
        <f>IF((DiscreteStatsTable[[#This Row],[RepsRequested]]&gt;1),DiscreteStatsTable[[#This Row],[HalfWidth]],DiscreteStatsTable[[#This Row],[BatchMeansHalfWidth]])</f>
        <v>1.2906735808067136</v>
      </c>
      <c r="X913" s="5" cm="1">
        <f t="array" ref="X913">COUNT(IF((DiscreteStatsTable[GroupByKey]=DiscreteStatsTable[[#This Row],[GroupByKey]]),(DiscreteStatsTable[GroupByKey]=DiscreteStatsTable[[#This Row],[GroupByKey]])*DiscreteStatsTable[Replication]))</f>
        <v>19</v>
      </c>
      <c r="Y913" s="5">
        <f>IF(DiscreteStatsTable[[#This Row],[RepsRequested]]=DiscreteStatsTable[[#This Row],[RepsWithStatObserved]],1,0)</f>
        <v>1</v>
      </c>
    </row>
    <row r="914" spans="1:25" x14ac:dyDescent="0.25">
      <c r="A914" t="s">
        <v>67</v>
      </c>
      <c r="B914" t="s">
        <v>69</v>
      </c>
      <c r="C914">
        <v>6</v>
      </c>
      <c r="D914" t="s">
        <v>119</v>
      </c>
      <c r="E914" t="s">
        <v>79</v>
      </c>
      <c r="F914" t="s">
        <v>80</v>
      </c>
      <c r="G914">
        <v>5.35022439813413</v>
      </c>
      <c r="H914">
        <v>2E+20</v>
      </c>
      <c r="I914">
        <v>5.35022439813413</v>
      </c>
      <c r="J914">
        <v>5.35022439813413</v>
      </c>
      <c r="K914">
        <v>1</v>
      </c>
      <c r="L91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compartida)TiempoSistemaTodosH2ExpressionUser Specified</v>
      </c>
      <c r="M914" s="5" cm="1">
        <f t="array" ref="M914">MAX(IF((ProjectInfoTable[ProjectName]=DiscreteStatsTable[[#This Row],[ProjectName]]),(ProjectInfoTable[ProjectName]=DiscreteStatsTable[[#This Row],[ProjectName]])*ProjectInfoTable[NumberOfReplications]))</f>
        <v>19</v>
      </c>
      <c r="N914" s="5" cm="1">
        <f t="array" ref="N914">IFERROR(AVERAGE(IF((DiscreteStatsTable[GroupByKey]=DiscreteStatsTable[[#This Row],[GroupByKey]]),(DiscreteStatsTable[GroupByKey]=DiscreteStatsTable[[#This Row],[GroupByKey]])*DiscreteStatsTable[Average])),0)</f>
        <v>6.2413723329291182</v>
      </c>
      <c r="O914" s="5" cm="1">
        <f t="array" ref="O914">IFERROR(_xlfn.STDEV.S(IF((DiscreteStatsTable[GroupByKey]=DiscreteStatsTable[[#This Row],[GroupByKey]]),(DiscreteStatsTable[GroupByKey]=DiscreteStatsTable[[#This Row],[GroupByKey]])*DiscreteStatsTable[Average])),0)</f>
        <v>2.6778317329608212</v>
      </c>
      <c r="P914" s="5" cm="1">
        <f t="array" ref="P914">MAX(IF((ProjectInfoTable[ProjectName]=DiscreteStatsTable[[#This Row],[ProjectName]]),(ProjectInfoTable[ProjectName]=DiscreteStatsTable[[#This Row],[ProjectName]])*ProjectInfoTable[ConfidenceInterval]))</f>
        <v>0.95</v>
      </c>
      <c r="Q914" s="5">
        <f>IF(AND(DiscreteStatsTable[[#This Row],[RepsWithStatObserved]]=1,Y914=0),200000000000000000000,IFERROR(_xlfn.T.INV.2T(1 -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1.2906735808067136</v>
      </c>
      <c r="R914" s="5" cm="1">
        <f t="array" ref="R914">MIN(IF((DiscreteStatsTable[GroupByKey]=DiscreteStatsTable[[#This Row],[GroupByKey]]),(DiscreteStatsTable[GroupByKey]=DiscreteStatsTable[[#This Row],[GroupByKey]])*DiscreteStatsTable[Average]))</f>
        <v>4.0121604978615801</v>
      </c>
      <c r="S914" s="5" cm="1">
        <f t="array" ref="S914">MAX(IF((DiscreteStatsTable[GroupByKey]=DiscreteStatsTable[[#This Row],[GroupByKey]]),(DiscreteStatsTable[GroupByKey]=DiscreteStatsTable[[#This Row],[GroupByKey]])*DiscreteStatsTable[Average]))</f>
        <v>15.6421643177151</v>
      </c>
      <c r="T914" s="5" cm="1">
        <f t="array" ref="T914">MIN(IF((DiscreteStatsTable[GroupByKey]=DiscreteStatsTable[[#This Row],[GroupByKey]]),(DiscreteStatsTable[GroupByKey]=DiscreteStatsTable[[#This Row],[GroupByKey]])*DiscreteStatsTable[Minimum]))</f>
        <v>4.0121604978615801</v>
      </c>
      <c r="U914" s="5" cm="1">
        <f t="array" ref="U914">MAX(IF((DiscreteStatsTable[GroupByKey]=DiscreteStatsTable[[#This Row],[GroupByKey]]),(DiscreteStatsTable[GroupByKey]=DiscreteStatsTable[[#This Row],[GroupByKey]])*DiscreteStatsTable[Maximum]))</f>
        <v>15.6421643177151</v>
      </c>
      <c r="V914" s="5" cm="1">
        <f t="array" ref="V914">IFERROR(AVERAGE(IF((DiscreteStatsTable[GroupByKey]=DiscreteStatsTable[[#This Row],[GroupByKey]]),(DiscreteStatsTable[GroupByKey]=DiscreteStatsTable[[#This Row],[GroupByKey]])*DiscreteStatsTable[NumberObservations])),0)</f>
        <v>1</v>
      </c>
      <c r="W914" s="5">
        <f>IF((DiscreteStatsTable[[#This Row],[RepsRequested]]&gt;1),DiscreteStatsTable[[#This Row],[HalfWidth]],DiscreteStatsTable[[#This Row],[BatchMeansHalfWidth]])</f>
        <v>1.2906735808067136</v>
      </c>
      <c r="X914" s="5" cm="1">
        <f t="array" ref="X914">COUNT(IF((DiscreteStatsTable[GroupByKey]=DiscreteStatsTable[[#This Row],[GroupByKey]]),(DiscreteStatsTable[GroupByKey]=DiscreteStatsTable[[#This Row],[GroupByKey]])*DiscreteStatsTable[Replication]))</f>
        <v>19</v>
      </c>
      <c r="Y914" s="5">
        <f>IF(DiscreteStatsTable[[#This Row],[RepsRequested]]=DiscreteStatsTable[[#This Row],[RepsWithStatObserved]],1,0)</f>
        <v>1</v>
      </c>
    </row>
    <row r="915" spans="1:25" x14ac:dyDescent="0.25">
      <c r="A915" t="s">
        <v>67</v>
      </c>
      <c r="B915" t="s">
        <v>69</v>
      </c>
      <c r="C915">
        <v>7</v>
      </c>
      <c r="D915" t="s">
        <v>119</v>
      </c>
      <c r="E915" t="s">
        <v>79</v>
      </c>
      <c r="F915" t="s">
        <v>80</v>
      </c>
      <c r="G915">
        <v>5.8606125732170602</v>
      </c>
      <c r="H915">
        <v>2E+20</v>
      </c>
      <c r="I915">
        <v>5.8606125732170602</v>
      </c>
      <c r="J915">
        <v>5.8606125732170602</v>
      </c>
      <c r="K915">
        <v>1</v>
      </c>
      <c r="L91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compartida)TiempoSistemaTodosH2ExpressionUser Specified</v>
      </c>
      <c r="M915" s="5" cm="1">
        <f t="array" ref="M915">MAX(IF((ProjectInfoTable[ProjectName]=DiscreteStatsTable[[#This Row],[ProjectName]]),(ProjectInfoTable[ProjectName]=DiscreteStatsTable[[#This Row],[ProjectName]])*ProjectInfoTable[NumberOfReplications]))</f>
        <v>19</v>
      </c>
      <c r="N915" s="5" cm="1">
        <f t="array" ref="N915">IFERROR(AVERAGE(IF((DiscreteStatsTable[GroupByKey]=DiscreteStatsTable[[#This Row],[GroupByKey]]),(DiscreteStatsTable[GroupByKey]=DiscreteStatsTable[[#This Row],[GroupByKey]])*DiscreteStatsTable[Average])),0)</f>
        <v>6.2413723329291182</v>
      </c>
      <c r="O915" s="5" cm="1">
        <f t="array" ref="O915">IFERROR(_xlfn.STDEV.S(IF((DiscreteStatsTable[GroupByKey]=DiscreteStatsTable[[#This Row],[GroupByKey]]),(DiscreteStatsTable[GroupByKey]=DiscreteStatsTable[[#This Row],[GroupByKey]])*DiscreteStatsTable[Average])),0)</f>
        <v>2.6778317329608212</v>
      </c>
      <c r="P915" s="5" cm="1">
        <f t="array" ref="P915">MAX(IF((ProjectInfoTable[ProjectName]=DiscreteStatsTable[[#This Row],[ProjectName]]),(ProjectInfoTable[ProjectName]=DiscreteStatsTable[[#This Row],[ProjectName]])*ProjectInfoTable[ConfidenceInterval]))</f>
        <v>0.95</v>
      </c>
      <c r="Q915" s="5">
        <f>IF(AND(DiscreteStatsTable[[#This Row],[RepsWithStatObserved]]=1,Y915=0),200000000000000000000,IFERROR(_xlfn.T.INV.2T(1 -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1.2906735808067136</v>
      </c>
      <c r="R915" s="5" cm="1">
        <f t="array" ref="R915">MIN(IF((DiscreteStatsTable[GroupByKey]=DiscreteStatsTable[[#This Row],[GroupByKey]]),(DiscreteStatsTable[GroupByKey]=DiscreteStatsTable[[#This Row],[GroupByKey]])*DiscreteStatsTable[Average]))</f>
        <v>4.0121604978615801</v>
      </c>
      <c r="S915" s="5" cm="1">
        <f t="array" ref="S915">MAX(IF((DiscreteStatsTable[GroupByKey]=DiscreteStatsTable[[#This Row],[GroupByKey]]),(DiscreteStatsTable[GroupByKey]=DiscreteStatsTable[[#This Row],[GroupByKey]])*DiscreteStatsTable[Average]))</f>
        <v>15.6421643177151</v>
      </c>
      <c r="T915" s="5" cm="1">
        <f t="array" ref="T915">MIN(IF((DiscreteStatsTable[GroupByKey]=DiscreteStatsTable[[#This Row],[GroupByKey]]),(DiscreteStatsTable[GroupByKey]=DiscreteStatsTable[[#This Row],[GroupByKey]])*DiscreteStatsTable[Minimum]))</f>
        <v>4.0121604978615801</v>
      </c>
      <c r="U915" s="5" cm="1">
        <f t="array" ref="U915">MAX(IF((DiscreteStatsTable[GroupByKey]=DiscreteStatsTable[[#This Row],[GroupByKey]]),(DiscreteStatsTable[GroupByKey]=DiscreteStatsTable[[#This Row],[GroupByKey]])*DiscreteStatsTable[Maximum]))</f>
        <v>15.6421643177151</v>
      </c>
      <c r="V915" s="5" cm="1">
        <f t="array" ref="V915">IFERROR(AVERAGE(IF((DiscreteStatsTable[GroupByKey]=DiscreteStatsTable[[#This Row],[GroupByKey]]),(DiscreteStatsTable[GroupByKey]=DiscreteStatsTable[[#This Row],[GroupByKey]])*DiscreteStatsTable[NumberObservations])),0)</f>
        <v>1</v>
      </c>
      <c r="W915" s="5">
        <f>IF((DiscreteStatsTable[[#This Row],[RepsRequested]]&gt;1),DiscreteStatsTable[[#This Row],[HalfWidth]],DiscreteStatsTable[[#This Row],[BatchMeansHalfWidth]])</f>
        <v>1.2906735808067136</v>
      </c>
      <c r="X915" s="5" cm="1">
        <f t="array" ref="X915">COUNT(IF((DiscreteStatsTable[GroupByKey]=DiscreteStatsTable[[#This Row],[GroupByKey]]),(DiscreteStatsTable[GroupByKey]=DiscreteStatsTable[[#This Row],[GroupByKey]])*DiscreteStatsTable[Replication]))</f>
        <v>19</v>
      </c>
      <c r="Y915" s="5">
        <f>IF(DiscreteStatsTable[[#This Row],[RepsRequested]]=DiscreteStatsTable[[#This Row],[RepsWithStatObserved]],1,0)</f>
        <v>1</v>
      </c>
    </row>
    <row r="916" spans="1:25" x14ac:dyDescent="0.25">
      <c r="A916" t="s">
        <v>67</v>
      </c>
      <c r="B916" t="s">
        <v>69</v>
      </c>
      <c r="C916">
        <v>8</v>
      </c>
      <c r="D916" t="s">
        <v>119</v>
      </c>
      <c r="E916" t="s">
        <v>79</v>
      </c>
      <c r="F916" t="s">
        <v>80</v>
      </c>
      <c r="G916">
        <v>6.4928200049249503</v>
      </c>
      <c r="H916">
        <v>2E+20</v>
      </c>
      <c r="I916">
        <v>6.4928200049249503</v>
      </c>
      <c r="J916">
        <v>6.4928200049249503</v>
      </c>
      <c r="K916">
        <v>1</v>
      </c>
      <c r="L91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compartida)TiempoSistemaTodosH2ExpressionUser Specified</v>
      </c>
      <c r="M916" s="5" cm="1">
        <f t="array" ref="M916">MAX(IF((ProjectInfoTable[ProjectName]=DiscreteStatsTable[[#This Row],[ProjectName]]),(ProjectInfoTable[ProjectName]=DiscreteStatsTable[[#This Row],[ProjectName]])*ProjectInfoTable[NumberOfReplications]))</f>
        <v>19</v>
      </c>
      <c r="N916" s="5" cm="1">
        <f t="array" ref="N916">IFERROR(AVERAGE(IF((DiscreteStatsTable[GroupByKey]=DiscreteStatsTable[[#This Row],[GroupByKey]]),(DiscreteStatsTable[GroupByKey]=DiscreteStatsTable[[#This Row],[GroupByKey]])*DiscreteStatsTable[Average])),0)</f>
        <v>6.2413723329291182</v>
      </c>
      <c r="O916" s="5" cm="1">
        <f t="array" ref="O916">IFERROR(_xlfn.STDEV.S(IF((DiscreteStatsTable[GroupByKey]=DiscreteStatsTable[[#This Row],[GroupByKey]]),(DiscreteStatsTable[GroupByKey]=DiscreteStatsTable[[#This Row],[GroupByKey]])*DiscreteStatsTable[Average])),0)</f>
        <v>2.6778317329608212</v>
      </c>
      <c r="P916" s="5" cm="1">
        <f t="array" ref="P916">MAX(IF((ProjectInfoTable[ProjectName]=DiscreteStatsTable[[#This Row],[ProjectName]]),(ProjectInfoTable[ProjectName]=DiscreteStatsTable[[#This Row],[ProjectName]])*ProjectInfoTable[ConfidenceInterval]))</f>
        <v>0.95</v>
      </c>
      <c r="Q916" s="5">
        <f>IF(AND(DiscreteStatsTable[[#This Row],[RepsWithStatObserved]]=1,Y916=0),200000000000000000000,IFERROR(_xlfn.T.INV.2T(1 -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1.2906735808067136</v>
      </c>
      <c r="R916" s="5" cm="1">
        <f t="array" ref="R916">MIN(IF((DiscreteStatsTable[GroupByKey]=DiscreteStatsTable[[#This Row],[GroupByKey]]),(DiscreteStatsTable[GroupByKey]=DiscreteStatsTable[[#This Row],[GroupByKey]])*DiscreteStatsTable[Average]))</f>
        <v>4.0121604978615801</v>
      </c>
      <c r="S916" s="5" cm="1">
        <f t="array" ref="S916">MAX(IF((DiscreteStatsTable[GroupByKey]=DiscreteStatsTable[[#This Row],[GroupByKey]]),(DiscreteStatsTable[GroupByKey]=DiscreteStatsTable[[#This Row],[GroupByKey]])*DiscreteStatsTable[Average]))</f>
        <v>15.6421643177151</v>
      </c>
      <c r="T916" s="5" cm="1">
        <f t="array" ref="T916">MIN(IF((DiscreteStatsTable[GroupByKey]=DiscreteStatsTable[[#This Row],[GroupByKey]]),(DiscreteStatsTable[GroupByKey]=DiscreteStatsTable[[#This Row],[GroupByKey]])*DiscreteStatsTable[Minimum]))</f>
        <v>4.0121604978615801</v>
      </c>
      <c r="U916" s="5" cm="1">
        <f t="array" ref="U916">MAX(IF((DiscreteStatsTable[GroupByKey]=DiscreteStatsTable[[#This Row],[GroupByKey]]),(DiscreteStatsTable[GroupByKey]=DiscreteStatsTable[[#This Row],[GroupByKey]])*DiscreteStatsTable[Maximum]))</f>
        <v>15.6421643177151</v>
      </c>
      <c r="V916" s="5" cm="1">
        <f t="array" ref="V916">IFERROR(AVERAGE(IF((DiscreteStatsTable[GroupByKey]=DiscreteStatsTable[[#This Row],[GroupByKey]]),(DiscreteStatsTable[GroupByKey]=DiscreteStatsTable[[#This Row],[GroupByKey]])*DiscreteStatsTable[NumberObservations])),0)</f>
        <v>1</v>
      </c>
      <c r="W916" s="5">
        <f>IF((DiscreteStatsTable[[#This Row],[RepsRequested]]&gt;1),DiscreteStatsTable[[#This Row],[HalfWidth]],DiscreteStatsTable[[#This Row],[BatchMeansHalfWidth]])</f>
        <v>1.2906735808067136</v>
      </c>
      <c r="X916" s="5" cm="1">
        <f t="array" ref="X916">COUNT(IF((DiscreteStatsTable[GroupByKey]=DiscreteStatsTable[[#This Row],[GroupByKey]]),(DiscreteStatsTable[GroupByKey]=DiscreteStatsTable[[#This Row],[GroupByKey]])*DiscreteStatsTable[Replication]))</f>
        <v>19</v>
      </c>
      <c r="Y916" s="5">
        <f>IF(DiscreteStatsTable[[#This Row],[RepsRequested]]=DiscreteStatsTable[[#This Row],[RepsWithStatObserved]],1,0)</f>
        <v>1</v>
      </c>
    </row>
    <row r="917" spans="1:25" x14ac:dyDescent="0.25">
      <c r="A917" t="s">
        <v>67</v>
      </c>
      <c r="B917" t="s">
        <v>69</v>
      </c>
      <c r="C917">
        <v>9</v>
      </c>
      <c r="D917" t="s">
        <v>119</v>
      </c>
      <c r="E917" t="s">
        <v>79</v>
      </c>
      <c r="F917" t="s">
        <v>80</v>
      </c>
      <c r="G917">
        <v>5.64471754358184</v>
      </c>
      <c r="H917">
        <v>2E+20</v>
      </c>
      <c r="I917">
        <v>5.64471754358184</v>
      </c>
      <c r="J917">
        <v>5.64471754358184</v>
      </c>
      <c r="K917">
        <v>1</v>
      </c>
      <c r="L91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compartida)TiempoSistemaTodosH2ExpressionUser Specified</v>
      </c>
      <c r="M917" s="5" cm="1">
        <f t="array" ref="M917">MAX(IF((ProjectInfoTable[ProjectName]=DiscreteStatsTable[[#This Row],[ProjectName]]),(ProjectInfoTable[ProjectName]=DiscreteStatsTable[[#This Row],[ProjectName]])*ProjectInfoTable[NumberOfReplications]))</f>
        <v>19</v>
      </c>
      <c r="N917" s="5" cm="1">
        <f t="array" ref="N917">IFERROR(AVERAGE(IF((DiscreteStatsTable[GroupByKey]=DiscreteStatsTable[[#This Row],[GroupByKey]]),(DiscreteStatsTable[GroupByKey]=DiscreteStatsTable[[#This Row],[GroupByKey]])*DiscreteStatsTable[Average])),0)</f>
        <v>6.2413723329291182</v>
      </c>
      <c r="O917" s="5" cm="1">
        <f t="array" ref="O917">IFERROR(_xlfn.STDEV.S(IF((DiscreteStatsTable[GroupByKey]=DiscreteStatsTable[[#This Row],[GroupByKey]]),(DiscreteStatsTable[GroupByKey]=DiscreteStatsTable[[#This Row],[GroupByKey]])*DiscreteStatsTable[Average])),0)</f>
        <v>2.6778317329608212</v>
      </c>
      <c r="P917" s="5" cm="1">
        <f t="array" ref="P917">MAX(IF((ProjectInfoTable[ProjectName]=DiscreteStatsTable[[#This Row],[ProjectName]]),(ProjectInfoTable[ProjectName]=DiscreteStatsTable[[#This Row],[ProjectName]])*ProjectInfoTable[ConfidenceInterval]))</f>
        <v>0.95</v>
      </c>
      <c r="Q917" s="5">
        <f>IF(AND(DiscreteStatsTable[[#This Row],[RepsWithStatObserved]]=1,Y917=0),200000000000000000000,IFERROR(_xlfn.T.INV.2T(1 -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1.2906735808067136</v>
      </c>
      <c r="R917" s="5" cm="1">
        <f t="array" ref="R917">MIN(IF((DiscreteStatsTable[GroupByKey]=DiscreteStatsTable[[#This Row],[GroupByKey]]),(DiscreteStatsTable[GroupByKey]=DiscreteStatsTable[[#This Row],[GroupByKey]])*DiscreteStatsTable[Average]))</f>
        <v>4.0121604978615801</v>
      </c>
      <c r="S917" s="5" cm="1">
        <f t="array" ref="S917">MAX(IF((DiscreteStatsTable[GroupByKey]=DiscreteStatsTable[[#This Row],[GroupByKey]]),(DiscreteStatsTable[GroupByKey]=DiscreteStatsTable[[#This Row],[GroupByKey]])*DiscreteStatsTable[Average]))</f>
        <v>15.6421643177151</v>
      </c>
      <c r="T917" s="5" cm="1">
        <f t="array" ref="T917">MIN(IF((DiscreteStatsTable[GroupByKey]=DiscreteStatsTable[[#This Row],[GroupByKey]]),(DiscreteStatsTable[GroupByKey]=DiscreteStatsTable[[#This Row],[GroupByKey]])*DiscreteStatsTable[Minimum]))</f>
        <v>4.0121604978615801</v>
      </c>
      <c r="U917" s="5" cm="1">
        <f t="array" ref="U917">MAX(IF((DiscreteStatsTable[GroupByKey]=DiscreteStatsTable[[#This Row],[GroupByKey]]),(DiscreteStatsTable[GroupByKey]=DiscreteStatsTable[[#This Row],[GroupByKey]])*DiscreteStatsTable[Maximum]))</f>
        <v>15.6421643177151</v>
      </c>
      <c r="V917" s="5" cm="1">
        <f t="array" ref="V917">IFERROR(AVERAGE(IF((DiscreteStatsTable[GroupByKey]=DiscreteStatsTable[[#This Row],[GroupByKey]]),(DiscreteStatsTable[GroupByKey]=DiscreteStatsTable[[#This Row],[GroupByKey]])*DiscreteStatsTable[NumberObservations])),0)</f>
        <v>1</v>
      </c>
      <c r="W917" s="5">
        <f>IF((DiscreteStatsTable[[#This Row],[RepsRequested]]&gt;1),DiscreteStatsTable[[#This Row],[HalfWidth]],DiscreteStatsTable[[#This Row],[BatchMeansHalfWidth]])</f>
        <v>1.2906735808067136</v>
      </c>
      <c r="X917" s="5" cm="1">
        <f t="array" ref="X917">COUNT(IF((DiscreteStatsTable[GroupByKey]=DiscreteStatsTable[[#This Row],[GroupByKey]]),(DiscreteStatsTable[GroupByKey]=DiscreteStatsTable[[#This Row],[GroupByKey]])*DiscreteStatsTable[Replication]))</f>
        <v>19</v>
      </c>
      <c r="Y917" s="5">
        <f>IF(DiscreteStatsTable[[#This Row],[RepsRequested]]=DiscreteStatsTable[[#This Row],[RepsWithStatObserved]],1,0)</f>
        <v>1</v>
      </c>
    </row>
    <row r="918" spans="1:25" x14ac:dyDescent="0.25">
      <c r="A918" t="s">
        <v>67</v>
      </c>
      <c r="B918" t="s">
        <v>69</v>
      </c>
      <c r="C918">
        <v>10</v>
      </c>
      <c r="D918" t="s">
        <v>119</v>
      </c>
      <c r="E918" t="s">
        <v>79</v>
      </c>
      <c r="F918" t="s">
        <v>80</v>
      </c>
      <c r="G918">
        <v>6.2247194371909602</v>
      </c>
      <c r="H918">
        <v>2E+20</v>
      </c>
      <c r="I918">
        <v>6.2247194371909602</v>
      </c>
      <c r="J918">
        <v>6.2247194371909602</v>
      </c>
      <c r="K918">
        <v>1</v>
      </c>
      <c r="L91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compartida)TiempoSistemaTodosH2ExpressionUser Specified</v>
      </c>
      <c r="M918" s="5" cm="1">
        <f t="array" ref="M918">MAX(IF((ProjectInfoTable[ProjectName]=DiscreteStatsTable[[#This Row],[ProjectName]]),(ProjectInfoTable[ProjectName]=DiscreteStatsTable[[#This Row],[ProjectName]])*ProjectInfoTable[NumberOfReplications]))</f>
        <v>19</v>
      </c>
      <c r="N918" s="5" cm="1">
        <f t="array" ref="N918">IFERROR(AVERAGE(IF((DiscreteStatsTable[GroupByKey]=DiscreteStatsTable[[#This Row],[GroupByKey]]),(DiscreteStatsTable[GroupByKey]=DiscreteStatsTable[[#This Row],[GroupByKey]])*DiscreteStatsTable[Average])),0)</f>
        <v>6.2413723329291182</v>
      </c>
      <c r="O918" s="5" cm="1">
        <f t="array" ref="O918">IFERROR(_xlfn.STDEV.S(IF((DiscreteStatsTable[GroupByKey]=DiscreteStatsTable[[#This Row],[GroupByKey]]),(DiscreteStatsTable[GroupByKey]=DiscreteStatsTable[[#This Row],[GroupByKey]])*DiscreteStatsTable[Average])),0)</f>
        <v>2.6778317329608212</v>
      </c>
      <c r="P918" s="5" cm="1">
        <f t="array" ref="P918">MAX(IF((ProjectInfoTable[ProjectName]=DiscreteStatsTable[[#This Row],[ProjectName]]),(ProjectInfoTable[ProjectName]=DiscreteStatsTable[[#This Row],[ProjectName]])*ProjectInfoTable[ConfidenceInterval]))</f>
        <v>0.95</v>
      </c>
      <c r="Q918" s="5">
        <f>IF(AND(DiscreteStatsTable[[#This Row],[RepsWithStatObserved]]=1,Y918=0),200000000000000000000,IFERROR(_xlfn.T.INV.2T(1 -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1.2906735808067136</v>
      </c>
      <c r="R918" s="5" cm="1">
        <f t="array" ref="R918">MIN(IF((DiscreteStatsTable[GroupByKey]=DiscreteStatsTable[[#This Row],[GroupByKey]]),(DiscreteStatsTable[GroupByKey]=DiscreteStatsTable[[#This Row],[GroupByKey]])*DiscreteStatsTable[Average]))</f>
        <v>4.0121604978615801</v>
      </c>
      <c r="S918" s="5" cm="1">
        <f t="array" ref="S918">MAX(IF((DiscreteStatsTable[GroupByKey]=DiscreteStatsTable[[#This Row],[GroupByKey]]),(DiscreteStatsTable[GroupByKey]=DiscreteStatsTable[[#This Row],[GroupByKey]])*DiscreteStatsTable[Average]))</f>
        <v>15.6421643177151</v>
      </c>
      <c r="T918" s="5" cm="1">
        <f t="array" ref="T918">MIN(IF((DiscreteStatsTable[GroupByKey]=DiscreteStatsTable[[#This Row],[GroupByKey]]),(DiscreteStatsTable[GroupByKey]=DiscreteStatsTable[[#This Row],[GroupByKey]])*DiscreteStatsTable[Minimum]))</f>
        <v>4.0121604978615801</v>
      </c>
      <c r="U918" s="5" cm="1">
        <f t="array" ref="U918">MAX(IF((DiscreteStatsTable[GroupByKey]=DiscreteStatsTable[[#This Row],[GroupByKey]]),(DiscreteStatsTable[GroupByKey]=DiscreteStatsTable[[#This Row],[GroupByKey]])*DiscreteStatsTable[Maximum]))</f>
        <v>15.6421643177151</v>
      </c>
      <c r="V918" s="5" cm="1">
        <f t="array" ref="V918">IFERROR(AVERAGE(IF((DiscreteStatsTable[GroupByKey]=DiscreteStatsTable[[#This Row],[GroupByKey]]),(DiscreteStatsTable[GroupByKey]=DiscreteStatsTable[[#This Row],[GroupByKey]])*DiscreteStatsTable[NumberObservations])),0)</f>
        <v>1</v>
      </c>
      <c r="W918" s="5">
        <f>IF((DiscreteStatsTable[[#This Row],[RepsRequested]]&gt;1),DiscreteStatsTable[[#This Row],[HalfWidth]],DiscreteStatsTable[[#This Row],[BatchMeansHalfWidth]])</f>
        <v>1.2906735808067136</v>
      </c>
      <c r="X918" s="5" cm="1">
        <f t="array" ref="X918">COUNT(IF((DiscreteStatsTable[GroupByKey]=DiscreteStatsTable[[#This Row],[GroupByKey]]),(DiscreteStatsTable[GroupByKey]=DiscreteStatsTable[[#This Row],[GroupByKey]])*DiscreteStatsTable[Replication]))</f>
        <v>19</v>
      </c>
      <c r="Y918" s="5">
        <f>IF(DiscreteStatsTable[[#This Row],[RepsRequested]]=DiscreteStatsTable[[#This Row],[RepsWithStatObserved]],1,0)</f>
        <v>1</v>
      </c>
    </row>
    <row r="919" spans="1:25" x14ac:dyDescent="0.25">
      <c r="A919" t="s">
        <v>67</v>
      </c>
      <c r="B919" t="s">
        <v>69</v>
      </c>
      <c r="C919">
        <v>11</v>
      </c>
      <c r="D919" t="s">
        <v>119</v>
      </c>
      <c r="E919" t="s">
        <v>79</v>
      </c>
      <c r="F919" t="s">
        <v>80</v>
      </c>
      <c r="G919">
        <v>4.3773817963677404</v>
      </c>
      <c r="H919">
        <v>2E+20</v>
      </c>
      <c r="I919">
        <v>4.3773817963677404</v>
      </c>
      <c r="J919">
        <v>4.3773817963677404</v>
      </c>
      <c r="K919">
        <v>1</v>
      </c>
      <c r="L91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compartida)TiempoSistemaTodosH2ExpressionUser Specified</v>
      </c>
      <c r="M919" s="5" cm="1">
        <f t="array" ref="M919">MAX(IF((ProjectInfoTable[ProjectName]=DiscreteStatsTable[[#This Row],[ProjectName]]),(ProjectInfoTable[ProjectName]=DiscreteStatsTable[[#This Row],[ProjectName]])*ProjectInfoTable[NumberOfReplications]))</f>
        <v>19</v>
      </c>
      <c r="N919" s="5" cm="1">
        <f t="array" ref="N919">IFERROR(AVERAGE(IF((DiscreteStatsTable[GroupByKey]=DiscreteStatsTable[[#This Row],[GroupByKey]]),(DiscreteStatsTable[GroupByKey]=DiscreteStatsTable[[#This Row],[GroupByKey]])*DiscreteStatsTable[Average])),0)</f>
        <v>6.2413723329291182</v>
      </c>
      <c r="O919" s="5" cm="1">
        <f t="array" ref="O919">IFERROR(_xlfn.STDEV.S(IF((DiscreteStatsTable[GroupByKey]=DiscreteStatsTable[[#This Row],[GroupByKey]]),(DiscreteStatsTable[GroupByKey]=DiscreteStatsTable[[#This Row],[GroupByKey]])*DiscreteStatsTable[Average])),0)</f>
        <v>2.6778317329608212</v>
      </c>
      <c r="P919" s="5" cm="1">
        <f t="array" ref="P919">MAX(IF((ProjectInfoTable[ProjectName]=DiscreteStatsTable[[#This Row],[ProjectName]]),(ProjectInfoTable[ProjectName]=DiscreteStatsTable[[#This Row],[ProjectName]])*ProjectInfoTable[ConfidenceInterval]))</f>
        <v>0.95</v>
      </c>
      <c r="Q919" s="5">
        <f>IF(AND(DiscreteStatsTable[[#This Row],[RepsWithStatObserved]]=1,Y919=0),200000000000000000000,IFERROR(_xlfn.T.INV.2T(1 -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1.2906735808067136</v>
      </c>
      <c r="R919" s="5" cm="1">
        <f t="array" ref="R919">MIN(IF((DiscreteStatsTable[GroupByKey]=DiscreteStatsTable[[#This Row],[GroupByKey]]),(DiscreteStatsTable[GroupByKey]=DiscreteStatsTable[[#This Row],[GroupByKey]])*DiscreteStatsTable[Average]))</f>
        <v>4.0121604978615801</v>
      </c>
      <c r="S919" s="5" cm="1">
        <f t="array" ref="S919">MAX(IF((DiscreteStatsTable[GroupByKey]=DiscreteStatsTable[[#This Row],[GroupByKey]]),(DiscreteStatsTable[GroupByKey]=DiscreteStatsTable[[#This Row],[GroupByKey]])*DiscreteStatsTable[Average]))</f>
        <v>15.6421643177151</v>
      </c>
      <c r="T919" s="5" cm="1">
        <f t="array" ref="T919">MIN(IF((DiscreteStatsTable[GroupByKey]=DiscreteStatsTable[[#This Row],[GroupByKey]]),(DiscreteStatsTable[GroupByKey]=DiscreteStatsTable[[#This Row],[GroupByKey]])*DiscreteStatsTable[Minimum]))</f>
        <v>4.0121604978615801</v>
      </c>
      <c r="U919" s="5" cm="1">
        <f t="array" ref="U919">MAX(IF((DiscreteStatsTable[GroupByKey]=DiscreteStatsTable[[#This Row],[GroupByKey]]),(DiscreteStatsTable[GroupByKey]=DiscreteStatsTable[[#This Row],[GroupByKey]])*DiscreteStatsTable[Maximum]))</f>
        <v>15.6421643177151</v>
      </c>
      <c r="V919" s="5" cm="1">
        <f t="array" ref="V919">IFERROR(AVERAGE(IF((DiscreteStatsTable[GroupByKey]=DiscreteStatsTable[[#This Row],[GroupByKey]]),(DiscreteStatsTable[GroupByKey]=DiscreteStatsTable[[#This Row],[GroupByKey]])*DiscreteStatsTable[NumberObservations])),0)</f>
        <v>1</v>
      </c>
      <c r="W919" s="5">
        <f>IF((DiscreteStatsTable[[#This Row],[RepsRequested]]&gt;1),DiscreteStatsTable[[#This Row],[HalfWidth]],DiscreteStatsTable[[#This Row],[BatchMeansHalfWidth]])</f>
        <v>1.2906735808067136</v>
      </c>
      <c r="X919" s="5" cm="1">
        <f t="array" ref="X919">COUNT(IF((DiscreteStatsTable[GroupByKey]=DiscreteStatsTable[[#This Row],[GroupByKey]]),(DiscreteStatsTable[GroupByKey]=DiscreteStatsTable[[#This Row],[GroupByKey]])*DiscreteStatsTable[Replication]))</f>
        <v>19</v>
      </c>
      <c r="Y919" s="5">
        <f>IF(DiscreteStatsTable[[#This Row],[RepsRequested]]=DiscreteStatsTable[[#This Row],[RepsWithStatObserved]],1,0)</f>
        <v>1</v>
      </c>
    </row>
    <row r="920" spans="1:25" x14ac:dyDescent="0.25">
      <c r="A920" t="s">
        <v>67</v>
      </c>
      <c r="B920" t="s">
        <v>69</v>
      </c>
      <c r="C920">
        <v>12</v>
      </c>
      <c r="D920" t="s">
        <v>119</v>
      </c>
      <c r="E920" t="s">
        <v>79</v>
      </c>
      <c r="F920" t="s">
        <v>80</v>
      </c>
      <c r="G920">
        <v>6.6312540225624801</v>
      </c>
      <c r="H920">
        <v>2E+20</v>
      </c>
      <c r="I920">
        <v>6.6312540225624801</v>
      </c>
      <c r="J920">
        <v>6.6312540225624801</v>
      </c>
      <c r="K920">
        <v>1</v>
      </c>
      <c r="L92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compartida)TiempoSistemaTodosH2ExpressionUser Specified</v>
      </c>
      <c r="M920" s="5" cm="1">
        <f t="array" ref="M920">MAX(IF((ProjectInfoTable[ProjectName]=DiscreteStatsTable[[#This Row],[ProjectName]]),(ProjectInfoTable[ProjectName]=DiscreteStatsTable[[#This Row],[ProjectName]])*ProjectInfoTable[NumberOfReplications]))</f>
        <v>19</v>
      </c>
      <c r="N920" s="5" cm="1">
        <f t="array" ref="N920">IFERROR(AVERAGE(IF((DiscreteStatsTable[GroupByKey]=DiscreteStatsTable[[#This Row],[GroupByKey]]),(DiscreteStatsTable[GroupByKey]=DiscreteStatsTable[[#This Row],[GroupByKey]])*DiscreteStatsTable[Average])),0)</f>
        <v>6.2413723329291182</v>
      </c>
      <c r="O920" s="5" cm="1">
        <f t="array" ref="O920">IFERROR(_xlfn.STDEV.S(IF((DiscreteStatsTable[GroupByKey]=DiscreteStatsTable[[#This Row],[GroupByKey]]),(DiscreteStatsTable[GroupByKey]=DiscreteStatsTable[[#This Row],[GroupByKey]])*DiscreteStatsTable[Average])),0)</f>
        <v>2.6778317329608212</v>
      </c>
      <c r="P920" s="5" cm="1">
        <f t="array" ref="P920">MAX(IF((ProjectInfoTable[ProjectName]=DiscreteStatsTable[[#This Row],[ProjectName]]),(ProjectInfoTable[ProjectName]=DiscreteStatsTable[[#This Row],[ProjectName]])*ProjectInfoTable[ConfidenceInterval]))</f>
        <v>0.95</v>
      </c>
      <c r="Q920" s="5">
        <f>IF(AND(DiscreteStatsTable[[#This Row],[RepsWithStatObserved]]=1,Y920=0),200000000000000000000,IFERROR(_xlfn.T.INV.2T(1 -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1.2906735808067136</v>
      </c>
      <c r="R920" s="5" cm="1">
        <f t="array" ref="R920">MIN(IF((DiscreteStatsTable[GroupByKey]=DiscreteStatsTable[[#This Row],[GroupByKey]]),(DiscreteStatsTable[GroupByKey]=DiscreteStatsTable[[#This Row],[GroupByKey]])*DiscreteStatsTable[Average]))</f>
        <v>4.0121604978615801</v>
      </c>
      <c r="S920" s="5" cm="1">
        <f t="array" ref="S920">MAX(IF((DiscreteStatsTable[GroupByKey]=DiscreteStatsTable[[#This Row],[GroupByKey]]),(DiscreteStatsTable[GroupByKey]=DiscreteStatsTable[[#This Row],[GroupByKey]])*DiscreteStatsTable[Average]))</f>
        <v>15.6421643177151</v>
      </c>
      <c r="T920" s="5" cm="1">
        <f t="array" ref="T920">MIN(IF((DiscreteStatsTable[GroupByKey]=DiscreteStatsTable[[#This Row],[GroupByKey]]),(DiscreteStatsTable[GroupByKey]=DiscreteStatsTable[[#This Row],[GroupByKey]])*DiscreteStatsTable[Minimum]))</f>
        <v>4.0121604978615801</v>
      </c>
      <c r="U920" s="5" cm="1">
        <f t="array" ref="U920">MAX(IF((DiscreteStatsTable[GroupByKey]=DiscreteStatsTable[[#This Row],[GroupByKey]]),(DiscreteStatsTable[GroupByKey]=DiscreteStatsTable[[#This Row],[GroupByKey]])*DiscreteStatsTable[Maximum]))</f>
        <v>15.6421643177151</v>
      </c>
      <c r="V920" s="5" cm="1">
        <f t="array" ref="V920">IFERROR(AVERAGE(IF((DiscreteStatsTable[GroupByKey]=DiscreteStatsTable[[#This Row],[GroupByKey]]),(DiscreteStatsTable[GroupByKey]=DiscreteStatsTable[[#This Row],[GroupByKey]])*DiscreteStatsTable[NumberObservations])),0)</f>
        <v>1</v>
      </c>
      <c r="W920" s="5">
        <f>IF((DiscreteStatsTable[[#This Row],[RepsRequested]]&gt;1),DiscreteStatsTable[[#This Row],[HalfWidth]],DiscreteStatsTable[[#This Row],[BatchMeansHalfWidth]])</f>
        <v>1.2906735808067136</v>
      </c>
      <c r="X920" s="5" cm="1">
        <f t="array" ref="X920">COUNT(IF((DiscreteStatsTable[GroupByKey]=DiscreteStatsTable[[#This Row],[GroupByKey]]),(DiscreteStatsTable[GroupByKey]=DiscreteStatsTable[[#This Row],[GroupByKey]])*DiscreteStatsTable[Replication]))</f>
        <v>19</v>
      </c>
      <c r="Y920" s="5">
        <f>IF(DiscreteStatsTable[[#This Row],[RepsRequested]]=DiscreteStatsTable[[#This Row],[RepsWithStatObserved]],1,0)</f>
        <v>1</v>
      </c>
    </row>
    <row r="921" spans="1:25" x14ac:dyDescent="0.25">
      <c r="A921" t="s">
        <v>67</v>
      </c>
      <c r="B921" t="s">
        <v>69</v>
      </c>
      <c r="C921">
        <v>13</v>
      </c>
      <c r="D921" t="s">
        <v>119</v>
      </c>
      <c r="E921" t="s">
        <v>79</v>
      </c>
      <c r="F921" t="s">
        <v>80</v>
      </c>
      <c r="G921">
        <v>5.6579186552198699</v>
      </c>
      <c r="H921">
        <v>2E+20</v>
      </c>
      <c r="I921">
        <v>5.6579186552198699</v>
      </c>
      <c r="J921">
        <v>5.6579186552198699</v>
      </c>
      <c r="K921">
        <v>1</v>
      </c>
      <c r="L92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compartida)TiempoSistemaTodosH2ExpressionUser Specified</v>
      </c>
      <c r="M921" s="5" cm="1">
        <f t="array" ref="M921">MAX(IF((ProjectInfoTable[ProjectName]=DiscreteStatsTable[[#This Row],[ProjectName]]),(ProjectInfoTable[ProjectName]=DiscreteStatsTable[[#This Row],[ProjectName]])*ProjectInfoTable[NumberOfReplications]))</f>
        <v>19</v>
      </c>
      <c r="N921" s="5" cm="1">
        <f t="array" ref="N921">IFERROR(AVERAGE(IF((DiscreteStatsTable[GroupByKey]=DiscreteStatsTable[[#This Row],[GroupByKey]]),(DiscreteStatsTable[GroupByKey]=DiscreteStatsTable[[#This Row],[GroupByKey]])*DiscreteStatsTable[Average])),0)</f>
        <v>6.2413723329291182</v>
      </c>
      <c r="O921" s="5" cm="1">
        <f t="array" ref="O921">IFERROR(_xlfn.STDEV.S(IF((DiscreteStatsTable[GroupByKey]=DiscreteStatsTable[[#This Row],[GroupByKey]]),(DiscreteStatsTable[GroupByKey]=DiscreteStatsTable[[#This Row],[GroupByKey]])*DiscreteStatsTable[Average])),0)</f>
        <v>2.6778317329608212</v>
      </c>
      <c r="P921" s="5" cm="1">
        <f t="array" ref="P921">MAX(IF((ProjectInfoTable[ProjectName]=DiscreteStatsTable[[#This Row],[ProjectName]]),(ProjectInfoTable[ProjectName]=DiscreteStatsTable[[#This Row],[ProjectName]])*ProjectInfoTable[ConfidenceInterval]))</f>
        <v>0.95</v>
      </c>
      <c r="Q921" s="5">
        <f>IF(AND(DiscreteStatsTable[[#This Row],[RepsWithStatObserved]]=1,Y921=0),200000000000000000000,IFERROR(_xlfn.T.INV.2T(1 -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1.2906735808067136</v>
      </c>
      <c r="R921" s="5" cm="1">
        <f t="array" ref="R921">MIN(IF((DiscreteStatsTable[GroupByKey]=DiscreteStatsTable[[#This Row],[GroupByKey]]),(DiscreteStatsTable[GroupByKey]=DiscreteStatsTable[[#This Row],[GroupByKey]])*DiscreteStatsTable[Average]))</f>
        <v>4.0121604978615801</v>
      </c>
      <c r="S921" s="5" cm="1">
        <f t="array" ref="S921">MAX(IF((DiscreteStatsTable[GroupByKey]=DiscreteStatsTable[[#This Row],[GroupByKey]]),(DiscreteStatsTable[GroupByKey]=DiscreteStatsTable[[#This Row],[GroupByKey]])*DiscreteStatsTable[Average]))</f>
        <v>15.6421643177151</v>
      </c>
      <c r="T921" s="5" cm="1">
        <f t="array" ref="T921">MIN(IF((DiscreteStatsTable[GroupByKey]=DiscreteStatsTable[[#This Row],[GroupByKey]]),(DiscreteStatsTable[GroupByKey]=DiscreteStatsTable[[#This Row],[GroupByKey]])*DiscreteStatsTable[Minimum]))</f>
        <v>4.0121604978615801</v>
      </c>
      <c r="U921" s="5" cm="1">
        <f t="array" ref="U921">MAX(IF((DiscreteStatsTable[GroupByKey]=DiscreteStatsTable[[#This Row],[GroupByKey]]),(DiscreteStatsTable[GroupByKey]=DiscreteStatsTable[[#This Row],[GroupByKey]])*DiscreteStatsTable[Maximum]))</f>
        <v>15.6421643177151</v>
      </c>
      <c r="V921" s="5" cm="1">
        <f t="array" ref="V921">IFERROR(AVERAGE(IF((DiscreteStatsTable[GroupByKey]=DiscreteStatsTable[[#This Row],[GroupByKey]]),(DiscreteStatsTable[GroupByKey]=DiscreteStatsTable[[#This Row],[GroupByKey]])*DiscreteStatsTable[NumberObservations])),0)</f>
        <v>1</v>
      </c>
      <c r="W921" s="5">
        <f>IF((DiscreteStatsTable[[#This Row],[RepsRequested]]&gt;1),DiscreteStatsTable[[#This Row],[HalfWidth]],DiscreteStatsTable[[#This Row],[BatchMeansHalfWidth]])</f>
        <v>1.2906735808067136</v>
      </c>
      <c r="X921" s="5" cm="1">
        <f t="array" ref="X921">COUNT(IF((DiscreteStatsTable[GroupByKey]=DiscreteStatsTable[[#This Row],[GroupByKey]]),(DiscreteStatsTable[GroupByKey]=DiscreteStatsTable[[#This Row],[GroupByKey]])*DiscreteStatsTable[Replication]))</f>
        <v>19</v>
      </c>
      <c r="Y921" s="5">
        <f>IF(DiscreteStatsTable[[#This Row],[RepsRequested]]=DiscreteStatsTable[[#This Row],[RepsWithStatObserved]],1,0)</f>
        <v>1</v>
      </c>
    </row>
    <row r="922" spans="1:25" x14ac:dyDescent="0.25">
      <c r="A922" t="s">
        <v>67</v>
      </c>
      <c r="B922" t="s">
        <v>69</v>
      </c>
      <c r="C922">
        <v>14</v>
      </c>
      <c r="D922" t="s">
        <v>119</v>
      </c>
      <c r="E922" t="s">
        <v>79</v>
      </c>
      <c r="F922" t="s">
        <v>80</v>
      </c>
      <c r="G922">
        <v>4.7398999135549396</v>
      </c>
      <c r="H922">
        <v>2E+20</v>
      </c>
      <c r="I922">
        <v>4.7398999135549396</v>
      </c>
      <c r="J922">
        <v>4.7398999135549396</v>
      </c>
      <c r="K922">
        <v>1</v>
      </c>
      <c r="L92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compartida)TiempoSistemaTodosH2ExpressionUser Specified</v>
      </c>
      <c r="M922" s="5" cm="1">
        <f t="array" ref="M922">MAX(IF((ProjectInfoTable[ProjectName]=DiscreteStatsTable[[#This Row],[ProjectName]]),(ProjectInfoTable[ProjectName]=DiscreteStatsTable[[#This Row],[ProjectName]])*ProjectInfoTable[NumberOfReplications]))</f>
        <v>19</v>
      </c>
      <c r="N922" s="5" cm="1">
        <f t="array" ref="N922">IFERROR(AVERAGE(IF((DiscreteStatsTable[GroupByKey]=DiscreteStatsTable[[#This Row],[GroupByKey]]),(DiscreteStatsTable[GroupByKey]=DiscreteStatsTable[[#This Row],[GroupByKey]])*DiscreteStatsTable[Average])),0)</f>
        <v>6.2413723329291182</v>
      </c>
      <c r="O922" s="5" cm="1">
        <f t="array" ref="O922">IFERROR(_xlfn.STDEV.S(IF((DiscreteStatsTable[GroupByKey]=DiscreteStatsTable[[#This Row],[GroupByKey]]),(DiscreteStatsTable[GroupByKey]=DiscreteStatsTable[[#This Row],[GroupByKey]])*DiscreteStatsTable[Average])),0)</f>
        <v>2.6778317329608212</v>
      </c>
      <c r="P922" s="5" cm="1">
        <f t="array" ref="P922">MAX(IF((ProjectInfoTable[ProjectName]=DiscreteStatsTable[[#This Row],[ProjectName]]),(ProjectInfoTable[ProjectName]=DiscreteStatsTable[[#This Row],[ProjectName]])*ProjectInfoTable[ConfidenceInterval]))</f>
        <v>0.95</v>
      </c>
      <c r="Q922" s="5">
        <f>IF(AND(DiscreteStatsTable[[#This Row],[RepsWithStatObserved]]=1,Y922=0),200000000000000000000,IFERROR(_xlfn.T.INV.2T(1 -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1.2906735808067136</v>
      </c>
      <c r="R922" s="5" cm="1">
        <f t="array" ref="R922">MIN(IF((DiscreteStatsTable[GroupByKey]=DiscreteStatsTable[[#This Row],[GroupByKey]]),(DiscreteStatsTable[GroupByKey]=DiscreteStatsTable[[#This Row],[GroupByKey]])*DiscreteStatsTable[Average]))</f>
        <v>4.0121604978615801</v>
      </c>
      <c r="S922" s="5" cm="1">
        <f t="array" ref="S922">MAX(IF((DiscreteStatsTable[GroupByKey]=DiscreteStatsTable[[#This Row],[GroupByKey]]),(DiscreteStatsTable[GroupByKey]=DiscreteStatsTable[[#This Row],[GroupByKey]])*DiscreteStatsTable[Average]))</f>
        <v>15.6421643177151</v>
      </c>
      <c r="T922" s="5" cm="1">
        <f t="array" ref="T922">MIN(IF((DiscreteStatsTable[GroupByKey]=DiscreteStatsTable[[#This Row],[GroupByKey]]),(DiscreteStatsTable[GroupByKey]=DiscreteStatsTable[[#This Row],[GroupByKey]])*DiscreteStatsTable[Minimum]))</f>
        <v>4.0121604978615801</v>
      </c>
      <c r="U922" s="5" cm="1">
        <f t="array" ref="U922">MAX(IF((DiscreteStatsTable[GroupByKey]=DiscreteStatsTable[[#This Row],[GroupByKey]]),(DiscreteStatsTable[GroupByKey]=DiscreteStatsTable[[#This Row],[GroupByKey]])*DiscreteStatsTable[Maximum]))</f>
        <v>15.6421643177151</v>
      </c>
      <c r="V922" s="5" cm="1">
        <f t="array" ref="V922">IFERROR(AVERAGE(IF((DiscreteStatsTable[GroupByKey]=DiscreteStatsTable[[#This Row],[GroupByKey]]),(DiscreteStatsTable[GroupByKey]=DiscreteStatsTable[[#This Row],[GroupByKey]])*DiscreteStatsTable[NumberObservations])),0)</f>
        <v>1</v>
      </c>
      <c r="W922" s="5">
        <f>IF((DiscreteStatsTable[[#This Row],[RepsRequested]]&gt;1),DiscreteStatsTable[[#This Row],[HalfWidth]],DiscreteStatsTable[[#This Row],[BatchMeansHalfWidth]])</f>
        <v>1.2906735808067136</v>
      </c>
      <c r="X922" s="5" cm="1">
        <f t="array" ref="X922">COUNT(IF((DiscreteStatsTable[GroupByKey]=DiscreteStatsTable[[#This Row],[GroupByKey]]),(DiscreteStatsTable[GroupByKey]=DiscreteStatsTable[[#This Row],[GroupByKey]])*DiscreteStatsTable[Replication]))</f>
        <v>19</v>
      </c>
      <c r="Y922" s="5">
        <f>IF(DiscreteStatsTable[[#This Row],[RepsRequested]]=DiscreteStatsTable[[#This Row],[RepsWithStatObserved]],1,0)</f>
        <v>1</v>
      </c>
    </row>
    <row r="923" spans="1:25" x14ac:dyDescent="0.25">
      <c r="A923" t="s">
        <v>67</v>
      </c>
      <c r="B923" t="s">
        <v>69</v>
      </c>
      <c r="C923">
        <v>15</v>
      </c>
      <c r="D923" t="s">
        <v>119</v>
      </c>
      <c r="E923" t="s">
        <v>79</v>
      </c>
      <c r="F923" t="s">
        <v>80</v>
      </c>
      <c r="G923">
        <v>5.2379805195918898</v>
      </c>
      <c r="H923">
        <v>2E+20</v>
      </c>
      <c r="I923">
        <v>5.2379805195918898</v>
      </c>
      <c r="J923">
        <v>5.2379805195918898</v>
      </c>
      <c r="K923">
        <v>1</v>
      </c>
      <c r="L92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compartida)TiempoSistemaTodosH2ExpressionUser Specified</v>
      </c>
      <c r="M923" s="5" cm="1">
        <f t="array" ref="M923">MAX(IF((ProjectInfoTable[ProjectName]=DiscreteStatsTable[[#This Row],[ProjectName]]),(ProjectInfoTable[ProjectName]=DiscreteStatsTable[[#This Row],[ProjectName]])*ProjectInfoTable[NumberOfReplications]))</f>
        <v>19</v>
      </c>
      <c r="N923" s="5" cm="1">
        <f t="array" ref="N923">IFERROR(AVERAGE(IF((DiscreteStatsTable[GroupByKey]=DiscreteStatsTable[[#This Row],[GroupByKey]]),(DiscreteStatsTable[GroupByKey]=DiscreteStatsTable[[#This Row],[GroupByKey]])*DiscreteStatsTable[Average])),0)</f>
        <v>6.2413723329291182</v>
      </c>
      <c r="O923" s="5" cm="1">
        <f t="array" ref="O923">IFERROR(_xlfn.STDEV.S(IF((DiscreteStatsTable[GroupByKey]=DiscreteStatsTable[[#This Row],[GroupByKey]]),(DiscreteStatsTable[GroupByKey]=DiscreteStatsTable[[#This Row],[GroupByKey]])*DiscreteStatsTable[Average])),0)</f>
        <v>2.6778317329608212</v>
      </c>
      <c r="P923" s="5" cm="1">
        <f t="array" ref="P923">MAX(IF((ProjectInfoTable[ProjectName]=DiscreteStatsTable[[#This Row],[ProjectName]]),(ProjectInfoTable[ProjectName]=DiscreteStatsTable[[#This Row],[ProjectName]])*ProjectInfoTable[ConfidenceInterval]))</f>
        <v>0.95</v>
      </c>
      <c r="Q923" s="5">
        <f>IF(AND(DiscreteStatsTable[[#This Row],[RepsWithStatObserved]]=1,Y923=0),200000000000000000000,IFERROR(_xlfn.T.INV.2T(1 -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1.2906735808067136</v>
      </c>
      <c r="R923" s="5" cm="1">
        <f t="array" ref="R923">MIN(IF((DiscreteStatsTable[GroupByKey]=DiscreteStatsTable[[#This Row],[GroupByKey]]),(DiscreteStatsTable[GroupByKey]=DiscreteStatsTable[[#This Row],[GroupByKey]])*DiscreteStatsTable[Average]))</f>
        <v>4.0121604978615801</v>
      </c>
      <c r="S923" s="5" cm="1">
        <f t="array" ref="S923">MAX(IF((DiscreteStatsTable[GroupByKey]=DiscreteStatsTable[[#This Row],[GroupByKey]]),(DiscreteStatsTable[GroupByKey]=DiscreteStatsTable[[#This Row],[GroupByKey]])*DiscreteStatsTable[Average]))</f>
        <v>15.6421643177151</v>
      </c>
      <c r="T923" s="5" cm="1">
        <f t="array" ref="T923">MIN(IF((DiscreteStatsTable[GroupByKey]=DiscreteStatsTable[[#This Row],[GroupByKey]]),(DiscreteStatsTable[GroupByKey]=DiscreteStatsTable[[#This Row],[GroupByKey]])*DiscreteStatsTable[Minimum]))</f>
        <v>4.0121604978615801</v>
      </c>
      <c r="U923" s="5" cm="1">
        <f t="array" ref="U923">MAX(IF((DiscreteStatsTable[GroupByKey]=DiscreteStatsTable[[#This Row],[GroupByKey]]),(DiscreteStatsTable[GroupByKey]=DiscreteStatsTable[[#This Row],[GroupByKey]])*DiscreteStatsTable[Maximum]))</f>
        <v>15.6421643177151</v>
      </c>
      <c r="V923" s="5" cm="1">
        <f t="array" ref="V923">IFERROR(AVERAGE(IF((DiscreteStatsTable[GroupByKey]=DiscreteStatsTable[[#This Row],[GroupByKey]]),(DiscreteStatsTable[GroupByKey]=DiscreteStatsTable[[#This Row],[GroupByKey]])*DiscreteStatsTable[NumberObservations])),0)</f>
        <v>1</v>
      </c>
      <c r="W923" s="5">
        <f>IF((DiscreteStatsTable[[#This Row],[RepsRequested]]&gt;1),DiscreteStatsTable[[#This Row],[HalfWidth]],DiscreteStatsTable[[#This Row],[BatchMeansHalfWidth]])</f>
        <v>1.2906735808067136</v>
      </c>
      <c r="X923" s="5" cm="1">
        <f t="array" ref="X923">COUNT(IF((DiscreteStatsTable[GroupByKey]=DiscreteStatsTable[[#This Row],[GroupByKey]]),(DiscreteStatsTable[GroupByKey]=DiscreteStatsTable[[#This Row],[GroupByKey]])*DiscreteStatsTable[Replication]))</f>
        <v>19</v>
      </c>
      <c r="Y923" s="5">
        <f>IF(DiscreteStatsTable[[#This Row],[RepsRequested]]=DiscreteStatsTable[[#This Row],[RepsWithStatObserved]],1,0)</f>
        <v>1</v>
      </c>
    </row>
    <row r="924" spans="1:25" x14ac:dyDescent="0.25">
      <c r="A924" t="s">
        <v>67</v>
      </c>
      <c r="B924" t="s">
        <v>69</v>
      </c>
      <c r="C924">
        <v>16</v>
      </c>
      <c r="D924" t="s">
        <v>119</v>
      </c>
      <c r="E924" t="s">
        <v>79</v>
      </c>
      <c r="F924" t="s">
        <v>80</v>
      </c>
      <c r="G924">
        <v>5.2111620703608903</v>
      </c>
      <c r="H924">
        <v>2E+20</v>
      </c>
      <c r="I924">
        <v>5.2111620703608903</v>
      </c>
      <c r="J924">
        <v>5.2111620703608903</v>
      </c>
      <c r="K924">
        <v>1</v>
      </c>
      <c r="L92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compartida)TiempoSistemaTodosH2ExpressionUser Specified</v>
      </c>
      <c r="M924" s="5" cm="1">
        <f t="array" ref="M924">MAX(IF((ProjectInfoTable[ProjectName]=DiscreteStatsTable[[#This Row],[ProjectName]]),(ProjectInfoTable[ProjectName]=DiscreteStatsTable[[#This Row],[ProjectName]])*ProjectInfoTable[NumberOfReplications]))</f>
        <v>19</v>
      </c>
      <c r="N924" s="5" cm="1">
        <f t="array" ref="N924">IFERROR(AVERAGE(IF((DiscreteStatsTable[GroupByKey]=DiscreteStatsTable[[#This Row],[GroupByKey]]),(DiscreteStatsTable[GroupByKey]=DiscreteStatsTable[[#This Row],[GroupByKey]])*DiscreteStatsTable[Average])),0)</f>
        <v>6.2413723329291182</v>
      </c>
      <c r="O924" s="5" cm="1">
        <f t="array" ref="O924">IFERROR(_xlfn.STDEV.S(IF((DiscreteStatsTable[GroupByKey]=DiscreteStatsTable[[#This Row],[GroupByKey]]),(DiscreteStatsTable[GroupByKey]=DiscreteStatsTable[[#This Row],[GroupByKey]])*DiscreteStatsTable[Average])),0)</f>
        <v>2.6778317329608212</v>
      </c>
      <c r="P924" s="5" cm="1">
        <f t="array" ref="P924">MAX(IF((ProjectInfoTable[ProjectName]=DiscreteStatsTable[[#This Row],[ProjectName]]),(ProjectInfoTable[ProjectName]=DiscreteStatsTable[[#This Row],[ProjectName]])*ProjectInfoTable[ConfidenceInterval]))</f>
        <v>0.95</v>
      </c>
      <c r="Q924" s="5">
        <f>IF(AND(DiscreteStatsTable[[#This Row],[RepsWithStatObserved]]=1,Y924=0),200000000000000000000,IFERROR(_xlfn.T.INV.2T(1 -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1.2906735808067136</v>
      </c>
      <c r="R924" s="5" cm="1">
        <f t="array" ref="R924">MIN(IF((DiscreteStatsTable[GroupByKey]=DiscreteStatsTable[[#This Row],[GroupByKey]]),(DiscreteStatsTable[GroupByKey]=DiscreteStatsTable[[#This Row],[GroupByKey]])*DiscreteStatsTable[Average]))</f>
        <v>4.0121604978615801</v>
      </c>
      <c r="S924" s="5" cm="1">
        <f t="array" ref="S924">MAX(IF((DiscreteStatsTable[GroupByKey]=DiscreteStatsTable[[#This Row],[GroupByKey]]),(DiscreteStatsTable[GroupByKey]=DiscreteStatsTable[[#This Row],[GroupByKey]])*DiscreteStatsTable[Average]))</f>
        <v>15.6421643177151</v>
      </c>
      <c r="T924" s="5" cm="1">
        <f t="array" ref="T924">MIN(IF((DiscreteStatsTable[GroupByKey]=DiscreteStatsTable[[#This Row],[GroupByKey]]),(DiscreteStatsTable[GroupByKey]=DiscreteStatsTable[[#This Row],[GroupByKey]])*DiscreteStatsTable[Minimum]))</f>
        <v>4.0121604978615801</v>
      </c>
      <c r="U924" s="5" cm="1">
        <f t="array" ref="U924">MAX(IF((DiscreteStatsTable[GroupByKey]=DiscreteStatsTable[[#This Row],[GroupByKey]]),(DiscreteStatsTable[GroupByKey]=DiscreteStatsTable[[#This Row],[GroupByKey]])*DiscreteStatsTable[Maximum]))</f>
        <v>15.6421643177151</v>
      </c>
      <c r="V924" s="5" cm="1">
        <f t="array" ref="V924">IFERROR(AVERAGE(IF((DiscreteStatsTable[GroupByKey]=DiscreteStatsTable[[#This Row],[GroupByKey]]),(DiscreteStatsTable[GroupByKey]=DiscreteStatsTable[[#This Row],[GroupByKey]])*DiscreteStatsTable[NumberObservations])),0)</f>
        <v>1</v>
      </c>
      <c r="W924" s="5">
        <f>IF((DiscreteStatsTable[[#This Row],[RepsRequested]]&gt;1),DiscreteStatsTable[[#This Row],[HalfWidth]],DiscreteStatsTable[[#This Row],[BatchMeansHalfWidth]])</f>
        <v>1.2906735808067136</v>
      </c>
      <c r="X924" s="5" cm="1">
        <f t="array" ref="X924">COUNT(IF((DiscreteStatsTable[GroupByKey]=DiscreteStatsTable[[#This Row],[GroupByKey]]),(DiscreteStatsTable[GroupByKey]=DiscreteStatsTable[[#This Row],[GroupByKey]])*DiscreteStatsTable[Replication]))</f>
        <v>19</v>
      </c>
      <c r="Y924" s="5">
        <f>IF(DiscreteStatsTable[[#This Row],[RepsRequested]]=DiscreteStatsTable[[#This Row],[RepsWithStatObserved]],1,0)</f>
        <v>1</v>
      </c>
    </row>
    <row r="925" spans="1:25" x14ac:dyDescent="0.25">
      <c r="A925" t="s">
        <v>67</v>
      </c>
      <c r="B925" t="s">
        <v>69</v>
      </c>
      <c r="C925">
        <v>17</v>
      </c>
      <c r="D925" t="s">
        <v>119</v>
      </c>
      <c r="E925" t="s">
        <v>79</v>
      </c>
      <c r="F925" t="s">
        <v>80</v>
      </c>
      <c r="G925">
        <v>5.7379953589261801</v>
      </c>
      <c r="H925">
        <v>2E+20</v>
      </c>
      <c r="I925">
        <v>5.7379953589261801</v>
      </c>
      <c r="J925">
        <v>5.7379953589261801</v>
      </c>
      <c r="K925">
        <v>1</v>
      </c>
      <c r="L92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compartida)TiempoSistemaTodosH2ExpressionUser Specified</v>
      </c>
      <c r="M925" s="5" cm="1">
        <f t="array" ref="M925">MAX(IF((ProjectInfoTable[ProjectName]=DiscreteStatsTable[[#This Row],[ProjectName]]),(ProjectInfoTable[ProjectName]=DiscreteStatsTable[[#This Row],[ProjectName]])*ProjectInfoTable[NumberOfReplications]))</f>
        <v>19</v>
      </c>
      <c r="N925" s="5" cm="1">
        <f t="array" ref="N925">IFERROR(AVERAGE(IF((DiscreteStatsTable[GroupByKey]=DiscreteStatsTable[[#This Row],[GroupByKey]]),(DiscreteStatsTable[GroupByKey]=DiscreteStatsTable[[#This Row],[GroupByKey]])*DiscreteStatsTable[Average])),0)</f>
        <v>6.2413723329291182</v>
      </c>
      <c r="O925" s="5" cm="1">
        <f t="array" ref="O925">IFERROR(_xlfn.STDEV.S(IF((DiscreteStatsTable[GroupByKey]=DiscreteStatsTable[[#This Row],[GroupByKey]]),(DiscreteStatsTable[GroupByKey]=DiscreteStatsTable[[#This Row],[GroupByKey]])*DiscreteStatsTable[Average])),0)</f>
        <v>2.6778317329608212</v>
      </c>
      <c r="P925" s="5" cm="1">
        <f t="array" ref="P925">MAX(IF((ProjectInfoTable[ProjectName]=DiscreteStatsTable[[#This Row],[ProjectName]]),(ProjectInfoTable[ProjectName]=DiscreteStatsTable[[#This Row],[ProjectName]])*ProjectInfoTable[ConfidenceInterval]))</f>
        <v>0.95</v>
      </c>
      <c r="Q925" s="5">
        <f>IF(AND(DiscreteStatsTable[[#This Row],[RepsWithStatObserved]]=1,Y925=0),200000000000000000000,IFERROR(_xlfn.T.INV.2T(1 -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1.2906735808067136</v>
      </c>
      <c r="R925" s="5" cm="1">
        <f t="array" ref="R925">MIN(IF((DiscreteStatsTable[GroupByKey]=DiscreteStatsTable[[#This Row],[GroupByKey]]),(DiscreteStatsTable[GroupByKey]=DiscreteStatsTable[[#This Row],[GroupByKey]])*DiscreteStatsTable[Average]))</f>
        <v>4.0121604978615801</v>
      </c>
      <c r="S925" s="5" cm="1">
        <f t="array" ref="S925">MAX(IF((DiscreteStatsTable[GroupByKey]=DiscreteStatsTable[[#This Row],[GroupByKey]]),(DiscreteStatsTable[GroupByKey]=DiscreteStatsTable[[#This Row],[GroupByKey]])*DiscreteStatsTable[Average]))</f>
        <v>15.6421643177151</v>
      </c>
      <c r="T925" s="5" cm="1">
        <f t="array" ref="T925">MIN(IF((DiscreteStatsTable[GroupByKey]=DiscreteStatsTable[[#This Row],[GroupByKey]]),(DiscreteStatsTable[GroupByKey]=DiscreteStatsTable[[#This Row],[GroupByKey]])*DiscreteStatsTable[Minimum]))</f>
        <v>4.0121604978615801</v>
      </c>
      <c r="U925" s="5" cm="1">
        <f t="array" ref="U925">MAX(IF((DiscreteStatsTable[GroupByKey]=DiscreteStatsTable[[#This Row],[GroupByKey]]),(DiscreteStatsTable[GroupByKey]=DiscreteStatsTable[[#This Row],[GroupByKey]])*DiscreteStatsTable[Maximum]))</f>
        <v>15.6421643177151</v>
      </c>
      <c r="V925" s="5" cm="1">
        <f t="array" ref="V925">IFERROR(AVERAGE(IF((DiscreteStatsTable[GroupByKey]=DiscreteStatsTable[[#This Row],[GroupByKey]]),(DiscreteStatsTable[GroupByKey]=DiscreteStatsTable[[#This Row],[GroupByKey]])*DiscreteStatsTable[NumberObservations])),0)</f>
        <v>1</v>
      </c>
      <c r="W925" s="5">
        <f>IF((DiscreteStatsTable[[#This Row],[RepsRequested]]&gt;1),DiscreteStatsTable[[#This Row],[HalfWidth]],DiscreteStatsTable[[#This Row],[BatchMeansHalfWidth]])</f>
        <v>1.2906735808067136</v>
      </c>
      <c r="X925" s="5" cm="1">
        <f t="array" ref="X925">COUNT(IF((DiscreteStatsTable[GroupByKey]=DiscreteStatsTable[[#This Row],[GroupByKey]]),(DiscreteStatsTable[GroupByKey]=DiscreteStatsTable[[#This Row],[GroupByKey]])*DiscreteStatsTable[Replication]))</f>
        <v>19</v>
      </c>
      <c r="Y925" s="5">
        <f>IF(DiscreteStatsTable[[#This Row],[RepsRequested]]=DiscreteStatsTable[[#This Row],[RepsWithStatObserved]],1,0)</f>
        <v>1</v>
      </c>
    </row>
    <row r="926" spans="1:25" x14ac:dyDescent="0.25">
      <c r="A926" t="s">
        <v>67</v>
      </c>
      <c r="B926" t="s">
        <v>69</v>
      </c>
      <c r="C926">
        <v>18</v>
      </c>
      <c r="D926" t="s">
        <v>119</v>
      </c>
      <c r="E926" t="s">
        <v>79</v>
      </c>
      <c r="F926" t="s">
        <v>80</v>
      </c>
      <c r="G926">
        <v>6.7573263651612301</v>
      </c>
      <c r="H926">
        <v>2E+20</v>
      </c>
      <c r="I926">
        <v>6.7573263651612301</v>
      </c>
      <c r="J926">
        <v>6.7573263651612301</v>
      </c>
      <c r="K926">
        <v>1</v>
      </c>
      <c r="L92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compartida)TiempoSistemaTodosH2ExpressionUser Specified</v>
      </c>
      <c r="M926" s="5" cm="1">
        <f t="array" ref="M926">MAX(IF((ProjectInfoTable[ProjectName]=DiscreteStatsTable[[#This Row],[ProjectName]]),(ProjectInfoTable[ProjectName]=DiscreteStatsTable[[#This Row],[ProjectName]])*ProjectInfoTable[NumberOfReplications]))</f>
        <v>19</v>
      </c>
      <c r="N926" s="5" cm="1">
        <f t="array" ref="N926">IFERROR(AVERAGE(IF((DiscreteStatsTable[GroupByKey]=DiscreteStatsTable[[#This Row],[GroupByKey]]),(DiscreteStatsTable[GroupByKey]=DiscreteStatsTable[[#This Row],[GroupByKey]])*DiscreteStatsTable[Average])),0)</f>
        <v>6.2413723329291182</v>
      </c>
      <c r="O926" s="5" cm="1">
        <f t="array" ref="O926">IFERROR(_xlfn.STDEV.S(IF((DiscreteStatsTable[GroupByKey]=DiscreteStatsTable[[#This Row],[GroupByKey]]),(DiscreteStatsTable[GroupByKey]=DiscreteStatsTable[[#This Row],[GroupByKey]])*DiscreteStatsTable[Average])),0)</f>
        <v>2.6778317329608212</v>
      </c>
      <c r="P926" s="5" cm="1">
        <f t="array" ref="P926">MAX(IF((ProjectInfoTable[ProjectName]=DiscreteStatsTable[[#This Row],[ProjectName]]),(ProjectInfoTable[ProjectName]=DiscreteStatsTable[[#This Row],[ProjectName]])*ProjectInfoTable[ConfidenceInterval]))</f>
        <v>0.95</v>
      </c>
      <c r="Q926" s="5">
        <f>IF(AND(DiscreteStatsTable[[#This Row],[RepsWithStatObserved]]=1,Y926=0),200000000000000000000,IFERROR(_xlfn.T.INV.2T(1 -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1.2906735808067136</v>
      </c>
      <c r="R926" s="5" cm="1">
        <f t="array" ref="R926">MIN(IF((DiscreteStatsTable[GroupByKey]=DiscreteStatsTable[[#This Row],[GroupByKey]]),(DiscreteStatsTable[GroupByKey]=DiscreteStatsTable[[#This Row],[GroupByKey]])*DiscreteStatsTable[Average]))</f>
        <v>4.0121604978615801</v>
      </c>
      <c r="S926" s="5" cm="1">
        <f t="array" ref="S926">MAX(IF((DiscreteStatsTable[GroupByKey]=DiscreteStatsTable[[#This Row],[GroupByKey]]),(DiscreteStatsTable[GroupByKey]=DiscreteStatsTable[[#This Row],[GroupByKey]])*DiscreteStatsTable[Average]))</f>
        <v>15.6421643177151</v>
      </c>
      <c r="T926" s="5" cm="1">
        <f t="array" ref="T926">MIN(IF((DiscreteStatsTable[GroupByKey]=DiscreteStatsTable[[#This Row],[GroupByKey]]),(DiscreteStatsTable[GroupByKey]=DiscreteStatsTable[[#This Row],[GroupByKey]])*DiscreteStatsTable[Minimum]))</f>
        <v>4.0121604978615801</v>
      </c>
      <c r="U926" s="5" cm="1">
        <f t="array" ref="U926">MAX(IF((DiscreteStatsTable[GroupByKey]=DiscreteStatsTable[[#This Row],[GroupByKey]]),(DiscreteStatsTable[GroupByKey]=DiscreteStatsTable[[#This Row],[GroupByKey]])*DiscreteStatsTable[Maximum]))</f>
        <v>15.6421643177151</v>
      </c>
      <c r="V926" s="5" cm="1">
        <f t="array" ref="V926">IFERROR(AVERAGE(IF((DiscreteStatsTable[GroupByKey]=DiscreteStatsTable[[#This Row],[GroupByKey]]),(DiscreteStatsTable[GroupByKey]=DiscreteStatsTable[[#This Row],[GroupByKey]])*DiscreteStatsTable[NumberObservations])),0)</f>
        <v>1</v>
      </c>
      <c r="W926" s="5">
        <f>IF((DiscreteStatsTable[[#This Row],[RepsRequested]]&gt;1),DiscreteStatsTable[[#This Row],[HalfWidth]],DiscreteStatsTable[[#This Row],[BatchMeansHalfWidth]])</f>
        <v>1.2906735808067136</v>
      </c>
      <c r="X926" s="5" cm="1">
        <f t="array" ref="X926">COUNT(IF((DiscreteStatsTable[GroupByKey]=DiscreteStatsTable[[#This Row],[GroupByKey]]),(DiscreteStatsTable[GroupByKey]=DiscreteStatsTable[[#This Row],[GroupByKey]])*DiscreteStatsTable[Replication]))</f>
        <v>19</v>
      </c>
      <c r="Y926" s="5">
        <f>IF(DiscreteStatsTable[[#This Row],[RepsRequested]]=DiscreteStatsTable[[#This Row],[RepsWithStatObserved]],1,0)</f>
        <v>1</v>
      </c>
    </row>
    <row r="927" spans="1:25" x14ac:dyDescent="0.25">
      <c r="A927" t="s">
        <v>67</v>
      </c>
      <c r="B927" t="s">
        <v>69</v>
      </c>
      <c r="C927">
        <v>19</v>
      </c>
      <c r="D927" t="s">
        <v>119</v>
      </c>
      <c r="E927" t="s">
        <v>79</v>
      </c>
      <c r="F927" t="s">
        <v>80</v>
      </c>
      <c r="G927">
        <v>5.52650130172771</v>
      </c>
      <c r="H927">
        <v>2E+20</v>
      </c>
      <c r="I927">
        <v>5.52650130172771</v>
      </c>
      <c r="J927">
        <v>5.52650130172771</v>
      </c>
      <c r="K927">
        <v>1</v>
      </c>
      <c r="L92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compartida)TiempoSistemaTodosH2ExpressionUser Specified</v>
      </c>
      <c r="M927" s="5" cm="1">
        <f t="array" ref="M927">MAX(IF((ProjectInfoTable[ProjectName]=DiscreteStatsTable[[#This Row],[ProjectName]]),(ProjectInfoTable[ProjectName]=DiscreteStatsTable[[#This Row],[ProjectName]])*ProjectInfoTable[NumberOfReplications]))</f>
        <v>19</v>
      </c>
      <c r="N927" s="5" cm="1">
        <f t="array" ref="N927">IFERROR(AVERAGE(IF((DiscreteStatsTable[GroupByKey]=DiscreteStatsTable[[#This Row],[GroupByKey]]),(DiscreteStatsTable[GroupByKey]=DiscreteStatsTable[[#This Row],[GroupByKey]])*DiscreteStatsTable[Average])),0)</f>
        <v>6.2413723329291182</v>
      </c>
      <c r="O927" s="5" cm="1">
        <f t="array" ref="O927">IFERROR(_xlfn.STDEV.S(IF((DiscreteStatsTable[GroupByKey]=DiscreteStatsTable[[#This Row],[GroupByKey]]),(DiscreteStatsTable[GroupByKey]=DiscreteStatsTable[[#This Row],[GroupByKey]])*DiscreteStatsTable[Average])),0)</f>
        <v>2.6778317329608212</v>
      </c>
      <c r="P927" s="5" cm="1">
        <f t="array" ref="P927">MAX(IF((ProjectInfoTable[ProjectName]=DiscreteStatsTable[[#This Row],[ProjectName]]),(ProjectInfoTable[ProjectName]=DiscreteStatsTable[[#This Row],[ProjectName]])*ProjectInfoTable[ConfidenceInterval]))</f>
        <v>0.95</v>
      </c>
      <c r="Q927" s="5">
        <f>IF(AND(DiscreteStatsTable[[#This Row],[RepsWithStatObserved]]=1,Y927=0),200000000000000000000,IFERROR(_xlfn.T.INV.2T(1 -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1.2906735808067136</v>
      </c>
      <c r="R927" s="5" cm="1">
        <f t="array" ref="R927">MIN(IF((DiscreteStatsTable[GroupByKey]=DiscreteStatsTable[[#This Row],[GroupByKey]]),(DiscreteStatsTable[GroupByKey]=DiscreteStatsTable[[#This Row],[GroupByKey]])*DiscreteStatsTable[Average]))</f>
        <v>4.0121604978615801</v>
      </c>
      <c r="S927" s="5" cm="1">
        <f t="array" ref="S927">MAX(IF((DiscreteStatsTable[GroupByKey]=DiscreteStatsTable[[#This Row],[GroupByKey]]),(DiscreteStatsTable[GroupByKey]=DiscreteStatsTable[[#This Row],[GroupByKey]])*DiscreteStatsTable[Average]))</f>
        <v>15.6421643177151</v>
      </c>
      <c r="T927" s="5" cm="1">
        <f t="array" ref="T927">MIN(IF((DiscreteStatsTable[GroupByKey]=DiscreteStatsTable[[#This Row],[GroupByKey]]),(DiscreteStatsTable[GroupByKey]=DiscreteStatsTable[[#This Row],[GroupByKey]])*DiscreteStatsTable[Minimum]))</f>
        <v>4.0121604978615801</v>
      </c>
      <c r="U927" s="5" cm="1">
        <f t="array" ref="U927">MAX(IF((DiscreteStatsTable[GroupByKey]=DiscreteStatsTable[[#This Row],[GroupByKey]]),(DiscreteStatsTable[GroupByKey]=DiscreteStatsTable[[#This Row],[GroupByKey]])*DiscreteStatsTable[Maximum]))</f>
        <v>15.6421643177151</v>
      </c>
      <c r="V927" s="5" cm="1">
        <f t="array" ref="V927">IFERROR(AVERAGE(IF((DiscreteStatsTable[GroupByKey]=DiscreteStatsTable[[#This Row],[GroupByKey]]),(DiscreteStatsTable[GroupByKey]=DiscreteStatsTable[[#This Row],[GroupByKey]])*DiscreteStatsTable[NumberObservations])),0)</f>
        <v>1</v>
      </c>
      <c r="W927" s="5">
        <f>IF((DiscreteStatsTable[[#This Row],[RepsRequested]]&gt;1),DiscreteStatsTable[[#This Row],[HalfWidth]],DiscreteStatsTable[[#This Row],[BatchMeansHalfWidth]])</f>
        <v>1.2906735808067136</v>
      </c>
      <c r="X927" s="5" cm="1">
        <f t="array" ref="X927">COUNT(IF((DiscreteStatsTable[GroupByKey]=DiscreteStatsTable[[#This Row],[GroupByKey]]),(DiscreteStatsTable[GroupByKey]=DiscreteStatsTable[[#This Row],[GroupByKey]])*DiscreteStatsTable[Replication]))</f>
        <v>19</v>
      </c>
      <c r="Y927" s="5">
        <f>IF(DiscreteStatsTable[[#This Row],[RepsRequested]]=DiscreteStatsTable[[#This Row],[RepsWithStatObserved]],1,0)</f>
        <v>1</v>
      </c>
    </row>
    <row r="928" spans="1:25" x14ac:dyDescent="0.25">
      <c r="A928" t="s">
        <v>67</v>
      </c>
      <c r="B928" t="s">
        <v>69</v>
      </c>
      <c r="C928">
        <v>1</v>
      </c>
      <c r="D928" t="s">
        <v>120</v>
      </c>
      <c r="E928" t="s">
        <v>79</v>
      </c>
      <c r="F928" t="s">
        <v>80</v>
      </c>
      <c r="G928">
        <v>12.691770210246</v>
      </c>
      <c r="H928">
        <v>2E+20</v>
      </c>
      <c r="I928">
        <v>12.691770210246</v>
      </c>
      <c r="J928">
        <v>12.691770210246</v>
      </c>
      <c r="K928">
        <v>1</v>
      </c>
      <c r="L92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compartida)TiempoSistemaTodosH3ExpressionUser Specified</v>
      </c>
      <c r="M928" s="5" cm="1">
        <f t="array" ref="M928">MAX(IF((ProjectInfoTable[ProjectName]=DiscreteStatsTable[[#This Row],[ProjectName]]),(ProjectInfoTable[ProjectName]=DiscreteStatsTable[[#This Row],[ProjectName]])*ProjectInfoTable[NumberOfReplications]))</f>
        <v>19</v>
      </c>
      <c r="N928" s="5" cm="1">
        <f t="array" ref="N928">IFERROR(AVERAGE(IF((DiscreteStatsTable[GroupByKey]=DiscreteStatsTable[[#This Row],[GroupByKey]]),(DiscreteStatsTable[GroupByKey]=DiscreteStatsTable[[#This Row],[GroupByKey]])*DiscreteStatsTable[Average])),0)</f>
        <v>6.1004830173875275</v>
      </c>
      <c r="O928" s="5" cm="1">
        <f t="array" ref="O928">IFERROR(_xlfn.STDEV.S(IF((DiscreteStatsTable[GroupByKey]=DiscreteStatsTable[[#This Row],[GroupByKey]]),(DiscreteStatsTable[GroupByKey]=DiscreteStatsTable[[#This Row],[GroupByKey]])*DiscreteStatsTable[Average])),0)</f>
        <v>1.9202776678807203</v>
      </c>
      <c r="P928" s="5" cm="1">
        <f t="array" ref="P928">MAX(IF((ProjectInfoTable[ProjectName]=DiscreteStatsTable[[#This Row],[ProjectName]]),(ProjectInfoTable[ProjectName]=DiscreteStatsTable[[#This Row],[ProjectName]])*ProjectInfoTable[ConfidenceInterval]))</f>
        <v>0.95</v>
      </c>
      <c r="Q928" s="5">
        <f>IF(AND(DiscreteStatsTable[[#This Row],[RepsWithStatObserved]]=1,Y928=0),200000000000000000000,IFERROR(_xlfn.T.INV.2T(1 -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928" s="5" cm="1">
        <f t="array" ref="R928">MIN(IF((DiscreteStatsTable[GroupByKey]=DiscreteStatsTable[[#This Row],[GroupByKey]]),(DiscreteStatsTable[GroupByKey]=DiscreteStatsTable[[#This Row],[GroupByKey]])*DiscreteStatsTable[Average]))</f>
        <v>4.4316568587741703</v>
      </c>
      <c r="S928" s="5" cm="1">
        <f t="array" ref="S928">MAX(IF((DiscreteStatsTable[GroupByKey]=DiscreteStatsTable[[#This Row],[GroupByKey]]),(DiscreteStatsTable[GroupByKey]=DiscreteStatsTable[[#This Row],[GroupByKey]])*DiscreteStatsTable[Average]))</f>
        <v>12.691770210246</v>
      </c>
      <c r="T928" s="5" cm="1">
        <f t="array" ref="T928">MIN(IF((DiscreteStatsTable[GroupByKey]=DiscreteStatsTable[[#This Row],[GroupByKey]]),(DiscreteStatsTable[GroupByKey]=DiscreteStatsTable[[#This Row],[GroupByKey]])*DiscreteStatsTable[Minimum]))</f>
        <v>4.4316568587741703</v>
      </c>
      <c r="U928" s="5" cm="1">
        <f t="array" ref="U928">MAX(IF((DiscreteStatsTable[GroupByKey]=DiscreteStatsTable[[#This Row],[GroupByKey]]),(DiscreteStatsTable[GroupByKey]=DiscreteStatsTable[[#This Row],[GroupByKey]])*DiscreteStatsTable[Maximum]))</f>
        <v>12.691770210246</v>
      </c>
      <c r="V928" s="5" cm="1">
        <f t="array" ref="V928">IFERROR(AVERAGE(IF((DiscreteStatsTable[GroupByKey]=DiscreteStatsTable[[#This Row],[GroupByKey]]),(DiscreteStatsTable[GroupByKey]=DiscreteStatsTable[[#This Row],[GroupByKey]])*DiscreteStatsTable[NumberObservations])),0)</f>
        <v>1</v>
      </c>
      <c r="W928" s="5">
        <f>IF((DiscreteStatsTable[[#This Row],[RepsRequested]]&gt;1),DiscreteStatsTable[[#This Row],[HalfWidth]],DiscreteStatsTable[[#This Row],[BatchMeansHalfWidth]])</f>
        <v>0.92554420923468694</v>
      </c>
      <c r="X928" s="5" cm="1">
        <f t="array" ref="X928">COUNT(IF((DiscreteStatsTable[GroupByKey]=DiscreteStatsTable[[#This Row],[GroupByKey]]),(DiscreteStatsTable[GroupByKey]=DiscreteStatsTable[[#This Row],[GroupByKey]])*DiscreteStatsTable[Replication]))</f>
        <v>19</v>
      </c>
      <c r="Y928" s="5">
        <f>IF(DiscreteStatsTable[[#This Row],[RepsRequested]]=DiscreteStatsTable[[#This Row],[RepsWithStatObserved]],1,0)</f>
        <v>1</v>
      </c>
    </row>
    <row r="929" spans="1:25" x14ac:dyDescent="0.25">
      <c r="A929" t="s">
        <v>67</v>
      </c>
      <c r="B929" t="s">
        <v>69</v>
      </c>
      <c r="C929">
        <v>2</v>
      </c>
      <c r="D929" t="s">
        <v>120</v>
      </c>
      <c r="E929" t="s">
        <v>79</v>
      </c>
      <c r="F929" t="s">
        <v>80</v>
      </c>
      <c r="G929">
        <v>4.4316568587741703</v>
      </c>
      <c r="H929">
        <v>2E+20</v>
      </c>
      <c r="I929">
        <v>4.4316568587741703</v>
      </c>
      <c r="J929">
        <v>4.4316568587741703</v>
      </c>
      <c r="K929">
        <v>1</v>
      </c>
      <c r="L92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compartida)TiempoSistemaTodosH3ExpressionUser Specified</v>
      </c>
      <c r="M929" s="5" cm="1">
        <f t="array" ref="M929">MAX(IF((ProjectInfoTable[ProjectName]=DiscreteStatsTable[[#This Row],[ProjectName]]),(ProjectInfoTable[ProjectName]=DiscreteStatsTable[[#This Row],[ProjectName]])*ProjectInfoTable[NumberOfReplications]))</f>
        <v>19</v>
      </c>
      <c r="N929" s="5" cm="1">
        <f t="array" ref="N929">IFERROR(AVERAGE(IF((DiscreteStatsTable[GroupByKey]=DiscreteStatsTable[[#This Row],[GroupByKey]]),(DiscreteStatsTable[GroupByKey]=DiscreteStatsTable[[#This Row],[GroupByKey]])*DiscreteStatsTable[Average])),0)</f>
        <v>6.1004830173875275</v>
      </c>
      <c r="O929" s="5" cm="1">
        <f t="array" ref="O929">IFERROR(_xlfn.STDEV.S(IF((DiscreteStatsTable[GroupByKey]=DiscreteStatsTable[[#This Row],[GroupByKey]]),(DiscreteStatsTable[GroupByKey]=DiscreteStatsTable[[#This Row],[GroupByKey]])*DiscreteStatsTable[Average])),0)</f>
        <v>1.9202776678807203</v>
      </c>
      <c r="P929" s="5" cm="1">
        <f t="array" ref="P929">MAX(IF((ProjectInfoTable[ProjectName]=DiscreteStatsTable[[#This Row],[ProjectName]]),(ProjectInfoTable[ProjectName]=DiscreteStatsTable[[#This Row],[ProjectName]])*ProjectInfoTable[ConfidenceInterval]))</f>
        <v>0.95</v>
      </c>
      <c r="Q929" s="5">
        <f>IF(AND(DiscreteStatsTable[[#This Row],[RepsWithStatObserved]]=1,Y929=0),200000000000000000000,IFERROR(_xlfn.T.INV.2T(1 -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929" s="5" cm="1">
        <f t="array" ref="R929">MIN(IF((DiscreteStatsTable[GroupByKey]=DiscreteStatsTable[[#This Row],[GroupByKey]]),(DiscreteStatsTable[GroupByKey]=DiscreteStatsTable[[#This Row],[GroupByKey]])*DiscreteStatsTable[Average]))</f>
        <v>4.4316568587741703</v>
      </c>
      <c r="S929" s="5" cm="1">
        <f t="array" ref="S929">MAX(IF((DiscreteStatsTable[GroupByKey]=DiscreteStatsTable[[#This Row],[GroupByKey]]),(DiscreteStatsTable[GroupByKey]=DiscreteStatsTable[[#This Row],[GroupByKey]])*DiscreteStatsTable[Average]))</f>
        <v>12.691770210246</v>
      </c>
      <c r="T929" s="5" cm="1">
        <f t="array" ref="T929">MIN(IF((DiscreteStatsTable[GroupByKey]=DiscreteStatsTable[[#This Row],[GroupByKey]]),(DiscreteStatsTable[GroupByKey]=DiscreteStatsTable[[#This Row],[GroupByKey]])*DiscreteStatsTable[Minimum]))</f>
        <v>4.4316568587741703</v>
      </c>
      <c r="U929" s="5" cm="1">
        <f t="array" ref="U929">MAX(IF((DiscreteStatsTable[GroupByKey]=DiscreteStatsTable[[#This Row],[GroupByKey]]),(DiscreteStatsTable[GroupByKey]=DiscreteStatsTable[[#This Row],[GroupByKey]])*DiscreteStatsTable[Maximum]))</f>
        <v>12.691770210246</v>
      </c>
      <c r="V929" s="5" cm="1">
        <f t="array" ref="V929">IFERROR(AVERAGE(IF((DiscreteStatsTable[GroupByKey]=DiscreteStatsTable[[#This Row],[GroupByKey]]),(DiscreteStatsTable[GroupByKey]=DiscreteStatsTable[[#This Row],[GroupByKey]])*DiscreteStatsTable[NumberObservations])),0)</f>
        <v>1</v>
      </c>
      <c r="W929" s="5">
        <f>IF((DiscreteStatsTable[[#This Row],[RepsRequested]]&gt;1),DiscreteStatsTable[[#This Row],[HalfWidth]],DiscreteStatsTable[[#This Row],[BatchMeansHalfWidth]])</f>
        <v>0.92554420923468694</v>
      </c>
      <c r="X929" s="5" cm="1">
        <f t="array" ref="X929">COUNT(IF((DiscreteStatsTable[GroupByKey]=DiscreteStatsTable[[#This Row],[GroupByKey]]),(DiscreteStatsTable[GroupByKey]=DiscreteStatsTable[[#This Row],[GroupByKey]])*DiscreteStatsTable[Replication]))</f>
        <v>19</v>
      </c>
      <c r="Y929" s="5">
        <f>IF(DiscreteStatsTable[[#This Row],[RepsRequested]]=DiscreteStatsTable[[#This Row],[RepsWithStatObserved]],1,0)</f>
        <v>1</v>
      </c>
    </row>
    <row r="930" spans="1:25" x14ac:dyDescent="0.25">
      <c r="A930" t="s">
        <v>67</v>
      </c>
      <c r="B930" t="s">
        <v>69</v>
      </c>
      <c r="C930">
        <v>3</v>
      </c>
      <c r="D930" t="s">
        <v>120</v>
      </c>
      <c r="E930" t="s">
        <v>79</v>
      </c>
      <c r="F930" t="s">
        <v>80</v>
      </c>
      <c r="G930">
        <v>8.7302970526223795</v>
      </c>
      <c r="H930">
        <v>2E+20</v>
      </c>
      <c r="I930">
        <v>8.7302970526223795</v>
      </c>
      <c r="J930">
        <v>8.7302970526223795</v>
      </c>
      <c r="K930">
        <v>1</v>
      </c>
      <c r="L93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compartida)TiempoSistemaTodosH3ExpressionUser Specified</v>
      </c>
      <c r="M930" s="5" cm="1">
        <f t="array" ref="M930">MAX(IF((ProjectInfoTable[ProjectName]=DiscreteStatsTable[[#This Row],[ProjectName]]),(ProjectInfoTable[ProjectName]=DiscreteStatsTable[[#This Row],[ProjectName]])*ProjectInfoTable[NumberOfReplications]))</f>
        <v>19</v>
      </c>
      <c r="N930" s="5" cm="1">
        <f t="array" ref="N930">IFERROR(AVERAGE(IF((DiscreteStatsTable[GroupByKey]=DiscreteStatsTable[[#This Row],[GroupByKey]]),(DiscreteStatsTable[GroupByKey]=DiscreteStatsTable[[#This Row],[GroupByKey]])*DiscreteStatsTable[Average])),0)</f>
        <v>6.1004830173875275</v>
      </c>
      <c r="O930" s="5" cm="1">
        <f t="array" ref="O930">IFERROR(_xlfn.STDEV.S(IF((DiscreteStatsTable[GroupByKey]=DiscreteStatsTable[[#This Row],[GroupByKey]]),(DiscreteStatsTable[GroupByKey]=DiscreteStatsTable[[#This Row],[GroupByKey]])*DiscreteStatsTable[Average])),0)</f>
        <v>1.9202776678807203</v>
      </c>
      <c r="P930" s="5" cm="1">
        <f t="array" ref="P930">MAX(IF((ProjectInfoTable[ProjectName]=DiscreteStatsTable[[#This Row],[ProjectName]]),(ProjectInfoTable[ProjectName]=DiscreteStatsTable[[#This Row],[ProjectName]])*ProjectInfoTable[ConfidenceInterval]))</f>
        <v>0.95</v>
      </c>
      <c r="Q930" s="5">
        <f>IF(AND(DiscreteStatsTable[[#This Row],[RepsWithStatObserved]]=1,Y930=0),200000000000000000000,IFERROR(_xlfn.T.INV.2T(1 -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930" s="5" cm="1">
        <f t="array" ref="R930">MIN(IF((DiscreteStatsTable[GroupByKey]=DiscreteStatsTable[[#This Row],[GroupByKey]]),(DiscreteStatsTable[GroupByKey]=DiscreteStatsTable[[#This Row],[GroupByKey]])*DiscreteStatsTable[Average]))</f>
        <v>4.4316568587741703</v>
      </c>
      <c r="S930" s="5" cm="1">
        <f t="array" ref="S930">MAX(IF((DiscreteStatsTable[GroupByKey]=DiscreteStatsTable[[#This Row],[GroupByKey]]),(DiscreteStatsTable[GroupByKey]=DiscreteStatsTable[[#This Row],[GroupByKey]])*DiscreteStatsTable[Average]))</f>
        <v>12.691770210246</v>
      </c>
      <c r="T930" s="5" cm="1">
        <f t="array" ref="T930">MIN(IF((DiscreteStatsTable[GroupByKey]=DiscreteStatsTable[[#This Row],[GroupByKey]]),(DiscreteStatsTable[GroupByKey]=DiscreteStatsTable[[#This Row],[GroupByKey]])*DiscreteStatsTable[Minimum]))</f>
        <v>4.4316568587741703</v>
      </c>
      <c r="U930" s="5" cm="1">
        <f t="array" ref="U930">MAX(IF((DiscreteStatsTable[GroupByKey]=DiscreteStatsTable[[#This Row],[GroupByKey]]),(DiscreteStatsTable[GroupByKey]=DiscreteStatsTable[[#This Row],[GroupByKey]])*DiscreteStatsTable[Maximum]))</f>
        <v>12.691770210246</v>
      </c>
      <c r="V930" s="5" cm="1">
        <f t="array" ref="V930">IFERROR(AVERAGE(IF((DiscreteStatsTable[GroupByKey]=DiscreteStatsTable[[#This Row],[GroupByKey]]),(DiscreteStatsTable[GroupByKey]=DiscreteStatsTable[[#This Row],[GroupByKey]])*DiscreteStatsTable[NumberObservations])),0)</f>
        <v>1</v>
      </c>
      <c r="W930" s="5">
        <f>IF((DiscreteStatsTable[[#This Row],[RepsRequested]]&gt;1),DiscreteStatsTable[[#This Row],[HalfWidth]],DiscreteStatsTable[[#This Row],[BatchMeansHalfWidth]])</f>
        <v>0.92554420923468694</v>
      </c>
      <c r="X930" s="5" cm="1">
        <f t="array" ref="X930">COUNT(IF((DiscreteStatsTable[GroupByKey]=DiscreteStatsTable[[#This Row],[GroupByKey]]),(DiscreteStatsTable[GroupByKey]=DiscreteStatsTable[[#This Row],[GroupByKey]])*DiscreteStatsTable[Replication]))</f>
        <v>19</v>
      </c>
      <c r="Y930" s="5">
        <f>IF(DiscreteStatsTable[[#This Row],[RepsRequested]]=DiscreteStatsTable[[#This Row],[RepsWithStatObserved]],1,0)</f>
        <v>1</v>
      </c>
    </row>
    <row r="931" spans="1:25" x14ac:dyDescent="0.25">
      <c r="A931" t="s">
        <v>67</v>
      </c>
      <c r="B931" t="s">
        <v>69</v>
      </c>
      <c r="C931">
        <v>4</v>
      </c>
      <c r="D931" t="s">
        <v>120</v>
      </c>
      <c r="E931" t="s">
        <v>79</v>
      </c>
      <c r="F931" t="s">
        <v>80</v>
      </c>
      <c r="G931">
        <v>4.7759336557260301</v>
      </c>
      <c r="H931">
        <v>2E+20</v>
      </c>
      <c r="I931">
        <v>4.7759336557260301</v>
      </c>
      <c r="J931">
        <v>4.7759336557260301</v>
      </c>
      <c r="K931">
        <v>1</v>
      </c>
      <c r="L93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compartida)TiempoSistemaTodosH3ExpressionUser Specified</v>
      </c>
      <c r="M931" s="5" cm="1">
        <f t="array" ref="M931">MAX(IF((ProjectInfoTable[ProjectName]=DiscreteStatsTable[[#This Row],[ProjectName]]),(ProjectInfoTable[ProjectName]=DiscreteStatsTable[[#This Row],[ProjectName]])*ProjectInfoTable[NumberOfReplications]))</f>
        <v>19</v>
      </c>
      <c r="N931" s="5" cm="1">
        <f t="array" ref="N931">IFERROR(AVERAGE(IF((DiscreteStatsTable[GroupByKey]=DiscreteStatsTable[[#This Row],[GroupByKey]]),(DiscreteStatsTable[GroupByKey]=DiscreteStatsTable[[#This Row],[GroupByKey]])*DiscreteStatsTable[Average])),0)</f>
        <v>6.1004830173875275</v>
      </c>
      <c r="O931" s="5" cm="1">
        <f t="array" ref="O931">IFERROR(_xlfn.STDEV.S(IF((DiscreteStatsTable[GroupByKey]=DiscreteStatsTable[[#This Row],[GroupByKey]]),(DiscreteStatsTable[GroupByKey]=DiscreteStatsTable[[#This Row],[GroupByKey]])*DiscreteStatsTable[Average])),0)</f>
        <v>1.9202776678807203</v>
      </c>
      <c r="P931" s="5" cm="1">
        <f t="array" ref="P931">MAX(IF((ProjectInfoTable[ProjectName]=DiscreteStatsTable[[#This Row],[ProjectName]]),(ProjectInfoTable[ProjectName]=DiscreteStatsTable[[#This Row],[ProjectName]])*ProjectInfoTable[ConfidenceInterval]))</f>
        <v>0.95</v>
      </c>
      <c r="Q931" s="5">
        <f>IF(AND(DiscreteStatsTable[[#This Row],[RepsWithStatObserved]]=1,Y931=0),200000000000000000000,IFERROR(_xlfn.T.INV.2T(1 -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931" s="5" cm="1">
        <f t="array" ref="R931">MIN(IF((DiscreteStatsTable[GroupByKey]=DiscreteStatsTable[[#This Row],[GroupByKey]]),(DiscreteStatsTable[GroupByKey]=DiscreteStatsTable[[#This Row],[GroupByKey]])*DiscreteStatsTable[Average]))</f>
        <v>4.4316568587741703</v>
      </c>
      <c r="S931" s="5" cm="1">
        <f t="array" ref="S931">MAX(IF((DiscreteStatsTable[GroupByKey]=DiscreteStatsTable[[#This Row],[GroupByKey]]),(DiscreteStatsTable[GroupByKey]=DiscreteStatsTable[[#This Row],[GroupByKey]])*DiscreteStatsTable[Average]))</f>
        <v>12.691770210246</v>
      </c>
      <c r="T931" s="5" cm="1">
        <f t="array" ref="T931">MIN(IF((DiscreteStatsTable[GroupByKey]=DiscreteStatsTable[[#This Row],[GroupByKey]]),(DiscreteStatsTable[GroupByKey]=DiscreteStatsTable[[#This Row],[GroupByKey]])*DiscreteStatsTable[Minimum]))</f>
        <v>4.4316568587741703</v>
      </c>
      <c r="U931" s="5" cm="1">
        <f t="array" ref="U931">MAX(IF((DiscreteStatsTable[GroupByKey]=DiscreteStatsTable[[#This Row],[GroupByKey]]),(DiscreteStatsTable[GroupByKey]=DiscreteStatsTable[[#This Row],[GroupByKey]])*DiscreteStatsTable[Maximum]))</f>
        <v>12.691770210246</v>
      </c>
      <c r="V931" s="5" cm="1">
        <f t="array" ref="V931">IFERROR(AVERAGE(IF((DiscreteStatsTable[GroupByKey]=DiscreteStatsTable[[#This Row],[GroupByKey]]),(DiscreteStatsTable[GroupByKey]=DiscreteStatsTable[[#This Row],[GroupByKey]])*DiscreteStatsTable[NumberObservations])),0)</f>
        <v>1</v>
      </c>
      <c r="W931" s="5">
        <f>IF((DiscreteStatsTable[[#This Row],[RepsRequested]]&gt;1),DiscreteStatsTable[[#This Row],[HalfWidth]],DiscreteStatsTable[[#This Row],[BatchMeansHalfWidth]])</f>
        <v>0.92554420923468694</v>
      </c>
      <c r="X931" s="5" cm="1">
        <f t="array" ref="X931">COUNT(IF((DiscreteStatsTable[GroupByKey]=DiscreteStatsTable[[#This Row],[GroupByKey]]),(DiscreteStatsTable[GroupByKey]=DiscreteStatsTable[[#This Row],[GroupByKey]])*DiscreteStatsTable[Replication]))</f>
        <v>19</v>
      </c>
      <c r="Y931" s="5">
        <f>IF(DiscreteStatsTable[[#This Row],[RepsRequested]]=DiscreteStatsTable[[#This Row],[RepsWithStatObserved]],1,0)</f>
        <v>1</v>
      </c>
    </row>
    <row r="932" spans="1:25" x14ac:dyDescent="0.25">
      <c r="A932" t="s">
        <v>67</v>
      </c>
      <c r="B932" t="s">
        <v>69</v>
      </c>
      <c r="C932">
        <v>5</v>
      </c>
      <c r="D932" t="s">
        <v>120</v>
      </c>
      <c r="E932" t="s">
        <v>79</v>
      </c>
      <c r="F932" t="s">
        <v>80</v>
      </c>
      <c r="G932">
        <v>4.6095490004320201</v>
      </c>
      <c r="H932">
        <v>2E+20</v>
      </c>
      <c r="I932">
        <v>4.6095490004320201</v>
      </c>
      <c r="J932">
        <v>4.6095490004320201</v>
      </c>
      <c r="K932">
        <v>1</v>
      </c>
      <c r="L93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compartida)TiempoSistemaTodosH3ExpressionUser Specified</v>
      </c>
      <c r="M932" s="5" cm="1">
        <f t="array" ref="M932">MAX(IF((ProjectInfoTable[ProjectName]=DiscreteStatsTable[[#This Row],[ProjectName]]),(ProjectInfoTable[ProjectName]=DiscreteStatsTable[[#This Row],[ProjectName]])*ProjectInfoTable[NumberOfReplications]))</f>
        <v>19</v>
      </c>
      <c r="N932" s="5" cm="1">
        <f t="array" ref="N932">IFERROR(AVERAGE(IF((DiscreteStatsTable[GroupByKey]=DiscreteStatsTable[[#This Row],[GroupByKey]]),(DiscreteStatsTable[GroupByKey]=DiscreteStatsTable[[#This Row],[GroupByKey]])*DiscreteStatsTable[Average])),0)</f>
        <v>6.1004830173875275</v>
      </c>
      <c r="O932" s="5" cm="1">
        <f t="array" ref="O932">IFERROR(_xlfn.STDEV.S(IF((DiscreteStatsTable[GroupByKey]=DiscreteStatsTable[[#This Row],[GroupByKey]]),(DiscreteStatsTable[GroupByKey]=DiscreteStatsTable[[#This Row],[GroupByKey]])*DiscreteStatsTable[Average])),0)</f>
        <v>1.9202776678807203</v>
      </c>
      <c r="P932" s="5" cm="1">
        <f t="array" ref="P932">MAX(IF((ProjectInfoTable[ProjectName]=DiscreteStatsTable[[#This Row],[ProjectName]]),(ProjectInfoTable[ProjectName]=DiscreteStatsTable[[#This Row],[ProjectName]])*ProjectInfoTable[ConfidenceInterval]))</f>
        <v>0.95</v>
      </c>
      <c r="Q932" s="5">
        <f>IF(AND(DiscreteStatsTable[[#This Row],[RepsWithStatObserved]]=1,Y932=0),200000000000000000000,IFERROR(_xlfn.T.INV.2T(1 -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932" s="5" cm="1">
        <f t="array" ref="R932">MIN(IF((DiscreteStatsTable[GroupByKey]=DiscreteStatsTable[[#This Row],[GroupByKey]]),(DiscreteStatsTable[GroupByKey]=DiscreteStatsTable[[#This Row],[GroupByKey]])*DiscreteStatsTable[Average]))</f>
        <v>4.4316568587741703</v>
      </c>
      <c r="S932" s="5" cm="1">
        <f t="array" ref="S932">MAX(IF((DiscreteStatsTable[GroupByKey]=DiscreteStatsTable[[#This Row],[GroupByKey]]),(DiscreteStatsTable[GroupByKey]=DiscreteStatsTable[[#This Row],[GroupByKey]])*DiscreteStatsTable[Average]))</f>
        <v>12.691770210246</v>
      </c>
      <c r="T932" s="5" cm="1">
        <f t="array" ref="T932">MIN(IF((DiscreteStatsTable[GroupByKey]=DiscreteStatsTable[[#This Row],[GroupByKey]]),(DiscreteStatsTable[GroupByKey]=DiscreteStatsTable[[#This Row],[GroupByKey]])*DiscreteStatsTable[Minimum]))</f>
        <v>4.4316568587741703</v>
      </c>
      <c r="U932" s="5" cm="1">
        <f t="array" ref="U932">MAX(IF((DiscreteStatsTable[GroupByKey]=DiscreteStatsTable[[#This Row],[GroupByKey]]),(DiscreteStatsTable[GroupByKey]=DiscreteStatsTable[[#This Row],[GroupByKey]])*DiscreteStatsTable[Maximum]))</f>
        <v>12.691770210246</v>
      </c>
      <c r="V932" s="5" cm="1">
        <f t="array" ref="V932">IFERROR(AVERAGE(IF((DiscreteStatsTable[GroupByKey]=DiscreteStatsTable[[#This Row],[GroupByKey]]),(DiscreteStatsTable[GroupByKey]=DiscreteStatsTable[[#This Row],[GroupByKey]])*DiscreteStatsTable[NumberObservations])),0)</f>
        <v>1</v>
      </c>
      <c r="W932" s="5">
        <f>IF((DiscreteStatsTable[[#This Row],[RepsRequested]]&gt;1),DiscreteStatsTable[[#This Row],[HalfWidth]],DiscreteStatsTable[[#This Row],[BatchMeansHalfWidth]])</f>
        <v>0.92554420923468694</v>
      </c>
      <c r="X932" s="5" cm="1">
        <f t="array" ref="X932">COUNT(IF((DiscreteStatsTable[GroupByKey]=DiscreteStatsTable[[#This Row],[GroupByKey]]),(DiscreteStatsTable[GroupByKey]=DiscreteStatsTable[[#This Row],[GroupByKey]])*DiscreteStatsTable[Replication]))</f>
        <v>19</v>
      </c>
      <c r="Y932" s="5">
        <f>IF(DiscreteStatsTable[[#This Row],[RepsRequested]]=DiscreteStatsTable[[#This Row],[RepsWithStatObserved]],1,0)</f>
        <v>1</v>
      </c>
    </row>
    <row r="933" spans="1:25" x14ac:dyDescent="0.25">
      <c r="A933" t="s">
        <v>67</v>
      </c>
      <c r="B933" t="s">
        <v>69</v>
      </c>
      <c r="C933">
        <v>6</v>
      </c>
      <c r="D933" t="s">
        <v>120</v>
      </c>
      <c r="E933" t="s">
        <v>79</v>
      </c>
      <c r="F933" t="s">
        <v>80</v>
      </c>
      <c r="G933">
        <v>4.85694996673445</v>
      </c>
      <c r="H933">
        <v>2E+20</v>
      </c>
      <c r="I933">
        <v>4.85694996673445</v>
      </c>
      <c r="J933">
        <v>4.85694996673445</v>
      </c>
      <c r="K933">
        <v>1</v>
      </c>
      <c r="L93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compartida)TiempoSistemaTodosH3ExpressionUser Specified</v>
      </c>
      <c r="M933" s="5" cm="1">
        <f t="array" ref="M933">MAX(IF((ProjectInfoTable[ProjectName]=DiscreteStatsTable[[#This Row],[ProjectName]]),(ProjectInfoTable[ProjectName]=DiscreteStatsTable[[#This Row],[ProjectName]])*ProjectInfoTable[NumberOfReplications]))</f>
        <v>19</v>
      </c>
      <c r="N933" s="5" cm="1">
        <f t="array" ref="N933">IFERROR(AVERAGE(IF((DiscreteStatsTable[GroupByKey]=DiscreteStatsTable[[#This Row],[GroupByKey]]),(DiscreteStatsTable[GroupByKey]=DiscreteStatsTable[[#This Row],[GroupByKey]])*DiscreteStatsTable[Average])),0)</f>
        <v>6.1004830173875275</v>
      </c>
      <c r="O933" s="5" cm="1">
        <f t="array" ref="O933">IFERROR(_xlfn.STDEV.S(IF((DiscreteStatsTable[GroupByKey]=DiscreteStatsTable[[#This Row],[GroupByKey]]),(DiscreteStatsTable[GroupByKey]=DiscreteStatsTable[[#This Row],[GroupByKey]])*DiscreteStatsTable[Average])),0)</f>
        <v>1.9202776678807203</v>
      </c>
      <c r="P933" s="5" cm="1">
        <f t="array" ref="P933">MAX(IF((ProjectInfoTable[ProjectName]=DiscreteStatsTable[[#This Row],[ProjectName]]),(ProjectInfoTable[ProjectName]=DiscreteStatsTable[[#This Row],[ProjectName]])*ProjectInfoTable[ConfidenceInterval]))</f>
        <v>0.95</v>
      </c>
      <c r="Q933" s="5">
        <f>IF(AND(DiscreteStatsTable[[#This Row],[RepsWithStatObserved]]=1,Y933=0),200000000000000000000,IFERROR(_xlfn.T.INV.2T(1 -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933" s="5" cm="1">
        <f t="array" ref="R933">MIN(IF((DiscreteStatsTable[GroupByKey]=DiscreteStatsTable[[#This Row],[GroupByKey]]),(DiscreteStatsTable[GroupByKey]=DiscreteStatsTable[[#This Row],[GroupByKey]])*DiscreteStatsTable[Average]))</f>
        <v>4.4316568587741703</v>
      </c>
      <c r="S933" s="5" cm="1">
        <f t="array" ref="S933">MAX(IF((DiscreteStatsTable[GroupByKey]=DiscreteStatsTable[[#This Row],[GroupByKey]]),(DiscreteStatsTable[GroupByKey]=DiscreteStatsTable[[#This Row],[GroupByKey]])*DiscreteStatsTable[Average]))</f>
        <v>12.691770210246</v>
      </c>
      <c r="T933" s="5" cm="1">
        <f t="array" ref="T933">MIN(IF((DiscreteStatsTable[GroupByKey]=DiscreteStatsTable[[#This Row],[GroupByKey]]),(DiscreteStatsTable[GroupByKey]=DiscreteStatsTable[[#This Row],[GroupByKey]])*DiscreteStatsTable[Minimum]))</f>
        <v>4.4316568587741703</v>
      </c>
      <c r="U933" s="5" cm="1">
        <f t="array" ref="U933">MAX(IF((DiscreteStatsTable[GroupByKey]=DiscreteStatsTable[[#This Row],[GroupByKey]]),(DiscreteStatsTable[GroupByKey]=DiscreteStatsTable[[#This Row],[GroupByKey]])*DiscreteStatsTable[Maximum]))</f>
        <v>12.691770210246</v>
      </c>
      <c r="V933" s="5" cm="1">
        <f t="array" ref="V933">IFERROR(AVERAGE(IF((DiscreteStatsTable[GroupByKey]=DiscreteStatsTable[[#This Row],[GroupByKey]]),(DiscreteStatsTable[GroupByKey]=DiscreteStatsTable[[#This Row],[GroupByKey]])*DiscreteStatsTable[NumberObservations])),0)</f>
        <v>1</v>
      </c>
      <c r="W933" s="5">
        <f>IF((DiscreteStatsTable[[#This Row],[RepsRequested]]&gt;1),DiscreteStatsTable[[#This Row],[HalfWidth]],DiscreteStatsTable[[#This Row],[BatchMeansHalfWidth]])</f>
        <v>0.92554420923468694</v>
      </c>
      <c r="X933" s="5" cm="1">
        <f t="array" ref="X933">COUNT(IF((DiscreteStatsTable[GroupByKey]=DiscreteStatsTable[[#This Row],[GroupByKey]]),(DiscreteStatsTable[GroupByKey]=DiscreteStatsTable[[#This Row],[GroupByKey]])*DiscreteStatsTable[Replication]))</f>
        <v>19</v>
      </c>
      <c r="Y933" s="5">
        <f>IF(DiscreteStatsTable[[#This Row],[RepsRequested]]=DiscreteStatsTable[[#This Row],[RepsWithStatObserved]],1,0)</f>
        <v>1</v>
      </c>
    </row>
    <row r="934" spans="1:25" x14ac:dyDescent="0.25">
      <c r="A934" t="s">
        <v>67</v>
      </c>
      <c r="B934" t="s">
        <v>69</v>
      </c>
      <c r="C934">
        <v>7</v>
      </c>
      <c r="D934" t="s">
        <v>120</v>
      </c>
      <c r="E934" t="s">
        <v>79</v>
      </c>
      <c r="F934" t="s">
        <v>80</v>
      </c>
      <c r="G934">
        <v>5.4218972748640004</v>
      </c>
      <c r="H934">
        <v>2E+20</v>
      </c>
      <c r="I934">
        <v>5.4218972748640004</v>
      </c>
      <c r="J934">
        <v>5.4218972748640004</v>
      </c>
      <c r="K934">
        <v>1</v>
      </c>
      <c r="L93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compartida)TiempoSistemaTodosH3ExpressionUser Specified</v>
      </c>
      <c r="M934" s="5" cm="1">
        <f t="array" ref="M934">MAX(IF((ProjectInfoTable[ProjectName]=DiscreteStatsTable[[#This Row],[ProjectName]]),(ProjectInfoTable[ProjectName]=DiscreteStatsTable[[#This Row],[ProjectName]])*ProjectInfoTable[NumberOfReplications]))</f>
        <v>19</v>
      </c>
      <c r="N934" s="5" cm="1">
        <f t="array" ref="N934">IFERROR(AVERAGE(IF((DiscreteStatsTable[GroupByKey]=DiscreteStatsTable[[#This Row],[GroupByKey]]),(DiscreteStatsTable[GroupByKey]=DiscreteStatsTable[[#This Row],[GroupByKey]])*DiscreteStatsTable[Average])),0)</f>
        <v>6.1004830173875275</v>
      </c>
      <c r="O934" s="5" cm="1">
        <f t="array" ref="O934">IFERROR(_xlfn.STDEV.S(IF((DiscreteStatsTable[GroupByKey]=DiscreteStatsTable[[#This Row],[GroupByKey]]),(DiscreteStatsTable[GroupByKey]=DiscreteStatsTable[[#This Row],[GroupByKey]])*DiscreteStatsTable[Average])),0)</f>
        <v>1.9202776678807203</v>
      </c>
      <c r="P934" s="5" cm="1">
        <f t="array" ref="P934">MAX(IF((ProjectInfoTable[ProjectName]=DiscreteStatsTable[[#This Row],[ProjectName]]),(ProjectInfoTable[ProjectName]=DiscreteStatsTable[[#This Row],[ProjectName]])*ProjectInfoTable[ConfidenceInterval]))</f>
        <v>0.95</v>
      </c>
      <c r="Q934" s="5">
        <f>IF(AND(DiscreteStatsTable[[#This Row],[RepsWithStatObserved]]=1,Y934=0),200000000000000000000,IFERROR(_xlfn.T.INV.2T(1 -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934" s="5" cm="1">
        <f t="array" ref="R934">MIN(IF((DiscreteStatsTable[GroupByKey]=DiscreteStatsTable[[#This Row],[GroupByKey]]),(DiscreteStatsTable[GroupByKey]=DiscreteStatsTable[[#This Row],[GroupByKey]])*DiscreteStatsTable[Average]))</f>
        <v>4.4316568587741703</v>
      </c>
      <c r="S934" s="5" cm="1">
        <f t="array" ref="S934">MAX(IF((DiscreteStatsTable[GroupByKey]=DiscreteStatsTable[[#This Row],[GroupByKey]]),(DiscreteStatsTable[GroupByKey]=DiscreteStatsTable[[#This Row],[GroupByKey]])*DiscreteStatsTable[Average]))</f>
        <v>12.691770210246</v>
      </c>
      <c r="T934" s="5" cm="1">
        <f t="array" ref="T934">MIN(IF((DiscreteStatsTable[GroupByKey]=DiscreteStatsTable[[#This Row],[GroupByKey]]),(DiscreteStatsTable[GroupByKey]=DiscreteStatsTable[[#This Row],[GroupByKey]])*DiscreteStatsTable[Minimum]))</f>
        <v>4.4316568587741703</v>
      </c>
      <c r="U934" s="5" cm="1">
        <f t="array" ref="U934">MAX(IF((DiscreteStatsTable[GroupByKey]=DiscreteStatsTable[[#This Row],[GroupByKey]]),(DiscreteStatsTable[GroupByKey]=DiscreteStatsTable[[#This Row],[GroupByKey]])*DiscreteStatsTable[Maximum]))</f>
        <v>12.691770210246</v>
      </c>
      <c r="V934" s="5" cm="1">
        <f t="array" ref="V934">IFERROR(AVERAGE(IF((DiscreteStatsTable[GroupByKey]=DiscreteStatsTable[[#This Row],[GroupByKey]]),(DiscreteStatsTable[GroupByKey]=DiscreteStatsTable[[#This Row],[GroupByKey]])*DiscreteStatsTable[NumberObservations])),0)</f>
        <v>1</v>
      </c>
      <c r="W934" s="5">
        <f>IF((DiscreteStatsTable[[#This Row],[RepsRequested]]&gt;1),DiscreteStatsTable[[#This Row],[HalfWidth]],DiscreteStatsTable[[#This Row],[BatchMeansHalfWidth]])</f>
        <v>0.92554420923468694</v>
      </c>
      <c r="X934" s="5" cm="1">
        <f t="array" ref="X934">COUNT(IF((DiscreteStatsTable[GroupByKey]=DiscreteStatsTable[[#This Row],[GroupByKey]]),(DiscreteStatsTable[GroupByKey]=DiscreteStatsTable[[#This Row],[GroupByKey]])*DiscreteStatsTable[Replication]))</f>
        <v>19</v>
      </c>
      <c r="Y934" s="5">
        <f>IF(DiscreteStatsTable[[#This Row],[RepsRequested]]=DiscreteStatsTable[[#This Row],[RepsWithStatObserved]],1,0)</f>
        <v>1</v>
      </c>
    </row>
    <row r="935" spans="1:25" x14ac:dyDescent="0.25">
      <c r="A935" t="s">
        <v>67</v>
      </c>
      <c r="B935" t="s">
        <v>69</v>
      </c>
      <c r="C935">
        <v>8</v>
      </c>
      <c r="D935" t="s">
        <v>120</v>
      </c>
      <c r="E935" t="s">
        <v>79</v>
      </c>
      <c r="F935" t="s">
        <v>80</v>
      </c>
      <c r="G935">
        <v>5.8965473384769904</v>
      </c>
      <c r="H935">
        <v>2E+20</v>
      </c>
      <c r="I935">
        <v>5.8965473384769904</v>
      </c>
      <c r="J935">
        <v>5.8965473384769904</v>
      </c>
      <c r="K935">
        <v>1</v>
      </c>
      <c r="L93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compartida)TiempoSistemaTodosH3ExpressionUser Specified</v>
      </c>
      <c r="M935" s="5" cm="1">
        <f t="array" ref="M935">MAX(IF((ProjectInfoTable[ProjectName]=DiscreteStatsTable[[#This Row],[ProjectName]]),(ProjectInfoTable[ProjectName]=DiscreteStatsTable[[#This Row],[ProjectName]])*ProjectInfoTable[NumberOfReplications]))</f>
        <v>19</v>
      </c>
      <c r="N935" s="5" cm="1">
        <f t="array" ref="N935">IFERROR(AVERAGE(IF((DiscreteStatsTable[GroupByKey]=DiscreteStatsTable[[#This Row],[GroupByKey]]),(DiscreteStatsTable[GroupByKey]=DiscreteStatsTable[[#This Row],[GroupByKey]])*DiscreteStatsTable[Average])),0)</f>
        <v>6.1004830173875275</v>
      </c>
      <c r="O935" s="5" cm="1">
        <f t="array" ref="O935">IFERROR(_xlfn.STDEV.S(IF((DiscreteStatsTable[GroupByKey]=DiscreteStatsTable[[#This Row],[GroupByKey]]),(DiscreteStatsTable[GroupByKey]=DiscreteStatsTable[[#This Row],[GroupByKey]])*DiscreteStatsTable[Average])),0)</f>
        <v>1.9202776678807203</v>
      </c>
      <c r="P935" s="5" cm="1">
        <f t="array" ref="P935">MAX(IF((ProjectInfoTable[ProjectName]=DiscreteStatsTable[[#This Row],[ProjectName]]),(ProjectInfoTable[ProjectName]=DiscreteStatsTable[[#This Row],[ProjectName]])*ProjectInfoTable[ConfidenceInterval]))</f>
        <v>0.95</v>
      </c>
      <c r="Q935" s="5">
        <f>IF(AND(DiscreteStatsTable[[#This Row],[RepsWithStatObserved]]=1,Y935=0),200000000000000000000,IFERROR(_xlfn.T.INV.2T(1 -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935" s="5" cm="1">
        <f t="array" ref="R935">MIN(IF((DiscreteStatsTable[GroupByKey]=DiscreteStatsTable[[#This Row],[GroupByKey]]),(DiscreteStatsTable[GroupByKey]=DiscreteStatsTable[[#This Row],[GroupByKey]])*DiscreteStatsTable[Average]))</f>
        <v>4.4316568587741703</v>
      </c>
      <c r="S935" s="5" cm="1">
        <f t="array" ref="S935">MAX(IF((DiscreteStatsTable[GroupByKey]=DiscreteStatsTable[[#This Row],[GroupByKey]]),(DiscreteStatsTable[GroupByKey]=DiscreteStatsTable[[#This Row],[GroupByKey]])*DiscreteStatsTable[Average]))</f>
        <v>12.691770210246</v>
      </c>
      <c r="T935" s="5" cm="1">
        <f t="array" ref="T935">MIN(IF((DiscreteStatsTable[GroupByKey]=DiscreteStatsTable[[#This Row],[GroupByKey]]),(DiscreteStatsTable[GroupByKey]=DiscreteStatsTable[[#This Row],[GroupByKey]])*DiscreteStatsTable[Minimum]))</f>
        <v>4.4316568587741703</v>
      </c>
      <c r="U935" s="5" cm="1">
        <f t="array" ref="U935">MAX(IF((DiscreteStatsTable[GroupByKey]=DiscreteStatsTable[[#This Row],[GroupByKey]]),(DiscreteStatsTable[GroupByKey]=DiscreteStatsTable[[#This Row],[GroupByKey]])*DiscreteStatsTable[Maximum]))</f>
        <v>12.691770210246</v>
      </c>
      <c r="V935" s="5" cm="1">
        <f t="array" ref="V935">IFERROR(AVERAGE(IF((DiscreteStatsTable[GroupByKey]=DiscreteStatsTable[[#This Row],[GroupByKey]]),(DiscreteStatsTable[GroupByKey]=DiscreteStatsTable[[#This Row],[GroupByKey]])*DiscreteStatsTable[NumberObservations])),0)</f>
        <v>1</v>
      </c>
      <c r="W935" s="5">
        <f>IF((DiscreteStatsTable[[#This Row],[RepsRequested]]&gt;1),DiscreteStatsTable[[#This Row],[HalfWidth]],DiscreteStatsTable[[#This Row],[BatchMeansHalfWidth]])</f>
        <v>0.92554420923468694</v>
      </c>
      <c r="X935" s="5" cm="1">
        <f t="array" ref="X935">COUNT(IF((DiscreteStatsTable[GroupByKey]=DiscreteStatsTable[[#This Row],[GroupByKey]]),(DiscreteStatsTable[GroupByKey]=DiscreteStatsTable[[#This Row],[GroupByKey]])*DiscreteStatsTable[Replication]))</f>
        <v>19</v>
      </c>
      <c r="Y935" s="5">
        <f>IF(DiscreteStatsTable[[#This Row],[RepsRequested]]=DiscreteStatsTable[[#This Row],[RepsWithStatObserved]],1,0)</f>
        <v>1</v>
      </c>
    </row>
    <row r="936" spans="1:25" x14ac:dyDescent="0.25">
      <c r="A936" t="s">
        <v>67</v>
      </c>
      <c r="B936" t="s">
        <v>69</v>
      </c>
      <c r="C936">
        <v>9</v>
      </c>
      <c r="D936" t="s">
        <v>120</v>
      </c>
      <c r="E936" t="s">
        <v>79</v>
      </c>
      <c r="F936" t="s">
        <v>80</v>
      </c>
      <c r="G936">
        <v>5.63039811192073</v>
      </c>
      <c r="H936">
        <v>2E+20</v>
      </c>
      <c r="I936">
        <v>5.63039811192073</v>
      </c>
      <c r="J936">
        <v>5.63039811192073</v>
      </c>
      <c r="K936">
        <v>1</v>
      </c>
      <c r="L93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compartida)TiempoSistemaTodosH3ExpressionUser Specified</v>
      </c>
      <c r="M936" s="5" cm="1">
        <f t="array" ref="M936">MAX(IF((ProjectInfoTable[ProjectName]=DiscreteStatsTable[[#This Row],[ProjectName]]),(ProjectInfoTable[ProjectName]=DiscreteStatsTable[[#This Row],[ProjectName]])*ProjectInfoTable[NumberOfReplications]))</f>
        <v>19</v>
      </c>
      <c r="N936" s="5" cm="1">
        <f t="array" ref="N936">IFERROR(AVERAGE(IF((DiscreteStatsTable[GroupByKey]=DiscreteStatsTable[[#This Row],[GroupByKey]]),(DiscreteStatsTable[GroupByKey]=DiscreteStatsTable[[#This Row],[GroupByKey]])*DiscreteStatsTable[Average])),0)</f>
        <v>6.1004830173875275</v>
      </c>
      <c r="O936" s="5" cm="1">
        <f t="array" ref="O936">IFERROR(_xlfn.STDEV.S(IF((DiscreteStatsTable[GroupByKey]=DiscreteStatsTable[[#This Row],[GroupByKey]]),(DiscreteStatsTable[GroupByKey]=DiscreteStatsTable[[#This Row],[GroupByKey]])*DiscreteStatsTable[Average])),0)</f>
        <v>1.9202776678807203</v>
      </c>
      <c r="P936" s="5" cm="1">
        <f t="array" ref="P936">MAX(IF((ProjectInfoTable[ProjectName]=DiscreteStatsTable[[#This Row],[ProjectName]]),(ProjectInfoTable[ProjectName]=DiscreteStatsTable[[#This Row],[ProjectName]])*ProjectInfoTable[ConfidenceInterval]))</f>
        <v>0.95</v>
      </c>
      <c r="Q936" s="5">
        <f>IF(AND(DiscreteStatsTable[[#This Row],[RepsWithStatObserved]]=1,Y936=0),200000000000000000000,IFERROR(_xlfn.T.INV.2T(1 -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936" s="5" cm="1">
        <f t="array" ref="R936">MIN(IF((DiscreteStatsTable[GroupByKey]=DiscreteStatsTable[[#This Row],[GroupByKey]]),(DiscreteStatsTable[GroupByKey]=DiscreteStatsTable[[#This Row],[GroupByKey]])*DiscreteStatsTable[Average]))</f>
        <v>4.4316568587741703</v>
      </c>
      <c r="S936" s="5" cm="1">
        <f t="array" ref="S936">MAX(IF((DiscreteStatsTable[GroupByKey]=DiscreteStatsTable[[#This Row],[GroupByKey]]),(DiscreteStatsTable[GroupByKey]=DiscreteStatsTable[[#This Row],[GroupByKey]])*DiscreteStatsTable[Average]))</f>
        <v>12.691770210246</v>
      </c>
      <c r="T936" s="5" cm="1">
        <f t="array" ref="T936">MIN(IF((DiscreteStatsTable[GroupByKey]=DiscreteStatsTable[[#This Row],[GroupByKey]]),(DiscreteStatsTable[GroupByKey]=DiscreteStatsTable[[#This Row],[GroupByKey]])*DiscreteStatsTable[Minimum]))</f>
        <v>4.4316568587741703</v>
      </c>
      <c r="U936" s="5" cm="1">
        <f t="array" ref="U936">MAX(IF((DiscreteStatsTable[GroupByKey]=DiscreteStatsTable[[#This Row],[GroupByKey]]),(DiscreteStatsTable[GroupByKey]=DiscreteStatsTable[[#This Row],[GroupByKey]])*DiscreteStatsTable[Maximum]))</f>
        <v>12.691770210246</v>
      </c>
      <c r="V936" s="5" cm="1">
        <f t="array" ref="V936">IFERROR(AVERAGE(IF((DiscreteStatsTable[GroupByKey]=DiscreteStatsTable[[#This Row],[GroupByKey]]),(DiscreteStatsTable[GroupByKey]=DiscreteStatsTable[[#This Row],[GroupByKey]])*DiscreteStatsTable[NumberObservations])),0)</f>
        <v>1</v>
      </c>
      <c r="W936" s="5">
        <f>IF((DiscreteStatsTable[[#This Row],[RepsRequested]]&gt;1),DiscreteStatsTable[[#This Row],[HalfWidth]],DiscreteStatsTable[[#This Row],[BatchMeansHalfWidth]])</f>
        <v>0.92554420923468694</v>
      </c>
      <c r="X936" s="5" cm="1">
        <f t="array" ref="X936">COUNT(IF((DiscreteStatsTable[GroupByKey]=DiscreteStatsTable[[#This Row],[GroupByKey]]),(DiscreteStatsTable[GroupByKey]=DiscreteStatsTable[[#This Row],[GroupByKey]])*DiscreteStatsTable[Replication]))</f>
        <v>19</v>
      </c>
      <c r="Y936" s="5">
        <f>IF(DiscreteStatsTable[[#This Row],[RepsRequested]]=DiscreteStatsTable[[#This Row],[RepsWithStatObserved]],1,0)</f>
        <v>1</v>
      </c>
    </row>
    <row r="937" spans="1:25" x14ac:dyDescent="0.25">
      <c r="A937" t="s">
        <v>67</v>
      </c>
      <c r="B937" t="s">
        <v>69</v>
      </c>
      <c r="C937">
        <v>10</v>
      </c>
      <c r="D937" t="s">
        <v>120</v>
      </c>
      <c r="E937" t="s">
        <v>79</v>
      </c>
      <c r="F937" t="s">
        <v>80</v>
      </c>
      <c r="G937">
        <v>7.7213538413687797</v>
      </c>
      <c r="H937">
        <v>2E+20</v>
      </c>
      <c r="I937">
        <v>7.7213538413687797</v>
      </c>
      <c r="J937">
        <v>7.7213538413687797</v>
      </c>
      <c r="K937">
        <v>1</v>
      </c>
      <c r="L93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compartida)TiempoSistemaTodosH3ExpressionUser Specified</v>
      </c>
      <c r="M937" s="5" cm="1">
        <f t="array" ref="M937">MAX(IF((ProjectInfoTable[ProjectName]=DiscreteStatsTable[[#This Row],[ProjectName]]),(ProjectInfoTable[ProjectName]=DiscreteStatsTable[[#This Row],[ProjectName]])*ProjectInfoTable[NumberOfReplications]))</f>
        <v>19</v>
      </c>
      <c r="N937" s="5" cm="1">
        <f t="array" ref="N937">IFERROR(AVERAGE(IF((DiscreteStatsTable[GroupByKey]=DiscreteStatsTable[[#This Row],[GroupByKey]]),(DiscreteStatsTable[GroupByKey]=DiscreteStatsTable[[#This Row],[GroupByKey]])*DiscreteStatsTable[Average])),0)</f>
        <v>6.1004830173875275</v>
      </c>
      <c r="O937" s="5" cm="1">
        <f t="array" ref="O937">IFERROR(_xlfn.STDEV.S(IF((DiscreteStatsTable[GroupByKey]=DiscreteStatsTable[[#This Row],[GroupByKey]]),(DiscreteStatsTable[GroupByKey]=DiscreteStatsTable[[#This Row],[GroupByKey]])*DiscreteStatsTable[Average])),0)</f>
        <v>1.9202776678807203</v>
      </c>
      <c r="P937" s="5" cm="1">
        <f t="array" ref="P937">MAX(IF((ProjectInfoTable[ProjectName]=DiscreteStatsTable[[#This Row],[ProjectName]]),(ProjectInfoTable[ProjectName]=DiscreteStatsTable[[#This Row],[ProjectName]])*ProjectInfoTable[ConfidenceInterval]))</f>
        <v>0.95</v>
      </c>
      <c r="Q937" s="5">
        <f>IF(AND(DiscreteStatsTable[[#This Row],[RepsWithStatObserved]]=1,Y937=0),200000000000000000000,IFERROR(_xlfn.T.INV.2T(1 -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937" s="5" cm="1">
        <f t="array" ref="R937">MIN(IF((DiscreteStatsTable[GroupByKey]=DiscreteStatsTable[[#This Row],[GroupByKey]]),(DiscreteStatsTable[GroupByKey]=DiscreteStatsTable[[#This Row],[GroupByKey]])*DiscreteStatsTable[Average]))</f>
        <v>4.4316568587741703</v>
      </c>
      <c r="S937" s="5" cm="1">
        <f t="array" ref="S937">MAX(IF((DiscreteStatsTable[GroupByKey]=DiscreteStatsTable[[#This Row],[GroupByKey]]),(DiscreteStatsTable[GroupByKey]=DiscreteStatsTable[[#This Row],[GroupByKey]])*DiscreteStatsTable[Average]))</f>
        <v>12.691770210246</v>
      </c>
      <c r="T937" s="5" cm="1">
        <f t="array" ref="T937">MIN(IF((DiscreteStatsTable[GroupByKey]=DiscreteStatsTable[[#This Row],[GroupByKey]]),(DiscreteStatsTable[GroupByKey]=DiscreteStatsTable[[#This Row],[GroupByKey]])*DiscreteStatsTable[Minimum]))</f>
        <v>4.4316568587741703</v>
      </c>
      <c r="U937" s="5" cm="1">
        <f t="array" ref="U937">MAX(IF((DiscreteStatsTable[GroupByKey]=DiscreteStatsTable[[#This Row],[GroupByKey]]),(DiscreteStatsTable[GroupByKey]=DiscreteStatsTable[[#This Row],[GroupByKey]])*DiscreteStatsTable[Maximum]))</f>
        <v>12.691770210246</v>
      </c>
      <c r="V937" s="5" cm="1">
        <f t="array" ref="V937">IFERROR(AVERAGE(IF((DiscreteStatsTable[GroupByKey]=DiscreteStatsTable[[#This Row],[GroupByKey]]),(DiscreteStatsTable[GroupByKey]=DiscreteStatsTable[[#This Row],[GroupByKey]])*DiscreteStatsTable[NumberObservations])),0)</f>
        <v>1</v>
      </c>
      <c r="W937" s="5">
        <f>IF((DiscreteStatsTable[[#This Row],[RepsRequested]]&gt;1),DiscreteStatsTable[[#This Row],[HalfWidth]],DiscreteStatsTable[[#This Row],[BatchMeansHalfWidth]])</f>
        <v>0.92554420923468694</v>
      </c>
      <c r="X937" s="5" cm="1">
        <f t="array" ref="X937">COUNT(IF((DiscreteStatsTable[GroupByKey]=DiscreteStatsTable[[#This Row],[GroupByKey]]),(DiscreteStatsTable[GroupByKey]=DiscreteStatsTable[[#This Row],[GroupByKey]])*DiscreteStatsTable[Replication]))</f>
        <v>19</v>
      </c>
      <c r="Y937" s="5">
        <f>IF(DiscreteStatsTable[[#This Row],[RepsRequested]]=DiscreteStatsTable[[#This Row],[RepsWithStatObserved]],1,0)</f>
        <v>1</v>
      </c>
    </row>
    <row r="938" spans="1:25" x14ac:dyDescent="0.25">
      <c r="A938" t="s">
        <v>67</v>
      </c>
      <c r="B938" t="s">
        <v>69</v>
      </c>
      <c r="C938">
        <v>11</v>
      </c>
      <c r="D938" t="s">
        <v>120</v>
      </c>
      <c r="E938" t="s">
        <v>79</v>
      </c>
      <c r="F938" t="s">
        <v>80</v>
      </c>
      <c r="G938">
        <v>5.9000606491422101</v>
      </c>
      <c r="H938">
        <v>2E+20</v>
      </c>
      <c r="I938">
        <v>5.9000606491422101</v>
      </c>
      <c r="J938">
        <v>5.9000606491422101</v>
      </c>
      <c r="K938">
        <v>1</v>
      </c>
      <c r="L93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compartida)TiempoSistemaTodosH3ExpressionUser Specified</v>
      </c>
      <c r="M938" s="5" cm="1">
        <f t="array" ref="M938">MAX(IF((ProjectInfoTable[ProjectName]=DiscreteStatsTable[[#This Row],[ProjectName]]),(ProjectInfoTable[ProjectName]=DiscreteStatsTable[[#This Row],[ProjectName]])*ProjectInfoTable[NumberOfReplications]))</f>
        <v>19</v>
      </c>
      <c r="N938" s="5" cm="1">
        <f t="array" ref="N938">IFERROR(AVERAGE(IF((DiscreteStatsTable[GroupByKey]=DiscreteStatsTable[[#This Row],[GroupByKey]]),(DiscreteStatsTable[GroupByKey]=DiscreteStatsTable[[#This Row],[GroupByKey]])*DiscreteStatsTable[Average])),0)</f>
        <v>6.1004830173875275</v>
      </c>
      <c r="O938" s="5" cm="1">
        <f t="array" ref="O938">IFERROR(_xlfn.STDEV.S(IF((DiscreteStatsTable[GroupByKey]=DiscreteStatsTable[[#This Row],[GroupByKey]]),(DiscreteStatsTable[GroupByKey]=DiscreteStatsTable[[#This Row],[GroupByKey]])*DiscreteStatsTable[Average])),0)</f>
        <v>1.9202776678807203</v>
      </c>
      <c r="P938" s="5" cm="1">
        <f t="array" ref="P938">MAX(IF((ProjectInfoTable[ProjectName]=DiscreteStatsTable[[#This Row],[ProjectName]]),(ProjectInfoTable[ProjectName]=DiscreteStatsTable[[#This Row],[ProjectName]])*ProjectInfoTable[ConfidenceInterval]))</f>
        <v>0.95</v>
      </c>
      <c r="Q938" s="5">
        <f>IF(AND(DiscreteStatsTable[[#This Row],[RepsWithStatObserved]]=1,Y938=0),200000000000000000000,IFERROR(_xlfn.T.INV.2T(1 -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938" s="5" cm="1">
        <f t="array" ref="R938">MIN(IF((DiscreteStatsTable[GroupByKey]=DiscreteStatsTable[[#This Row],[GroupByKey]]),(DiscreteStatsTable[GroupByKey]=DiscreteStatsTable[[#This Row],[GroupByKey]])*DiscreteStatsTable[Average]))</f>
        <v>4.4316568587741703</v>
      </c>
      <c r="S938" s="5" cm="1">
        <f t="array" ref="S938">MAX(IF((DiscreteStatsTable[GroupByKey]=DiscreteStatsTable[[#This Row],[GroupByKey]]),(DiscreteStatsTable[GroupByKey]=DiscreteStatsTable[[#This Row],[GroupByKey]])*DiscreteStatsTable[Average]))</f>
        <v>12.691770210246</v>
      </c>
      <c r="T938" s="5" cm="1">
        <f t="array" ref="T938">MIN(IF((DiscreteStatsTable[GroupByKey]=DiscreteStatsTable[[#This Row],[GroupByKey]]),(DiscreteStatsTable[GroupByKey]=DiscreteStatsTable[[#This Row],[GroupByKey]])*DiscreteStatsTable[Minimum]))</f>
        <v>4.4316568587741703</v>
      </c>
      <c r="U938" s="5" cm="1">
        <f t="array" ref="U938">MAX(IF((DiscreteStatsTable[GroupByKey]=DiscreteStatsTable[[#This Row],[GroupByKey]]),(DiscreteStatsTable[GroupByKey]=DiscreteStatsTable[[#This Row],[GroupByKey]])*DiscreteStatsTable[Maximum]))</f>
        <v>12.691770210246</v>
      </c>
      <c r="V938" s="5" cm="1">
        <f t="array" ref="V938">IFERROR(AVERAGE(IF((DiscreteStatsTable[GroupByKey]=DiscreteStatsTable[[#This Row],[GroupByKey]]),(DiscreteStatsTable[GroupByKey]=DiscreteStatsTable[[#This Row],[GroupByKey]])*DiscreteStatsTable[NumberObservations])),0)</f>
        <v>1</v>
      </c>
      <c r="W938" s="5">
        <f>IF((DiscreteStatsTable[[#This Row],[RepsRequested]]&gt;1),DiscreteStatsTable[[#This Row],[HalfWidth]],DiscreteStatsTable[[#This Row],[BatchMeansHalfWidth]])</f>
        <v>0.92554420923468694</v>
      </c>
      <c r="X938" s="5" cm="1">
        <f t="array" ref="X938">COUNT(IF((DiscreteStatsTable[GroupByKey]=DiscreteStatsTable[[#This Row],[GroupByKey]]),(DiscreteStatsTable[GroupByKey]=DiscreteStatsTable[[#This Row],[GroupByKey]])*DiscreteStatsTable[Replication]))</f>
        <v>19</v>
      </c>
      <c r="Y938" s="5">
        <f>IF(DiscreteStatsTable[[#This Row],[RepsRequested]]=DiscreteStatsTable[[#This Row],[RepsWithStatObserved]],1,0)</f>
        <v>1</v>
      </c>
    </row>
    <row r="939" spans="1:25" x14ac:dyDescent="0.25">
      <c r="A939" t="s">
        <v>67</v>
      </c>
      <c r="B939" t="s">
        <v>69</v>
      </c>
      <c r="C939">
        <v>12</v>
      </c>
      <c r="D939" t="s">
        <v>120</v>
      </c>
      <c r="E939" t="s">
        <v>79</v>
      </c>
      <c r="F939" t="s">
        <v>80</v>
      </c>
      <c r="G939">
        <v>6.3747796947994502</v>
      </c>
      <c r="H939">
        <v>2E+20</v>
      </c>
      <c r="I939">
        <v>6.3747796947994502</v>
      </c>
      <c r="J939">
        <v>6.3747796947994502</v>
      </c>
      <c r="K939">
        <v>1</v>
      </c>
      <c r="L93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compartida)TiempoSistemaTodosH3ExpressionUser Specified</v>
      </c>
      <c r="M939" s="5" cm="1">
        <f t="array" ref="M939">MAX(IF((ProjectInfoTable[ProjectName]=DiscreteStatsTable[[#This Row],[ProjectName]]),(ProjectInfoTable[ProjectName]=DiscreteStatsTable[[#This Row],[ProjectName]])*ProjectInfoTable[NumberOfReplications]))</f>
        <v>19</v>
      </c>
      <c r="N939" s="5" cm="1">
        <f t="array" ref="N939">IFERROR(AVERAGE(IF((DiscreteStatsTable[GroupByKey]=DiscreteStatsTable[[#This Row],[GroupByKey]]),(DiscreteStatsTable[GroupByKey]=DiscreteStatsTable[[#This Row],[GroupByKey]])*DiscreteStatsTable[Average])),0)</f>
        <v>6.1004830173875275</v>
      </c>
      <c r="O939" s="5" cm="1">
        <f t="array" ref="O939">IFERROR(_xlfn.STDEV.S(IF((DiscreteStatsTable[GroupByKey]=DiscreteStatsTable[[#This Row],[GroupByKey]]),(DiscreteStatsTable[GroupByKey]=DiscreteStatsTable[[#This Row],[GroupByKey]])*DiscreteStatsTable[Average])),0)</f>
        <v>1.9202776678807203</v>
      </c>
      <c r="P939" s="5" cm="1">
        <f t="array" ref="P939">MAX(IF((ProjectInfoTable[ProjectName]=DiscreteStatsTable[[#This Row],[ProjectName]]),(ProjectInfoTable[ProjectName]=DiscreteStatsTable[[#This Row],[ProjectName]])*ProjectInfoTable[ConfidenceInterval]))</f>
        <v>0.95</v>
      </c>
      <c r="Q939" s="5">
        <f>IF(AND(DiscreteStatsTable[[#This Row],[RepsWithStatObserved]]=1,Y939=0),200000000000000000000,IFERROR(_xlfn.T.INV.2T(1 -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939" s="5" cm="1">
        <f t="array" ref="R939">MIN(IF((DiscreteStatsTable[GroupByKey]=DiscreteStatsTable[[#This Row],[GroupByKey]]),(DiscreteStatsTable[GroupByKey]=DiscreteStatsTable[[#This Row],[GroupByKey]])*DiscreteStatsTable[Average]))</f>
        <v>4.4316568587741703</v>
      </c>
      <c r="S939" s="5" cm="1">
        <f t="array" ref="S939">MAX(IF((DiscreteStatsTable[GroupByKey]=DiscreteStatsTable[[#This Row],[GroupByKey]]),(DiscreteStatsTable[GroupByKey]=DiscreteStatsTable[[#This Row],[GroupByKey]])*DiscreteStatsTable[Average]))</f>
        <v>12.691770210246</v>
      </c>
      <c r="T939" s="5" cm="1">
        <f t="array" ref="T939">MIN(IF((DiscreteStatsTable[GroupByKey]=DiscreteStatsTable[[#This Row],[GroupByKey]]),(DiscreteStatsTable[GroupByKey]=DiscreteStatsTable[[#This Row],[GroupByKey]])*DiscreteStatsTable[Minimum]))</f>
        <v>4.4316568587741703</v>
      </c>
      <c r="U939" s="5" cm="1">
        <f t="array" ref="U939">MAX(IF((DiscreteStatsTable[GroupByKey]=DiscreteStatsTable[[#This Row],[GroupByKey]]),(DiscreteStatsTable[GroupByKey]=DiscreteStatsTable[[#This Row],[GroupByKey]])*DiscreteStatsTable[Maximum]))</f>
        <v>12.691770210246</v>
      </c>
      <c r="V939" s="5" cm="1">
        <f t="array" ref="V939">IFERROR(AVERAGE(IF((DiscreteStatsTable[GroupByKey]=DiscreteStatsTable[[#This Row],[GroupByKey]]),(DiscreteStatsTable[GroupByKey]=DiscreteStatsTable[[#This Row],[GroupByKey]])*DiscreteStatsTable[NumberObservations])),0)</f>
        <v>1</v>
      </c>
      <c r="W939" s="5">
        <f>IF((DiscreteStatsTable[[#This Row],[RepsRequested]]&gt;1),DiscreteStatsTable[[#This Row],[HalfWidth]],DiscreteStatsTable[[#This Row],[BatchMeansHalfWidth]])</f>
        <v>0.92554420923468694</v>
      </c>
      <c r="X939" s="5" cm="1">
        <f t="array" ref="X939">COUNT(IF((DiscreteStatsTable[GroupByKey]=DiscreteStatsTable[[#This Row],[GroupByKey]]),(DiscreteStatsTable[GroupByKey]=DiscreteStatsTable[[#This Row],[GroupByKey]])*DiscreteStatsTable[Replication]))</f>
        <v>19</v>
      </c>
      <c r="Y939" s="5">
        <f>IF(DiscreteStatsTable[[#This Row],[RepsRequested]]=DiscreteStatsTable[[#This Row],[RepsWithStatObserved]],1,0)</f>
        <v>1</v>
      </c>
    </row>
    <row r="940" spans="1:25" x14ac:dyDescent="0.25">
      <c r="A940" t="s">
        <v>67</v>
      </c>
      <c r="B940" t="s">
        <v>69</v>
      </c>
      <c r="C940">
        <v>13</v>
      </c>
      <c r="D940" t="s">
        <v>120</v>
      </c>
      <c r="E940" t="s">
        <v>79</v>
      </c>
      <c r="F940" t="s">
        <v>80</v>
      </c>
      <c r="G940">
        <v>5.7263554213937002</v>
      </c>
      <c r="H940">
        <v>2E+20</v>
      </c>
      <c r="I940">
        <v>5.7263554213937002</v>
      </c>
      <c r="J940">
        <v>5.7263554213937002</v>
      </c>
      <c r="K940">
        <v>1</v>
      </c>
      <c r="L94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compartida)TiempoSistemaTodosH3ExpressionUser Specified</v>
      </c>
      <c r="M940" s="5" cm="1">
        <f t="array" ref="M940">MAX(IF((ProjectInfoTable[ProjectName]=DiscreteStatsTable[[#This Row],[ProjectName]]),(ProjectInfoTable[ProjectName]=DiscreteStatsTable[[#This Row],[ProjectName]])*ProjectInfoTable[NumberOfReplications]))</f>
        <v>19</v>
      </c>
      <c r="N940" s="5" cm="1">
        <f t="array" ref="N940">IFERROR(AVERAGE(IF((DiscreteStatsTable[GroupByKey]=DiscreteStatsTable[[#This Row],[GroupByKey]]),(DiscreteStatsTable[GroupByKey]=DiscreteStatsTable[[#This Row],[GroupByKey]])*DiscreteStatsTable[Average])),0)</f>
        <v>6.1004830173875275</v>
      </c>
      <c r="O940" s="5" cm="1">
        <f t="array" ref="O940">IFERROR(_xlfn.STDEV.S(IF((DiscreteStatsTable[GroupByKey]=DiscreteStatsTable[[#This Row],[GroupByKey]]),(DiscreteStatsTable[GroupByKey]=DiscreteStatsTable[[#This Row],[GroupByKey]])*DiscreteStatsTable[Average])),0)</f>
        <v>1.9202776678807203</v>
      </c>
      <c r="P940" s="5" cm="1">
        <f t="array" ref="P940">MAX(IF((ProjectInfoTable[ProjectName]=DiscreteStatsTable[[#This Row],[ProjectName]]),(ProjectInfoTable[ProjectName]=DiscreteStatsTable[[#This Row],[ProjectName]])*ProjectInfoTable[ConfidenceInterval]))</f>
        <v>0.95</v>
      </c>
      <c r="Q940" s="5">
        <f>IF(AND(DiscreteStatsTable[[#This Row],[RepsWithStatObserved]]=1,Y940=0),200000000000000000000,IFERROR(_xlfn.T.INV.2T(1 -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940" s="5" cm="1">
        <f t="array" ref="R940">MIN(IF((DiscreteStatsTable[GroupByKey]=DiscreteStatsTable[[#This Row],[GroupByKey]]),(DiscreteStatsTable[GroupByKey]=DiscreteStatsTable[[#This Row],[GroupByKey]])*DiscreteStatsTable[Average]))</f>
        <v>4.4316568587741703</v>
      </c>
      <c r="S940" s="5" cm="1">
        <f t="array" ref="S940">MAX(IF((DiscreteStatsTable[GroupByKey]=DiscreteStatsTable[[#This Row],[GroupByKey]]),(DiscreteStatsTable[GroupByKey]=DiscreteStatsTable[[#This Row],[GroupByKey]])*DiscreteStatsTable[Average]))</f>
        <v>12.691770210246</v>
      </c>
      <c r="T940" s="5" cm="1">
        <f t="array" ref="T940">MIN(IF((DiscreteStatsTable[GroupByKey]=DiscreteStatsTable[[#This Row],[GroupByKey]]),(DiscreteStatsTable[GroupByKey]=DiscreteStatsTable[[#This Row],[GroupByKey]])*DiscreteStatsTable[Minimum]))</f>
        <v>4.4316568587741703</v>
      </c>
      <c r="U940" s="5" cm="1">
        <f t="array" ref="U940">MAX(IF((DiscreteStatsTable[GroupByKey]=DiscreteStatsTable[[#This Row],[GroupByKey]]),(DiscreteStatsTable[GroupByKey]=DiscreteStatsTable[[#This Row],[GroupByKey]])*DiscreteStatsTable[Maximum]))</f>
        <v>12.691770210246</v>
      </c>
      <c r="V940" s="5" cm="1">
        <f t="array" ref="V940">IFERROR(AVERAGE(IF((DiscreteStatsTable[GroupByKey]=DiscreteStatsTable[[#This Row],[GroupByKey]]),(DiscreteStatsTable[GroupByKey]=DiscreteStatsTable[[#This Row],[GroupByKey]])*DiscreteStatsTable[NumberObservations])),0)</f>
        <v>1</v>
      </c>
      <c r="W940" s="5">
        <f>IF((DiscreteStatsTable[[#This Row],[RepsRequested]]&gt;1),DiscreteStatsTable[[#This Row],[HalfWidth]],DiscreteStatsTable[[#This Row],[BatchMeansHalfWidth]])</f>
        <v>0.92554420923468694</v>
      </c>
      <c r="X940" s="5" cm="1">
        <f t="array" ref="X940">COUNT(IF((DiscreteStatsTable[GroupByKey]=DiscreteStatsTable[[#This Row],[GroupByKey]]),(DiscreteStatsTable[GroupByKey]=DiscreteStatsTable[[#This Row],[GroupByKey]])*DiscreteStatsTable[Replication]))</f>
        <v>19</v>
      </c>
      <c r="Y940" s="5">
        <f>IF(DiscreteStatsTable[[#This Row],[RepsRequested]]=DiscreteStatsTable[[#This Row],[RepsWithStatObserved]],1,0)</f>
        <v>1</v>
      </c>
    </row>
    <row r="941" spans="1:25" x14ac:dyDescent="0.25">
      <c r="A941" t="s">
        <v>67</v>
      </c>
      <c r="B941" t="s">
        <v>69</v>
      </c>
      <c r="C941">
        <v>14</v>
      </c>
      <c r="D941" t="s">
        <v>120</v>
      </c>
      <c r="E941" t="s">
        <v>79</v>
      </c>
      <c r="F941" t="s">
        <v>80</v>
      </c>
      <c r="G941">
        <v>6.0688050211007702</v>
      </c>
      <c r="H941">
        <v>2E+20</v>
      </c>
      <c r="I941">
        <v>6.0688050211007702</v>
      </c>
      <c r="J941">
        <v>6.0688050211007702</v>
      </c>
      <c r="K941">
        <v>1</v>
      </c>
      <c r="L94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compartida)TiempoSistemaTodosH3ExpressionUser Specified</v>
      </c>
      <c r="M941" s="5" cm="1">
        <f t="array" ref="M941">MAX(IF((ProjectInfoTable[ProjectName]=DiscreteStatsTable[[#This Row],[ProjectName]]),(ProjectInfoTable[ProjectName]=DiscreteStatsTable[[#This Row],[ProjectName]])*ProjectInfoTable[NumberOfReplications]))</f>
        <v>19</v>
      </c>
      <c r="N941" s="5" cm="1">
        <f t="array" ref="N941">IFERROR(AVERAGE(IF((DiscreteStatsTable[GroupByKey]=DiscreteStatsTable[[#This Row],[GroupByKey]]),(DiscreteStatsTable[GroupByKey]=DiscreteStatsTable[[#This Row],[GroupByKey]])*DiscreteStatsTable[Average])),0)</f>
        <v>6.1004830173875275</v>
      </c>
      <c r="O941" s="5" cm="1">
        <f t="array" ref="O941">IFERROR(_xlfn.STDEV.S(IF((DiscreteStatsTable[GroupByKey]=DiscreteStatsTable[[#This Row],[GroupByKey]]),(DiscreteStatsTable[GroupByKey]=DiscreteStatsTable[[#This Row],[GroupByKey]])*DiscreteStatsTable[Average])),0)</f>
        <v>1.9202776678807203</v>
      </c>
      <c r="P941" s="5" cm="1">
        <f t="array" ref="P941">MAX(IF((ProjectInfoTable[ProjectName]=DiscreteStatsTable[[#This Row],[ProjectName]]),(ProjectInfoTable[ProjectName]=DiscreteStatsTable[[#This Row],[ProjectName]])*ProjectInfoTable[ConfidenceInterval]))</f>
        <v>0.95</v>
      </c>
      <c r="Q941" s="5">
        <f>IF(AND(DiscreteStatsTable[[#This Row],[RepsWithStatObserved]]=1,Y941=0),200000000000000000000,IFERROR(_xlfn.T.INV.2T(1 -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941" s="5" cm="1">
        <f t="array" ref="R941">MIN(IF((DiscreteStatsTable[GroupByKey]=DiscreteStatsTable[[#This Row],[GroupByKey]]),(DiscreteStatsTable[GroupByKey]=DiscreteStatsTable[[#This Row],[GroupByKey]])*DiscreteStatsTable[Average]))</f>
        <v>4.4316568587741703</v>
      </c>
      <c r="S941" s="5" cm="1">
        <f t="array" ref="S941">MAX(IF((DiscreteStatsTable[GroupByKey]=DiscreteStatsTable[[#This Row],[GroupByKey]]),(DiscreteStatsTable[GroupByKey]=DiscreteStatsTable[[#This Row],[GroupByKey]])*DiscreteStatsTable[Average]))</f>
        <v>12.691770210246</v>
      </c>
      <c r="T941" s="5" cm="1">
        <f t="array" ref="T941">MIN(IF((DiscreteStatsTable[GroupByKey]=DiscreteStatsTable[[#This Row],[GroupByKey]]),(DiscreteStatsTable[GroupByKey]=DiscreteStatsTable[[#This Row],[GroupByKey]])*DiscreteStatsTable[Minimum]))</f>
        <v>4.4316568587741703</v>
      </c>
      <c r="U941" s="5" cm="1">
        <f t="array" ref="U941">MAX(IF((DiscreteStatsTable[GroupByKey]=DiscreteStatsTable[[#This Row],[GroupByKey]]),(DiscreteStatsTable[GroupByKey]=DiscreteStatsTable[[#This Row],[GroupByKey]])*DiscreteStatsTable[Maximum]))</f>
        <v>12.691770210246</v>
      </c>
      <c r="V941" s="5" cm="1">
        <f t="array" ref="V941">IFERROR(AVERAGE(IF((DiscreteStatsTable[GroupByKey]=DiscreteStatsTable[[#This Row],[GroupByKey]]),(DiscreteStatsTable[GroupByKey]=DiscreteStatsTable[[#This Row],[GroupByKey]])*DiscreteStatsTable[NumberObservations])),0)</f>
        <v>1</v>
      </c>
      <c r="W941" s="5">
        <f>IF((DiscreteStatsTable[[#This Row],[RepsRequested]]&gt;1),DiscreteStatsTable[[#This Row],[HalfWidth]],DiscreteStatsTable[[#This Row],[BatchMeansHalfWidth]])</f>
        <v>0.92554420923468694</v>
      </c>
      <c r="X941" s="5" cm="1">
        <f t="array" ref="X941">COUNT(IF((DiscreteStatsTable[GroupByKey]=DiscreteStatsTable[[#This Row],[GroupByKey]]),(DiscreteStatsTable[GroupByKey]=DiscreteStatsTable[[#This Row],[GroupByKey]])*DiscreteStatsTable[Replication]))</f>
        <v>19</v>
      </c>
      <c r="Y941" s="5">
        <f>IF(DiscreteStatsTable[[#This Row],[RepsRequested]]=DiscreteStatsTable[[#This Row],[RepsWithStatObserved]],1,0)</f>
        <v>1</v>
      </c>
    </row>
    <row r="942" spans="1:25" x14ac:dyDescent="0.25">
      <c r="A942" t="s">
        <v>67</v>
      </c>
      <c r="B942" t="s">
        <v>69</v>
      </c>
      <c r="C942">
        <v>15</v>
      </c>
      <c r="D942" t="s">
        <v>120</v>
      </c>
      <c r="E942" t="s">
        <v>79</v>
      </c>
      <c r="F942" t="s">
        <v>80</v>
      </c>
      <c r="G942">
        <v>5.2918619779328004</v>
      </c>
      <c r="H942">
        <v>2E+20</v>
      </c>
      <c r="I942">
        <v>5.2918619779328004</v>
      </c>
      <c r="J942">
        <v>5.2918619779328004</v>
      </c>
      <c r="K942">
        <v>1</v>
      </c>
      <c r="L94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compartida)TiempoSistemaTodosH3ExpressionUser Specified</v>
      </c>
      <c r="M942" s="5" cm="1">
        <f t="array" ref="M942">MAX(IF((ProjectInfoTable[ProjectName]=DiscreteStatsTable[[#This Row],[ProjectName]]),(ProjectInfoTable[ProjectName]=DiscreteStatsTable[[#This Row],[ProjectName]])*ProjectInfoTable[NumberOfReplications]))</f>
        <v>19</v>
      </c>
      <c r="N942" s="5" cm="1">
        <f t="array" ref="N942">IFERROR(AVERAGE(IF((DiscreteStatsTable[GroupByKey]=DiscreteStatsTable[[#This Row],[GroupByKey]]),(DiscreteStatsTable[GroupByKey]=DiscreteStatsTable[[#This Row],[GroupByKey]])*DiscreteStatsTable[Average])),0)</f>
        <v>6.1004830173875275</v>
      </c>
      <c r="O942" s="5" cm="1">
        <f t="array" ref="O942">IFERROR(_xlfn.STDEV.S(IF((DiscreteStatsTable[GroupByKey]=DiscreteStatsTable[[#This Row],[GroupByKey]]),(DiscreteStatsTable[GroupByKey]=DiscreteStatsTable[[#This Row],[GroupByKey]])*DiscreteStatsTable[Average])),0)</f>
        <v>1.9202776678807203</v>
      </c>
      <c r="P942" s="5" cm="1">
        <f t="array" ref="P942">MAX(IF((ProjectInfoTable[ProjectName]=DiscreteStatsTable[[#This Row],[ProjectName]]),(ProjectInfoTable[ProjectName]=DiscreteStatsTable[[#This Row],[ProjectName]])*ProjectInfoTable[ConfidenceInterval]))</f>
        <v>0.95</v>
      </c>
      <c r="Q942" s="5">
        <f>IF(AND(DiscreteStatsTable[[#This Row],[RepsWithStatObserved]]=1,Y942=0),200000000000000000000,IFERROR(_xlfn.T.INV.2T(1 -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942" s="5" cm="1">
        <f t="array" ref="R942">MIN(IF((DiscreteStatsTable[GroupByKey]=DiscreteStatsTable[[#This Row],[GroupByKey]]),(DiscreteStatsTable[GroupByKey]=DiscreteStatsTable[[#This Row],[GroupByKey]])*DiscreteStatsTable[Average]))</f>
        <v>4.4316568587741703</v>
      </c>
      <c r="S942" s="5" cm="1">
        <f t="array" ref="S942">MAX(IF((DiscreteStatsTable[GroupByKey]=DiscreteStatsTable[[#This Row],[GroupByKey]]),(DiscreteStatsTable[GroupByKey]=DiscreteStatsTable[[#This Row],[GroupByKey]])*DiscreteStatsTable[Average]))</f>
        <v>12.691770210246</v>
      </c>
      <c r="T942" s="5" cm="1">
        <f t="array" ref="T942">MIN(IF((DiscreteStatsTable[GroupByKey]=DiscreteStatsTable[[#This Row],[GroupByKey]]),(DiscreteStatsTable[GroupByKey]=DiscreteStatsTable[[#This Row],[GroupByKey]])*DiscreteStatsTable[Minimum]))</f>
        <v>4.4316568587741703</v>
      </c>
      <c r="U942" s="5" cm="1">
        <f t="array" ref="U942">MAX(IF((DiscreteStatsTable[GroupByKey]=DiscreteStatsTable[[#This Row],[GroupByKey]]),(DiscreteStatsTable[GroupByKey]=DiscreteStatsTable[[#This Row],[GroupByKey]])*DiscreteStatsTable[Maximum]))</f>
        <v>12.691770210246</v>
      </c>
      <c r="V942" s="5" cm="1">
        <f t="array" ref="V942">IFERROR(AVERAGE(IF((DiscreteStatsTable[GroupByKey]=DiscreteStatsTable[[#This Row],[GroupByKey]]),(DiscreteStatsTable[GroupByKey]=DiscreteStatsTable[[#This Row],[GroupByKey]])*DiscreteStatsTable[NumberObservations])),0)</f>
        <v>1</v>
      </c>
      <c r="W942" s="5">
        <f>IF((DiscreteStatsTable[[#This Row],[RepsRequested]]&gt;1),DiscreteStatsTable[[#This Row],[HalfWidth]],DiscreteStatsTable[[#This Row],[BatchMeansHalfWidth]])</f>
        <v>0.92554420923468694</v>
      </c>
      <c r="X942" s="5" cm="1">
        <f t="array" ref="X942">COUNT(IF((DiscreteStatsTable[GroupByKey]=DiscreteStatsTable[[#This Row],[GroupByKey]]),(DiscreteStatsTable[GroupByKey]=DiscreteStatsTable[[#This Row],[GroupByKey]])*DiscreteStatsTable[Replication]))</f>
        <v>19</v>
      </c>
      <c r="Y942" s="5">
        <f>IF(DiscreteStatsTable[[#This Row],[RepsRequested]]=DiscreteStatsTable[[#This Row],[RepsWithStatObserved]],1,0)</f>
        <v>1</v>
      </c>
    </row>
    <row r="943" spans="1:25" x14ac:dyDescent="0.25">
      <c r="A943" t="s">
        <v>67</v>
      </c>
      <c r="B943" t="s">
        <v>69</v>
      </c>
      <c r="C943">
        <v>16</v>
      </c>
      <c r="D943" t="s">
        <v>120</v>
      </c>
      <c r="E943" t="s">
        <v>79</v>
      </c>
      <c r="F943" t="s">
        <v>80</v>
      </c>
      <c r="G943">
        <v>5.1069599568864099</v>
      </c>
      <c r="H943">
        <v>2E+20</v>
      </c>
      <c r="I943">
        <v>5.1069599568864099</v>
      </c>
      <c r="J943">
        <v>5.1069599568864099</v>
      </c>
      <c r="K943">
        <v>1</v>
      </c>
      <c r="L94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compartida)TiempoSistemaTodosH3ExpressionUser Specified</v>
      </c>
      <c r="M943" s="5" cm="1">
        <f t="array" ref="M943">MAX(IF((ProjectInfoTable[ProjectName]=DiscreteStatsTable[[#This Row],[ProjectName]]),(ProjectInfoTable[ProjectName]=DiscreteStatsTable[[#This Row],[ProjectName]])*ProjectInfoTable[NumberOfReplications]))</f>
        <v>19</v>
      </c>
      <c r="N943" s="5" cm="1">
        <f t="array" ref="N943">IFERROR(AVERAGE(IF((DiscreteStatsTable[GroupByKey]=DiscreteStatsTable[[#This Row],[GroupByKey]]),(DiscreteStatsTable[GroupByKey]=DiscreteStatsTable[[#This Row],[GroupByKey]])*DiscreteStatsTable[Average])),0)</f>
        <v>6.1004830173875275</v>
      </c>
      <c r="O943" s="5" cm="1">
        <f t="array" ref="O943">IFERROR(_xlfn.STDEV.S(IF((DiscreteStatsTable[GroupByKey]=DiscreteStatsTable[[#This Row],[GroupByKey]]),(DiscreteStatsTable[GroupByKey]=DiscreteStatsTable[[#This Row],[GroupByKey]])*DiscreteStatsTable[Average])),0)</f>
        <v>1.9202776678807203</v>
      </c>
      <c r="P943" s="5" cm="1">
        <f t="array" ref="P943">MAX(IF((ProjectInfoTable[ProjectName]=DiscreteStatsTable[[#This Row],[ProjectName]]),(ProjectInfoTable[ProjectName]=DiscreteStatsTable[[#This Row],[ProjectName]])*ProjectInfoTable[ConfidenceInterval]))</f>
        <v>0.95</v>
      </c>
      <c r="Q943" s="5">
        <f>IF(AND(DiscreteStatsTable[[#This Row],[RepsWithStatObserved]]=1,Y943=0),200000000000000000000,IFERROR(_xlfn.T.INV.2T(1 -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943" s="5" cm="1">
        <f t="array" ref="R943">MIN(IF((DiscreteStatsTable[GroupByKey]=DiscreteStatsTable[[#This Row],[GroupByKey]]),(DiscreteStatsTable[GroupByKey]=DiscreteStatsTable[[#This Row],[GroupByKey]])*DiscreteStatsTable[Average]))</f>
        <v>4.4316568587741703</v>
      </c>
      <c r="S943" s="5" cm="1">
        <f t="array" ref="S943">MAX(IF((DiscreteStatsTable[GroupByKey]=DiscreteStatsTable[[#This Row],[GroupByKey]]),(DiscreteStatsTable[GroupByKey]=DiscreteStatsTable[[#This Row],[GroupByKey]])*DiscreteStatsTable[Average]))</f>
        <v>12.691770210246</v>
      </c>
      <c r="T943" s="5" cm="1">
        <f t="array" ref="T943">MIN(IF((DiscreteStatsTable[GroupByKey]=DiscreteStatsTable[[#This Row],[GroupByKey]]),(DiscreteStatsTable[GroupByKey]=DiscreteStatsTable[[#This Row],[GroupByKey]])*DiscreteStatsTable[Minimum]))</f>
        <v>4.4316568587741703</v>
      </c>
      <c r="U943" s="5" cm="1">
        <f t="array" ref="U943">MAX(IF((DiscreteStatsTable[GroupByKey]=DiscreteStatsTable[[#This Row],[GroupByKey]]),(DiscreteStatsTable[GroupByKey]=DiscreteStatsTable[[#This Row],[GroupByKey]])*DiscreteStatsTable[Maximum]))</f>
        <v>12.691770210246</v>
      </c>
      <c r="V943" s="5" cm="1">
        <f t="array" ref="V943">IFERROR(AVERAGE(IF((DiscreteStatsTable[GroupByKey]=DiscreteStatsTable[[#This Row],[GroupByKey]]),(DiscreteStatsTable[GroupByKey]=DiscreteStatsTable[[#This Row],[GroupByKey]])*DiscreteStatsTable[NumberObservations])),0)</f>
        <v>1</v>
      </c>
      <c r="W943" s="5">
        <f>IF((DiscreteStatsTable[[#This Row],[RepsRequested]]&gt;1),DiscreteStatsTable[[#This Row],[HalfWidth]],DiscreteStatsTable[[#This Row],[BatchMeansHalfWidth]])</f>
        <v>0.92554420923468694</v>
      </c>
      <c r="X943" s="5" cm="1">
        <f t="array" ref="X943">COUNT(IF((DiscreteStatsTable[GroupByKey]=DiscreteStatsTable[[#This Row],[GroupByKey]]),(DiscreteStatsTable[GroupByKey]=DiscreteStatsTable[[#This Row],[GroupByKey]])*DiscreteStatsTable[Replication]))</f>
        <v>19</v>
      </c>
      <c r="Y943" s="5">
        <f>IF(DiscreteStatsTable[[#This Row],[RepsRequested]]=DiscreteStatsTable[[#This Row],[RepsWithStatObserved]],1,0)</f>
        <v>1</v>
      </c>
    </row>
    <row r="944" spans="1:25" x14ac:dyDescent="0.25">
      <c r="A944" t="s">
        <v>67</v>
      </c>
      <c r="B944" t="s">
        <v>69</v>
      </c>
      <c r="C944">
        <v>17</v>
      </c>
      <c r="D944" t="s">
        <v>120</v>
      </c>
      <c r="E944" t="s">
        <v>79</v>
      </c>
      <c r="F944" t="s">
        <v>80</v>
      </c>
      <c r="G944">
        <v>5.7418252784821497</v>
      </c>
      <c r="H944">
        <v>2E+20</v>
      </c>
      <c r="I944">
        <v>5.7418252784821497</v>
      </c>
      <c r="J944">
        <v>5.7418252784821497</v>
      </c>
      <c r="K944">
        <v>1</v>
      </c>
      <c r="L94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compartida)TiempoSistemaTodosH3ExpressionUser Specified</v>
      </c>
      <c r="M944" s="5" cm="1">
        <f t="array" ref="M944">MAX(IF((ProjectInfoTable[ProjectName]=DiscreteStatsTable[[#This Row],[ProjectName]]),(ProjectInfoTable[ProjectName]=DiscreteStatsTable[[#This Row],[ProjectName]])*ProjectInfoTable[NumberOfReplications]))</f>
        <v>19</v>
      </c>
      <c r="N944" s="5" cm="1">
        <f t="array" ref="N944">IFERROR(AVERAGE(IF((DiscreteStatsTable[GroupByKey]=DiscreteStatsTable[[#This Row],[GroupByKey]]),(DiscreteStatsTable[GroupByKey]=DiscreteStatsTable[[#This Row],[GroupByKey]])*DiscreteStatsTable[Average])),0)</f>
        <v>6.1004830173875275</v>
      </c>
      <c r="O944" s="5" cm="1">
        <f t="array" ref="O944">IFERROR(_xlfn.STDEV.S(IF((DiscreteStatsTable[GroupByKey]=DiscreteStatsTable[[#This Row],[GroupByKey]]),(DiscreteStatsTable[GroupByKey]=DiscreteStatsTable[[#This Row],[GroupByKey]])*DiscreteStatsTable[Average])),0)</f>
        <v>1.9202776678807203</v>
      </c>
      <c r="P944" s="5" cm="1">
        <f t="array" ref="P944">MAX(IF((ProjectInfoTable[ProjectName]=DiscreteStatsTable[[#This Row],[ProjectName]]),(ProjectInfoTable[ProjectName]=DiscreteStatsTable[[#This Row],[ProjectName]])*ProjectInfoTable[ConfidenceInterval]))</f>
        <v>0.95</v>
      </c>
      <c r="Q944" s="5">
        <f>IF(AND(DiscreteStatsTable[[#This Row],[RepsWithStatObserved]]=1,Y944=0),200000000000000000000,IFERROR(_xlfn.T.INV.2T(1 -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944" s="5" cm="1">
        <f t="array" ref="R944">MIN(IF((DiscreteStatsTable[GroupByKey]=DiscreteStatsTable[[#This Row],[GroupByKey]]),(DiscreteStatsTable[GroupByKey]=DiscreteStatsTable[[#This Row],[GroupByKey]])*DiscreteStatsTable[Average]))</f>
        <v>4.4316568587741703</v>
      </c>
      <c r="S944" s="5" cm="1">
        <f t="array" ref="S944">MAX(IF((DiscreteStatsTable[GroupByKey]=DiscreteStatsTable[[#This Row],[GroupByKey]]),(DiscreteStatsTable[GroupByKey]=DiscreteStatsTable[[#This Row],[GroupByKey]])*DiscreteStatsTable[Average]))</f>
        <v>12.691770210246</v>
      </c>
      <c r="T944" s="5" cm="1">
        <f t="array" ref="T944">MIN(IF((DiscreteStatsTable[GroupByKey]=DiscreteStatsTable[[#This Row],[GroupByKey]]),(DiscreteStatsTable[GroupByKey]=DiscreteStatsTable[[#This Row],[GroupByKey]])*DiscreteStatsTable[Minimum]))</f>
        <v>4.4316568587741703</v>
      </c>
      <c r="U944" s="5" cm="1">
        <f t="array" ref="U944">MAX(IF((DiscreteStatsTable[GroupByKey]=DiscreteStatsTable[[#This Row],[GroupByKey]]),(DiscreteStatsTable[GroupByKey]=DiscreteStatsTable[[#This Row],[GroupByKey]])*DiscreteStatsTable[Maximum]))</f>
        <v>12.691770210246</v>
      </c>
      <c r="V944" s="5" cm="1">
        <f t="array" ref="V944">IFERROR(AVERAGE(IF((DiscreteStatsTable[GroupByKey]=DiscreteStatsTable[[#This Row],[GroupByKey]]),(DiscreteStatsTable[GroupByKey]=DiscreteStatsTable[[#This Row],[GroupByKey]])*DiscreteStatsTable[NumberObservations])),0)</f>
        <v>1</v>
      </c>
      <c r="W944" s="5">
        <f>IF((DiscreteStatsTable[[#This Row],[RepsRequested]]&gt;1),DiscreteStatsTable[[#This Row],[HalfWidth]],DiscreteStatsTable[[#This Row],[BatchMeansHalfWidth]])</f>
        <v>0.92554420923468694</v>
      </c>
      <c r="X944" s="5" cm="1">
        <f t="array" ref="X944">COUNT(IF((DiscreteStatsTable[GroupByKey]=DiscreteStatsTable[[#This Row],[GroupByKey]]),(DiscreteStatsTable[GroupByKey]=DiscreteStatsTable[[#This Row],[GroupByKey]])*DiscreteStatsTable[Replication]))</f>
        <v>19</v>
      </c>
      <c r="Y944" s="5">
        <f>IF(DiscreteStatsTable[[#This Row],[RepsRequested]]=DiscreteStatsTable[[#This Row],[RepsWithStatObserved]],1,0)</f>
        <v>1</v>
      </c>
    </row>
    <row r="945" spans="1:25" x14ac:dyDescent="0.25">
      <c r="A945" t="s">
        <v>67</v>
      </c>
      <c r="B945" t="s">
        <v>69</v>
      </c>
      <c r="C945">
        <v>18</v>
      </c>
      <c r="D945" t="s">
        <v>120</v>
      </c>
      <c r="E945" t="s">
        <v>79</v>
      </c>
      <c r="F945" t="s">
        <v>80</v>
      </c>
      <c r="G945">
        <v>6.3388926776326597</v>
      </c>
      <c r="H945">
        <v>2E+20</v>
      </c>
      <c r="I945">
        <v>6.3388926776326597</v>
      </c>
      <c r="J945">
        <v>6.3388926776326597</v>
      </c>
      <c r="K945">
        <v>1</v>
      </c>
      <c r="L94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compartida)TiempoSistemaTodosH3ExpressionUser Specified</v>
      </c>
      <c r="M945" s="5" cm="1">
        <f t="array" ref="M945">MAX(IF((ProjectInfoTable[ProjectName]=DiscreteStatsTable[[#This Row],[ProjectName]]),(ProjectInfoTable[ProjectName]=DiscreteStatsTable[[#This Row],[ProjectName]])*ProjectInfoTable[NumberOfReplications]))</f>
        <v>19</v>
      </c>
      <c r="N945" s="5" cm="1">
        <f t="array" ref="N945">IFERROR(AVERAGE(IF((DiscreteStatsTable[GroupByKey]=DiscreteStatsTable[[#This Row],[GroupByKey]]),(DiscreteStatsTable[GroupByKey]=DiscreteStatsTable[[#This Row],[GroupByKey]])*DiscreteStatsTable[Average])),0)</f>
        <v>6.1004830173875275</v>
      </c>
      <c r="O945" s="5" cm="1">
        <f t="array" ref="O945">IFERROR(_xlfn.STDEV.S(IF((DiscreteStatsTable[GroupByKey]=DiscreteStatsTable[[#This Row],[GroupByKey]]),(DiscreteStatsTable[GroupByKey]=DiscreteStatsTable[[#This Row],[GroupByKey]])*DiscreteStatsTable[Average])),0)</f>
        <v>1.9202776678807203</v>
      </c>
      <c r="P945" s="5" cm="1">
        <f t="array" ref="P945">MAX(IF((ProjectInfoTable[ProjectName]=DiscreteStatsTable[[#This Row],[ProjectName]]),(ProjectInfoTable[ProjectName]=DiscreteStatsTable[[#This Row],[ProjectName]])*ProjectInfoTable[ConfidenceInterval]))</f>
        <v>0.95</v>
      </c>
      <c r="Q945" s="5">
        <f>IF(AND(DiscreteStatsTable[[#This Row],[RepsWithStatObserved]]=1,Y945=0),200000000000000000000,IFERROR(_xlfn.T.INV.2T(1 -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945" s="5" cm="1">
        <f t="array" ref="R945">MIN(IF((DiscreteStatsTable[GroupByKey]=DiscreteStatsTable[[#This Row],[GroupByKey]]),(DiscreteStatsTable[GroupByKey]=DiscreteStatsTable[[#This Row],[GroupByKey]])*DiscreteStatsTable[Average]))</f>
        <v>4.4316568587741703</v>
      </c>
      <c r="S945" s="5" cm="1">
        <f t="array" ref="S945">MAX(IF((DiscreteStatsTable[GroupByKey]=DiscreteStatsTable[[#This Row],[GroupByKey]]),(DiscreteStatsTable[GroupByKey]=DiscreteStatsTable[[#This Row],[GroupByKey]])*DiscreteStatsTable[Average]))</f>
        <v>12.691770210246</v>
      </c>
      <c r="T945" s="5" cm="1">
        <f t="array" ref="T945">MIN(IF((DiscreteStatsTable[GroupByKey]=DiscreteStatsTable[[#This Row],[GroupByKey]]),(DiscreteStatsTable[GroupByKey]=DiscreteStatsTable[[#This Row],[GroupByKey]])*DiscreteStatsTable[Minimum]))</f>
        <v>4.4316568587741703</v>
      </c>
      <c r="U945" s="5" cm="1">
        <f t="array" ref="U945">MAX(IF((DiscreteStatsTable[GroupByKey]=DiscreteStatsTable[[#This Row],[GroupByKey]]),(DiscreteStatsTable[GroupByKey]=DiscreteStatsTable[[#This Row],[GroupByKey]])*DiscreteStatsTable[Maximum]))</f>
        <v>12.691770210246</v>
      </c>
      <c r="V945" s="5" cm="1">
        <f t="array" ref="V945">IFERROR(AVERAGE(IF((DiscreteStatsTable[GroupByKey]=DiscreteStatsTable[[#This Row],[GroupByKey]]),(DiscreteStatsTable[GroupByKey]=DiscreteStatsTable[[#This Row],[GroupByKey]])*DiscreteStatsTable[NumberObservations])),0)</f>
        <v>1</v>
      </c>
      <c r="W945" s="5">
        <f>IF((DiscreteStatsTable[[#This Row],[RepsRequested]]&gt;1),DiscreteStatsTable[[#This Row],[HalfWidth]],DiscreteStatsTable[[#This Row],[BatchMeansHalfWidth]])</f>
        <v>0.92554420923468694</v>
      </c>
      <c r="X945" s="5" cm="1">
        <f t="array" ref="X945">COUNT(IF((DiscreteStatsTable[GroupByKey]=DiscreteStatsTable[[#This Row],[GroupByKey]]),(DiscreteStatsTable[GroupByKey]=DiscreteStatsTable[[#This Row],[GroupByKey]])*DiscreteStatsTable[Replication]))</f>
        <v>19</v>
      </c>
      <c r="Y945" s="5">
        <f>IF(DiscreteStatsTable[[#This Row],[RepsRequested]]=DiscreteStatsTable[[#This Row],[RepsWithStatObserved]],1,0)</f>
        <v>1</v>
      </c>
    </row>
    <row r="946" spans="1:25" x14ac:dyDescent="0.25">
      <c r="A946" t="s">
        <v>67</v>
      </c>
      <c r="B946" t="s">
        <v>69</v>
      </c>
      <c r="C946">
        <v>19</v>
      </c>
      <c r="D946" t="s">
        <v>120</v>
      </c>
      <c r="E946" t="s">
        <v>79</v>
      </c>
      <c r="F946" t="s">
        <v>80</v>
      </c>
      <c r="G946">
        <v>4.59328334182731</v>
      </c>
      <c r="H946">
        <v>2E+20</v>
      </c>
      <c r="I946">
        <v>4.59328334182731</v>
      </c>
      <c r="J946">
        <v>4.59328334182731</v>
      </c>
      <c r="K946">
        <v>1</v>
      </c>
      <c r="L94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compartida)TiempoSistemaTodosH3ExpressionUser Specified</v>
      </c>
      <c r="M946" s="5" cm="1">
        <f t="array" ref="M946">MAX(IF((ProjectInfoTable[ProjectName]=DiscreteStatsTable[[#This Row],[ProjectName]]),(ProjectInfoTable[ProjectName]=DiscreteStatsTable[[#This Row],[ProjectName]])*ProjectInfoTable[NumberOfReplications]))</f>
        <v>19</v>
      </c>
      <c r="N946" s="5" cm="1">
        <f t="array" ref="N946">IFERROR(AVERAGE(IF((DiscreteStatsTable[GroupByKey]=DiscreteStatsTable[[#This Row],[GroupByKey]]),(DiscreteStatsTable[GroupByKey]=DiscreteStatsTable[[#This Row],[GroupByKey]])*DiscreteStatsTable[Average])),0)</f>
        <v>6.1004830173875275</v>
      </c>
      <c r="O946" s="5" cm="1">
        <f t="array" ref="O946">IFERROR(_xlfn.STDEV.S(IF((DiscreteStatsTable[GroupByKey]=DiscreteStatsTable[[#This Row],[GroupByKey]]),(DiscreteStatsTable[GroupByKey]=DiscreteStatsTable[[#This Row],[GroupByKey]])*DiscreteStatsTable[Average])),0)</f>
        <v>1.9202776678807203</v>
      </c>
      <c r="P946" s="5" cm="1">
        <f t="array" ref="P946">MAX(IF((ProjectInfoTable[ProjectName]=DiscreteStatsTable[[#This Row],[ProjectName]]),(ProjectInfoTable[ProjectName]=DiscreteStatsTable[[#This Row],[ProjectName]])*ProjectInfoTable[ConfidenceInterval]))</f>
        <v>0.95</v>
      </c>
      <c r="Q946" s="5">
        <f>IF(AND(DiscreteStatsTable[[#This Row],[RepsWithStatObserved]]=1,Y946=0),200000000000000000000,IFERROR(_xlfn.T.INV.2T(1 -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0.92554420923468694</v>
      </c>
      <c r="R946" s="5" cm="1">
        <f t="array" ref="R946">MIN(IF((DiscreteStatsTable[GroupByKey]=DiscreteStatsTable[[#This Row],[GroupByKey]]),(DiscreteStatsTable[GroupByKey]=DiscreteStatsTable[[#This Row],[GroupByKey]])*DiscreteStatsTable[Average]))</f>
        <v>4.4316568587741703</v>
      </c>
      <c r="S946" s="5" cm="1">
        <f t="array" ref="S946">MAX(IF((DiscreteStatsTable[GroupByKey]=DiscreteStatsTable[[#This Row],[GroupByKey]]),(DiscreteStatsTable[GroupByKey]=DiscreteStatsTable[[#This Row],[GroupByKey]])*DiscreteStatsTable[Average]))</f>
        <v>12.691770210246</v>
      </c>
      <c r="T946" s="5" cm="1">
        <f t="array" ref="T946">MIN(IF((DiscreteStatsTable[GroupByKey]=DiscreteStatsTable[[#This Row],[GroupByKey]]),(DiscreteStatsTable[GroupByKey]=DiscreteStatsTable[[#This Row],[GroupByKey]])*DiscreteStatsTable[Minimum]))</f>
        <v>4.4316568587741703</v>
      </c>
      <c r="U946" s="5" cm="1">
        <f t="array" ref="U946">MAX(IF((DiscreteStatsTable[GroupByKey]=DiscreteStatsTable[[#This Row],[GroupByKey]]),(DiscreteStatsTable[GroupByKey]=DiscreteStatsTable[[#This Row],[GroupByKey]])*DiscreteStatsTable[Maximum]))</f>
        <v>12.691770210246</v>
      </c>
      <c r="V946" s="5" cm="1">
        <f t="array" ref="V946">IFERROR(AVERAGE(IF((DiscreteStatsTable[GroupByKey]=DiscreteStatsTable[[#This Row],[GroupByKey]]),(DiscreteStatsTable[GroupByKey]=DiscreteStatsTable[[#This Row],[GroupByKey]])*DiscreteStatsTable[NumberObservations])),0)</f>
        <v>1</v>
      </c>
      <c r="W946" s="5">
        <f>IF((DiscreteStatsTable[[#This Row],[RepsRequested]]&gt;1),DiscreteStatsTable[[#This Row],[HalfWidth]],DiscreteStatsTable[[#This Row],[BatchMeansHalfWidth]])</f>
        <v>0.92554420923468694</v>
      </c>
      <c r="X946" s="5" cm="1">
        <f t="array" ref="X946">COUNT(IF((DiscreteStatsTable[GroupByKey]=DiscreteStatsTable[[#This Row],[GroupByKey]]),(DiscreteStatsTable[GroupByKey]=DiscreteStatsTable[[#This Row],[GroupByKey]])*DiscreteStatsTable[Replication]))</f>
        <v>19</v>
      </c>
      <c r="Y946" s="5">
        <f>IF(DiscreteStatsTable[[#This Row],[RepsRequested]]=DiscreteStatsTable[[#This Row],[RepsWithStatObserved]],1,0)</f>
        <v>1</v>
      </c>
    </row>
    <row r="947" spans="1:25" x14ac:dyDescent="0.25">
      <c r="A947" t="s">
        <v>67</v>
      </c>
      <c r="B947" t="s">
        <v>69</v>
      </c>
      <c r="C947">
        <v>1</v>
      </c>
      <c r="D947" t="s">
        <v>121</v>
      </c>
      <c r="E947" t="s">
        <v>79</v>
      </c>
      <c r="F947" t="s">
        <v>80</v>
      </c>
      <c r="G947">
        <v>1</v>
      </c>
      <c r="H947">
        <v>2E+20</v>
      </c>
      <c r="I947">
        <v>1</v>
      </c>
      <c r="J947">
        <v>1</v>
      </c>
      <c r="K947">
        <v>1</v>
      </c>
      <c r="L94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compartida)UtilizacionCajeroH1ExpressionUser Specified</v>
      </c>
      <c r="M947" s="5" cm="1">
        <f t="array" ref="M947">MAX(IF((ProjectInfoTable[ProjectName]=DiscreteStatsTable[[#This Row],[ProjectName]]),(ProjectInfoTable[ProjectName]=DiscreteStatsTable[[#This Row],[ProjectName]])*ProjectInfoTable[NumberOfReplications]))</f>
        <v>19</v>
      </c>
      <c r="N947" s="5" cm="1">
        <f t="array" ref="N947">IFERROR(AVERAGE(IF((DiscreteStatsTable[GroupByKey]=DiscreteStatsTable[[#This Row],[GroupByKey]]),(DiscreteStatsTable[GroupByKey]=DiscreteStatsTable[[#This Row],[GroupByKey]])*DiscreteStatsTable[Average])),0)</f>
        <v>0.84210526315789469</v>
      </c>
      <c r="O947" s="5" cm="1">
        <f t="array" ref="O947">IFERROR(_xlfn.STDEV.S(IF((DiscreteStatsTable[GroupByKey]=DiscreteStatsTable[[#This Row],[GroupByKey]]),(DiscreteStatsTable[GroupByKey]=DiscreteStatsTable[[#This Row],[GroupByKey]])*DiscreteStatsTable[Average])),0)</f>
        <v>0.37463432463267765</v>
      </c>
      <c r="P947" s="5" cm="1">
        <f t="array" ref="P947">MAX(IF((ProjectInfoTable[ProjectName]=DiscreteStatsTable[[#This Row],[ProjectName]]),(ProjectInfoTable[ProjectName]=DiscreteStatsTable[[#This Row],[ProjectName]])*ProjectInfoTable[ConfidenceInterval]))</f>
        <v>0.95</v>
      </c>
      <c r="Q947" s="5">
        <f>IF(AND(DiscreteStatsTable[[#This Row],[RepsWithStatObserved]]=1,Y947=0),200000000000000000000,IFERROR(_xlfn.T.INV.2T(1 -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0.18056796448973789</v>
      </c>
      <c r="R947" s="5" cm="1">
        <f t="array" ref="R947">MIN(IF((DiscreteStatsTable[GroupByKey]=DiscreteStatsTable[[#This Row],[GroupByKey]]),(DiscreteStatsTable[GroupByKey]=DiscreteStatsTable[[#This Row],[GroupByKey]])*DiscreteStatsTable[Average]))</f>
        <v>0</v>
      </c>
      <c r="S947" s="5" cm="1">
        <f t="array" ref="S947">MAX(IF((DiscreteStatsTable[GroupByKey]=DiscreteStatsTable[[#This Row],[GroupByKey]]),(DiscreteStatsTable[GroupByKey]=DiscreteStatsTable[[#This Row],[GroupByKey]])*DiscreteStatsTable[Average]))</f>
        <v>1</v>
      </c>
      <c r="T947" s="5" cm="1">
        <f t="array" ref="T947">MIN(IF((DiscreteStatsTable[GroupByKey]=DiscreteStatsTable[[#This Row],[GroupByKey]]),(DiscreteStatsTable[GroupByKey]=DiscreteStatsTable[[#This Row],[GroupByKey]])*DiscreteStatsTable[Minimum]))</f>
        <v>0</v>
      </c>
      <c r="U947" s="5" cm="1">
        <f t="array" ref="U947">MAX(IF((DiscreteStatsTable[GroupByKey]=DiscreteStatsTable[[#This Row],[GroupByKey]]),(DiscreteStatsTable[GroupByKey]=DiscreteStatsTable[[#This Row],[GroupByKey]])*DiscreteStatsTable[Maximum]))</f>
        <v>1</v>
      </c>
      <c r="V947" s="5" cm="1">
        <f t="array" ref="V947">IFERROR(AVERAGE(IF((DiscreteStatsTable[GroupByKey]=DiscreteStatsTable[[#This Row],[GroupByKey]]),(DiscreteStatsTable[GroupByKey]=DiscreteStatsTable[[#This Row],[GroupByKey]])*DiscreteStatsTable[NumberObservations])),0)</f>
        <v>1</v>
      </c>
      <c r="W947" s="5">
        <f>IF((DiscreteStatsTable[[#This Row],[RepsRequested]]&gt;1),DiscreteStatsTable[[#This Row],[HalfWidth]],DiscreteStatsTable[[#This Row],[BatchMeansHalfWidth]])</f>
        <v>0.18056796448973789</v>
      </c>
      <c r="X947" s="5" cm="1">
        <f t="array" ref="X947">COUNT(IF((DiscreteStatsTable[GroupByKey]=DiscreteStatsTable[[#This Row],[GroupByKey]]),(DiscreteStatsTable[GroupByKey]=DiscreteStatsTable[[#This Row],[GroupByKey]])*DiscreteStatsTable[Replication]))</f>
        <v>19</v>
      </c>
      <c r="Y947" s="5">
        <f>IF(DiscreteStatsTable[[#This Row],[RepsRequested]]=DiscreteStatsTable[[#This Row],[RepsWithStatObserved]],1,0)</f>
        <v>1</v>
      </c>
    </row>
    <row r="948" spans="1:25" x14ac:dyDescent="0.25">
      <c r="A948" t="s">
        <v>67</v>
      </c>
      <c r="B948" t="s">
        <v>69</v>
      </c>
      <c r="C948">
        <v>2</v>
      </c>
      <c r="D948" t="s">
        <v>121</v>
      </c>
      <c r="E948" t="s">
        <v>79</v>
      </c>
      <c r="F948" t="s">
        <v>80</v>
      </c>
      <c r="G948">
        <v>0</v>
      </c>
      <c r="H948">
        <v>2E+20</v>
      </c>
      <c r="I948">
        <v>0</v>
      </c>
      <c r="J948">
        <v>0</v>
      </c>
      <c r="K948">
        <v>1</v>
      </c>
      <c r="L94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compartida)UtilizacionCajeroH1ExpressionUser Specified</v>
      </c>
      <c r="M948" s="5" cm="1">
        <f t="array" ref="M948">MAX(IF((ProjectInfoTable[ProjectName]=DiscreteStatsTable[[#This Row],[ProjectName]]),(ProjectInfoTable[ProjectName]=DiscreteStatsTable[[#This Row],[ProjectName]])*ProjectInfoTable[NumberOfReplications]))</f>
        <v>19</v>
      </c>
      <c r="N948" s="5" cm="1">
        <f t="array" ref="N948">IFERROR(AVERAGE(IF((DiscreteStatsTable[GroupByKey]=DiscreteStatsTable[[#This Row],[GroupByKey]]),(DiscreteStatsTable[GroupByKey]=DiscreteStatsTable[[#This Row],[GroupByKey]])*DiscreteStatsTable[Average])),0)</f>
        <v>0.84210526315789469</v>
      </c>
      <c r="O948" s="5" cm="1">
        <f t="array" ref="O948">IFERROR(_xlfn.STDEV.S(IF((DiscreteStatsTable[GroupByKey]=DiscreteStatsTable[[#This Row],[GroupByKey]]),(DiscreteStatsTable[GroupByKey]=DiscreteStatsTable[[#This Row],[GroupByKey]])*DiscreteStatsTable[Average])),0)</f>
        <v>0.37463432463267765</v>
      </c>
      <c r="P948" s="5" cm="1">
        <f t="array" ref="P948">MAX(IF((ProjectInfoTable[ProjectName]=DiscreteStatsTable[[#This Row],[ProjectName]]),(ProjectInfoTable[ProjectName]=DiscreteStatsTable[[#This Row],[ProjectName]])*ProjectInfoTable[ConfidenceInterval]))</f>
        <v>0.95</v>
      </c>
      <c r="Q948" s="5">
        <f>IF(AND(DiscreteStatsTable[[#This Row],[RepsWithStatObserved]]=1,Y948=0),200000000000000000000,IFERROR(_xlfn.T.INV.2T(1 -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0.18056796448973789</v>
      </c>
      <c r="R948" s="5" cm="1">
        <f t="array" ref="R948">MIN(IF((DiscreteStatsTable[GroupByKey]=DiscreteStatsTable[[#This Row],[GroupByKey]]),(DiscreteStatsTable[GroupByKey]=DiscreteStatsTable[[#This Row],[GroupByKey]])*DiscreteStatsTable[Average]))</f>
        <v>0</v>
      </c>
      <c r="S948" s="5" cm="1">
        <f t="array" ref="S948">MAX(IF((DiscreteStatsTable[GroupByKey]=DiscreteStatsTable[[#This Row],[GroupByKey]]),(DiscreteStatsTable[GroupByKey]=DiscreteStatsTable[[#This Row],[GroupByKey]])*DiscreteStatsTable[Average]))</f>
        <v>1</v>
      </c>
      <c r="T948" s="5" cm="1">
        <f t="array" ref="T948">MIN(IF((DiscreteStatsTable[GroupByKey]=DiscreteStatsTable[[#This Row],[GroupByKey]]),(DiscreteStatsTable[GroupByKey]=DiscreteStatsTable[[#This Row],[GroupByKey]])*DiscreteStatsTable[Minimum]))</f>
        <v>0</v>
      </c>
      <c r="U948" s="5" cm="1">
        <f t="array" ref="U948">MAX(IF((DiscreteStatsTable[GroupByKey]=DiscreteStatsTable[[#This Row],[GroupByKey]]),(DiscreteStatsTable[GroupByKey]=DiscreteStatsTable[[#This Row],[GroupByKey]])*DiscreteStatsTable[Maximum]))</f>
        <v>1</v>
      </c>
      <c r="V948" s="5" cm="1">
        <f t="array" ref="V948">IFERROR(AVERAGE(IF((DiscreteStatsTable[GroupByKey]=DiscreteStatsTable[[#This Row],[GroupByKey]]),(DiscreteStatsTable[GroupByKey]=DiscreteStatsTable[[#This Row],[GroupByKey]])*DiscreteStatsTable[NumberObservations])),0)</f>
        <v>1</v>
      </c>
      <c r="W948" s="5">
        <f>IF((DiscreteStatsTable[[#This Row],[RepsRequested]]&gt;1),DiscreteStatsTable[[#This Row],[HalfWidth]],DiscreteStatsTable[[#This Row],[BatchMeansHalfWidth]])</f>
        <v>0.18056796448973789</v>
      </c>
      <c r="X948" s="5" cm="1">
        <f t="array" ref="X948">COUNT(IF((DiscreteStatsTable[GroupByKey]=DiscreteStatsTable[[#This Row],[GroupByKey]]),(DiscreteStatsTable[GroupByKey]=DiscreteStatsTable[[#This Row],[GroupByKey]])*DiscreteStatsTable[Replication]))</f>
        <v>19</v>
      </c>
      <c r="Y948" s="5">
        <f>IF(DiscreteStatsTable[[#This Row],[RepsRequested]]=DiscreteStatsTable[[#This Row],[RepsWithStatObserved]],1,0)</f>
        <v>1</v>
      </c>
    </row>
    <row r="949" spans="1:25" x14ac:dyDescent="0.25">
      <c r="A949" t="s">
        <v>67</v>
      </c>
      <c r="B949" t="s">
        <v>69</v>
      </c>
      <c r="C949">
        <v>3</v>
      </c>
      <c r="D949" t="s">
        <v>121</v>
      </c>
      <c r="E949" t="s">
        <v>79</v>
      </c>
      <c r="F949" t="s">
        <v>80</v>
      </c>
      <c r="G949">
        <v>1</v>
      </c>
      <c r="H949">
        <v>2E+20</v>
      </c>
      <c r="I949">
        <v>1</v>
      </c>
      <c r="J949">
        <v>1</v>
      </c>
      <c r="K949">
        <v>1</v>
      </c>
      <c r="L94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compartida)UtilizacionCajeroH1ExpressionUser Specified</v>
      </c>
      <c r="M949" s="5" cm="1">
        <f t="array" ref="M949">MAX(IF((ProjectInfoTable[ProjectName]=DiscreteStatsTable[[#This Row],[ProjectName]]),(ProjectInfoTable[ProjectName]=DiscreteStatsTable[[#This Row],[ProjectName]])*ProjectInfoTable[NumberOfReplications]))</f>
        <v>19</v>
      </c>
      <c r="N949" s="5" cm="1">
        <f t="array" ref="N949">IFERROR(AVERAGE(IF((DiscreteStatsTable[GroupByKey]=DiscreteStatsTable[[#This Row],[GroupByKey]]),(DiscreteStatsTable[GroupByKey]=DiscreteStatsTable[[#This Row],[GroupByKey]])*DiscreteStatsTable[Average])),0)</f>
        <v>0.84210526315789469</v>
      </c>
      <c r="O949" s="5" cm="1">
        <f t="array" ref="O949">IFERROR(_xlfn.STDEV.S(IF((DiscreteStatsTable[GroupByKey]=DiscreteStatsTable[[#This Row],[GroupByKey]]),(DiscreteStatsTable[GroupByKey]=DiscreteStatsTable[[#This Row],[GroupByKey]])*DiscreteStatsTable[Average])),0)</f>
        <v>0.37463432463267765</v>
      </c>
      <c r="P949" s="5" cm="1">
        <f t="array" ref="P949">MAX(IF((ProjectInfoTable[ProjectName]=DiscreteStatsTable[[#This Row],[ProjectName]]),(ProjectInfoTable[ProjectName]=DiscreteStatsTable[[#This Row],[ProjectName]])*ProjectInfoTable[ConfidenceInterval]))</f>
        <v>0.95</v>
      </c>
      <c r="Q949" s="5">
        <f>IF(AND(DiscreteStatsTable[[#This Row],[RepsWithStatObserved]]=1,Y949=0),200000000000000000000,IFERROR(_xlfn.T.INV.2T(1 -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0.18056796448973789</v>
      </c>
      <c r="R949" s="5" cm="1">
        <f t="array" ref="R949">MIN(IF((DiscreteStatsTable[GroupByKey]=DiscreteStatsTable[[#This Row],[GroupByKey]]),(DiscreteStatsTable[GroupByKey]=DiscreteStatsTable[[#This Row],[GroupByKey]])*DiscreteStatsTable[Average]))</f>
        <v>0</v>
      </c>
      <c r="S949" s="5" cm="1">
        <f t="array" ref="S949">MAX(IF((DiscreteStatsTable[GroupByKey]=DiscreteStatsTable[[#This Row],[GroupByKey]]),(DiscreteStatsTable[GroupByKey]=DiscreteStatsTable[[#This Row],[GroupByKey]])*DiscreteStatsTable[Average]))</f>
        <v>1</v>
      </c>
      <c r="T949" s="5" cm="1">
        <f t="array" ref="T949">MIN(IF((DiscreteStatsTable[GroupByKey]=DiscreteStatsTable[[#This Row],[GroupByKey]]),(DiscreteStatsTable[GroupByKey]=DiscreteStatsTable[[#This Row],[GroupByKey]])*DiscreteStatsTable[Minimum]))</f>
        <v>0</v>
      </c>
      <c r="U949" s="5" cm="1">
        <f t="array" ref="U949">MAX(IF((DiscreteStatsTable[GroupByKey]=DiscreteStatsTable[[#This Row],[GroupByKey]]),(DiscreteStatsTable[GroupByKey]=DiscreteStatsTable[[#This Row],[GroupByKey]])*DiscreteStatsTable[Maximum]))</f>
        <v>1</v>
      </c>
      <c r="V949" s="5" cm="1">
        <f t="array" ref="V949">IFERROR(AVERAGE(IF((DiscreteStatsTable[GroupByKey]=DiscreteStatsTable[[#This Row],[GroupByKey]]),(DiscreteStatsTable[GroupByKey]=DiscreteStatsTable[[#This Row],[GroupByKey]])*DiscreteStatsTable[NumberObservations])),0)</f>
        <v>1</v>
      </c>
      <c r="W949" s="5">
        <f>IF((DiscreteStatsTable[[#This Row],[RepsRequested]]&gt;1),DiscreteStatsTable[[#This Row],[HalfWidth]],DiscreteStatsTable[[#This Row],[BatchMeansHalfWidth]])</f>
        <v>0.18056796448973789</v>
      </c>
      <c r="X949" s="5" cm="1">
        <f t="array" ref="X949">COUNT(IF((DiscreteStatsTable[GroupByKey]=DiscreteStatsTable[[#This Row],[GroupByKey]]),(DiscreteStatsTable[GroupByKey]=DiscreteStatsTable[[#This Row],[GroupByKey]])*DiscreteStatsTable[Replication]))</f>
        <v>19</v>
      </c>
      <c r="Y949" s="5">
        <f>IF(DiscreteStatsTable[[#This Row],[RepsRequested]]=DiscreteStatsTable[[#This Row],[RepsWithStatObserved]],1,0)</f>
        <v>1</v>
      </c>
    </row>
    <row r="950" spans="1:25" x14ac:dyDescent="0.25">
      <c r="A950" t="s">
        <v>67</v>
      </c>
      <c r="B950" t="s">
        <v>69</v>
      </c>
      <c r="C950">
        <v>4</v>
      </c>
      <c r="D950" t="s">
        <v>121</v>
      </c>
      <c r="E950" t="s">
        <v>79</v>
      </c>
      <c r="F950" t="s">
        <v>80</v>
      </c>
      <c r="G950">
        <v>1</v>
      </c>
      <c r="H950">
        <v>2E+20</v>
      </c>
      <c r="I950">
        <v>1</v>
      </c>
      <c r="J950">
        <v>1</v>
      </c>
      <c r="K950">
        <v>1</v>
      </c>
      <c r="L95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compartida)UtilizacionCajeroH1ExpressionUser Specified</v>
      </c>
      <c r="M950" s="5" cm="1">
        <f t="array" ref="M950">MAX(IF((ProjectInfoTable[ProjectName]=DiscreteStatsTable[[#This Row],[ProjectName]]),(ProjectInfoTable[ProjectName]=DiscreteStatsTable[[#This Row],[ProjectName]])*ProjectInfoTable[NumberOfReplications]))</f>
        <v>19</v>
      </c>
      <c r="N950" s="5" cm="1">
        <f t="array" ref="N950">IFERROR(AVERAGE(IF((DiscreteStatsTable[GroupByKey]=DiscreteStatsTable[[#This Row],[GroupByKey]]),(DiscreteStatsTable[GroupByKey]=DiscreteStatsTable[[#This Row],[GroupByKey]])*DiscreteStatsTable[Average])),0)</f>
        <v>0.84210526315789469</v>
      </c>
      <c r="O950" s="5" cm="1">
        <f t="array" ref="O950">IFERROR(_xlfn.STDEV.S(IF((DiscreteStatsTable[GroupByKey]=DiscreteStatsTable[[#This Row],[GroupByKey]]),(DiscreteStatsTable[GroupByKey]=DiscreteStatsTable[[#This Row],[GroupByKey]])*DiscreteStatsTable[Average])),0)</f>
        <v>0.37463432463267765</v>
      </c>
      <c r="P950" s="5" cm="1">
        <f t="array" ref="P950">MAX(IF((ProjectInfoTable[ProjectName]=DiscreteStatsTable[[#This Row],[ProjectName]]),(ProjectInfoTable[ProjectName]=DiscreteStatsTable[[#This Row],[ProjectName]])*ProjectInfoTable[ConfidenceInterval]))</f>
        <v>0.95</v>
      </c>
      <c r="Q950" s="5">
        <f>IF(AND(DiscreteStatsTable[[#This Row],[RepsWithStatObserved]]=1,Y950=0),200000000000000000000,IFERROR(_xlfn.T.INV.2T(1 -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0.18056796448973789</v>
      </c>
      <c r="R950" s="5" cm="1">
        <f t="array" ref="R950">MIN(IF((DiscreteStatsTable[GroupByKey]=DiscreteStatsTable[[#This Row],[GroupByKey]]),(DiscreteStatsTable[GroupByKey]=DiscreteStatsTable[[#This Row],[GroupByKey]])*DiscreteStatsTable[Average]))</f>
        <v>0</v>
      </c>
      <c r="S950" s="5" cm="1">
        <f t="array" ref="S950">MAX(IF((DiscreteStatsTable[GroupByKey]=DiscreteStatsTable[[#This Row],[GroupByKey]]),(DiscreteStatsTable[GroupByKey]=DiscreteStatsTable[[#This Row],[GroupByKey]])*DiscreteStatsTable[Average]))</f>
        <v>1</v>
      </c>
      <c r="T950" s="5" cm="1">
        <f t="array" ref="T950">MIN(IF((DiscreteStatsTable[GroupByKey]=DiscreteStatsTable[[#This Row],[GroupByKey]]),(DiscreteStatsTable[GroupByKey]=DiscreteStatsTable[[#This Row],[GroupByKey]])*DiscreteStatsTable[Minimum]))</f>
        <v>0</v>
      </c>
      <c r="U950" s="5" cm="1">
        <f t="array" ref="U950">MAX(IF((DiscreteStatsTable[GroupByKey]=DiscreteStatsTable[[#This Row],[GroupByKey]]),(DiscreteStatsTable[GroupByKey]=DiscreteStatsTable[[#This Row],[GroupByKey]])*DiscreteStatsTable[Maximum]))</f>
        <v>1</v>
      </c>
      <c r="V950" s="5" cm="1">
        <f t="array" ref="V950">IFERROR(AVERAGE(IF((DiscreteStatsTable[GroupByKey]=DiscreteStatsTable[[#This Row],[GroupByKey]]),(DiscreteStatsTable[GroupByKey]=DiscreteStatsTable[[#This Row],[GroupByKey]])*DiscreteStatsTable[NumberObservations])),0)</f>
        <v>1</v>
      </c>
      <c r="W950" s="5">
        <f>IF((DiscreteStatsTable[[#This Row],[RepsRequested]]&gt;1),DiscreteStatsTable[[#This Row],[HalfWidth]],DiscreteStatsTable[[#This Row],[BatchMeansHalfWidth]])</f>
        <v>0.18056796448973789</v>
      </c>
      <c r="X950" s="5" cm="1">
        <f t="array" ref="X950">COUNT(IF((DiscreteStatsTable[GroupByKey]=DiscreteStatsTable[[#This Row],[GroupByKey]]),(DiscreteStatsTable[GroupByKey]=DiscreteStatsTable[[#This Row],[GroupByKey]])*DiscreteStatsTable[Replication]))</f>
        <v>19</v>
      </c>
      <c r="Y950" s="5">
        <f>IF(DiscreteStatsTable[[#This Row],[RepsRequested]]=DiscreteStatsTable[[#This Row],[RepsWithStatObserved]],1,0)</f>
        <v>1</v>
      </c>
    </row>
    <row r="951" spans="1:25" x14ac:dyDescent="0.25">
      <c r="A951" t="s">
        <v>67</v>
      </c>
      <c r="B951" t="s">
        <v>69</v>
      </c>
      <c r="C951">
        <v>5</v>
      </c>
      <c r="D951" t="s">
        <v>121</v>
      </c>
      <c r="E951" t="s">
        <v>79</v>
      </c>
      <c r="F951" t="s">
        <v>80</v>
      </c>
      <c r="G951">
        <v>1</v>
      </c>
      <c r="H951">
        <v>2E+20</v>
      </c>
      <c r="I951">
        <v>1</v>
      </c>
      <c r="J951">
        <v>1</v>
      </c>
      <c r="K951">
        <v>1</v>
      </c>
      <c r="L95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compartida)UtilizacionCajeroH1ExpressionUser Specified</v>
      </c>
      <c r="M951" s="5" cm="1">
        <f t="array" ref="M951">MAX(IF((ProjectInfoTable[ProjectName]=DiscreteStatsTable[[#This Row],[ProjectName]]),(ProjectInfoTable[ProjectName]=DiscreteStatsTable[[#This Row],[ProjectName]])*ProjectInfoTable[NumberOfReplications]))</f>
        <v>19</v>
      </c>
      <c r="N951" s="5" cm="1">
        <f t="array" ref="N951">IFERROR(AVERAGE(IF((DiscreteStatsTable[GroupByKey]=DiscreteStatsTable[[#This Row],[GroupByKey]]),(DiscreteStatsTable[GroupByKey]=DiscreteStatsTable[[#This Row],[GroupByKey]])*DiscreteStatsTable[Average])),0)</f>
        <v>0.84210526315789469</v>
      </c>
      <c r="O951" s="5" cm="1">
        <f t="array" ref="O951">IFERROR(_xlfn.STDEV.S(IF((DiscreteStatsTable[GroupByKey]=DiscreteStatsTable[[#This Row],[GroupByKey]]),(DiscreteStatsTable[GroupByKey]=DiscreteStatsTable[[#This Row],[GroupByKey]])*DiscreteStatsTable[Average])),0)</f>
        <v>0.37463432463267765</v>
      </c>
      <c r="P951" s="5" cm="1">
        <f t="array" ref="P951">MAX(IF((ProjectInfoTable[ProjectName]=DiscreteStatsTable[[#This Row],[ProjectName]]),(ProjectInfoTable[ProjectName]=DiscreteStatsTable[[#This Row],[ProjectName]])*ProjectInfoTable[ConfidenceInterval]))</f>
        <v>0.95</v>
      </c>
      <c r="Q951" s="5">
        <f>IF(AND(DiscreteStatsTable[[#This Row],[RepsWithStatObserved]]=1,Y951=0),200000000000000000000,IFERROR(_xlfn.T.INV.2T(1 -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0.18056796448973789</v>
      </c>
      <c r="R951" s="5" cm="1">
        <f t="array" ref="R951">MIN(IF((DiscreteStatsTable[GroupByKey]=DiscreteStatsTable[[#This Row],[GroupByKey]]),(DiscreteStatsTable[GroupByKey]=DiscreteStatsTable[[#This Row],[GroupByKey]])*DiscreteStatsTable[Average]))</f>
        <v>0</v>
      </c>
      <c r="S951" s="5" cm="1">
        <f t="array" ref="S951">MAX(IF((DiscreteStatsTable[GroupByKey]=DiscreteStatsTable[[#This Row],[GroupByKey]]),(DiscreteStatsTable[GroupByKey]=DiscreteStatsTable[[#This Row],[GroupByKey]])*DiscreteStatsTable[Average]))</f>
        <v>1</v>
      </c>
      <c r="T951" s="5" cm="1">
        <f t="array" ref="T951">MIN(IF((DiscreteStatsTable[GroupByKey]=DiscreteStatsTable[[#This Row],[GroupByKey]]),(DiscreteStatsTable[GroupByKey]=DiscreteStatsTable[[#This Row],[GroupByKey]])*DiscreteStatsTable[Minimum]))</f>
        <v>0</v>
      </c>
      <c r="U951" s="5" cm="1">
        <f t="array" ref="U951">MAX(IF((DiscreteStatsTable[GroupByKey]=DiscreteStatsTable[[#This Row],[GroupByKey]]),(DiscreteStatsTable[GroupByKey]=DiscreteStatsTable[[#This Row],[GroupByKey]])*DiscreteStatsTable[Maximum]))</f>
        <v>1</v>
      </c>
      <c r="V951" s="5" cm="1">
        <f t="array" ref="V951">IFERROR(AVERAGE(IF((DiscreteStatsTable[GroupByKey]=DiscreteStatsTable[[#This Row],[GroupByKey]]),(DiscreteStatsTable[GroupByKey]=DiscreteStatsTable[[#This Row],[GroupByKey]])*DiscreteStatsTable[NumberObservations])),0)</f>
        <v>1</v>
      </c>
      <c r="W951" s="5">
        <f>IF((DiscreteStatsTable[[#This Row],[RepsRequested]]&gt;1),DiscreteStatsTable[[#This Row],[HalfWidth]],DiscreteStatsTable[[#This Row],[BatchMeansHalfWidth]])</f>
        <v>0.18056796448973789</v>
      </c>
      <c r="X951" s="5" cm="1">
        <f t="array" ref="X951">COUNT(IF((DiscreteStatsTable[GroupByKey]=DiscreteStatsTable[[#This Row],[GroupByKey]]),(DiscreteStatsTable[GroupByKey]=DiscreteStatsTable[[#This Row],[GroupByKey]])*DiscreteStatsTable[Replication]))</f>
        <v>19</v>
      </c>
      <c r="Y951" s="5">
        <f>IF(DiscreteStatsTable[[#This Row],[RepsRequested]]=DiscreteStatsTable[[#This Row],[RepsWithStatObserved]],1,0)</f>
        <v>1</v>
      </c>
    </row>
    <row r="952" spans="1:25" x14ac:dyDescent="0.25">
      <c r="A952" t="s">
        <v>67</v>
      </c>
      <c r="B952" t="s">
        <v>69</v>
      </c>
      <c r="C952">
        <v>6</v>
      </c>
      <c r="D952" t="s">
        <v>121</v>
      </c>
      <c r="E952" t="s">
        <v>79</v>
      </c>
      <c r="F952" t="s">
        <v>80</v>
      </c>
      <c r="G952">
        <v>1</v>
      </c>
      <c r="H952">
        <v>2E+20</v>
      </c>
      <c r="I952">
        <v>1</v>
      </c>
      <c r="J952">
        <v>1</v>
      </c>
      <c r="K952">
        <v>1</v>
      </c>
      <c r="L95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compartida)UtilizacionCajeroH1ExpressionUser Specified</v>
      </c>
      <c r="M952" s="5" cm="1">
        <f t="array" ref="M952">MAX(IF((ProjectInfoTable[ProjectName]=DiscreteStatsTable[[#This Row],[ProjectName]]),(ProjectInfoTable[ProjectName]=DiscreteStatsTable[[#This Row],[ProjectName]])*ProjectInfoTable[NumberOfReplications]))</f>
        <v>19</v>
      </c>
      <c r="N952" s="5" cm="1">
        <f t="array" ref="N952">IFERROR(AVERAGE(IF((DiscreteStatsTable[GroupByKey]=DiscreteStatsTable[[#This Row],[GroupByKey]]),(DiscreteStatsTable[GroupByKey]=DiscreteStatsTable[[#This Row],[GroupByKey]])*DiscreteStatsTable[Average])),0)</f>
        <v>0.84210526315789469</v>
      </c>
      <c r="O952" s="5" cm="1">
        <f t="array" ref="O952">IFERROR(_xlfn.STDEV.S(IF((DiscreteStatsTable[GroupByKey]=DiscreteStatsTable[[#This Row],[GroupByKey]]),(DiscreteStatsTable[GroupByKey]=DiscreteStatsTable[[#This Row],[GroupByKey]])*DiscreteStatsTable[Average])),0)</f>
        <v>0.37463432463267765</v>
      </c>
      <c r="P952" s="5" cm="1">
        <f t="array" ref="P952">MAX(IF((ProjectInfoTable[ProjectName]=DiscreteStatsTable[[#This Row],[ProjectName]]),(ProjectInfoTable[ProjectName]=DiscreteStatsTable[[#This Row],[ProjectName]])*ProjectInfoTable[ConfidenceInterval]))</f>
        <v>0.95</v>
      </c>
      <c r="Q952" s="5">
        <f>IF(AND(DiscreteStatsTable[[#This Row],[RepsWithStatObserved]]=1,Y952=0),200000000000000000000,IFERROR(_xlfn.T.INV.2T(1 -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0.18056796448973789</v>
      </c>
      <c r="R952" s="5" cm="1">
        <f t="array" ref="R952">MIN(IF((DiscreteStatsTable[GroupByKey]=DiscreteStatsTable[[#This Row],[GroupByKey]]),(DiscreteStatsTable[GroupByKey]=DiscreteStatsTable[[#This Row],[GroupByKey]])*DiscreteStatsTable[Average]))</f>
        <v>0</v>
      </c>
      <c r="S952" s="5" cm="1">
        <f t="array" ref="S952">MAX(IF((DiscreteStatsTable[GroupByKey]=DiscreteStatsTable[[#This Row],[GroupByKey]]),(DiscreteStatsTable[GroupByKey]=DiscreteStatsTable[[#This Row],[GroupByKey]])*DiscreteStatsTable[Average]))</f>
        <v>1</v>
      </c>
      <c r="T952" s="5" cm="1">
        <f t="array" ref="T952">MIN(IF((DiscreteStatsTable[GroupByKey]=DiscreteStatsTable[[#This Row],[GroupByKey]]),(DiscreteStatsTable[GroupByKey]=DiscreteStatsTable[[#This Row],[GroupByKey]])*DiscreteStatsTable[Minimum]))</f>
        <v>0</v>
      </c>
      <c r="U952" s="5" cm="1">
        <f t="array" ref="U952">MAX(IF((DiscreteStatsTable[GroupByKey]=DiscreteStatsTable[[#This Row],[GroupByKey]]),(DiscreteStatsTable[GroupByKey]=DiscreteStatsTable[[#This Row],[GroupByKey]])*DiscreteStatsTable[Maximum]))</f>
        <v>1</v>
      </c>
      <c r="V952" s="5" cm="1">
        <f t="array" ref="V952">IFERROR(AVERAGE(IF((DiscreteStatsTable[GroupByKey]=DiscreteStatsTable[[#This Row],[GroupByKey]]),(DiscreteStatsTable[GroupByKey]=DiscreteStatsTable[[#This Row],[GroupByKey]])*DiscreteStatsTable[NumberObservations])),0)</f>
        <v>1</v>
      </c>
      <c r="W952" s="5">
        <f>IF((DiscreteStatsTable[[#This Row],[RepsRequested]]&gt;1),DiscreteStatsTable[[#This Row],[HalfWidth]],DiscreteStatsTable[[#This Row],[BatchMeansHalfWidth]])</f>
        <v>0.18056796448973789</v>
      </c>
      <c r="X952" s="5" cm="1">
        <f t="array" ref="X952">COUNT(IF((DiscreteStatsTable[GroupByKey]=DiscreteStatsTable[[#This Row],[GroupByKey]]),(DiscreteStatsTable[GroupByKey]=DiscreteStatsTable[[#This Row],[GroupByKey]])*DiscreteStatsTable[Replication]))</f>
        <v>19</v>
      </c>
      <c r="Y952" s="5">
        <f>IF(DiscreteStatsTable[[#This Row],[RepsRequested]]=DiscreteStatsTable[[#This Row],[RepsWithStatObserved]],1,0)</f>
        <v>1</v>
      </c>
    </row>
    <row r="953" spans="1:25" x14ac:dyDescent="0.25">
      <c r="A953" t="s">
        <v>67</v>
      </c>
      <c r="B953" t="s">
        <v>69</v>
      </c>
      <c r="C953">
        <v>7</v>
      </c>
      <c r="D953" t="s">
        <v>121</v>
      </c>
      <c r="E953" t="s">
        <v>79</v>
      </c>
      <c r="F953" t="s">
        <v>80</v>
      </c>
      <c r="G953">
        <v>1</v>
      </c>
      <c r="H953">
        <v>2E+20</v>
      </c>
      <c r="I953">
        <v>1</v>
      </c>
      <c r="J953">
        <v>1</v>
      </c>
      <c r="K953">
        <v>1</v>
      </c>
      <c r="L95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compartida)UtilizacionCajeroH1ExpressionUser Specified</v>
      </c>
      <c r="M953" s="5" cm="1">
        <f t="array" ref="M953">MAX(IF((ProjectInfoTable[ProjectName]=DiscreteStatsTable[[#This Row],[ProjectName]]),(ProjectInfoTable[ProjectName]=DiscreteStatsTable[[#This Row],[ProjectName]])*ProjectInfoTable[NumberOfReplications]))</f>
        <v>19</v>
      </c>
      <c r="N953" s="5" cm="1">
        <f t="array" ref="N953">IFERROR(AVERAGE(IF((DiscreteStatsTable[GroupByKey]=DiscreteStatsTable[[#This Row],[GroupByKey]]),(DiscreteStatsTable[GroupByKey]=DiscreteStatsTable[[#This Row],[GroupByKey]])*DiscreteStatsTable[Average])),0)</f>
        <v>0.84210526315789469</v>
      </c>
      <c r="O953" s="5" cm="1">
        <f t="array" ref="O953">IFERROR(_xlfn.STDEV.S(IF((DiscreteStatsTable[GroupByKey]=DiscreteStatsTable[[#This Row],[GroupByKey]]),(DiscreteStatsTable[GroupByKey]=DiscreteStatsTable[[#This Row],[GroupByKey]])*DiscreteStatsTable[Average])),0)</f>
        <v>0.37463432463267765</v>
      </c>
      <c r="P953" s="5" cm="1">
        <f t="array" ref="P953">MAX(IF((ProjectInfoTable[ProjectName]=DiscreteStatsTable[[#This Row],[ProjectName]]),(ProjectInfoTable[ProjectName]=DiscreteStatsTable[[#This Row],[ProjectName]])*ProjectInfoTable[ConfidenceInterval]))</f>
        <v>0.95</v>
      </c>
      <c r="Q953" s="5">
        <f>IF(AND(DiscreteStatsTable[[#This Row],[RepsWithStatObserved]]=1,Y953=0),200000000000000000000,IFERROR(_xlfn.T.INV.2T(1 -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0.18056796448973789</v>
      </c>
      <c r="R953" s="5" cm="1">
        <f t="array" ref="R953">MIN(IF((DiscreteStatsTable[GroupByKey]=DiscreteStatsTable[[#This Row],[GroupByKey]]),(DiscreteStatsTable[GroupByKey]=DiscreteStatsTable[[#This Row],[GroupByKey]])*DiscreteStatsTable[Average]))</f>
        <v>0</v>
      </c>
      <c r="S953" s="5" cm="1">
        <f t="array" ref="S953">MAX(IF((DiscreteStatsTable[GroupByKey]=DiscreteStatsTable[[#This Row],[GroupByKey]]),(DiscreteStatsTable[GroupByKey]=DiscreteStatsTable[[#This Row],[GroupByKey]])*DiscreteStatsTable[Average]))</f>
        <v>1</v>
      </c>
      <c r="T953" s="5" cm="1">
        <f t="array" ref="T953">MIN(IF((DiscreteStatsTable[GroupByKey]=DiscreteStatsTable[[#This Row],[GroupByKey]]),(DiscreteStatsTable[GroupByKey]=DiscreteStatsTable[[#This Row],[GroupByKey]])*DiscreteStatsTable[Minimum]))</f>
        <v>0</v>
      </c>
      <c r="U953" s="5" cm="1">
        <f t="array" ref="U953">MAX(IF((DiscreteStatsTable[GroupByKey]=DiscreteStatsTable[[#This Row],[GroupByKey]]),(DiscreteStatsTable[GroupByKey]=DiscreteStatsTable[[#This Row],[GroupByKey]])*DiscreteStatsTable[Maximum]))</f>
        <v>1</v>
      </c>
      <c r="V953" s="5" cm="1">
        <f t="array" ref="V953">IFERROR(AVERAGE(IF((DiscreteStatsTable[GroupByKey]=DiscreteStatsTable[[#This Row],[GroupByKey]]),(DiscreteStatsTable[GroupByKey]=DiscreteStatsTable[[#This Row],[GroupByKey]])*DiscreteStatsTable[NumberObservations])),0)</f>
        <v>1</v>
      </c>
      <c r="W953" s="5">
        <f>IF((DiscreteStatsTable[[#This Row],[RepsRequested]]&gt;1),DiscreteStatsTable[[#This Row],[HalfWidth]],DiscreteStatsTable[[#This Row],[BatchMeansHalfWidth]])</f>
        <v>0.18056796448973789</v>
      </c>
      <c r="X953" s="5" cm="1">
        <f t="array" ref="X953">COUNT(IF((DiscreteStatsTable[GroupByKey]=DiscreteStatsTable[[#This Row],[GroupByKey]]),(DiscreteStatsTable[GroupByKey]=DiscreteStatsTable[[#This Row],[GroupByKey]])*DiscreteStatsTable[Replication]))</f>
        <v>19</v>
      </c>
      <c r="Y953" s="5">
        <f>IF(DiscreteStatsTable[[#This Row],[RepsRequested]]=DiscreteStatsTable[[#This Row],[RepsWithStatObserved]],1,0)</f>
        <v>1</v>
      </c>
    </row>
    <row r="954" spans="1:25" x14ac:dyDescent="0.25">
      <c r="A954" t="s">
        <v>67</v>
      </c>
      <c r="B954" t="s">
        <v>69</v>
      </c>
      <c r="C954">
        <v>8</v>
      </c>
      <c r="D954" t="s">
        <v>121</v>
      </c>
      <c r="E954" t="s">
        <v>79</v>
      </c>
      <c r="F954" t="s">
        <v>80</v>
      </c>
      <c r="G954">
        <v>1</v>
      </c>
      <c r="H954">
        <v>2E+20</v>
      </c>
      <c r="I954">
        <v>1</v>
      </c>
      <c r="J954">
        <v>1</v>
      </c>
      <c r="K954">
        <v>1</v>
      </c>
      <c r="L95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compartida)UtilizacionCajeroH1ExpressionUser Specified</v>
      </c>
      <c r="M954" s="5" cm="1">
        <f t="array" ref="M954">MAX(IF((ProjectInfoTable[ProjectName]=DiscreteStatsTable[[#This Row],[ProjectName]]),(ProjectInfoTable[ProjectName]=DiscreteStatsTable[[#This Row],[ProjectName]])*ProjectInfoTable[NumberOfReplications]))</f>
        <v>19</v>
      </c>
      <c r="N954" s="5" cm="1">
        <f t="array" ref="N954">IFERROR(AVERAGE(IF((DiscreteStatsTable[GroupByKey]=DiscreteStatsTable[[#This Row],[GroupByKey]]),(DiscreteStatsTable[GroupByKey]=DiscreteStatsTable[[#This Row],[GroupByKey]])*DiscreteStatsTable[Average])),0)</f>
        <v>0.84210526315789469</v>
      </c>
      <c r="O954" s="5" cm="1">
        <f t="array" ref="O954">IFERROR(_xlfn.STDEV.S(IF((DiscreteStatsTable[GroupByKey]=DiscreteStatsTable[[#This Row],[GroupByKey]]),(DiscreteStatsTable[GroupByKey]=DiscreteStatsTable[[#This Row],[GroupByKey]])*DiscreteStatsTable[Average])),0)</f>
        <v>0.37463432463267765</v>
      </c>
      <c r="P954" s="5" cm="1">
        <f t="array" ref="P954">MAX(IF((ProjectInfoTable[ProjectName]=DiscreteStatsTable[[#This Row],[ProjectName]]),(ProjectInfoTable[ProjectName]=DiscreteStatsTable[[#This Row],[ProjectName]])*ProjectInfoTable[ConfidenceInterval]))</f>
        <v>0.95</v>
      </c>
      <c r="Q954" s="5">
        <f>IF(AND(DiscreteStatsTable[[#This Row],[RepsWithStatObserved]]=1,Y954=0),200000000000000000000,IFERROR(_xlfn.T.INV.2T(1 -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0.18056796448973789</v>
      </c>
      <c r="R954" s="5" cm="1">
        <f t="array" ref="R954">MIN(IF((DiscreteStatsTable[GroupByKey]=DiscreteStatsTable[[#This Row],[GroupByKey]]),(DiscreteStatsTable[GroupByKey]=DiscreteStatsTable[[#This Row],[GroupByKey]])*DiscreteStatsTable[Average]))</f>
        <v>0</v>
      </c>
      <c r="S954" s="5" cm="1">
        <f t="array" ref="S954">MAX(IF((DiscreteStatsTable[GroupByKey]=DiscreteStatsTable[[#This Row],[GroupByKey]]),(DiscreteStatsTable[GroupByKey]=DiscreteStatsTable[[#This Row],[GroupByKey]])*DiscreteStatsTable[Average]))</f>
        <v>1</v>
      </c>
      <c r="T954" s="5" cm="1">
        <f t="array" ref="T954">MIN(IF((DiscreteStatsTable[GroupByKey]=DiscreteStatsTable[[#This Row],[GroupByKey]]),(DiscreteStatsTable[GroupByKey]=DiscreteStatsTable[[#This Row],[GroupByKey]])*DiscreteStatsTable[Minimum]))</f>
        <v>0</v>
      </c>
      <c r="U954" s="5" cm="1">
        <f t="array" ref="U954">MAX(IF((DiscreteStatsTable[GroupByKey]=DiscreteStatsTable[[#This Row],[GroupByKey]]),(DiscreteStatsTable[GroupByKey]=DiscreteStatsTable[[#This Row],[GroupByKey]])*DiscreteStatsTable[Maximum]))</f>
        <v>1</v>
      </c>
      <c r="V954" s="5" cm="1">
        <f t="array" ref="V954">IFERROR(AVERAGE(IF((DiscreteStatsTable[GroupByKey]=DiscreteStatsTable[[#This Row],[GroupByKey]]),(DiscreteStatsTable[GroupByKey]=DiscreteStatsTable[[#This Row],[GroupByKey]])*DiscreteStatsTable[NumberObservations])),0)</f>
        <v>1</v>
      </c>
      <c r="W954" s="5">
        <f>IF((DiscreteStatsTable[[#This Row],[RepsRequested]]&gt;1),DiscreteStatsTable[[#This Row],[HalfWidth]],DiscreteStatsTable[[#This Row],[BatchMeansHalfWidth]])</f>
        <v>0.18056796448973789</v>
      </c>
      <c r="X954" s="5" cm="1">
        <f t="array" ref="X954">COUNT(IF((DiscreteStatsTable[GroupByKey]=DiscreteStatsTable[[#This Row],[GroupByKey]]),(DiscreteStatsTable[GroupByKey]=DiscreteStatsTable[[#This Row],[GroupByKey]])*DiscreteStatsTable[Replication]))</f>
        <v>19</v>
      </c>
      <c r="Y954" s="5">
        <f>IF(DiscreteStatsTable[[#This Row],[RepsRequested]]=DiscreteStatsTable[[#This Row],[RepsWithStatObserved]],1,0)</f>
        <v>1</v>
      </c>
    </row>
    <row r="955" spans="1:25" x14ac:dyDescent="0.25">
      <c r="A955" t="s">
        <v>67</v>
      </c>
      <c r="B955" t="s">
        <v>69</v>
      </c>
      <c r="C955">
        <v>9</v>
      </c>
      <c r="D955" t="s">
        <v>121</v>
      </c>
      <c r="E955" t="s">
        <v>79</v>
      </c>
      <c r="F955" t="s">
        <v>80</v>
      </c>
      <c r="G955">
        <v>1</v>
      </c>
      <c r="H955">
        <v>2E+20</v>
      </c>
      <c r="I955">
        <v>1</v>
      </c>
      <c r="J955">
        <v>1</v>
      </c>
      <c r="K955">
        <v>1</v>
      </c>
      <c r="L95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compartida)UtilizacionCajeroH1ExpressionUser Specified</v>
      </c>
      <c r="M955" s="5" cm="1">
        <f t="array" ref="M955">MAX(IF((ProjectInfoTable[ProjectName]=DiscreteStatsTable[[#This Row],[ProjectName]]),(ProjectInfoTable[ProjectName]=DiscreteStatsTable[[#This Row],[ProjectName]])*ProjectInfoTable[NumberOfReplications]))</f>
        <v>19</v>
      </c>
      <c r="N955" s="5" cm="1">
        <f t="array" ref="N955">IFERROR(AVERAGE(IF((DiscreteStatsTable[GroupByKey]=DiscreteStatsTable[[#This Row],[GroupByKey]]),(DiscreteStatsTable[GroupByKey]=DiscreteStatsTable[[#This Row],[GroupByKey]])*DiscreteStatsTable[Average])),0)</f>
        <v>0.84210526315789469</v>
      </c>
      <c r="O955" s="5" cm="1">
        <f t="array" ref="O955">IFERROR(_xlfn.STDEV.S(IF((DiscreteStatsTable[GroupByKey]=DiscreteStatsTable[[#This Row],[GroupByKey]]),(DiscreteStatsTable[GroupByKey]=DiscreteStatsTable[[#This Row],[GroupByKey]])*DiscreteStatsTable[Average])),0)</f>
        <v>0.37463432463267765</v>
      </c>
      <c r="P955" s="5" cm="1">
        <f t="array" ref="P955">MAX(IF((ProjectInfoTable[ProjectName]=DiscreteStatsTable[[#This Row],[ProjectName]]),(ProjectInfoTable[ProjectName]=DiscreteStatsTable[[#This Row],[ProjectName]])*ProjectInfoTable[ConfidenceInterval]))</f>
        <v>0.95</v>
      </c>
      <c r="Q955" s="5">
        <f>IF(AND(DiscreteStatsTable[[#This Row],[RepsWithStatObserved]]=1,Y955=0),200000000000000000000,IFERROR(_xlfn.T.INV.2T(1 -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0.18056796448973789</v>
      </c>
      <c r="R955" s="5" cm="1">
        <f t="array" ref="R955">MIN(IF((DiscreteStatsTable[GroupByKey]=DiscreteStatsTable[[#This Row],[GroupByKey]]),(DiscreteStatsTable[GroupByKey]=DiscreteStatsTable[[#This Row],[GroupByKey]])*DiscreteStatsTable[Average]))</f>
        <v>0</v>
      </c>
      <c r="S955" s="5" cm="1">
        <f t="array" ref="S955">MAX(IF((DiscreteStatsTable[GroupByKey]=DiscreteStatsTable[[#This Row],[GroupByKey]]),(DiscreteStatsTable[GroupByKey]=DiscreteStatsTable[[#This Row],[GroupByKey]])*DiscreteStatsTable[Average]))</f>
        <v>1</v>
      </c>
      <c r="T955" s="5" cm="1">
        <f t="array" ref="T955">MIN(IF((DiscreteStatsTable[GroupByKey]=DiscreteStatsTable[[#This Row],[GroupByKey]]),(DiscreteStatsTable[GroupByKey]=DiscreteStatsTable[[#This Row],[GroupByKey]])*DiscreteStatsTable[Minimum]))</f>
        <v>0</v>
      </c>
      <c r="U955" s="5" cm="1">
        <f t="array" ref="U955">MAX(IF((DiscreteStatsTable[GroupByKey]=DiscreteStatsTable[[#This Row],[GroupByKey]]),(DiscreteStatsTable[GroupByKey]=DiscreteStatsTable[[#This Row],[GroupByKey]])*DiscreteStatsTable[Maximum]))</f>
        <v>1</v>
      </c>
      <c r="V955" s="5" cm="1">
        <f t="array" ref="V955">IFERROR(AVERAGE(IF((DiscreteStatsTable[GroupByKey]=DiscreteStatsTable[[#This Row],[GroupByKey]]),(DiscreteStatsTable[GroupByKey]=DiscreteStatsTable[[#This Row],[GroupByKey]])*DiscreteStatsTable[NumberObservations])),0)</f>
        <v>1</v>
      </c>
      <c r="W955" s="5">
        <f>IF((DiscreteStatsTable[[#This Row],[RepsRequested]]&gt;1),DiscreteStatsTable[[#This Row],[HalfWidth]],DiscreteStatsTable[[#This Row],[BatchMeansHalfWidth]])</f>
        <v>0.18056796448973789</v>
      </c>
      <c r="X955" s="5" cm="1">
        <f t="array" ref="X955">COUNT(IF((DiscreteStatsTable[GroupByKey]=DiscreteStatsTable[[#This Row],[GroupByKey]]),(DiscreteStatsTable[GroupByKey]=DiscreteStatsTable[[#This Row],[GroupByKey]])*DiscreteStatsTable[Replication]))</f>
        <v>19</v>
      </c>
      <c r="Y955" s="5">
        <f>IF(DiscreteStatsTable[[#This Row],[RepsRequested]]=DiscreteStatsTable[[#This Row],[RepsWithStatObserved]],1,0)</f>
        <v>1</v>
      </c>
    </row>
    <row r="956" spans="1:25" x14ac:dyDescent="0.25">
      <c r="A956" t="s">
        <v>67</v>
      </c>
      <c r="B956" t="s">
        <v>69</v>
      </c>
      <c r="C956">
        <v>10</v>
      </c>
      <c r="D956" t="s">
        <v>121</v>
      </c>
      <c r="E956" t="s">
        <v>79</v>
      </c>
      <c r="F956" t="s">
        <v>80</v>
      </c>
      <c r="G956">
        <v>1</v>
      </c>
      <c r="H956">
        <v>2E+20</v>
      </c>
      <c r="I956">
        <v>1</v>
      </c>
      <c r="J956">
        <v>1</v>
      </c>
      <c r="K956">
        <v>1</v>
      </c>
      <c r="L95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compartida)UtilizacionCajeroH1ExpressionUser Specified</v>
      </c>
      <c r="M956" s="5" cm="1">
        <f t="array" ref="M956">MAX(IF((ProjectInfoTable[ProjectName]=DiscreteStatsTable[[#This Row],[ProjectName]]),(ProjectInfoTable[ProjectName]=DiscreteStatsTable[[#This Row],[ProjectName]])*ProjectInfoTable[NumberOfReplications]))</f>
        <v>19</v>
      </c>
      <c r="N956" s="5" cm="1">
        <f t="array" ref="N956">IFERROR(AVERAGE(IF((DiscreteStatsTable[GroupByKey]=DiscreteStatsTable[[#This Row],[GroupByKey]]),(DiscreteStatsTable[GroupByKey]=DiscreteStatsTable[[#This Row],[GroupByKey]])*DiscreteStatsTable[Average])),0)</f>
        <v>0.84210526315789469</v>
      </c>
      <c r="O956" s="5" cm="1">
        <f t="array" ref="O956">IFERROR(_xlfn.STDEV.S(IF((DiscreteStatsTable[GroupByKey]=DiscreteStatsTable[[#This Row],[GroupByKey]]),(DiscreteStatsTable[GroupByKey]=DiscreteStatsTable[[#This Row],[GroupByKey]])*DiscreteStatsTable[Average])),0)</f>
        <v>0.37463432463267765</v>
      </c>
      <c r="P956" s="5" cm="1">
        <f t="array" ref="P956">MAX(IF((ProjectInfoTable[ProjectName]=DiscreteStatsTable[[#This Row],[ProjectName]]),(ProjectInfoTable[ProjectName]=DiscreteStatsTable[[#This Row],[ProjectName]])*ProjectInfoTable[ConfidenceInterval]))</f>
        <v>0.95</v>
      </c>
      <c r="Q956" s="5">
        <f>IF(AND(DiscreteStatsTable[[#This Row],[RepsWithStatObserved]]=1,Y956=0),200000000000000000000,IFERROR(_xlfn.T.INV.2T(1 -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0.18056796448973789</v>
      </c>
      <c r="R956" s="5" cm="1">
        <f t="array" ref="R956">MIN(IF((DiscreteStatsTable[GroupByKey]=DiscreteStatsTable[[#This Row],[GroupByKey]]),(DiscreteStatsTable[GroupByKey]=DiscreteStatsTable[[#This Row],[GroupByKey]])*DiscreteStatsTable[Average]))</f>
        <v>0</v>
      </c>
      <c r="S956" s="5" cm="1">
        <f t="array" ref="S956">MAX(IF((DiscreteStatsTable[GroupByKey]=DiscreteStatsTable[[#This Row],[GroupByKey]]),(DiscreteStatsTable[GroupByKey]=DiscreteStatsTable[[#This Row],[GroupByKey]])*DiscreteStatsTable[Average]))</f>
        <v>1</v>
      </c>
      <c r="T956" s="5" cm="1">
        <f t="array" ref="T956">MIN(IF((DiscreteStatsTable[GroupByKey]=DiscreteStatsTable[[#This Row],[GroupByKey]]),(DiscreteStatsTable[GroupByKey]=DiscreteStatsTable[[#This Row],[GroupByKey]])*DiscreteStatsTable[Minimum]))</f>
        <v>0</v>
      </c>
      <c r="U956" s="5" cm="1">
        <f t="array" ref="U956">MAX(IF((DiscreteStatsTable[GroupByKey]=DiscreteStatsTable[[#This Row],[GroupByKey]]),(DiscreteStatsTable[GroupByKey]=DiscreteStatsTable[[#This Row],[GroupByKey]])*DiscreteStatsTable[Maximum]))</f>
        <v>1</v>
      </c>
      <c r="V956" s="5" cm="1">
        <f t="array" ref="V956">IFERROR(AVERAGE(IF((DiscreteStatsTable[GroupByKey]=DiscreteStatsTable[[#This Row],[GroupByKey]]),(DiscreteStatsTable[GroupByKey]=DiscreteStatsTable[[#This Row],[GroupByKey]])*DiscreteStatsTable[NumberObservations])),0)</f>
        <v>1</v>
      </c>
      <c r="W956" s="5">
        <f>IF((DiscreteStatsTable[[#This Row],[RepsRequested]]&gt;1),DiscreteStatsTable[[#This Row],[HalfWidth]],DiscreteStatsTable[[#This Row],[BatchMeansHalfWidth]])</f>
        <v>0.18056796448973789</v>
      </c>
      <c r="X956" s="5" cm="1">
        <f t="array" ref="X956">COUNT(IF((DiscreteStatsTable[GroupByKey]=DiscreteStatsTable[[#This Row],[GroupByKey]]),(DiscreteStatsTable[GroupByKey]=DiscreteStatsTable[[#This Row],[GroupByKey]])*DiscreteStatsTable[Replication]))</f>
        <v>19</v>
      </c>
      <c r="Y956" s="5">
        <f>IF(DiscreteStatsTable[[#This Row],[RepsRequested]]=DiscreteStatsTable[[#This Row],[RepsWithStatObserved]],1,0)</f>
        <v>1</v>
      </c>
    </row>
    <row r="957" spans="1:25" x14ac:dyDescent="0.25">
      <c r="A957" t="s">
        <v>67</v>
      </c>
      <c r="B957" t="s">
        <v>69</v>
      </c>
      <c r="C957">
        <v>11</v>
      </c>
      <c r="D957" t="s">
        <v>121</v>
      </c>
      <c r="E957" t="s">
        <v>79</v>
      </c>
      <c r="F957" t="s">
        <v>80</v>
      </c>
      <c r="G957">
        <v>0</v>
      </c>
      <c r="H957">
        <v>2E+20</v>
      </c>
      <c r="I957">
        <v>0</v>
      </c>
      <c r="J957">
        <v>0</v>
      </c>
      <c r="K957">
        <v>1</v>
      </c>
      <c r="L95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compartida)UtilizacionCajeroH1ExpressionUser Specified</v>
      </c>
      <c r="M957" s="5" cm="1">
        <f t="array" ref="M957">MAX(IF((ProjectInfoTable[ProjectName]=DiscreteStatsTable[[#This Row],[ProjectName]]),(ProjectInfoTable[ProjectName]=DiscreteStatsTable[[#This Row],[ProjectName]])*ProjectInfoTable[NumberOfReplications]))</f>
        <v>19</v>
      </c>
      <c r="N957" s="5" cm="1">
        <f t="array" ref="N957">IFERROR(AVERAGE(IF((DiscreteStatsTable[GroupByKey]=DiscreteStatsTable[[#This Row],[GroupByKey]]),(DiscreteStatsTable[GroupByKey]=DiscreteStatsTable[[#This Row],[GroupByKey]])*DiscreteStatsTable[Average])),0)</f>
        <v>0.84210526315789469</v>
      </c>
      <c r="O957" s="5" cm="1">
        <f t="array" ref="O957">IFERROR(_xlfn.STDEV.S(IF((DiscreteStatsTable[GroupByKey]=DiscreteStatsTable[[#This Row],[GroupByKey]]),(DiscreteStatsTable[GroupByKey]=DiscreteStatsTable[[#This Row],[GroupByKey]])*DiscreteStatsTable[Average])),0)</f>
        <v>0.37463432463267765</v>
      </c>
      <c r="P957" s="5" cm="1">
        <f t="array" ref="P957">MAX(IF((ProjectInfoTable[ProjectName]=DiscreteStatsTable[[#This Row],[ProjectName]]),(ProjectInfoTable[ProjectName]=DiscreteStatsTable[[#This Row],[ProjectName]])*ProjectInfoTable[ConfidenceInterval]))</f>
        <v>0.95</v>
      </c>
      <c r="Q957" s="5">
        <f>IF(AND(DiscreteStatsTable[[#This Row],[RepsWithStatObserved]]=1,Y957=0),200000000000000000000,IFERROR(_xlfn.T.INV.2T(1 -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0.18056796448973789</v>
      </c>
      <c r="R957" s="5" cm="1">
        <f t="array" ref="R957">MIN(IF((DiscreteStatsTable[GroupByKey]=DiscreteStatsTable[[#This Row],[GroupByKey]]),(DiscreteStatsTable[GroupByKey]=DiscreteStatsTable[[#This Row],[GroupByKey]])*DiscreteStatsTable[Average]))</f>
        <v>0</v>
      </c>
      <c r="S957" s="5" cm="1">
        <f t="array" ref="S957">MAX(IF((DiscreteStatsTable[GroupByKey]=DiscreteStatsTable[[#This Row],[GroupByKey]]),(DiscreteStatsTable[GroupByKey]=DiscreteStatsTable[[#This Row],[GroupByKey]])*DiscreteStatsTable[Average]))</f>
        <v>1</v>
      </c>
      <c r="T957" s="5" cm="1">
        <f t="array" ref="T957">MIN(IF((DiscreteStatsTable[GroupByKey]=DiscreteStatsTable[[#This Row],[GroupByKey]]),(DiscreteStatsTable[GroupByKey]=DiscreteStatsTable[[#This Row],[GroupByKey]])*DiscreteStatsTable[Minimum]))</f>
        <v>0</v>
      </c>
      <c r="U957" s="5" cm="1">
        <f t="array" ref="U957">MAX(IF((DiscreteStatsTable[GroupByKey]=DiscreteStatsTable[[#This Row],[GroupByKey]]),(DiscreteStatsTable[GroupByKey]=DiscreteStatsTable[[#This Row],[GroupByKey]])*DiscreteStatsTable[Maximum]))</f>
        <v>1</v>
      </c>
      <c r="V957" s="5" cm="1">
        <f t="array" ref="V957">IFERROR(AVERAGE(IF((DiscreteStatsTable[GroupByKey]=DiscreteStatsTable[[#This Row],[GroupByKey]]),(DiscreteStatsTable[GroupByKey]=DiscreteStatsTable[[#This Row],[GroupByKey]])*DiscreteStatsTable[NumberObservations])),0)</f>
        <v>1</v>
      </c>
      <c r="W957" s="5">
        <f>IF((DiscreteStatsTable[[#This Row],[RepsRequested]]&gt;1),DiscreteStatsTable[[#This Row],[HalfWidth]],DiscreteStatsTable[[#This Row],[BatchMeansHalfWidth]])</f>
        <v>0.18056796448973789</v>
      </c>
      <c r="X957" s="5" cm="1">
        <f t="array" ref="X957">COUNT(IF((DiscreteStatsTable[GroupByKey]=DiscreteStatsTable[[#This Row],[GroupByKey]]),(DiscreteStatsTable[GroupByKey]=DiscreteStatsTable[[#This Row],[GroupByKey]])*DiscreteStatsTable[Replication]))</f>
        <v>19</v>
      </c>
      <c r="Y957" s="5">
        <f>IF(DiscreteStatsTable[[#This Row],[RepsRequested]]=DiscreteStatsTable[[#This Row],[RepsWithStatObserved]],1,0)</f>
        <v>1</v>
      </c>
    </row>
    <row r="958" spans="1:25" x14ac:dyDescent="0.25">
      <c r="A958" t="s">
        <v>67</v>
      </c>
      <c r="B958" t="s">
        <v>69</v>
      </c>
      <c r="C958">
        <v>12</v>
      </c>
      <c r="D958" t="s">
        <v>121</v>
      </c>
      <c r="E958" t="s">
        <v>79</v>
      </c>
      <c r="F958" t="s">
        <v>80</v>
      </c>
      <c r="G958">
        <v>1</v>
      </c>
      <c r="H958">
        <v>2E+20</v>
      </c>
      <c r="I958">
        <v>1</v>
      </c>
      <c r="J958">
        <v>1</v>
      </c>
      <c r="K958">
        <v>1</v>
      </c>
      <c r="L95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compartida)UtilizacionCajeroH1ExpressionUser Specified</v>
      </c>
      <c r="M958" s="5" cm="1">
        <f t="array" ref="M958">MAX(IF((ProjectInfoTable[ProjectName]=DiscreteStatsTable[[#This Row],[ProjectName]]),(ProjectInfoTable[ProjectName]=DiscreteStatsTable[[#This Row],[ProjectName]])*ProjectInfoTable[NumberOfReplications]))</f>
        <v>19</v>
      </c>
      <c r="N958" s="5" cm="1">
        <f t="array" ref="N958">IFERROR(AVERAGE(IF((DiscreteStatsTable[GroupByKey]=DiscreteStatsTable[[#This Row],[GroupByKey]]),(DiscreteStatsTable[GroupByKey]=DiscreteStatsTable[[#This Row],[GroupByKey]])*DiscreteStatsTable[Average])),0)</f>
        <v>0.84210526315789469</v>
      </c>
      <c r="O958" s="5" cm="1">
        <f t="array" ref="O958">IFERROR(_xlfn.STDEV.S(IF((DiscreteStatsTable[GroupByKey]=DiscreteStatsTable[[#This Row],[GroupByKey]]),(DiscreteStatsTable[GroupByKey]=DiscreteStatsTable[[#This Row],[GroupByKey]])*DiscreteStatsTable[Average])),0)</f>
        <v>0.37463432463267765</v>
      </c>
      <c r="P958" s="5" cm="1">
        <f t="array" ref="P958">MAX(IF((ProjectInfoTable[ProjectName]=DiscreteStatsTable[[#This Row],[ProjectName]]),(ProjectInfoTable[ProjectName]=DiscreteStatsTable[[#This Row],[ProjectName]])*ProjectInfoTable[ConfidenceInterval]))</f>
        <v>0.95</v>
      </c>
      <c r="Q958" s="5">
        <f>IF(AND(DiscreteStatsTable[[#This Row],[RepsWithStatObserved]]=1,Y958=0),200000000000000000000,IFERROR(_xlfn.T.INV.2T(1 -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0.18056796448973789</v>
      </c>
      <c r="R958" s="5" cm="1">
        <f t="array" ref="R958">MIN(IF((DiscreteStatsTable[GroupByKey]=DiscreteStatsTable[[#This Row],[GroupByKey]]),(DiscreteStatsTable[GroupByKey]=DiscreteStatsTable[[#This Row],[GroupByKey]])*DiscreteStatsTable[Average]))</f>
        <v>0</v>
      </c>
      <c r="S958" s="5" cm="1">
        <f t="array" ref="S958">MAX(IF((DiscreteStatsTable[GroupByKey]=DiscreteStatsTable[[#This Row],[GroupByKey]]),(DiscreteStatsTable[GroupByKey]=DiscreteStatsTable[[#This Row],[GroupByKey]])*DiscreteStatsTable[Average]))</f>
        <v>1</v>
      </c>
      <c r="T958" s="5" cm="1">
        <f t="array" ref="T958">MIN(IF((DiscreteStatsTable[GroupByKey]=DiscreteStatsTable[[#This Row],[GroupByKey]]),(DiscreteStatsTable[GroupByKey]=DiscreteStatsTable[[#This Row],[GroupByKey]])*DiscreteStatsTable[Minimum]))</f>
        <v>0</v>
      </c>
      <c r="U958" s="5" cm="1">
        <f t="array" ref="U958">MAX(IF((DiscreteStatsTable[GroupByKey]=DiscreteStatsTable[[#This Row],[GroupByKey]]),(DiscreteStatsTable[GroupByKey]=DiscreteStatsTable[[#This Row],[GroupByKey]])*DiscreteStatsTable[Maximum]))</f>
        <v>1</v>
      </c>
      <c r="V958" s="5" cm="1">
        <f t="array" ref="V958">IFERROR(AVERAGE(IF((DiscreteStatsTable[GroupByKey]=DiscreteStatsTable[[#This Row],[GroupByKey]]),(DiscreteStatsTable[GroupByKey]=DiscreteStatsTable[[#This Row],[GroupByKey]])*DiscreteStatsTable[NumberObservations])),0)</f>
        <v>1</v>
      </c>
      <c r="W958" s="5">
        <f>IF((DiscreteStatsTable[[#This Row],[RepsRequested]]&gt;1),DiscreteStatsTable[[#This Row],[HalfWidth]],DiscreteStatsTable[[#This Row],[BatchMeansHalfWidth]])</f>
        <v>0.18056796448973789</v>
      </c>
      <c r="X958" s="5" cm="1">
        <f t="array" ref="X958">COUNT(IF((DiscreteStatsTable[GroupByKey]=DiscreteStatsTable[[#This Row],[GroupByKey]]),(DiscreteStatsTable[GroupByKey]=DiscreteStatsTable[[#This Row],[GroupByKey]])*DiscreteStatsTable[Replication]))</f>
        <v>19</v>
      </c>
      <c r="Y958" s="5">
        <f>IF(DiscreteStatsTable[[#This Row],[RepsRequested]]=DiscreteStatsTable[[#This Row],[RepsWithStatObserved]],1,0)</f>
        <v>1</v>
      </c>
    </row>
    <row r="959" spans="1:25" x14ac:dyDescent="0.25">
      <c r="A959" t="s">
        <v>67</v>
      </c>
      <c r="B959" t="s">
        <v>69</v>
      </c>
      <c r="C959">
        <v>13</v>
      </c>
      <c r="D959" t="s">
        <v>121</v>
      </c>
      <c r="E959" t="s">
        <v>79</v>
      </c>
      <c r="F959" t="s">
        <v>80</v>
      </c>
      <c r="G959">
        <v>1</v>
      </c>
      <c r="H959">
        <v>2E+20</v>
      </c>
      <c r="I959">
        <v>1</v>
      </c>
      <c r="J959">
        <v>1</v>
      </c>
      <c r="K959">
        <v>1</v>
      </c>
      <c r="L95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compartida)UtilizacionCajeroH1ExpressionUser Specified</v>
      </c>
      <c r="M959" s="5" cm="1">
        <f t="array" ref="M959">MAX(IF((ProjectInfoTable[ProjectName]=DiscreteStatsTable[[#This Row],[ProjectName]]),(ProjectInfoTable[ProjectName]=DiscreteStatsTable[[#This Row],[ProjectName]])*ProjectInfoTable[NumberOfReplications]))</f>
        <v>19</v>
      </c>
      <c r="N959" s="5" cm="1">
        <f t="array" ref="N959">IFERROR(AVERAGE(IF((DiscreteStatsTable[GroupByKey]=DiscreteStatsTable[[#This Row],[GroupByKey]]),(DiscreteStatsTable[GroupByKey]=DiscreteStatsTable[[#This Row],[GroupByKey]])*DiscreteStatsTable[Average])),0)</f>
        <v>0.84210526315789469</v>
      </c>
      <c r="O959" s="5" cm="1">
        <f t="array" ref="O959">IFERROR(_xlfn.STDEV.S(IF((DiscreteStatsTable[GroupByKey]=DiscreteStatsTable[[#This Row],[GroupByKey]]),(DiscreteStatsTable[GroupByKey]=DiscreteStatsTable[[#This Row],[GroupByKey]])*DiscreteStatsTable[Average])),0)</f>
        <v>0.37463432463267765</v>
      </c>
      <c r="P959" s="5" cm="1">
        <f t="array" ref="P959">MAX(IF((ProjectInfoTable[ProjectName]=DiscreteStatsTable[[#This Row],[ProjectName]]),(ProjectInfoTable[ProjectName]=DiscreteStatsTable[[#This Row],[ProjectName]])*ProjectInfoTable[ConfidenceInterval]))</f>
        <v>0.95</v>
      </c>
      <c r="Q959" s="5">
        <f>IF(AND(DiscreteStatsTable[[#This Row],[RepsWithStatObserved]]=1,Y959=0),200000000000000000000,IFERROR(_xlfn.T.INV.2T(1 -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0.18056796448973789</v>
      </c>
      <c r="R959" s="5" cm="1">
        <f t="array" ref="R959">MIN(IF((DiscreteStatsTable[GroupByKey]=DiscreteStatsTable[[#This Row],[GroupByKey]]),(DiscreteStatsTable[GroupByKey]=DiscreteStatsTable[[#This Row],[GroupByKey]])*DiscreteStatsTable[Average]))</f>
        <v>0</v>
      </c>
      <c r="S959" s="5" cm="1">
        <f t="array" ref="S959">MAX(IF((DiscreteStatsTable[GroupByKey]=DiscreteStatsTable[[#This Row],[GroupByKey]]),(DiscreteStatsTable[GroupByKey]=DiscreteStatsTable[[#This Row],[GroupByKey]])*DiscreteStatsTable[Average]))</f>
        <v>1</v>
      </c>
      <c r="T959" s="5" cm="1">
        <f t="array" ref="T959">MIN(IF((DiscreteStatsTable[GroupByKey]=DiscreteStatsTable[[#This Row],[GroupByKey]]),(DiscreteStatsTable[GroupByKey]=DiscreteStatsTable[[#This Row],[GroupByKey]])*DiscreteStatsTable[Minimum]))</f>
        <v>0</v>
      </c>
      <c r="U959" s="5" cm="1">
        <f t="array" ref="U959">MAX(IF((DiscreteStatsTable[GroupByKey]=DiscreteStatsTable[[#This Row],[GroupByKey]]),(DiscreteStatsTable[GroupByKey]=DiscreteStatsTable[[#This Row],[GroupByKey]])*DiscreteStatsTable[Maximum]))</f>
        <v>1</v>
      </c>
      <c r="V959" s="5" cm="1">
        <f t="array" ref="V959">IFERROR(AVERAGE(IF((DiscreteStatsTable[GroupByKey]=DiscreteStatsTable[[#This Row],[GroupByKey]]),(DiscreteStatsTable[GroupByKey]=DiscreteStatsTable[[#This Row],[GroupByKey]])*DiscreteStatsTable[NumberObservations])),0)</f>
        <v>1</v>
      </c>
      <c r="W959" s="5">
        <f>IF((DiscreteStatsTable[[#This Row],[RepsRequested]]&gt;1),DiscreteStatsTable[[#This Row],[HalfWidth]],DiscreteStatsTable[[#This Row],[BatchMeansHalfWidth]])</f>
        <v>0.18056796448973789</v>
      </c>
      <c r="X959" s="5" cm="1">
        <f t="array" ref="X959">COUNT(IF((DiscreteStatsTable[GroupByKey]=DiscreteStatsTable[[#This Row],[GroupByKey]]),(DiscreteStatsTable[GroupByKey]=DiscreteStatsTable[[#This Row],[GroupByKey]])*DiscreteStatsTable[Replication]))</f>
        <v>19</v>
      </c>
      <c r="Y959" s="5">
        <f>IF(DiscreteStatsTable[[#This Row],[RepsRequested]]=DiscreteStatsTable[[#This Row],[RepsWithStatObserved]],1,0)</f>
        <v>1</v>
      </c>
    </row>
    <row r="960" spans="1:25" x14ac:dyDescent="0.25">
      <c r="A960" t="s">
        <v>67</v>
      </c>
      <c r="B960" t="s">
        <v>69</v>
      </c>
      <c r="C960">
        <v>14</v>
      </c>
      <c r="D960" t="s">
        <v>121</v>
      </c>
      <c r="E960" t="s">
        <v>79</v>
      </c>
      <c r="F960" t="s">
        <v>80</v>
      </c>
      <c r="G960">
        <v>1</v>
      </c>
      <c r="H960">
        <v>2E+20</v>
      </c>
      <c r="I960">
        <v>1</v>
      </c>
      <c r="J960">
        <v>1</v>
      </c>
      <c r="K960">
        <v>1</v>
      </c>
      <c r="L96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compartida)UtilizacionCajeroH1ExpressionUser Specified</v>
      </c>
      <c r="M960" s="5" cm="1">
        <f t="array" ref="M960">MAX(IF((ProjectInfoTable[ProjectName]=DiscreteStatsTable[[#This Row],[ProjectName]]),(ProjectInfoTable[ProjectName]=DiscreteStatsTable[[#This Row],[ProjectName]])*ProjectInfoTable[NumberOfReplications]))</f>
        <v>19</v>
      </c>
      <c r="N960" s="5" cm="1">
        <f t="array" ref="N960">IFERROR(AVERAGE(IF((DiscreteStatsTable[GroupByKey]=DiscreteStatsTable[[#This Row],[GroupByKey]]),(DiscreteStatsTable[GroupByKey]=DiscreteStatsTable[[#This Row],[GroupByKey]])*DiscreteStatsTable[Average])),0)</f>
        <v>0.84210526315789469</v>
      </c>
      <c r="O960" s="5" cm="1">
        <f t="array" ref="O960">IFERROR(_xlfn.STDEV.S(IF((DiscreteStatsTable[GroupByKey]=DiscreteStatsTable[[#This Row],[GroupByKey]]),(DiscreteStatsTable[GroupByKey]=DiscreteStatsTable[[#This Row],[GroupByKey]])*DiscreteStatsTable[Average])),0)</f>
        <v>0.37463432463267765</v>
      </c>
      <c r="P960" s="5" cm="1">
        <f t="array" ref="P960">MAX(IF((ProjectInfoTable[ProjectName]=DiscreteStatsTable[[#This Row],[ProjectName]]),(ProjectInfoTable[ProjectName]=DiscreteStatsTable[[#This Row],[ProjectName]])*ProjectInfoTable[ConfidenceInterval]))</f>
        <v>0.95</v>
      </c>
      <c r="Q960" s="5">
        <f>IF(AND(DiscreteStatsTable[[#This Row],[RepsWithStatObserved]]=1,Y960=0),200000000000000000000,IFERROR(_xlfn.T.INV.2T(1 -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0.18056796448973789</v>
      </c>
      <c r="R960" s="5" cm="1">
        <f t="array" ref="R960">MIN(IF((DiscreteStatsTable[GroupByKey]=DiscreteStatsTable[[#This Row],[GroupByKey]]),(DiscreteStatsTable[GroupByKey]=DiscreteStatsTable[[#This Row],[GroupByKey]])*DiscreteStatsTable[Average]))</f>
        <v>0</v>
      </c>
      <c r="S960" s="5" cm="1">
        <f t="array" ref="S960">MAX(IF((DiscreteStatsTable[GroupByKey]=DiscreteStatsTable[[#This Row],[GroupByKey]]),(DiscreteStatsTable[GroupByKey]=DiscreteStatsTable[[#This Row],[GroupByKey]])*DiscreteStatsTable[Average]))</f>
        <v>1</v>
      </c>
      <c r="T960" s="5" cm="1">
        <f t="array" ref="T960">MIN(IF((DiscreteStatsTable[GroupByKey]=DiscreteStatsTable[[#This Row],[GroupByKey]]),(DiscreteStatsTable[GroupByKey]=DiscreteStatsTable[[#This Row],[GroupByKey]])*DiscreteStatsTable[Minimum]))</f>
        <v>0</v>
      </c>
      <c r="U960" s="5" cm="1">
        <f t="array" ref="U960">MAX(IF((DiscreteStatsTable[GroupByKey]=DiscreteStatsTable[[#This Row],[GroupByKey]]),(DiscreteStatsTable[GroupByKey]=DiscreteStatsTable[[#This Row],[GroupByKey]])*DiscreteStatsTable[Maximum]))</f>
        <v>1</v>
      </c>
      <c r="V960" s="5" cm="1">
        <f t="array" ref="V960">IFERROR(AVERAGE(IF((DiscreteStatsTable[GroupByKey]=DiscreteStatsTable[[#This Row],[GroupByKey]]),(DiscreteStatsTable[GroupByKey]=DiscreteStatsTable[[#This Row],[GroupByKey]])*DiscreteStatsTable[NumberObservations])),0)</f>
        <v>1</v>
      </c>
      <c r="W960" s="5">
        <f>IF((DiscreteStatsTable[[#This Row],[RepsRequested]]&gt;1),DiscreteStatsTable[[#This Row],[HalfWidth]],DiscreteStatsTable[[#This Row],[BatchMeansHalfWidth]])</f>
        <v>0.18056796448973789</v>
      </c>
      <c r="X960" s="5" cm="1">
        <f t="array" ref="X960">COUNT(IF((DiscreteStatsTable[GroupByKey]=DiscreteStatsTable[[#This Row],[GroupByKey]]),(DiscreteStatsTable[GroupByKey]=DiscreteStatsTable[[#This Row],[GroupByKey]])*DiscreteStatsTable[Replication]))</f>
        <v>19</v>
      </c>
      <c r="Y960" s="5">
        <f>IF(DiscreteStatsTable[[#This Row],[RepsRequested]]=DiscreteStatsTable[[#This Row],[RepsWithStatObserved]],1,0)</f>
        <v>1</v>
      </c>
    </row>
    <row r="961" spans="1:25" x14ac:dyDescent="0.25">
      <c r="A961" t="s">
        <v>67</v>
      </c>
      <c r="B961" t="s">
        <v>69</v>
      </c>
      <c r="C961">
        <v>15</v>
      </c>
      <c r="D961" t="s">
        <v>121</v>
      </c>
      <c r="E961" t="s">
        <v>79</v>
      </c>
      <c r="F961" t="s">
        <v>80</v>
      </c>
      <c r="G961">
        <v>1</v>
      </c>
      <c r="H961">
        <v>2E+20</v>
      </c>
      <c r="I961">
        <v>1</v>
      </c>
      <c r="J961">
        <v>1</v>
      </c>
      <c r="K961">
        <v>1</v>
      </c>
      <c r="L96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compartida)UtilizacionCajeroH1ExpressionUser Specified</v>
      </c>
      <c r="M961" s="5" cm="1">
        <f t="array" ref="M961">MAX(IF((ProjectInfoTable[ProjectName]=DiscreteStatsTable[[#This Row],[ProjectName]]),(ProjectInfoTable[ProjectName]=DiscreteStatsTable[[#This Row],[ProjectName]])*ProjectInfoTable[NumberOfReplications]))</f>
        <v>19</v>
      </c>
      <c r="N961" s="5" cm="1">
        <f t="array" ref="N961">IFERROR(AVERAGE(IF((DiscreteStatsTable[GroupByKey]=DiscreteStatsTable[[#This Row],[GroupByKey]]),(DiscreteStatsTable[GroupByKey]=DiscreteStatsTable[[#This Row],[GroupByKey]])*DiscreteStatsTable[Average])),0)</f>
        <v>0.84210526315789469</v>
      </c>
      <c r="O961" s="5" cm="1">
        <f t="array" ref="O961">IFERROR(_xlfn.STDEV.S(IF((DiscreteStatsTable[GroupByKey]=DiscreteStatsTable[[#This Row],[GroupByKey]]),(DiscreteStatsTable[GroupByKey]=DiscreteStatsTable[[#This Row],[GroupByKey]])*DiscreteStatsTable[Average])),0)</f>
        <v>0.37463432463267765</v>
      </c>
      <c r="P961" s="5" cm="1">
        <f t="array" ref="P961">MAX(IF((ProjectInfoTable[ProjectName]=DiscreteStatsTable[[#This Row],[ProjectName]]),(ProjectInfoTable[ProjectName]=DiscreteStatsTable[[#This Row],[ProjectName]])*ProjectInfoTable[ConfidenceInterval]))</f>
        <v>0.95</v>
      </c>
      <c r="Q961" s="5">
        <f>IF(AND(DiscreteStatsTable[[#This Row],[RepsWithStatObserved]]=1,Y961=0),200000000000000000000,IFERROR(_xlfn.T.INV.2T(1 -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0.18056796448973789</v>
      </c>
      <c r="R961" s="5" cm="1">
        <f t="array" ref="R961">MIN(IF((DiscreteStatsTable[GroupByKey]=DiscreteStatsTable[[#This Row],[GroupByKey]]),(DiscreteStatsTable[GroupByKey]=DiscreteStatsTable[[#This Row],[GroupByKey]])*DiscreteStatsTable[Average]))</f>
        <v>0</v>
      </c>
      <c r="S961" s="5" cm="1">
        <f t="array" ref="S961">MAX(IF((DiscreteStatsTable[GroupByKey]=DiscreteStatsTable[[#This Row],[GroupByKey]]),(DiscreteStatsTable[GroupByKey]=DiscreteStatsTable[[#This Row],[GroupByKey]])*DiscreteStatsTable[Average]))</f>
        <v>1</v>
      </c>
      <c r="T961" s="5" cm="1">
        <f t="array" ref="T961">MIN(IF((DiscreteStatsTable[GroupByKey]=DiscreteStatsTable[[#This Row],[GroupByKey]]),(DiscreteStatsTable[GroupByKey]=DiscreteStatsTable[[#This Row],[GroupByKey]])*DiscreteStatsTable[Minimum]))</f>
        <v>0</v>
      </c>
      <c r="U961" s="5" cm="1">
        <f t="array" ref="U961">MAX(IF((DiscreteStatsTable[GroupByKey]=DiscreteStatsTable[[#This Row],[GroupByKey]]),(DiscreteStatsTable[GroupByKey]=DiscreteStatsTable[[#This Row],[GroupByKey]])*DiscreteStatsTable[Maximum]))</f>
        <v>1</v>
      </c>
      <c r="V961" s="5" cm="1">
        <f t="array" ref="V961">IFERROR(AVERAGE(IF((DiscreteStatsTable[GroupByKey]=DiscreteStatsTable[[#This Row],[GroupByKey]]),(DiscreteStatsTable[GroupByKey]=DiscreteStatsTable[[#This Row],[GroupByKey]])*DiscreteStatsTable[NumberObservations])),0)</f>
        <v>1</v>
      </c>
      <c r="W961" s="5">
        <f>IF((DiscreteStatsTable[[#This Row],[RepsRequested]]&gt;1),DiscreteStatsTable[[#This Row],[HalfWidth]],DiscreteStatsTable[[#This Row],[BatchMeansHalfWidth]])</f>
        <v>0.18056796448973789</v>
      </c>
      <c r="X961" s="5" cm="1">
        <f t="array" ref="X961">COUNT(IF((DiscreteStatsTable[GroupByKey]=DiscreteStatsTable[[#This Row],[GroupByKey]]),(DiscreteStatsTable[GroupByKey]=DiscreteStatsTable[[#This Row],[GroupByKey]])*DiscreteStatsTable[Replication]))</f>
        <v>19</v>
      </c>
      <c r="Y961" s="5">
        <f>IF(DiscreteStatsTable[[#This Row],[RepsRequested]]=DiscreteStatsTable[[#This Row],[RepsWithStatObserved]],1,0)</f>
        <v>1</v>
      </c>
    </row>
    <row r="962" spans="1:25" x14ac:dyDescent="0.25">
      <c r="A962" t="s">
        <v>67</v>
      </c>
      <c r="B962" t="s">
        <v>69</v>
      </c>
      <c r="C962">
        <v>16</v>
      </c>
      <c r="D962" t="s">
        <v>121</v>
      </c>
      <c r="E962" t="s">
        <v>79</v>
      </c>
      <c r="F962" t="s">
        <v>80</v>
      </c>
      <c r="G962">
        <v>0</v>
      </c>
      <c r="H962">
        <v>2E+20</v>
      </c>
      <c r="I962">
        <v>0</v>
      </c>
      <c r="J962">
        <v>0</v>
      </c>
      <c r="K962">
        <v>1</v>
      </c>
      <c r="L96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compartida)UtilizacionCajeroH1ExpressionUser Specified</v>
      </c>
      <c r="M962" s="5" cm="1">
        <f t="array" ref="M962">MAX(IF((ProjectInfoTable[ProjectName]=DiscreteStatsTable[[#This Row],[ProjectName]]),(ProjectInfoTable[ProjectName]=DiscreteStatsTable[[#This Row],[ProjectName]])*ProjectInfoTable[NumberOfReplications]))</f>
        <v>19</v>
      </c>
      <c r="N962" s="5" cm="1">
        <f t="array" ref="N962">IFERROR(AVERAGE(IF((DiscreteStatsTable[GroupByKey]=DiscreteStatsTable[[#This Row],[GroupByKey]]),(DiscreteStatsTable[GroupByKey]=DiscreteStatsTable[[#This Row],[GroupByKey]])*DiscreteStatsTable[Average])),0)</f>
        <v>0.84210526315789469</v>
      </c>
      <c r="O962" s="5" cm="1">
        <f t="array" ref="O962">IFERROR(_xlfn.STDEV.S(IF((DiscreteStatsTable[GroupByKey]=DiscreteStatsTable[[#This Row],[GroupByKey]]),(DiscreteStatsTable[GroupByKey]=DiscreteStatsTable[[#This Row],[GroupByKey]])*DiscreteStatsTable[Average])),0)</f>
        <v>0.37463432463267765</v>
      </c>
      <c r="P962" s="5" cm="1">
        <f t="array" ref="P962">MAX(IF((ProjectInfoTable[ProjectName]=DiscreteStatsTable[[#This Row],[ProjectName]]),(ProjectInfoTable[ProjectName]=DiscreteStatsTable[[#This Row],[ProjectName]])*ProjectInfoTable[ConfidenceInterval]))</f>
        <v>0.95</v>
      </c>
      <c r="Q962" s="5">
        <f>IF(AND(DiscreteStatsTable[[#This Row],[RepsWithStatObserved]]=1,Y962=0),200000000000000000000,IFERROR(_xlfn.T.INV.2T(1 -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0.18056796448973789</v>
      </c>
      <c r="R962" s="5" cm="1">
        <f t="array" ref="R962">MIN(IF((DiscreteStatsTable[GroupByKey]=DiscreteStatsTable[[#This Row],[GroupByKey]]),(DiscreteStatsTable[GroupByKey]=DiscreteStatsTable[[#This Row],[GroupByKey]])*DiscreteStatsTable[Average]))</f>
        <v>0</v>
      </c>
      <c r="S962" s="5" cm="1">
        <f t="array" ref="S962">MAX(IF((DiscreteStatsTable[GroupByKey]=DiscreteStatsTable[[#This Row],[GroupByKey]]),(DiscreteStatsTable[GroupByKey]=DiscreteStatsTable[[#This Row],[GroupByKey]])*DiscreteStatsTable[Average]))</f>
        <v>1</v>
      </c>
      <c r="T962" s="5" cm="1">
        <f t="array" ref="T962">MIN(IF((DiscreteStatsTable[GroupByKey]=DiscreteStatsTable[[#This Row],[GroupByKey]]),(DiscreteStatsTable[GroupByKey]=DiscreteStatsTable[[#This Row],[GroupByKey]])*DiscreteStatsTable[Minimum]))</f>
        <v>0</v>
      </c>
      <c r="U962" s="5" cm="1">
        <f t="array" ref="U962">MAX(IF((DiscreteStatsTable[GroupByKey]=DiscreteStatsTable[[#This Row],[GroupByKey]]),(DiscreteStatsTable[GroupByKey]=DiscreteStatsTable[[#This Row],[GroupByKey]])*DiscreteStatsTable[Maximum]))</f>
        <v>1</v>
      </c>
      <c r="V962" s="5" cm="1">
        <f t="array" ref="V962">IFERROR(AVERAGE(IF((DiscreteStatsTable[GroupByKey]=DiscreteStatsTable[[#This Row],[GroupByKey]]),(DiscreteStatsTable[GroupByKey]=DiscreteStatsTable[[#This Row],[GroupByKey]])*DiscreteStatsTable[NumberObservations])),0)</f>
        <v>1</v>
      </c>
      <c r="W962" s="5">
        <f>IF((DiscreteStatsTable[[#This Row],[RepsRequested]]&gt;1),DiscreteStatsTable[[#This Row],[HalfWidth]],DiscreteStatsTable[[#This Row],[BatchMeansHalfWidth]])</f>
        <v>0.18056796448973789</v>
      </c>
      <c r="X962" s="5" cm="1">
        <f t="array" ref="X962">COUNT(IF((DiscreteStatsTable[GroupByKey]=DiscreteStatsTable[[#This Row],[GroupByKey]]),(DiscreteStatsTable[GroupByKey]=DiscreteStatsTable[[#This Row],[GroupByKey]])*DiscreteStatsTable[Replication]))</f>
        <v>19</v>
      </c>
      <c r="Y962" s="5">
        <f>IF(DiscreteStatsTable[[#This Row],[RepsRequested]]=DiscreteStatsTable[[#This Row],[RepsWithStatObserved]],1,0)</f>
        <v>1</v>
      </c>
    </row>
    <row r="963" spans="1:25" x14ac:dyDescent="0.25">
      <c r="A963" t="s">
        <v>67</v>
      </c>
      <c r="B963" t="s">
        <v>69</v>
      </c>
      <c r="C963">
        <v>17</v>
      </c>
      <c r="D963" t="s">
        <v>121</v>
      </c>
      <c r="E963" t="s">
        <v>79</v>
      </c>
      <c r="F963" t="s">
        <v>80</v>
      </c>
      <c r="G963">
        <v>1</v>
      </c>
      <c r="H963">
        <v>2E+20</v>
      </c>
      <c r="I963">
        <v>1</v>
      </c>
      <c r="J963">
        <v>1</v>
      </c>
      <c r="K963">
        <v>1</v>
      </c>
      <c r="L96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compartida)UtilizacionCajeroH1ExpressionUser Specified</v>
      </c>
      <c r="M963" s="5" cm="1">
        <f t="array" ref="M963">MAX(IF((ProjectInfoTable[ProjectName]=DiscreteStatsTable[[#This Row],[ProjectName]]),(ProjectInfoTable[ProjectName]=DiscreteStatsTable[[#This Row],[ProjectName]])*ProjectInfoTable[NumberOfReplications]))</f>
        <v>19</v>
      </c>
      <c r="N963" s="5" cm="1">
        <f t="array" ref="N963">IFERROR(AVERAGE(IF((DiscreteStatsTable[GroupByKey]=DiscreteStatsTable[[#This Row],[GroupByKey]]),(DiscreteStatsTable[GroupByKey]=DiscreteStatsTable[[#This Row],[GroupByKey]])*DiscreteStatsTable[Average])),0)</f>
        <v>0.84210526315789469</v>
      </c>
      <c r="O963" s="5" cm="1">
        <f t="array" ref="O963">IFERROR(_xlfn.STDEV.S(IF((DiscreteStatsTable[GroupByKey]=DiscreteStatsTable[[#This Row],[GroupByKey]]),(DiscreteStatsTable[GroupByKey]=DiscreteStatsTable[[#This Row],[GroupByKey]])*DiscreteStatsTable[Average])),0)</f>
        <v>0.37463432463267765</v>
      </c>
      <c r="P963" s="5" cm="1">
        <f t="array" ref="P963">MAX(IF((ProjectInfoTable[ProjectName]=DiscreteStatsTable[[#This Row],[ProjectName]]),(ProjectInfoTable[ProjectName]=DiscreteStatsTable[[#This Row],[ProjectName]])*ProjectInfoTable[ConfidenceInterval]))</f>
        <v>0.95</v>
      </c>
      <c r="Q963" s="5">
        <f>IF(AND(DiscreteStatsTable[[#This Row],[RepsWithStatObserved]]=1,Y963=0),200000000000000000000,IFERROR(_xlfn.T.INV.2T(1 -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0.18056796448973789</v>
      </c>
      <c r="R963" s="5" cm="1">
        <f t="array" ref="R963">MIN(IF((DiscreteStatsTable[GroupByKey]=DiscreteStatsTable[[#This Row],[GroupByKey]]),(DiscreteStatsTable[GroupByKey]=DiscreteStatsTable[[#This Row],[GroupByKey]])*DiscreteStatsTable[Average]))</f>
        <v>0</v>
      </c>
      <c r="S963" s="5" cm="1">
        <f t="array" ref="S963">MAX(IF((DiscreteStatsTable[GroupByKey]=DiscreteStatsTable[[#This Row],[GroupByKey]]),(DiscreteStatsTable[GroupByKey]=DiscreteStatsTable[[#This Row],[GroupByKey]])*DiscreteStatsTable[Average]))</f>
        <v>1</v>
      </c>
      <c r="T963" s="5" cm="1">
        <f t="array" ref="T963">MIN(IF((DiscreteStatsTable[GroupByKey]=DiscreteStatsTable[[#This Row],[GroupByKey]]),(DiscreteStatsTable[GroupByKey]=DiscreteStatsTable[[#This Row],[GroupByKey]])*DiscreteStatsTable[Minimum]))</f>
        <v>0</v>
      </c>
      <c r="U963" s="5" cm="1">
        <f t="array" ref="U963">MAX(IF((DiscreteStatsTable[GroupByKey]=DiscreteStatsTable[[#This Row],[GroupByKey]]),(DiscreteStatsTable[GroupByKey]=DiscreteStatsTable[[#This Row],[GroupByKey]])*DiscreteStatsTable[Maximum]))</f>
        <v>1</v>
      </c>
      <c r="V963" s="5" cm="1">
        <f t="array" ref="V963">IFERROR(AVERAGE(IF((DiscreteStatsTable[GroupByKey]=DiscreteStatsTable[[#This Row],[GroupByKey]]),(DiscreteStatsTable[GroupByKey]=DiscreteStatsTable[[#This Row],[GroupByKey]])*DiscreteStatsTable[NumberObservations])),0)</f>
        <v>1</v>
      </c>
      <c r="W963" s="5">
        <f>IF((DiscreteStatsTable[[#This Row],[RepsRequested]]&gt;1),DiscreteStatsTable[[#This Row],[HalfWidth]],DiscreteStatsTable[[#This Row],[BatchMeansHalfWidth]])</f>
        <v>0.18056796448973789</v>
      </c>
      <c r="X963" s="5" cm="1">
        <f t="array" ref="X963">COUNT(IF((DiscreteStatsTable[GroupByKey]=DiscreteStatsTable[[#This Row],[GroupByKey]]),(DiscreteStatsTable[GroupByKey]=DiscreteStatsTable[[#This Row],[GroupByKey]])*DiscreteStatsTable[Replication]))</f>
        <v>19</v>
      </c>
      <c r="Y963" s="5">
        <f>IF(DiscreteStatsTable[[#This Row],[RepsRequested]]=DiscreteStatsTable[[#This Row],[RepsWithStatObserved]],1,0)</f>
        <v>1</v>
      </c>
    </row>
    <row r="964" spans="1:25" x14ac:dyDescent="0.25">
      <c r="A964" t="s">
        <v>67</v>
      </c>
      <c r="B964" t="s">
        <v>69</v>
      </c>
      <c r="C964">
        <v>18</v>
      </c>
      <c r="D964" t="s">
        <v>121</v>
      </c>
      <c r="E964" t="s">
        <v>79</v>
      </c>
      <c r="F964" t="s">
        <v>80</v>
      </c>
      <c r="G964">
        <v>1</v>
      </c>
      <c r="H964">
        <v>2E+20</v>
      </c>
      <c r="I964">
        <v>1</v>
      </c>
      <c r="J964">
        <v>1</v>
      </c>
      <c r="K964">
        <v>1</v>
      </c>
      <c r="L96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compartida)UtilizacionCajeroH1ExpressionUser Specified</v>
      </c>
      <c r="M964" s="5" cm="1">
        <f t="array" ref="M964">MAX(IF((ProjectInfoTable[ProjectName]=DiscreteStatsTable[[#This Row],[ProjectName]]),(ProjectInfoTable[ProjectName]=DiscreteStatsTable[[#This Row],[ProjectName]])*ProjectInfoTable[NumberOfReplications]))</f>
        <v>19</v>
      </c>
      <c r="N964" s="5" cm="1">
        <f t="array" ref="N964">IFERROR(AVERAGE(IF((DiscreteStatsTable[GroupByKey]=DiscreteStatsTable[[#This Row],[GroupByKey]]),(DiscreteStatsTable[GroupByKey]=DiscreteStatsTable[[#This Row],[GroupByKey]])*DiscreteStatsTable[Average])),0)</f>
        <v>0.84210526315789469</v>
      </c>
      <c r="O964" s="5" cm="1">
        <f t="array" ref="O964">IFERROR(_xlfn.STDEV.S(IF((DiscreteStatsTable[GroupByKey]=DiscreteStatsTable[[#This Row],[GroupByKey]]),(DiscreteStatsTable[GroupByKey]=DiscreteStatsTable[[#This Row],[GroupByKey]])*DiscreteStatsTable[Average])),0)</f>
        <v>0.37463432463267765</v>
      </c>
      <c r="P964" s="5" cm="1">
        <f t="array" ref="P964">MAX(IF((ProjectInfoTable[ProjectName]=DiscreteStatsTable[[#This Row],[ProjectName]]),(ProjectInfoTable[ProjectName]=DiscreteStatsTable[[#This Row],[ProjectName]])*ProjectInfoTable[ConfidenceInterval]))</f>
        <v>0.95</v>
      </c>
      <c r="Q964" s="5">
        <f>IF(AND(DiscreteStatsTable[[#This Row],[RepsWithStatObserved]]=1,Y964=0),200000000000000000000,IFERROR(_xlfn.T.INV.2T(1 -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0.18056796448973789</v>
      </c>
      <c r="R964" s="5" cm="1">
        <f t="array" ref="R964">MIN(IF((DiscreteStatsTable[GroupByKey]=DiscreteStatsTable[[#This Row],[GroupByKey]]),(DiscreteStatsTable[GroupByKey]=DiscreteStatsTable[[#This Row],[GroupByKey]])*DiscreteStatsTable[Average]))</f>
        <v>0</v>
      </c>
      <c r="S964" s="5" cm="1">
        <f t="array" ref="S964">MAX(IF((DiscreteStatsTable[GroupByKey]=DiscreteStatsTable[[#This Row],[GroupByKey]]),(DiscreteStatsTable[GroupByKey]=DiscreteStatsTable[[#This Row],[GroupByKey]])*DiscreteStatsTable[Average]))</f>
        <v>1</v>
      </c>
      <c r="T964" s="5" cm="1">
        <f t="array" ref="T964">MIN(IF((DiscreteStatsTable[GroupByKey]=DiscreteStatsTable[[#This Row],[GroupByKey]]),(DiscreteStatsTable[GroupByKey]=DiscreteStatsTable[[#This Row],[GroupByKey]])*DiscreteStatsTable[Minimum]))</f>
        <v>0</v>
      </c>
      <c r="U964" s="5" cm="1">
        <f t="array" ref="U964">MAX(IF((DiscreteStatsTable[GroupByKey]=DiscreteStatsTable[[#This Row],[GroupByKey]]),(DiscreteStatsTable[GroupByKey]=DiscreteStatsTable[[#This Row],[GroupByKey]])*DiscreteStatsTable[Maximum]))</f>
        <v>1</v>
      </c>
      <c r="V964" s="5" cm="1">
        <f t="array" ref="V964">IFERROR(AVERAGE(IF((DiscreteStatsTable[GroupByKey]=DiscreteStatsTable[[#This Row],[GroupByKey]]),(DiscreteStatsTable[GroupByKey]=DiscreteStatsTable[[#This Row],[GroupByKey]])*DiscreteStatsTable[NumberObservations])),0)</f>
        <v>1</v>
      </c>
      <c r="W964" s="5">
        <f>IF((DiscreteStatsTable[[#This Row],[RepsRequested]]&gt;1),DiscreteStatsTable[[#This Row],[HalfWidth]],DiscreteStatsTable[[#This Row],[BatchMeansHalfWidth]])</f>
        <v>0.18056796448973789</v>
      </c>
      <c r="X964" s="5" cm="1">
        <f t="array" ref="X964">COUNT(IF((DiscreteStatsTable[GroupByKey]=DiscreteStatsTable[[#This Row],[GroupByKey]]),(DiscreteStatsTable[GroupByKey]=DiscreteStatsTable[[#This Row],[GroupByKey]])*DiscreteStatsTable[Replication]))</f>
        <v>19</v>
      </c>
      <c r="Y964" s="5">
        <f>IF(DiscreteStatsTable[[#This Row],[RepsRequested]]=DiscreteStatsTable[[#This Row],[RepsWithStatObserved]],1,0)</f>
        <v>1</v>
      </c>
    </row>
    <row r="965" spans="1:25" x14ac:dyDescent="0.25">
      <c r="A965" t="s">
        <v>67</v>
      </c>
      <c r="B965" t="s">
        <v>69</v>
      </c>
      <c r="C965">
        <v>19</v>
      </c>
      <c r="D965" t="s">
        <v>121</v>
      </c>
      <c r="E965" t="s">
        <v>79</v>
      </c>
      <c r="F965" t="s">
        <v>80</v>
      </c>
      <c r="G965">
        <v>1</v>
      </c>
      <c r="H965">
        <v>2E+20</v>
      </c>
      <c r="I965">
        <v>1</v>
      </c>
      <c r="J965">
        <v>1</v>
      </c>
      <c r="K965">
        <v>1</v>
      </c>
      <c r="L96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compartida)UtilizacionCajeroH1ExpressionUser Specified</v>
      </c>
      <c r="M965" s="5" cm="1">
        <f t="array" ref="M965">MAX(IF((ProjectInfoTable[ProjectName]=DiscreteStatsTable[[#This Row],[ProjectName]]),(ProjectInfoTable[ProjectName]=DiscreteStatsTable[[#This Row],[ProjectName]])*ProjectInfoTable[NumberOfReplications]))</f>
        <v>19</v>
      </c>
      <c r="N965" s="5" cm="1">
        <f t="array" ref="N965">IFERROR(AVERAGE(IF((DiscreteStatsTable[GroupByKey]=DiscreteStatsTable[[#This Row],[GroupByKey]]),(DiscreteStatsTable[GroupByKey]=DiscreteStatsTable[[#This Row],[GroupByKey]])*DiscreteStatsTable[Average])),0)</f>
        <v>0.84210526315789469</v>
      </c>
      <c r="O965" s="5" cm="1">
        <f t="array" ref="O965">IFERROR(_xlfn.STDEV.S(IF((DiscreteStatsTable[GroupByKey]=DiscreteStatsTable[[#This Row],[GroupByKey]]),(DiscreteStatsTable[GroupByKey]=DiscreteStatsTable[[#This Row],[GroupByKey]])*DiscreteStatsTable[Average])),0)</f>
        <v>0.37463432463267765</v>
      </c>
      <c r="P965" s="5" cm="1">
        <f t="array" ref="P965">MAX(IF((ProjectInfoTable[ProjectName]=DiscreteStatsTable[[#This Row],[ProjectName]]),(ProjectInfoTable[ProjectName]=DiscreteStatsTable[[#This Row],[ProjectName]])*ProjectInfoTable[ConfidenceInterval]))</f>
        <v>0.95</v>
      </c>
      <c r="Q965" s="5">
        <f>IF(AND(DiscreteStatsTable[[#This Row],[RepsWithStatObserved]]=1,Y965=0),200000000000000000000,IFERROR(_xlfn.T.INV.2T(1 -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0.18056796448973789</v>
      </c>
      <c r="R965" s="5" cm="1">
        <f t="array" ref="R965">MIN(IF((DiscreteStatsTable[GroupByKey]=DiscreteStatsTable[[#This Row],[GroupByKey]]),(DiscreteStatsTable[GroupByKey]=DiscreteStatsTable[[#This Row],[GroupByKey]])*DiscreteStatsTable[Average]))</f>
        <v>0</v>
      </c>
      <c r="S965" s="5" cm="1">
        <f t="array" ref="S965">MAX(IF((DiscreteStatsTable[GroupByKey]=DiscreteStatsTable[[#This Row],[GroupByKey]]),(DiscreteStatsTable[GroupByKey]=DiscreteStatsTable[[#This Row],[GroupByKey]])*DiscreteStatsTable[Average]))</f>
        <v>1</v>
      </c>
      <c r="T965" s="5" cm="1">
        <f t="array" ref="T965">MIN(IF((DiscreteStatsTable[GroupByKey]=DiscreteStatsTable[[#This Row],[GroupByKey]]),(DiscreteStatsTable[GroupByKey]=DiscreteStatsTable[[#This Row],[GroupByKey]])*DiscreteStatsTable[Minimum]))</f>
        <v>0</v>
      </c>
      <c r="U965" s="5" cm="1">
        <f t="array" ref="U965">MAX(IF((DiscreteStatsTable[GroupByKey]=DiscreteStatsTable[[#This Row],[GroupByKey]]),(DiscreteStatsTable[GroupByKey]=DiscreteStatsTable[[#This Row],[GroupByKey]])*DiscreteStatsTable[Maximum]))</f>
        <v>1</v>
      </c>
      <c r="V965" s="5" cm="1">
        <f t="array" ref="V965">IFERROR(AVERAGE(IF((DiscreteStatsTable[GroupByKey]=DiscreteStatsTable[[#This Row],[GroupByKey]]),(DiscreteStatsTable[GroupByKey]=DiscreteStatsTable[[#This Row],[GroupByKey]])*DiscreteStatsTable[NumberObservations])),0)</f>
        <v>1</v>
      </c>
      <c r="W965" s="5">
        <f>IF((DiscreteStatsTable[[#This Row],[RepsRequested]]&gt;1),DiscreteStatsTable[[#This Row],[HalfWidth]],DiscreteStatsTable[[#This Row],[BatchMeansHalfWidth]])</f>
        <v>0.18056796448973789</v>
      </c>
      <c r="X965" s="5" cm="1">
        <f t="array" ref="X965">COUNT(IF((DiscreteStatsTable[GroupByKey]=DiscreteStatsTable[[#This Row],[GroupByKey]]),(DiscreteStatsTable[GroupByKey]=DiscreteStatsTable[[#This Row],[GroupByKey]])*DiscreteStatsTable[Replication]))</f>
        <v>19</v>
      </c>
      <c r="Y965" s="5">
        <f>IF(DiscreteStatsTable[[#This Row],[RepsRequested]]=DiscreteStatsTable[[#This Row],[RepsWithStatObserved]],1,0)</f>
        <v>1</v>
      </c>
    </row>
    <row r="966" spans="1:25" x14ac:dyDescent="0.25">
      <c r="A966" t="s">
        <v>67</v>
      </c>
      <c r="B966" t="s">
        <v>69</v>
      </c>
      <c r="C966">
        <v>1</v>
      </c>
      <c r="D966" t="s">
        <v>122</v>
      </c>
      <c r="E966" t="s">
        <v>79</v>
      </c>
      <c r="F966" t="s">
        <v>80</v>
      </c>
      <c r="G966">
        <v>1</v>
      </c>
      <c r="H966">
        <v>2E+20</v>
      </c>
      <c r="I966">
        <v>1</v>
      </c>
      <c r="J966">
        <v>1</v>
      </c>
      <c r="K966">
        <v>1</v>
      </c>
      <c r="L96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compartida)UtilizacionCajeroH2ExpressionUser Specified</v>
      </c>
      <c r="M966" s="5" cm="1">
        <f t="array" ref="M966">MAX(IF((ProjectInfoTable[ProjectName]=DiscreteStatsTable[[#This Row],[ProjectName]]),(ProjectInfoTable[ProjectName]=DiscreteStatsTable[[#This Row],[ProjectName]])*ProjectInfoTable[NumberOfReplications]))</f>
        <v>19</v>
      </c>
      <c r="N966" s="5" cm="1">
        <f t="array" ref="N966">IFERROR(AVERAGE(IF((DiscreteStatsTable[GroupByKey]=DiscreteStatsTable[[#This Row],[GroupByKey]]),(DiscreteStatsTable[GroupByKey]=DiscreteStatsTable[[#This Row],[GroupByKey]])*DiscreteStatsTable[Average])),0)</f>
        <v>0.63157894736842102</v>
      </c>
      <c r="O966" s="5" cm="1">
        <f t="array" ref="O966">IFERROR(_xlfn.STDEV.S(IF((DiscreteStatsTable[GroupByKey]=DiscreteStatsTable[[#This Row],[GroupByKey]]),(DiscreteStatsTable[GroupByKey]=DiscreteStatsTable[[#This Row],[GroupByKey]])*DiscreteStatsTable[Average])),0)</f>
        <v>0.49559462778335212</v>
      </c>
      <c r="P966" s="5" cm="1">
        <f t="array" ref="P966">MAX(IF((ProjectInfoTable[ProjectName]=DiscreteStatsTable[[#This Row],[ProjectName]]),(ProjectInfoTable[ProjectName]=DiscreteStatsTable[[#This Row],[ProjectName]])*ProjectInfoTable[ConfidenceInterval]))</f>
        <v>0.95</v>
      </c>
      <c r="Q966" s="5">
        <f>IF(AND(DiscreteStatsTable[[#This Row],[RepsWithStatObserved]]=1,Y966=0),200000000000000000000,IFERROR(_xlfn.T.INV.2T(1 -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0.23886896439249422</v>
      </c>
      <c r="R966" s="5" cm="1">
        <f t="array" ref="R966">MIN(IF((DiscreteStatsTable[GroupByKey]=DiscreteStatsTable[[#This Row],[GroupByKey]]),(DiscreteStatsTable[GroupByKey]=DiscreteStatsTable[[#This Row],[GroupByKey]])*DiscreteStatsTable[Average]))</f>
        <v>0</v>
      </c>
      <c r="S966" s="5" cm="1">
        <f t="array" ref="S966">MAX(IF((DiscreteStatsTable[GroupByKey]=DiscreteStatsTable[[#This Row],[GroupByKey]]),(DiscreteStatsTable[GroupByKey]=DiscreteStatsTable[[#This Row],[GroupByKey]])*DiscreteStatsTable[Average]))</f>
        <v>1</v>
      </c>
      <c r="T966" s="5" cm="1">
        <f t="array" ref="T966">MIN(IF((DiscreteStatsTable[GroupByKey]=DiscreteStatsTable[[#This Row],[GroupByKey]]),(DiscreteStatsTable[GroupByKey]=DiscreteStatsTable[[#This Row],[GroupByKey]])*DiscreteStatsTable[Minimum]))</f>
        <v>0</v>
      </c>
      <c r="U966" s="5" cm="1">
        <f t="array" ref="U966">MAX(IF((DiscreteStatsTable[GroupByKey]=DiscreteStatsTable[[#This Row],[GroupByKey]]),(DiscreteStatsTable[GroupByKey]=DiscreteStatsTable[[#This Row],[GroupByKey]])*DiscreteStatsTable[Maximum]))</f>
        <v>1</v>
      </c>
      <c r="V966" s="5" cm="1">
        <f t="array" ref="V966">IFERROR(AVERAGE(IF((DiscreteStatsTable[GroupByKey]=DiscreteStatsTable[[#This Row],[GroupByKey]]),(DiscreteStatsTable[GroupByKey]=DiscreteStatsTable[[#This Row],[GroupByKey]])*DiscreteStatsTable[NumberObservations])),0)</f>
        <v>1</v>
      </c>
      <c r="W966" s="5">
        <f>IF((DiscreteStatsTable[[#This Row],[RepsRequested]]&gt;1),DiscreteStatsTable[[#This Row],[HalfWidth]],DiscreteStatsTable[[#This Row],[BatchMeansHalfWidth]])</f>
        <v>0.23886896439249422</v>
      </c>
      <c r="X966" s="5" cm="1">
        <f t="array" ref="X966">COUNT(IF((DiscreteStatsTable[GroupByKey]=DiscreteStatsTable[[#This Row],[GroupByKey]]),(DiscreteStatsTable[GroupByKey]=DiscreteStatsTable[[#This Row],[GroupByKey]])*DiscreteStatsTable[Replication]))</f>
        <v>19</v>
      </c>
      <c r="Y966" s="5">
        <f>IF(DiscreteStatsTable[[#This Row],[RepsRequested]]=DiscreteStatsTable[[#This Row],[RepsWithStatObserved]],1,0)</f>
        <v>1</v>
      </c>
    </row>
    <row r="967" spans="1:25" x14ac:dyDescent="0.25">
      <c r="A967" t="s">
        <v>67</v>
      </c>
      <c r="B967" t="s">
        <v>69</v>
      </c>
      <c r="C967">
        <v>2</v>
      </c>
      <c r="D967" t="s">
        <v>122</v>
      </c>
      <c r="E967" t="s">
        <v>79</v>
      </c>
      <c r="F967" t="s">
        <v>80</v>
      </c>
      <c r="G967">
        <v>0</v>
      </c>
      <c r="H967">
        <v>2E+20</v>
      </c>
      <c r="I967">
        <v>0</v>
      </c>
      <c r="J967">
        <v>0</v>
      </c>
      <c r="K967">
        <v>1</v>
      </c>
      <c r="L96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compartida)UtilizacionCajeroH2ExpressionUser Specified</v>
      </c>
      <c r="M967" s="5" cm="1">
        <f t="array" ref="M967">MAX(IF((ProjectInfoTable[ProjectName]=DiscreteStatsTable[[#This Row],[ProjectName]]),(ProjectInfoTable[ProjectName]=DiscreteStatsTable[[#This Row],[ProjectName]])*ProjectInfoTable[NumberOfReplications]))</f>
        <v>19</v>
      </c>
      <c r="N967" s="5" cm="1">
        <f t="array" ref="N967">IFERROR(AVERAGE(IF((DiscreteStatsTable[GroupByKey]=DiscreteStatsTable[[#This Row],[GroupByKey]]),(DiscreteStatsTable[GroupByKey]=DiscreteStatsTable[[#This Row],[GroupByKey]])*DiscreteStatsTable[Average])),0)</f>
        <v>0.63157894736842102</v>
      </c>
      <c r="O967" s="5" cm="1">
        <f t="array" ref="O967">IFERROR(_xlfn.STDEV.S(IF((DiscreteStatsTable[GroupByKey]=DiscreteStatsTable[[#This Row],[GroupByKey]]),(DiscreteStatsTable[GroupByKey]=DiscreteStatsTable[[#This Row],[GroupByKey]])*DiscreteStatsTable[Average])),0)</f>
        <v>0.49559462778335212</v>
      </c>
      <c r="P967" s="5" cm="1">
        <f t="array" ref="P967">MAX(IF((ProjectInfoTable[ProjectName]=DiscreteStatsTable[[#This Row],[ProjectName]]),(ProjectInfoTable[ProjectName]=DiscreteStatsTable[[#This Row],[ProjectName]])*ProjectInfoTable[ConfidenceInterval]))</f>
        <v>0.95</v>
      </c>
      <c r="Q967" s="5">
        <f>IF(AND(DiscreteStatsTable[[#This Row],[RepsWithStatObserved]]=1,Y967=0),200000000000000000000,IFERROR(_xlfn.T.INV.2T(1 -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0.23886896439249422</v>
      </c>
      <c r="R967" s="5" cm="1">
        <f t="array" ref="R967">MIN(IF((DiscreteStatsTable[GroupByKey]=DiscreteStatsTable[[#This Row],[GroupByKey]]),(DiscreteStatsTable[GroupByKey]=DiscreteStatsTable[[#This Row],[GroupByKey]])*DiscreteStatsTable[Average]))</f>
        <v>0</v>
      </c>
      <c r="S967" s="5" cm="1">
        <f t="array" ref="S967">MAX(IF((DiscreteStatsTable[GroupByKey]=DiscreteStatsTable[[#This Row],[GroupByKey]]),(DiscreteStatsTable[GroupByKey]=DiscreteStatsTable[[#This Row],[GroupByKey]])*DiscreteStatsTable[Average]))</f>
        <v>1</v>
      </c>
      <c r="T967" s="5" cm="1">
        <f t="array" ref="T967">MIN(IF((DiscreteStatsTable[GroupByKey]=DiscreteStatsTable[[#This Row],[GroupByKey]]),(DiscreteStatsTable[GroupByKey]=DiscreteStatsTable[[#This Row],[GroupByKey]])*DiscreteStatsTable[Minimum]))</f>
        <v>0</v>
      </c>
      <c r="U967" s="5" cm="1">
        <f t="array" ref="U967">MAX(IF((DiscreteStatsTable[GroupByKey]=DiscreteStatsTable[[#This Row],[GroupByKey]]),(DiscreteStatsTable[GroupByKey]=DiscreteStatsTable[[#This Row],[GroupByKey]])*DiscreteStatsTable[Maximum]))</f>
        <v>1</v>
      </c>
      <c r="V967" s="5" cm="1">
        <f t="array" ref="V967">IFERROR(AVERAGE(IF((DiscreteStatsTable[GroupByKey]=DiscreteStatsTable[[#This Row],[GroupByKey]]),(DiscreteStatsTable[GroupByKey]=DiscreteStatsTable[[#This Row],[GroupByKey]])*DiscreteStatsTable[NumberObservations])),0)</f>
        <v>1</v>
      </c>
      <c r="W967" s="5">
        <f>IF((DiscreteStatsTable[[#This Row],[RepsRequested]]&gt;1),DiscreteStatsTable[[#This Row],[HalfWidth]],DiscreteStatsTable[[#This Row],[BatchMeansHalfWidth]])</f>
        <v>0.23886896439249422</v>
      </c>
      <c r="X967" s="5" cm="1">
        <f t="array" ref="X967">COUNT(IF((DiscreteStatsTable[GroupByKey]=DiscreteStatsTable[[#This Row],[GroupByKey]]),(DiscreteStatsTable[GroupByKey]=DiscreteStatsTable[[#This Row],[GroupByKey]])*DiscreteStatsTable[Replication]))</f>
        <v>19</v>
      </c>
      <c r="Y967" s="5">
        <f>IF(DiscreteStatsTable[[#This Row],[RepsRequested]]=DiscreteStatsTable[[#This Row],[RepsWithStatObserved]],1,0)</f>
        <v>1</v>
      </c>
    </row>
    <row r="968" spans="1:25" x14ac:dyDescent="0.25">
      <c r="A968" t="s">
        <v>67</v>
      </c>
      <c r="B968" t="s">
        <v>69</v>
      </c>
      <c r="C968">
        <v>3</v>
      </c>
      <c r="D968" t="s">
        <v>122</v>
      </c>
      <c r="E968" t="s">
        <v>79</v>
      </c>
      <c r="F968" t="s">
        <v>80</v>
      </c>
      <c r="G968">
        <v>0</v>
      </c>
      <c r="H968">
        <v>2E+20</v>
      </c>
      <c r="I968">
        <v>0</v>
      </c>
      <c r="J968">
        <v>0</v>
      </c>
      <c r="K968">
        <v>1</v>
      </c>
      <c r="L96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compartida)UtilizacionCajeroH2ExpressionUser Specified</v>
      </c>
      <c r="M968" s="5" cm="1">
        <f t="array" ref="M968">MAX(IF((ProjectInfoTable[ProjectName]=DiscreteStatsTable[[#This Row],[ProjectName]]),(ProjectInfoTable[ProjectName]=DiscreteStatsTable[[#This Row],[ProjectName]])*ProjectInfoTable[NumberOfReplications]))</f>
        <v>19</v>
      </c>
      <c r="N968" s="5" cm="1">
        <f t="array" ref="N968">IFERROR(AVERAGE(IF((DiscreteStatsTable[GroupByKey]=DiscreteStatsTable[[#This Row],[GroupByKey]]),(DiscreteStatsTable[GroupByKey]=DiscreteStatsTable[[#This Row],[GroupByKey]])*DiscreteStatsTable[Average])),0)</f>
        <v>0.63157894736842102</v>
      </c>
      <c r="O968" s="5" cm="1">
        <f t="array" ref="O968">IFERROR(_xlfn.STDEV.S(IF((DiscreteStatsTable[GroupByKey]=DiscreteStatsTable[[#This Row],[GroupByKey]]),(DiscreteStatsTable[GroupByKey]=DiscreteStatsTable[[#This Row],[GroupByKey]])*DiscreteStatsTable[Average])),0)</f>
        <v>0.49559462778335212</v>
      </c>
      <c r="P968" s="5" cm="1">
        <f t="array" ref="P968">MAX(IF((ProjectInfoTable[ProjectName]=DiscreteStatsTable[[#This Row],[ProjectName]]),(ProjectInfoTable[ProjectName]=DiscreteStatsTable[[#This Row],[ProjectName]])*ProjectInfoTable[ConfidenceInterval]))</f>
        <v>0.95</v>
      </c>
      <c r="Q968" s="5">
        <f>IF(AND(DiscreteStatsTable[[#This Row],[RepsWithStatObserved]]=1,Y968=0),200000000000000000000,IFERROR(_xlfn.T.INV.2T(1 -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0.23886896439249422</v>
      </c>
      <c r="R968" s="5" cm="1">
        <f t="array" ref="R968">MIN(IF((DiscreteStatsTable[GroupByKey]=DiscreteStatsTable[[#This Row],[GroupByKey]]),(DiscreteStatsTable[GroupByKey]=DiscreteStatsTable[[#This Row],[GroupByKey]])*DiscreteStatsTable[Average]))</f>
        <v>0</v>
      </c>
      <c r="S968" s="5" cm="1">
        <f t="array" ref="S968">MAX(IF((DiscreteStatsTable[GroupByKey]=DiscreteStatsTable[[#This Row],[GroupByKey]]),(DiscreteStatsTable[GroupByKey]=DiscreteStatsTable[[#This Row],[GroupByKey]])*DiscreteStatsTable[Average]))</f>
        <v>1</v>
      </c>
      <c r="T968" s="5" cm="1">
        <f t="array" ref="T968">MIN(IF((DiscreteStatsTable[GroupByKey]=DiscreteStatsTable[[#This Row],[GroupByKey]]),(DiscreteStatsTable[GroupByKey]=DiscreteStatsTable[[#This Row],[GroupByKey]])*DiscreteStatsTable[Minimum]))</f>
        <v>0</v>
      </c>
      <c r="U968" s="5" cm="1">
        <f t="array" ref="U968">MAX(IF((DiscreteStatsTable[GroupByKey]=DiscreteStatsTable[[#This Row],[GroupByKey]]),(DiscreteStatsTable[GroupByKey]=DiscreteStatsTable[[#This Row],[GroupByKey]])*DiscreteStatsTable[Maximum]))</f>
        <v>1</v>
      </c>
      <c r="V968" s="5" cm="1">
        <f t="array" ref="V968">IFERROR(AVERAGE(IF((DiscreteStatsTable[GroupByKey]=DiscreteStatsTable[[#This Row],[GroupByKey]]),(DiscreteStatsTable[GroupByKey]=DiscreteStatsTable[[#This Row],[GroupByKey]])*DiscreteStatsTable[NumberObservations])),0)</f>
        <v>1</v>
      </c>
      <c r="W968" s="5">
        <f>IF((DiscreteStatsTable[[#This Row],[RepsRequested]]&gt;1),DiscreteStatsTable[[#This Row],[HalfWidth]],DiscreteStatsTable[[#This Row],[BatchMeansHalfWidth]])</f>
        <v>0.23886896439249422</v>
      </c>
      <c r="X968" s="5" cm="1">
        <f t="array" ref="X968">COUNT(IF((DiscreteStatsTable[GroupByKey]=DiscreteStatsTable[[#This Row],[GroupByKey]]),(DiscreteStatsTable[GroupByKey]=DiscreteStatsTable[[#This Row],[GroupByKey]])*DiscreteStatsTable[Replication]))</f>
        <v>19</v>
      </c>
      <c r="Y968" s="5">
        <f>IF(DiscreteStatsTable[[#This Row],[RepsRequested]]=DiscreteStatsTable[[#This Row],[RepsWithStatObserved]],1,0)</f>
        <v>1</v>
      </c>
    </row>
    <row r="969" spans="1:25" x14ac:dyDescent="0.25">
      <c r="A969" t="s">
        <v>67</v>
      </c>
      <c r="B969" t="s">
        <v>69</v>
      </c>
      <c r="C969">
        <v>4</v>
      </c>
      <c r="D969" t="s">
        <v>122</v>
      </c>
      <c r="E969" t="s">
        <v>79</v>
      </c>
      <c r="F969" t="s">
        <v>80</v>
      </c>
      <c r="G969">
        <v>1</v>
      </c>
      <c r="H969">
        <v>2E+20</v>
      </c>
      <c r="I969">
        <v>1</v>
      </c>
      <c r="J969">
        <v>1</v>
      </c>
      <c r="K969">
        <v>1</v>
      </c>
      <c r="L96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compartida)UtilizacionCajeroH2ExpressionUser Specified</v>
      </c>
      <c r="M969" s="5" cm="1">
        <f t="array" ref="M969">MAX(IF((ProjectInfoTable[ProjectName]=DiscreteStatsTable[[#This Row],[ProjectName]]),(ProjectInfoTable[ProjectName]=DiscreteStatsTable[[#This Row],[ProjectName]])*ProjectInfoTable[NumberOfReplications]))</f>
        <v>19</v>
      </c>
      <c r="N969" s="5" cm="1">
        <f t="array" ref="N969">IFERROR(AVERAGE(IF((DiscreteStatsTable[GroupByKey]=DiscreteStatsTable[[#This Row],[GroupByKey]]),(DiscreteStatsTable[GroupByKey]=DiscreteStatsTable[[#This Row],[GroupByKey]])*DiscreteStatsTable[Average])),0)</f>
        <v>0.63157894736842102</v>
      </c>
      <c r="O969" s="5" cm="1">
        <f t="array" ref="O969">IFERROR(_xlfn.STDEV.S(IF((DiscreteStatsTable[GroupByKey]=DiscreteStatsTable[[#This Row],[GroupByKey]]),(DiscreteStatsTable[GroupByKey]=DiscreteStatsTable[[#This Row],[GroupByKey]])*DiscreteStatsTable[Average])),0)</f>
        <v>0.49559462778335212</v>
      </c>
      <c r="P969" s="5" cm="1">
        <f t="array" ref="P969">MAX(IF((ProjectInfoTable[ProjectName]=DiscreteStatsTable[[#This Row],[ProjectName]]),(ProjectInfoTable[ProjectName]=DiscreteStatsTable[[#This Row],[ProjectName]])*ProjectInfoTable[ConfidenceInterval]))</f>
        <v>0.95</v>
      </c>
      <c r="Q969" s="5">
        <f>IF(AND(DiscreteStatsTable[[#This Row],[RepsWithStatObserved]]=1,Y969=0),200000000000000000000,IFERROR(_xlfn.T.INV.2T(1 -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0.23886896439249422</v>
      </c>
      <c r="R969" s="5" cm="1">
        <f t="array" ref="R969">MIN(IF((DiscreteStatsTable[GroupByKey]=DiscreteStatsTable[[#This Row],[GroupByKey]]),(DiscreteStatsTable[GroupByKey]=DiscreteStatsTable[[#This Row],[GroupByKey]])*DiscreteStatsTable[Average]))</f>
        <v>0</v>
      </c>
      <c r="S969" s="5" cm="1">
        <f t="array" ref="S969">MAX(IF((DiscreteStatsTable[GroupByKey]=DiscreteStatsTable[[#This Row],[GroupByKey]]),(DiscreteStatsTable[GroupByKey]=DiscreteStatsTable[[#This Row],[GroupByKey]])*DiscreteStatsTable[Average]))</f>
        <v>1</v>
      </c>
      <c r="T969" s="5" cm="1">
        <f t="array" ref="T969">MIN(IF((DiscreteStatsTable[GroupByKey]=DiscreteStatsTable[[#This Row],[GroupByKey]]),(DiscreteStatsTable[GroupByKey]=DiscreteStatsTable[[#This Row],[GroupByKey]])*DiscreteStatsTable[Minimum]))</f>
        <v>0</v>
      </c>
      <c r="U969" s="5" cm="1">
        <f t="array" ref="U969">MAX(IF((DiscreteStatsTable[GroupByKey]=DiscreteStatsTable[[#This Row],[GroupByKey]]),(DiscreteStatsTable[GroupByKey]=DiscreteStatsTable[[#This Row],[GroupByKey]])*DiscreteStatsTable[Maximum]))</f>
        <v>1</v>
      </c>
      <c r="V969" s="5" cm="1">
        <f t="array" ref="V969">IFERROR(AVERAGE(IF((DiscreteStatsTable[GroupByKey]=DiscreteStatsTable[[#This Row],[GroupByKey]]),(DiscreteStatsTable[GroupByKey]=DiscreteStatsTable[[#This Row],[GroupByKey]])*DiscreteStatsTable[NumberObservations])),0)</f>
        <v>1</v>
      </c>
      <c r="W969" s="5">
        <f>IF((DiscreteStatsTable[[#This Row],[RepsRequested]]&gt;1),DiscreteStatsTable[[#This Row],[HalfWidth]],DiscreteStatsTable[[#This Row],[BatchMeansHalfWidth]])</f>
        <v>0.23886896439249422</v>
      </c>
      <c r="X969" s="5" cm="1">
        <f t="array" ref="X969">COUNT(IF((DiscreteStatsTable[GroupByKey]=DiscreteStatsTable[[#This Row],[GroupByKey]]),(DiscreteStatsTable[GroupByKey]=DiscreteStatsTable[[#This Row],[GroupByKey]])*DiscreteStatsTable[Replication]))</f>
        <v>19</v>
      </c>
      <c r="Y969" s="5">
        <f>IF(DiscreteStatsTable[[#This Row],[RepsRequested]]=DiscreteStatsTable[[#This Row],[RepsWithStatObserved]],1,0)</f>
        <v>1</v>
      </c>
    </row>
    <row r="970" spans="1:25" x14ac:dyDescent="0.25">
      <c r="A970" t="s">
        <v>67</v>
      </c>
      <c r="B970" t="s">
        <v>69</v>
      </c>
      <c r="C970">
        <v>5</v>
      </c>
      <c r="D970" t="s">
        <v>122</v>
      </c>
      <c r="E970" t="s">
        <v>79</v>
      </c>
      <c r="F970" t="s">
        <v>80</v>
      </c>
      <c r="G970">
        <v>0</v>
      </c>
      <c r="H970">
        <v>2E+20</v>
      </c>
      <c r="I970">
        <v>0</v>
      </c>
      <c r="J970">
        <v>0</v>
      </c>
      <c r="K970">
        <v>1</v>
      </c>
      <c r="L97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compartida)UtilizacionCajeroH2ExpressionUser Specified</v>
      </c>
      <c r="M970" s="5" cm="1">
        <f t="array" ref="M970">MAX(IF((ProjectInfoTable[ProjectName]=DiscreteStatsTable[[#This Row],[ProjectName]]),(ProjectInfoTable[ProjectName]=DiscreteStatsTable[[#This Row],[ProjectName]])*ProjectInfoTable[NumberOfReplications]))</f>
        <v>19</v>
      </c>
      <c r="N970" s="5" cm="1">
        <f t="array" ref="N970">IFERROR(AVERAGE(IF((DiscreteStatsTable[GroupByKey]=DiscreteStatsTable[[#This Row],[GroupByKey]]),(DiscreteStatsTable[GroupByKey]=DiscreteStatsTable[[#This Row],[GroupByKey]])*DiscreteStatsTable[Average])),0)</f>
        <v>0.63157894736842102</v>
      </c>
      <c r="O970" s="5" cm="1">
        <f t="array" ref="O970">IFERROR(_xlfn.STDEV.S(IF((DiscreteStatsTable[GroupByKey]=DiscreteStatsTable[[#This Row],[GroupByKey]]),(DiscreteStatsTable[GroupByKey]=DiscreteStatsTable[[#This Row],[GroupByKey]])*DiscreteStatsTable[Average])),0)</f>
        <v>0.49559462778335212</v>
      </c>
      <c r="P970" s="5" cm="1">
        <f t="array" ref="P970">MAX(IF((ProjectInfoTable[ProjectName]=DiscreteStatsTable[[#This Row],[ProjectName]]),(ProjectInfoTable[ProjectName]=DiscreteStatsTable[[#This Row],[ProjectName]])*ProjectInfoTable[ConfidenceInterval]))</f>
        <v>0.95</v>
      </c>
      <c r="Q970" s="5">
        <f>IF(AND(DiscreteStatsTable[[#This Row],[RepsWithStatObserved]]=1,Y970=0),200000000000000000000,IFERROR(_xlfn.T.INV.2T(1 -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0.23886896439249422</v>
      </c>
      <c r="R970" s="5" cm="1">
        <f t="array" ref="R970">MIN(IF((DiscreteStatsTable[GroupByKey]=DiscreteStatsTable[[#This Row],[GroupByKey]]),(DiscreteStatsTable[GroupByKey]=DiscreteStatsTable[[#This Row],[GroupByKey]])*DiscreteStatsTable[Average]))</f>
        <v>0</v>
      </c>
      <c r="S970" s="5" cm="1">
        <f t="array" ref="S970">MAX(IF((DiscreteStatsTable[GroupByKey]=DiscreteStatsTable[[#This Row],[GroupByKey]]),(DiscreteStatsTable[GroupByKey]=DiscreteStatsTable[[#This Row],[GroupByKey]])*DiscreteStatsTable[Average]))</f>
        <v>1</v>
      </c>
      <c r="T970" s="5" cm="1">
        <f t="array" ref="T970">MIN(IF((DiscreteStatsTable[GroupByKey]=DiscreteStatsTable[[#This Row],[GroupByKey]]),(DiscreteStatsTable[GroupByKey]=DiscreteStatsTable[[#This Row],[GroupByKey]])*DiscreteStatsTable[Minimum]))</f>
        <v>0</v>
      </c>
      <c r="U970" s="5" cm="1">
        <f t="array" ref="U970">MAX(IF((DiscreteStatsTable[GroupByKey]=DiscreteStatsTable[[#This Row],[GroupByKey]]),(DiscreteStatsTable[GroupByKey]=DiscreteStatsTable[[#This Row],[GroupByKey]])*DiscreteStatsTable[Maximum]))</f>
        <v>1</v>
      </c>
      <c r="V970" s="5" cm="1">
        <f t="array" ref="V970">IFERROR(AVERAGE(IF((DiscreteStatsTable[GroupByKey]=DiscreteStatsTable[[#This Row],[GroupByKey]]),(DiscreteStatsTable[GroupByKey]=DiscreteStatsTable[[#This Row],[GroupByKey]])*DiscreteStatsTable[NumberObservations])),0)</f>
        <v>1</v>
      </c>
      <c r="W970" s="5">
        <f>IF((DiscreteStatsTable[[#This Row],[RepsRequested]]&gt;1),DiscreteStatsTable[[#This Row],[HalfWidth]],DiscreteStatsTable[[#This Row],[BatchMeansHalfWidth]])</f>
        <v>0.23886896439249422</v>
      </c>
      <c r="X970" s="5" cm="1">
        <f t="array" ref="X970">COUNT(IF((DiscreteStatsTable[GroupByKey]=DiscreteStatsTable[[#This Row],[GroupByKey]]),(DiscreteStatsTable[GroupByKey]=DiscreteStatsTable[[#This Row],[GroupByKey]])*DiscreteStatsTable[Replication]))</f>
        <v>19</v>
      </c>
      <c r="Y970" s="5">
        <f>IF(DiscreteStatsTable[[#This Row],[RepsRequested]]=DiscreteStatsTable[[#This Row],[RepsWithStatObserved]],1,0)</f>
        <v>1</v>
      </c>
    </row>
    <row r="971" spans="1:25" x14ac:dyDescent="0.25">
      <c r="A971" t="s">
        <v>67</v>
      </c>
      <c r="B971" t="s">
        <v>69</v>
      </c>
      <c r="C971">
        <v>6</v>
      </c>
      <c r="D971" t="s">
        <v>122</v>
      </c>
      <c r="E971" t="s">
        <v>79</v>
      </c>
      <c r="F971" t="s">
        <v>80</v>
      </c>
      <c r="G971">
        <v>0</v>
      </c>
      <c r="H971">
        <v>2E+20</v>
      </c>
      <c r="I971">
        <v>0</v>
      </c>
      <c r="J971">
        <v>0</v>
      </c>
      <c r="K971">
        <v>1</v>
      </c>
      <c r="L97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compartida)UtilizacionCajeroH2ExpressionUser Specified</v>
      </c>
      <c r="M971" s="5" cm="1">
        <f t="array" ref="M971">MAX(IF((ProjectInfoTable[ProjectName]=DiscreteStatsTable[[#This Row],[ProjectName]]),(ProjectInfoTable[ProjectName]=DiscreteStatsTable[[#This Row],[ProjectName]])*ProjectInfoTable[NumberOfReplications]))</f>
        <v>19</v>
      </c>
      <c r="N971" s="5" cm="1">
        <f t="array" ref="N971">IFERROR(AVERAGE(IF((DiscreteStatsTable[GroupByKey]=DiscreteStatsTable[[#This Row],[GroupByKey]]),(DiscreteStatsTable[GroupByKey]=DiscreteStatsTable[[#This Row],[GroupByKey]])*DiscreteStatsTable[Average])),0)</f>
        <v>0.63157894736842102</v>
      </c>
      <c r="O971" s="5" cm="1">
        <f t="array" ref="O971">IFERROR(_xlfn.STDEV.S(IF((DiscreteStatsTable[GroupByKey]=DiscreteStatsTable[[#This Row],[GroupByKey]]),(DiscreteStatsTable[GroupByKey]=DiscreteStatsTable[[#This Row],[GroupByKey]])*DiscreteStatsTable[Average])),0)</f>
        <v>0.49559462778335212</v>
      </c>
      <c r="P971" s="5" cm="1">
        <f t="array" ref="P971">MAX(IF((ProjectInfoTable[ProjectName]=DiscreteStatsTable[[#This Row],[ProjectName]]),(ProjectInfoTable[ProjectName]=DiscreteStatsTable[[#This Row],[ProjectName]])*ProjectInfoTable[ConfidenceInterval]))</f>
        <v>0.95</v>
      </c>
      <c r="Q971" s="5">
        <f>IF(AND(DiscreteStatsTable[[#This Row],[RepsWithStatObserved]]=1,Y971=0),200000000000000000000,IFERROR(_xlfn.T.INV.2T(1 -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0.23886896439249422</v>
      </c>
      <c r="R971" s="5" cm="1">
        <f t="array" ref="R971">MIN(IF((DiscreteStatsTable[GroupByKey]=DiscreteStatsTable[[#This Row],[GroupByKey]]),(DiscreteStatsTable[GroupByKey]=DiscreteStatsTable[[#This Row],[GroupByKey]])*DiscreteStatsTable[Average]))</f>
        <v>0</v>
      </c>
      <c r="S971" s="5" cm="1">
        <f t="array" ref="S971">MAX(IF((DiscreteStatsTable[GroupByKey]=DiscreteStatsTable[[#This Row],[GroupByKey]]),(DiscreteStatsTable[GroupByKey]=DiscreteStatsTable[[#This Row],[GroupByKey]])*DiscreteStatsTable[Average]))</f>
        <v>1</v>
      </c>
      <c r="T971" s="5" cm="1">
        <f t="array" ref="T971">MIN(IF((DiscreteStatsTable[GroupByKey]=DiscreteStatsTable[[#This Row],[GroupByKey]]),(DiscreteStatsTable[GroupByKey]=DiscreteStatsTable[[#This Row],[GroupByKey]])*DiscreteStatsTable[Minimum]))</f>
        <v>0</v>
      </c>
      <c r="U971" s="5" cm="1">
        <f t="array" ref="U971">MAX(IF((DiscreteStatsTable[GroupByKey]=DiscreteStatsTable[[#This Row],[GroupByKey]]),(DiscreteStatsTable[GroupByKey]=DiscreteStatsTable[[#This Row],[GroupByKey]])*DiscreteStatsTable[Maximum]))</f>
        <v>1</v>
      </c>
      <c r="V971" s="5" cm="1">
        <f t="array" ref="V971">IFERROR(AVERAGE(IF((DiscreteStatsTable[GroupByKey]=DiscreteStatsTable[[#This Row],[GroupByKey]]),(DiscreteStatsTable[GroupByKey]=DiscreteStatsTable[[#This Row],[GroupByKey]])*DiscreteStatsTable[NumberObservations])),0)</f>
        <v>1</v>
      </c>
      <c r="W971" s="5">
        <f>IF((DiscreteStatsTable[[#This Row],[RepsRequested]]&gt;1),DiscreteStatsTable[[#This Row],[HalfWidth]],DiscreteStatsTable[[#This Row],[BatchMeansHalfWidth]])</f>
        <v>0.23886896439249422</v>
      </c>
      <c r="X971" s="5" cm="1">
        <f t="array" ref="X971">COUNT(IF((DiscreteStatsTable[GroupByKey]=DiscreteStatsTable[[#This Row],[GroupByKey]]),(DiscreteStatsTable[GroupByKey]=DiscreteStatsTable[[#This Row],[GroupByKey]])*DiscreteStatsTable[Replication]))</f>
        <v>19</v>
      </c>
      <c r="Y971" s="5">
        <f>IF(DiscreteStatsTable[[#This Row],[RepsRequested]]=DiscreteStatsTable[[#This Row],[RepsWithStatObserved]],1,0)</f>
        <v>1</v>
      </c>
    </row>
    <row r="972" spans="1:25" x14ac:dyDescent="0.25">
      <c r="A972" t="s">
        <v>67</v>
      </c>
      <c r="B972" t="s">
        <v>69</v>
      </c>
      <c r="C972">
        <v>7</v>
      </c>
      <c r="D972" t="s">
        <v>122</v>
      </c>
      <c r="E972" t="s">
        <v>79</v>
      </c>
      <c r="F972" t="s">
        <v>80</v>
      </c>
      <c r="G972">
        <v>0</v>
      </c>
      <c r="H972">
        <v>2E+20</v>
      </c>
      <c r="I972">
        <v>0</v>
      </c>
      <c r="J972">
        <v>0</v>
      </c>
      <c r="K972">
        <v>1</v>
      </c>
      <c r="L97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compartida)UtilizacionCajeroH2ExpressionUser Specified</v>
      </c>
      <c r="M972" s="5" cm="1">
        <f t="array" ref="M972">MAX(IF((ProjectInfoTable[ProjectName]=DiscreteStatsTable[[#This Row],[ProjectName]]),(ProjectInfoTable[ProjectName]=DiscreteStatsTable[[#This Row],[ProjectName]])*ProjectInfoTable[NumberOfReplications]))</f>
        <v>19</v>
      </c>
      <c r="N972" s="5" cm="1">
        <f t="array" ref="N972">IFERROR(AVERAGE(IF((DiscreteStatsTable[GroupByKey]=DiscreteStatsTable[[#This Row],[GroupByKey]]),(DiscreteStatsTable[GroupByKey]=DiscreteStatsTable[[#This Row],[GroupByKey]])*DiscreteStatsTable[Average])),0)</f>
        <v>0.63157894736842102</v>
      </c>
      <c r="O972" s="5" cm="1">
        <f t="array" ref="O972">IFERROR(_xlfn.STDEV.S(IF((DiscreteStatsTable[GroupByKey]=DiscreteStatsTable[[#This Row],[GroupByKey]]),(DiscreteStatsTable[GroupByKey]=DiscreteStatsTable[[#This Row],[GroupByKey]])*DiscreteStatsTable[Average])),0)</f>
        <v>0.49559462778335212</v>
      </c>
      <c r="P972" s="5" cm="1">
        <f t="array" ref="P972">MAX(IF((ProjectInfoTable[ProjectName]=DiscreteStatsTable[[#This Row],[ProjectName]]),(ProjectInfoTable[ProjectName]=DiscreteStatsTable[[#This Row],[ProjectName]])*ProjectInfoTable[ConfidenceInterval]))</f>
        <v>0.95</v>
      </c>
      <c r="Q972" s="5">
        <f>IF(AND(DiscreteStatsTable[[#This Row],[RepsWithStatObserved]]=1,Y972=0),200000000000000000000,IFERROR(_xlfn.T.INV.2T(1 -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0.23886896439249422</v>
      </c>
      <c r="R972" s="5" cm="1">
        <f t="array" ref="R972">MIN(IF((DiscreteStatsTable[GroupByKey]=DiscreteStatsTable[[#This Row],[GroupByKey]]),(DiscreteStatsTable[GroupByKey]=DiscreteStatsTable[[#This Row],[GroupByKey]])*DiscreteStatsTable[Average]))</f>
        <v>0</v>
      </c>
      <c r="S972" s="5" cm="1">
        <f t="array" ref="S972">MAX(IF((DiscreteStatsTable[GroupByKey]=DiscreteStatsTable[[#This Row],[GroupByKey]]),(DiscreteStatsTable[GroupByKey]=DiscreteStatsTable[[#This Row],[GroupByKey]])*DiscreteStatsTable[Average]))</f>
        <v>1</v>
      </c>
      <c r="T972" s="5" cm="1">
        <f t="array" ref="T972">MIN(IF((DiscreteStatsTable[GroupByKey]=DiscreteStatsTable[[#This Row],[GroupByKey]]),(DiscreteStatsTable[GroupByKey]=DiscreteStatsTable[[#This Row],[GroupByKey]])*DiscreteStatsTable[Minimum]))</f>
        <v>0</v>
      </c>
      <c r="U972" s="5" cm="1">
        <f t="array" ref="U972">MAX(IF((DiscreteStatsTable[GroupByKey]=DiscreteStatsTable[[#This Row],[GroupByKey]]),(DiscreteStatsTable[GroupByKey]=DiscreteStatsTable[[#This Row],[GroupByKey]])*DiscreteStatsTable[Maximum]))</f>
        <v>1</v>
      </c>
      <c r="V972" s="5" cm="1">
        <f t="array" ref="V972">IFERROR(AVERAGE(IF((DiscreteStatsTable[GroupByKey]=DiscreteStatsTable[[#This Row],[GroupByKey]]),(DiscreteStatsTable[GroupByKey]=DiscreteStatsTable[[#This Row],[GroupByKey]])*DiscreteStatsTable[NumberObservations])),0)</f>
        <v>1</v>
      </c>
      <c r="W972" s="5">
        <f>IF((DiscreteStatsTable[[#This Row],[RepsRequested]]&gt;1),DiscreteStatsTable[[#This Row],[HalfWidth]],DiscreteStatsTable[[#This Row],[BatchMeansHalfWidth]])</f>
        <v>0.23886896439249422</v>
      </c>
      <c r="X972" s="5" cm="1">
        <f t="array" ref="X972">COUNT(IF((DiscreteStatsTable[GroupByKey]=DiscreteStatsTable[[#This Row],[GroupByKey]]),(DiscreteStatsTable[GroupByKey]=DiscreteStatsTable[[#This Row],[GroupByKey]])*DiscreteStatsTable[Replication]))</f>
        <v>19</v>
      </c>
      <c r="Y972" s="5">
        <f>IF(DiscreteStatsTable[[#This Row],[RepsRequested]]=DiscreteStatsTable[[#This Row],[RepsWithStatObserved]],1,0)</f>
        <v>1</v>
      </c>
    </row>
    <row r="973" spans="1:25" x14ac:dyDescent="0.25">
      <c r="A973" t="s">
        <v>67</v>
      </c>
      <c r="B973" t="s">
        <v>69</v>
      </c>
      <c r="C973">
        <v>8</v>
      </c>
      <c r="D973" t="s">
        <v>122</v>
      </c>
      <c r="E973" t="s">
        <v>79</v>
      </c>
      <c r="F973" t="s">
        <v>80</v>
      </c>
      <c r="G973">
        <v>1</v>
      </c>
      <c r="H973">
        <v>2E+20</v>
      </c>
      <c r="I973">
        <v>1</v>
      </c>
      <c r="J973">
        <v>1</v>
      </c>
      <c r="K973">
        <v>1</v>
      </c>
      <c r="L97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compartida)UtilizacionCajeroH2ExpressionUser Specified</v>
      </c>
      <c r="M973" s="5" cm="1">
        <f t="array" ref="M973">MAX(IF((ProjectInfoTable[ProjectName]=DiscreteStatsTable[[#This Row],[ProjectName]]),(ProjectInfoTable[ProjectName]=DiscreteStatsTable[[#This Row],[ProjectName]])*ProjectInfoTable[NumberOfReplications]))</f>
        <v>19</v>
      </c>
      <c r="N973" s="5" cm="1">
        <f t="array" ref="N973">IFERROR(AVERAGE(IF((DiscreteStatsTable[GroupByKey]=DiscreteStatsTable[[#This Row],[GroupByKey]]),(DiscreteStatsTable[GroupByKey]=DiscreteStatsTable[[#This Row],[GroupByKey]])*DiscreteStatsTable[Average])),0)</f>
        <v>0.63157894736842102</v>
      </c>
      <c r="O973" s="5" cm="1">
        <f t="array" ref="O973">IFERROR(_xlfn.STDEV.S(IF((DiscreteStatsTable[GroupByKey]=DiscreteStatsTable[[#This Row],[GroupByKey]]),(DiscreteStatsTable[GroupByKey]=DiscreteStatsTable[[#This Row],[GroupByKey]])*DiscreteStatsTable[Average])),0)</f>
        <v>0.49559462778335212</v>
      </c>
      <c r="P973" s="5" cm="1">
        <f t="array" ref="P973">MAX(IF((ProjectInfoTable[ProjectName]=DiscreteStatsTable[[#This Row],[ProjectName]]),(ProjectInfoTable[ProjectName]=DiscreteStatsTable[[#This Row],[ProjectName]])*ProjectInfoTable[ConfidenceInterval]))</f>
        <v>0.95</v>
      </c>
      <c r="Q973" s="5">
        <f>IF(AND(DiscreteStatsTable[[#This Row],[RepsWithStatObserved]]=1,Y973=0),200000000000000000000,IFERROR(_xlfn.T.INV.2T(1 -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0.23886896439249422</v>
      </c>
      <c r="R973" s="5" cm="1">
        <f t="array" ref="R973">MIN(IF((DiscreteStatsTable[GroupByKey]=DiscreteStatsTable[[#This Row],[GroupByKey]]),(DiscreteStatsTable[GroupByKey]=DiscreteStatsTable[[#This Row],[GroupByKey]])*DiscreteStatsTable[Average]))</f>
        <v>0</v>
      </c>
      <c r="S973" s="5" cm="1">
        <f t="array" ref="S973">MAX(IF((DiscreteStatsTable[GroupByKey]=DiscreteStatsTable[[#This Row],[GroupByKey]]),(DiscreteStatsTable[GroupByKey]=DiscreteStatsTable[[#This Row],[GroupByKey]])*DiscreteStatsTable[Average]))</f>
        <v>1</v>
      </c>
      <c r="T973" s="5" cm="1">
        <f t="array" ref="T973">MIN(IF((DiscreteStatsTable[GroupByKey]=DiscreteStatsTable[[#This Row],[GroupByKey]]),(DiscreteStatsTable[GroupByKey]=DiscreteStatsTable[[#This Row],[GroupByKey]])*DiscreteStatsTable[Minimum]))</f>
        <v>0</v>
      </c>
      <c r="U973" s="5" cm="1">
        <f t="array" ref="U973">MAX(IF((DiscreteStatsTable[GroupByKey]=DiscreteStatsTable[[#This Row],[GroupByKey]]),(DiscreteStatsTable[GroupByKey]=DiscreteStatsTable[[#This Row],[GroupByKey]])*DiscreteStatsTable[Maximum]))</f>
        <v>1</v>
      </c>
      <c r="V973" s="5" cm="1">
        <f t="array" ref="V973">IFERROR(AVERAGE(IF((DiscreteStatsTable[GroupByKey]=DiscreteStatsTable[[#This Row],[GroupByKey]]),(DiscreteStatsTable[GroupByKey]=DiscreteStatsTable[[#This Row],[GroupByKey]])*DiscreteStatsTable[NumberObservations])),0)</f>
        <v>1</v>
      </c>
      <c r="W973" s="5">
        <f>IF((DiscreteStatsTable[[#This Row],[RepsRequested]]&gt;1),DiscreteStatsTable[[#This Row],[HalfWidth]],DiscreteStatsTable[[#This Row],[BatchMeansHalfWidth]])</f>
        <v>0.23886896439249422</v>
      </c>
      <c r="X973" s="5" cm="1">
        <f t="array" ref="X973">COUNT(IF((DiscreteStatsTable[GroupByKey]=DiscreteStatsTable[[#This Row],[GroupByKey]]),(DiscreteStatsTable[GroupByKey]=DiscreteStatsTable[[#This Row],[GroupByKey]])*DiscreteStatsTable[Replication]))</f>
        <v>19</v>
      </c>
      <c r="Y973" s="5">
        <f>IF(DiscreteStatsTable[[#This Row],[RepsRequested]]=DiscreteStatsTable[[#This Row],[RepsWithStatObserved]],1,0)</f>
        <v>1</v>
      </c>
    </row>
    <row r="974" spans="1:25" x14ac:dyDescent="0.25">
      <c r="A974" t="s">
        <v>67</v>
      </c>
      <c r="B974" t="s">
        <v>69</v>
      </c>
      <c r="C974">
        <v>9</v>
      </c>
      <c r="D974" t="s">
        <v>122</v>
      </c>
      <c r="E974" t="s">
        <v>79</v>
      </c>
      <c r="F974" t="s">
        <v>80</v>
      </c>
      <c r="G974">
        <v>1</v>
      </c>
      <c r="H974">
        <v>2E+20</v>
      </c>
      <c r="I974">
        <v>1</v>
      </c>
      <c r="J974">
        <v>1</v>
      </c>
      <c r="K974">
        <v>1</v>
      </c>
      <c r="L97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compartida)UtilizacionCajeroH2ExpressionUser Specified</v>
      </c>
      <c r="M974" s="5" cm="1">
        <f t="array" ref="M974">MAX(IF((ProjectInfoTable[ProjectName]=DiscreteStatsTable[[#This Row],[ProjectName]]),(ProjectInfoTable[ProjectName]=DiscreteStatsTable[[#This Row],[ProjectName]])*ProjectInfoTable[NumberOfReplications]))</f>
        <v>19</v>
      </c>
      <c r="N974" s="5" cm="1">
        <f t="array" ref="N974">IFERROR(AVERAGE(IF((DiscreteStatsTable[GroupByKey]=DiscreteStatsTable[[#This Row],[GroupByKey]]),(DiscreteStatsTable[GroupByKey]=DiscreteStatsTable[[#This Row],[GroupByKey]])*DiscreteStatsTable[Average])),0)</f>
        <v>0.63157894736842102</v>
      </c>
      <c r="O974" s="5" cm="1">
        <f t="array" ref="O974">IFERROR(_xlfn.STDEV.S(IF((DiscreteStatsTable[GroupByKey]=DiscreteStatsTable[[#This Row],[GroupByKey]]),(DiscreteStatsTable[GroupByKey]=DiscreteStatsTable[[#This Row],[GroupByKey]])*DiscreteStatsTable[Average])),0)</f>
        <v>0.49559462778335212</v>
      </c>
      <c r="P974" s="5" cm="1">
        <f t="array" ref="P974">MAX(IF((ProjectInfoTable[ProjectName]=DiscreteStatsTable[[#This Row],[ProjectName]]),(ProjectInfoTable[ProjectName]=DiscreteStatsTable[[#This Row],[ProjectName]])*ProjectInfoTable[ConfidenceInterval]))</f>
        <v>0.95</v>
      </c>
      <c r="Q974" s="5">
        <f>IF(AND(DiscreteStatsTable[[#This Row],[RepsWithStatObserved]]=1,Y974=0),200000000000000000000,IFERROR(_xlfn.T.INV.2T(1 -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0.23886896439249422</v>
      </c>
      <c r="R974" s="5" cm="1">
        <f t="array" ref="R974">MIN(IF((DiscreteStatsTable[GroupByKey]=DiscreteStatsTable[[#This Row],[GroupByKey]]),(DiscreteStatsTable[GroupByKey]=DiscreteStatsTable[[#This Row],[GroupByKey]])*DiscreteStatsTable[Average]))</f>
        <v>0</v>
      </c>
      <c r="S974" s="5" cm="1">
        <f t="array" ref="S974">MAX(IF((DiscreteStatsTable[GroupByKey]=DiscreteStatsTable[[#This Row],[GroupByKey]]),(DiscreteStatsTable[GroupByKey]=DiscreteStatsTable[[#This Row],[GroupByKey]])*DiscreteStatsTable[Average]))</f>
        <v>1</v>
      </c>
      <c r="T974" s="5" cm="1">
        <f t="array" ref="T974">MIN(IF((DiscreteStatsTable[GroupByKey]=DiscreteStatsTable[[#This Row],[GroupByKey]]),(DiscreteStatsTable[GroupByKey]=DiscreteStatsTable[[#This Row],[GroupByKey]])*DiscreteStatsTable[Minimum]))</f>
        <v>0</v>
      </c>
      <c r="U974" s="5" cm="1">
        <f t="array" ref="U974">MAX(IF((DiscreteStatsTable[GroupByKey]=DiscreteStatsTable[[#This Row],[GroupByKey]]),(DiscreteStatsTable[GroupByKey]=DiscreteStatsTable[[#This Row],[GroupByKey]])*DiscreteStatsTable[Maximum]))</f>
        <v>1</v>
      </c>
      <c r="V974" s="5" cm="1">
        <f t="array" ref="V974">IFERROR(AVERAGE(IF((DiscreteStatsTable[GroupByKey]=DiscreteStatsTable[[#This Row],[GroupByKey]]),(DiscreteStatsTable[GroupByKey]=DiscreteStatsTable[[#This Row],[GroupByKey]])*DiscreteStatsTable[NumberObservations])),0)</f>
        <v>1</v>
      </c>
      <c r="W974" s="5">
        <f>IF((DiscreteStatsTable[[#This Row],[RepsRequested]]&gt;1),DiscreteStatsTable[[#This Row],[HalfWidth]],DiscreteStatsTable[[#This Row],[BatchMeansHalfWidth]])</f>
        <v>0.23886896439249422</v>
      </c>
      <c r="X974" s="5" cm="1">
        <f t="array" ref="X974">COUNT(IF((DiscreteStatsTable[GroupByKey]=DiscreteStatsTable[[#This Row],[GroupByKey]]),(DiscreteStatsTable[GroupByKey]=DiscreteStatsTable[[#This Row],[GroupByKey]])*DiscreteStatsTable[Replication]))</f>
        <v>19</v>
      </c>
      <c r="Y974" s="5">
        <f>IF(DiscreteStatsTable[[#This Row],[RepsRequested]]=DiscreteStatsTable[[#This Row],[RepsWithStatObserved]],1,0)</f>
        <v>1</v>
      </c>
    </row>
    <row r="975" spans="1:25" x14ac:dyDescent="0.25">
      <c r="A975" t="s">
        <v>67</v>
      </c>
      <c r="B975" t="s">
        <v>69</v>
      </c>
      <c r="C975">
        <v>10</v>
      </c>
      <c r="D975" t="s">
        <v>122</v>
      </c>
      <c r="E975" t="s">
        <v>79</v>
      </c>
      <c r="F975" t="s">
        <v>80</v>
      </c>
      <c r="G975">
        <v>1</v>
      </c>
      <c r="H975">
        <v>2E+20</v>
      </c>
      <c r="I975">
        <v>1</v>
      </c>
      <c r="J975">
        <v>1</v>
      </c>
      <c r="K975">
        <v>1</v>
      </c>
      <c r="L97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compartida)UtilizacionCajeroH2ExpressionUser Specified</v>
      </c>
      <c r="M975" s="5" cm="1">
        <f t="array" ref="M975">MAX(IF((ProjectInfoTable[ProjectName]=DiscreteStatsTable[[#This Row],[ProjectName]]),(ProjectInfoTable[ProjectName]=DiscreteStatsTable[[#This Row],[ProjectName]])*ProjectInfoTable[NumberOfReplications]))</f>
        <v>19</v>
      </c>
      <c r="N975" s="5" cm="1">
        <f t="array" ref="N975">IFERROR(AVERAGE(IF((DiscreteStatsTable[GroupByKey]=DiscreteStatsTable[[#This Row],[GroupByKey]]),(DiscreteStatsTable[GroupByKey]=DiscreteStatsTable[[#This Row],[GroupByKey]])*DiscreteStatsTable[Average])),0)</f>
        <v>0.63157894736842102</v>
      </c>
      <c r="O975" s="5" cm="1">
        <f t="array" ref="O975">IFERROR(_xlfn.STDEV.S(IF((DiscreteStatsTable[GroupByKey]=DiscreteStatsTable[[#This Row],[GroupByKey]]),(DiscreteStatsTable[GroupByKey]=DiscreteStatsTable[[#This Row],[GroupByKey]])*DiscreteStatsTable[Average])),0)</f>
        <v>0.49559462778335212</v>
      </c>
      <c r="P975" s="5" cm="1">
        <f t="array" ref="P975">MAX(IF((ProjectInfoTable[ProjectName]=DiscreteStatsTable[[#This Row],[ProjectName]]),(ProjectInfoTable[ProjectName]=DiscreteStatsTable[[#This Row],[ProjectName]])*ProjectInfoTable[ConfidenceInterval]))</f>
        <v>0.95</v>
      </c>
      <c r="Q975" s="5">
        <f>IF(AND(DiscreteStatsTable[[#This Row],[RepsWithStatObserved]]=1,Y975=0),200000000000000000000,IFERROR(_xlfn.T.INV.2T(1 -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0.23886896439249422</v>
      </c>
      <c r="R975" s="5" cm="1">
        <f t="array" ref="R975">MIN(IF((DiscreteStatsTable[GroupByKey]=DiscreteStatsTable[[#This Row],[GroupByKey]]),(DiscreteStatsTable[GroupByKey]=DiscreteStatsTable[[#This Row],[GroupByKey]])*DiscreteStatsTable[Average]))</f>
        <v>0</v>
      </c>
      <c r="S975" s="5" cm="1">
        <f t="array" ref="S975">MAX(IF((DiscreteStatsTable[GroupByKey]=DiscreteStatsTable[[#This Row],[GroupByKey]]),(DiscreteStatsTable[GroupByKey]=DiscreteStatsTable[[#This Row],[GroupByKey]])*DiscreteStatsTable[Average]))</f>
        <v>1</v>
      </c>
      <c r="T975" s="5" cm="1">
        <f t="array" ref="T975">MIN(IF((DiscreteStatsTable[GroupByKey]=DiscreteStatsTable[[#This Row],[GroupByKey]]),(DiscreteStatsTable[GroupByKey]=DiscreteStatsTable[[#This Row],[GroupByKey]])*DiscreteStatsTable[Minimum]))</f>
        <v>0</v>
      </c>
      <c r="U975" s="5" cm="1">
        <f t="array" ref="U975">MAX(IF((DiscreteStatsTable[GroupByKey]=DiscreteStatsTable[[#This Row],[GroupByKey]]),(DiscreteStatsTable[GroupByKey]=DiscreteStatsTable[[#This Row],[GroupByKey]])*DiscreteStatsTable[Maximum]))</f>
        <v>1</v>
      </c>
      <c r="V975" s="5" cm="1">
        <f t="array" ref="V975">IFERROR(AVERAGE(IF((DiscreteStatsTable[GroupByKey]=DiscreteStatsTable[[#This Row],[GroupByKey]]),(DiscreteStatsTable[GroupByKey]=DiscreteStatsTable[[#This Row],[GroupByKey]])*DiscreteStatsTable[NumberObservations])),0)</f>
        <v>1</v>
      </c>
      <c r="W975" s="5">
        <f>IF((DiscreteStatsTable[[#This Row],[RepsRequested]]&gt;1),DiscreteStatsTable[[#This Row],[HalfWidth]],DiscreteStatsTable[[#This Row],[BatchMeansHalfWidth]])</f>
        <v>0.23886896439249422</v>
      </c>
      <c r="X975" s="5" cm="1">
        <f t="array" ref="X975">COUNT(IF((DiscreteStatsTable[GroupByKey]=DiscreteStatsTable[[#This Row],[GroupByKey]]),(DiscreteStatsTable[GroupByKey]=DiscreteStatsTable[[#This Row],[GroupByKey]])*DiscreteStatsTable[Replication]))</f>
        <v>19</v>
      </c>
      <c r="Y975" s="5">
        <f>IF(DiscreteStatsTable[[#This Row],[RepsRequested]]=DiscreteStatsTable[[#This Row],[RepsWithStatObserved]],1,0)</f>
        <v>1</v>
      </c>
    </row>
    <row r="976" spans="1:25" x14ac:dyDescent="0.25">
      <c r="A976" t="s">
        <v>67</v>
      </c>
      <c r="B976" t="s">
        <v>69</v>
      </c>
      <c r="C976">
        <v>11</v>
      </c>
      <c r="D976" t="s">
        <v>122</v>
      </c>
      <c r="E976" t="s">
        <v>79</v>
      </c>
      <c r="F976" t="s">
        <v>80</v>
      </c>
      <c r="G976">
        <v>1</v>
      </c>
      <c r="H976">
        <v>2E+20</v>
      </c>
      <c r="I976">
        <v>1</v>
      </c>
      <c r="J976">
        <v>1</v>
      </c>
      <c r="K976">
        <v>1</v>
      </c>
      <c r="L97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compartida)UtilizacionCajeroH2ExpressionUser Specified</v>
      </c>
      <c r="M976" s="5" cm="1">
        <f t="array" ref="M976">MAX(IF((ProjectInfoTable[ProjectName]=DiscreteStatsTable[[#This Row],[ProjectName]]),(ProjectInfoTable[ProjectName]=DiscreteStatsTable[[#This Row],[ProjectName]])*ProjectInfoTable[NumberOfReplications]))</f>
        <v>19</v>
      </c>
      <c r="N976" s="5" cm="1">
        <f t="array" ref="N976">IFERROR(AVERAGE(IF((DiscreteStatsTable[GroupByKey]=DiscreteStatsTable[[#This Row],[GroupByKey]]),(DiscreteStatsTable[GroupByKey]=DiscreteStatsTable[[#This Row],[GroupByKey]])*DiscreteStatsTable[Average])),0)</f>
        <v>0.63157894736842102</v>
      </c>
      <c r="O976" s="5" cm="1">
        <f t="array" ref="O976">IFERROR(_xlfn.STDEV.S(IF((DiscreteStatsTable[GroupByKey]=DiscreteStatsTable[[#This Row],[GroupByKey]]),(DiscreteStatsTable[GroupByKey]=DiscreteStatsTable[[#This Row],[GroupByKey]])*DiscreteStatsTable[Average])),0)</f>
        <v>0.49559462778335212</v>
      </c>
      <c r="P976" s="5" cm="1">
        <f t="array" ref="P976">MAX(IF((ProjectInfoTable[ProjectName]=DiscreteStatsTable[[#This Row],[ProjectName]]),(ProjectInfoTable[ProjectName]=DiscreteStatsTable[[#This Row],[ProjectName]])*ProjectInfoTable[ConfidenceInterval]))</f>
        <v>0.95</v>
      </c>
      <c r="Q976" s="5">
        <f>IF(AND(DiscreteStatsTable[[#This Row],[RepsWithStatObserved]]=1,Y976=0),200000000000000000000,IFERROR(_xlfn.T.INV.2T(1 -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0.23886896439249422</v>
      </c>
      <c r="R976" s="5" cm="1">
        <f t="array" ref="R976">MIN(IF((DiscreteStatsTable[GroupByKey]=DiscreteStatsTable[[#This Row],[GroupByKey]]),(DiscreteStatsTable[GroupByKey]=DiscreteStatsTable[[#This Row],[GroupByKey]])*DiscreteStatsTable[Average]))</f>
        <v>0</v>
      </c>
      <c r="S976" s="5" cm="1">
        <f t="array" ref="S976">MAX(IF((DiscreteStatsTable[GroupByKey]=DiscreteStatsTable[[#This Row],[GroupByKey]]),(DiscreteStatsTable[GroupByKey]=DiscreteStatsTable[[#This Row],[GroupByKey]])*DiscreteStatsTable[Average]))</f>
        <v>1</v>
      </c>
      <c r="T976" s="5" cm="1">
        <f t="array" ref="T976">MIN(IF((DiscreteStatsTable[GroupByKey]=DiscreteStatsTable[[#This Row],[GroupByKey]]),(DiscreteStatsTable[GroupByKey]=DiscreteStatsTable[[#This Row],[GroupByKey]])*DiscreteStatsTable[Minimum]))</f>
        <v>0</v>
      </c>
      <c r="U976" s="5" cm="1">
        <f t="array" ref="U976">MAX(IF((DiscreteStatsTable[GroupByKey]=DiscreteStatsTable[[#This Row],[GroupByKey]]),(DiscreteStatsTable[GroupByKey]=DiscreteStatsTable[[#This Row],[GroupByKey]])*DiscreteStatsTable[Maximum]))</f>
        <v>1</v>
      </c>
      <c r="V976" s="5" cm="1">
        <f t="array" ref="V976">IFERROR(AVERAGE(IF((DiscreteStatsTable[GroupByKey]=DiscreteStatsTable[[#This Row],[GroupByKey]]),(DiscreteStatsTable[GroupByKey]=DiscreteStatsTable[[#This Row],[GroupByKey]])*DiscreteStatsTable[NumberObservations])),0)</f>
        <v>1</v>
      </c>
      <c r="W976" s="5">
        <f>IF((DiscreteStatsTable[[#This Row],[RepsRequested]]&gt;1),DiscreteStatsTable[[#This Row],[HalfWidth]],DiscreteStatsTable[[#This Row],[BatchMeansHalfWidth]])</f>
        <v>0.23886896439249422</v>
      </c>
      <c r="X976" s="5" cm="1">
        <f t="array" ref="X976">COUNT(IF((DiscreteStatsTable[GroupByKey]=DiscreteStatsTable[[#This Row],[GroupByKey]]),(DiscreteStatsTable[GroupByKey]=DiscreteStatsTable[[#This Row],[GroupByKey]])*DiscreteStatsTable[Replication]))</f>
        <v>19</v>
      </c>
      <c r="Y976" s="5">
        <f>IF(DiscreteStatsTable[[#This Row],[RepsRequested]]=DiscreteStatsTable[[#This Row],[RepsWithStatObserved]],1,0)</f>
        <v>1</v>
      </c>
    </row>
    <row r="977" spans="1:25" x14ac:dyDescent="0.25">
      <c r="A977" t="s">
        <v>67</v>
      </c>
      <c r="B977" t="s">
        <v>69</v>
      </c>
      <c r="C977">
        <v>12</v>
      </c>
      <c r="D977" t="s">
        <v>122</v>
      </c>
      <c r="E977" t="s">
        <v>79</v>
      </c>
      <c r="F977" t="s">
        <v>80</v>
      </c>
      <c r="G977">
        <v>1</v>
      </c>
      <c r="H977">
        <v>2E+20</v>
      </c>
      <c r="I977">
        <v>1</v>
      </c>
      <c r="J977">
        <v>1</v>
      </c>
      <c r="K977">
        <v>1</v>
      </c>
      <c r="L97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compartida)UtilizacionCajeroH2ExpressionUser Specified</v>
      </c>
      <c r="M977" s="5" cm="1">
        <f t="array" ref="M977">MAX(IF((ProjectInfoTable[ProjectName]=DiscreteStatsTable[[#This Row],[ProjectName]]),(ProjectInfoTable[ProjectName]=DiscreteStatsTable[[#This Row],[ProjectName]])*ProjectInfoTable[NumberOfReplications]))</f>
        <v>19</v>
      </c>
      <c r="N977" s="5" cm="1">
        <f t="array" ref="N977">IFERROR(AVERAGE(IF((DiscreteStatsTable[GroupByKey]=DiscreteStatsTable[[#This Row],[GroupByKey]]),(DiscreteStatsTable[GroupByKey]=DiscreteStatsTable[[#This Row],[GroupByKey]])*DiscreteStatsTable[Average])),0)</f>
        <v>0.63157894736842102</v>
      </c>
      <c r="O977" s="5" cm="1">
        <f t="array" ref="O977">IFERROR(_xlfn.STDEV.S(IF((DiscreteStatsTable[GroupByKey]=DiscreteStatsTable[[#This Row],[GroupByKey]]),(DiscreteStatsTable[GroupByKey]=DiscreteStatsTable[[#This Row],[GroupByKey]])*DiscreteStatsTable[Average])),0)</f>
        <v>0.49559462778335212</v>
      </c>
      <c r="P977" s="5" cm="1">
        <f t="array" ref="P977">MAX(IF((ProjectInfoTable[ProjectName]=DiscreteStatsTable[[#This Row],[ProjectName]]),(ProjectInfoTable[ProjectName]=DiscreteStatsTable[[#This Row],[ProjectName]])*ProjectInfoTable[ConfidenceInterval]))</f>
        <v>0.95</v>
      </c>
      <c r="Q977" s="5">
        <f>IF(AND(DiscreteStatsTable[[#This Row],[RepsWithStatObserved]]=1,Y977=0),200000000000000000000,IFERROR(_xlfn.T.INV.2T(1 -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0.23886896439249422</v>
      </c>
      <c r="R977" s="5" cm="1">
        <f t="array" ref="R977">MIN(IF((DiscreteStatsTable[GroupByKey]=DiscreteStatsTable[[#This Row],[GroupByKey]]),(DiscreteStatsTable[GroupByKey]=DiscreteStatsTable[[#This Row],[GroupByKey]])*DiscreteStatsTable[Average]))</f>
        <v>0</v>
      </c>
      <c r="S977" s="5" cm="1">
        <f t="array" ref="S977">MAX(IF((DiscreteStatsTable[GroupByKey]=DiscreteStatsTable[[#This Row],[GroupByKey]]),(DiscreteStatsTable[GroupByKey]=DiscreteStatsTable[[#This Row],[GroupByKey]])*DiscreteStatsTable[Average]))</f>
        <v>1</v>
      </c>
      <c r="T977" s="5" cm="1">
        <f t="array" ref="T977">MIN(IF((DiscreteStatsTable[GroupByKey]=DiscreteStatsTable[[#This Row],[GroupByKey]]),(DiscreteStatsTable[GroupByKey]=DiscreteStatsTable[[#This Row],[GroupByKey]])*DiscreteStatsTable[Minimum]))</f>
        <v>0</v>
      </c>
      <c r="U977" s="5" cm="1">
        <f t="array" ref="U977">MAX(IF((DiscreteStatsTable[GroupByKey]=DiscreteStatsTable[[#This Row],[GroupByKey]]),(DiscreteStatsTable[GroupByKey]=DiscreteStatsTable[[#This Row],[GroupByKey]])*DiscreteStatsTable[Maximum]))</f>
        <v>1</v>
      </c>
      <c r="V977" s="5" cm="1">
        <f t="array" ref="V977">IFERROR(AVERAGE(IF((DiscreteStatsTable[GroupByKey]=DiscreteStatsTable[[#This Row],[GroupByKey]]),(DiscreteStatsTable[GroupByKey]=DiscreteStatsTable[[#This Row],[GroupByKey]])*DiscreteStatsTable[NumberObservations])),0)</f>
        <v>1</v>
      </c>
      <c r="W977" s="5">
        <f>IF((DiscreteStatsTable[[#This Row],[RepsRequested]]&gt;1),DiscreteStatsTable[[#This Row],[HalfWidth]],DiscreteStatsTable[[#This Row],[BatchMeansHalfWidth]])</f>
        <v>0.23886896439249422</v>
      </c>
      <c r="X977" s="5" cm="1">
        <f t="array" ref="X977">COUNT(IF((DiscreteStatsTable[GroupByKey]=DiscreteStatsTable[[#This Row],[GroupByKey]]),(DiscreteStatsTable[GroupByKey]=DiscreteStatsTable[[#This Row],[GroupByKey]])*DiscreteStatsTable[Replication]))</f>
        <v>19</v>
      </c>
      <c r="Y977" s="5">
        <f>IF(DiscreteStatsTable[[#This Row],[RepsRequested]]=DiscreteStatsTable[[#This Row],[RepsWithStatObserved]],1,0)</f>
        <v>1</v>
      </c>
    </row>
    <row r="978" spans="1:25" x14ac:dyDescent="0.25">
      <c r="A978" t="s">
        <v>67</v>
      </c>
      <c r="B978" t="s">
        <v>69</v>
      </c>
      <c r="C978">
        <v>13</v>
      </c>
      <c r="D978" t="s">
        <v>122</v>
      </c>
      <c r="E978" t="s">
        <v>79</v>
      </c>
      <c r="F978" t="s">
        <v>80</v>
      </c>
      <c r="G978">
        <v>1</v>
      </c>
      <c r="H978">
        <v>2E+20</v>
      </c>
      <c r="I978">
        <v>1</v>
      </c>
      <c r="J978">
        <v>1</v>
      </c>
      <c r="K978">
        <v>1</v>
      </c>
      <c r="L97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compartida)UtilizacionCajeroH2ExpressionUser Specified</v>
      </c>
      <c r="M978" s="5" cm="1">
        <f t="array" ref="M978">MAX(IF((ProjectInfoTable[ProjectName]=DiscreteStatsTable[[#This Row],[ProjectName]]),(ProjectInfoTable[ProjectName]=DiscreteStatsTable[[#This Row],[ProjectName]])*ProjectInfoTable[NumberOfReplications]))</f>
        <v>19</v>
      </c>
      <c r="N978" s="5" cm="1">
        <f t="array" ref="N978">IFERROR(AVERAGE(IF((DiscreteStatsTable[GroupByKey]=DiscreteStatsTable[[#This Row],[GroupByKey]]),(DiscreteStatsTable[GroupByKey]=DiscreteStatsTable[[#This Row],[GroupByKey]])*DiscreteStatsTable[Average])),0)</f>
        <v>0.63157894736842102</v>
      </c>
      <c r="O978" s="5" cm="1">
        <f t="array" ref="O978">IFERROR(_xlfn.STDEV.S(IF((DiscreteStatsTable[GroupByKey]=DiscreteStatsTable[[#This Row],[GroupByKey]]),(DiscreteStatsTable[GroupByKey]=DiscreteStatsTable[[#This Row],[GroupByKey]])*DiscreteStatsTable[Average])),0)</f>
        <v>0.49559462778335212</v>
      </c>
      <c r="P978" s="5" cm="1">
        <f t="array" ref="P978">MAX(IF((ProjectInfoTable[ProjectName]=DiscreteStatsTable[[#This Row],[ProjectName]]),(ProjectInfoTable[ProjectName]=DiscreteStatsTable[[#This Row],[ProjectName]])*ProjectInfoTable[ConfidenceInterval]))</f>
        <v>0.95</v>
      </c>
      <c r="Q978" s="5">
        <f>IF(AND(DiscreteStatsTable[[#This Row],[RepsWithStatObserved]]=1,Y978=0),200000000000000000000,IFERROR(_xlfn.T.INV.2T(1 -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0.23886896439249422</v>
      </c>
      <c r="R978" s="5" cm="1">
        <f t="array" ref="R978">MIN(IF((DiscreteStatsTable[GroupByKey]=DiscreteStatsTable[[#This Row],[GroupByKey]]),(DiscreteStatsTable[GroupByKey]=DiscreteStatsTable[[#This Row],[GroupByKey]])*DiscreteStatsTable[Average]))</f>
        <v>0</v>
      </c>
      <c r="S978" s="5" cm="1">
        <f t="array" ref="S978">MAX(IF((DiscreteStatsTable[GroupByKey]=DiscreteStatsTable[[#This Row],[GroupByKey]]),(DiscreteStatsTable[GroupByKey]=DiscreteStatsTable[[#This Row],[GroupByKey]])*DiscreteStatsTable[Average]))</f>
        <v>1</v>
      </c>
      <c r="T978" s="5" cm="1">
        <f t="array" ref="T978">MIN(IF((DiscreteStatsTable[GroupByKey]=DiscreteStatsTable[[#This Row],[GroupByKey]]),(DiscreteStatsTable[GroupByKey]=DiscreteStatsTable[[#This Row],[GroupByKey]])*DiscreteStatsTable[Minimum]))</f>
        <v>0</v>
      </c>
      <c r="U978" s="5" cm="1">
        <f t="array" ref="U978">MAX(IF((DiscreteStatsTable[GroupByKey]=DiscreteStatsTable[[#This Row],[GroupByKey]]),(DiscreteStatsTable[GroupByKey]=DiscreteStatsTable[[#This Row],[GroupByKey]])*DiscreteStatsTable[Maximum]))</f>
        <v>1</v>
      </c>
      <c r="V978" s="5" cm="1">
        <f t="array" ref="V978">IFERROR(AVERAGE(IF((DiscreteStatsTable[GroupByKey]=DiscreteStatsTable[[#This Row],[GroupByKey]]),(DiscreteStatsTable[GroupByKey]=DiscreteStatsTable[[#This Row],[GroupByKey]])*DiscreteStatsTable[NumberObservations])),0)</f>
        <v>1</v>
      </c>
      <c r="W978" s="5">
        <f>IF((DiscreteStatsTable[[#This Row],[RepsRequested]]&gt;1),DiscreteStatsTable[[#This Row],[HalfWidth]],DiscreteStatsTable[[#This Row],[BatchMeansHalfWidth]])</f>
        <v>0.23886896439249422</v>
      </c>
      <c r="X978" s="5" cm="1">
        <f t="array" ref="X978">COUNT(IF((DiscreteStatsTable[GroupByKey]=DiscreteStatsTable[[#This Row],[GroupByKey]]),(DiscreteStatsTable[GroupByKey]=DiscreteStatsTable[[#This Row],[GroupByKey]])*DiscreteStatsTable[Replication]))</f>
        <v>19</v>
      </c>
      <c r="Y978" s="5">
        <f>IF(DiscreteStatsTable[[#This Row],[RepsRequested]]=DiscreteStatsTable[[#This Row],[RepsWithStatObserved]],1,0)</f>
        <v>1</v>
      </c>
    </row>
    <row r="979" spans="1:25" x14ac:dyDescent="0.25">
      <c r="A979" t="s">
        <v>67</v>
      </c>
      <c r="B979" t="s">
        <v>69</v>
      </c>
      <c r="C979">
        <v>14</v>
      </c>
      <c r="D979" t="s">
        <v>122</v>
      </c>
      <c r="E979" t="s">
        <v>79</v>
      </c>
      <c r="F979" t="s">
        <v>80</v>
      </c>
      <c r="G979">
        <v>0</v>
      </c>
      <c r="H979">
        <v>2E+20</v>
      </c>
      <c r="I979">
        <v>0</v>
      </c>
      <c r="J979">
        <v>0</v>
      </c>
      <c r="K979">
        <v>1</v>
      </c>
      <c r="L97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compartida)UtilizacionCajeroH2ExpressionUser Specified</v>
      </c>
      <c r="M979" s="5" cm="1">
        <f t="array" ref="M979">MAX(IF((ProjectInfoTable[ProjectName]=DiscreteStatsTable[[#This Row],[ProjectName]]),(ProjectInfoTable[ProjectName]=DiscreteStatsTable[[#This Row],[ProjectName]])*ProjectInfoTable[NumberOfReplications]))</f>
        <v>19</v>
      </c>
      <c r="N979" s="5" cm="1">
        <f t="array" ref="N979">IFERROR(AVERAGE(IF((DiscreteStatsTable[GroupByKey]=DiscreteStatsTable[[#This Row],[GroupByKey]]),(DiscreteStatsTable[GroupByKey]=DiscreteStatsTable[[#This Row],[GroupByKey]])*DiscreteStatsTable[Average])),0)</f>
        <v>0.63157894736842102</v>
      </c>
      <c r="O979" s="5" cm="1">
        <f t="array" ref="O979">IFERROR(_xlfn.STDEV.S(IF((DiscreteStatsTable[GroupByKey]=DiscreteStatsTable[[#This Row],[GroupByKey]]),(DiscreteStatsTable[GroupByKey]=DiscreteStatsTable[[#This Row],[GroupByKey]])*DiscreteStatsTable[Average])),0)</f>
        <v>0.49559462778335212</v>
      </c>
      <c r="P979" s="5" cm="1">
        <f t="array" ref="P979">MAX(IF((ProjectInfoTable[ProjectName]=DiscreteStatsTable[[#This Row],[ProjectName]]),(ProjectInfoTable[ProjectName]=DiscreteStatsTable[[#This Row],[ProjectName]])*ProjectInfoTable[ConfidenceInterval]))</f>
        <v>0.95</v>
      </c>
      <c r="Q979" s="5">
        <f>IF(AND(DiscreteStatsTable[[#This Row],[RepsWithStatObserved]]=1,Y979=0),200000000000000000000,IFERROR(_xlfn.T.INV.2T(1 -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0.23886896439249422</v>
      </c>
      <c r="R979" s="5" cm="1">
        <f t="array" ref="R979">MIN(IF((DiscreteStatsTable[GroupByKey]=DiscreteStatsTable[[#This Row],[GroupByKey]]),(DiscreteStatsTable[GroupByKey]=DiscreteStatsTable[[#This Row],[GroupByKey]])*DiscreteStatsTable[Average]))</f>
        <v>0</v>
      </c>
      <c r="S979" s="5" cm="1">
        <f t="array" ref="S979">MAX(IF((DiscreteStatsTable[GroupByKey]=DiscreteStatsTable[[#This Row],[GroupByKey]]),(DiscreteStatsTable[GroupByKey]=DiscreteStatsTable[[#This Row],[GroupByKey]])*DiscreteStatsTable[Average]))</f>
        <v>1</v>
      </c>
      <c r="T979" s="5" cm="1">
        <f t="array" ref="T979">MIN(IF((DiscreteStatsTable[GroupByKey]=DiscreteStatsTable[[#This Row],[GroupByKey]]),(DiscreteStatsTable[GroupByKey]=DiscreteStatsTable[[#This Row],[GroupByKey]])*DiscreteStatsTable[Minimum]))</f>
        <v>0</v>
      </c>
      <c r="U979" s="5" cm="1">
        <f t="array" ref="U979">MAX(IF((DiscreteStatsTable[GroupByKey]=DiscreteStatsTable[[#This Row],[GroupByKey]]),(DiscreteStatsTable[GroupByKey]=DiscreteStatsTable[[#This Row],[GroupByKey]])*DiscreteStatsTable[Maximum]))</f>
        <v>1</v>
      </c>
      <c r="V979" s="5" cm="1">
        <f t="array" ref="V979">IFERROR(AVERAGE(IF((DiscreteStatsTable[GroupByKey]=DiscreteStatsTable[[#This Row],[GroupByKey]]),(DiscreteStatsTable[GroupByKey]=DiscreteStatsTable[[#This Row],[GroupByKey]])*DiscreteStatsTable[NumberObservations])),0)</f>
        <v>1</v>
      </c>
      <c r="W979" s="5">
        <f>IF((DiscreteStatsTable[[#This Row],[RepsRequested]]&gt;1),DiscreteStatsTable[[#This Row],[HalfWidth]],DiscreteStatsTable[[#This Row],[BatchMeansHalfWidth]])</f>
        <v>0.23886896439249422</v>
      </c>
      <c r="X979" s="5" cm="1">
        <f t="array" ref="X979">COUNT(IF((DiscreteStatsTable[GroupByKey]=DiscreteStatsTable[[#This Row],[GroupByKey]]),(DiscreteStatsTable[GroupByKey]=DiscreteStatsTable[[#This Row],[GroupByKey]])*DiscreteStatsTable[Replication]))</f>
        <v>19</v>
      </c>
      <c r="Y979" s="5">
        <f>IF(DiscreteStatsTable[[#This Row],[RepsRequested]]=DiscreteStatsTable[[#This Row],[RepsWithStatObserved]],1,0)</f>
        <v>1</v>
      </c>
    </row>
    <row r="980" spans="1:25" x14ac:dyDescent="0.25">
      <c r="A980" t="s">
        <v>67</v>
      </c>
      <c r="B980" t="s">
        <v>69</v>
      </c>
      <c r="C980">
        <v>15</v>
      </c>
      <c r="D980" t="s">
        <v>122</v>
      </c>
      <c r="E980" t="s">
        <v>79</v>
      </c>
      <c r="F980" t="s">
        <v>80</v>
      </c>
      <c r="G980">
        <v>1</v>
      </c>
      <c r="H980">
        <v>2E+20</v>
      </c>
      <c r="I980">
        <v>1</v>
      </c>
      <c r="J980">
        <v>1</v>
      </c>
      <c r="K980">
        <v>1</v>
      </c>
      <c r="L98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compartida)UtilizacionCajeroH2ExpressionUser Specified</v>
      </c>
      <c r="M980" s="5" cm="1">
        <f t="array" ref="M980">MAX(IF((ProjectInfoTable[ProjectName]=DiscreteStatsTable[[#This Row],[ProjectName]]),(ProjectInfoTable[ProjectName]=DiscreteStatsTable[[#This Row],[ProjectName]])*ProjectInfoTable[NumberOfReplications]))</f>
        <v>19</v>
      </c>
      <c r="N980" s="5" cm="1">
        <f t="array" ref="N980">IFERROR(AVERAGE(IF((DiscreteStatsTable[GroupByKey]=DiscreteStatsTable[[#This Row],[GroupByKey]]),(DiscreteStatsTable[GroupByKey]=DiscreteStatsTable[[#This Row],[GroupByKey]])*DiscreteStatsTable[Average])),0)</f>
        <v>0.63157894736842102</v>
      </c>
      <c r="O980" s="5" cm="1">
        <f t="array" ref="O980">IFERROR(_xlfn.STDEV.S(IF((DiscreteStatsTable[GroupByKey]=DiscreteStatsTable[[#This Row],[GroupByKey]]),(DiscreteStatsTable[GroupByKey]=DiscreteStatsTable[[#This Row],[GroupByKey]])*DiscreteStatsTable[Average])),0)</f>
        <v>0.49559462778335212</v>
      </c>
      <c r="P980" s="5" cm="1">
        <f t="array" ref="P980">MAX(IF((ProjectInfoTable[ProjectName]=DiscreteStatsTable[[#This Row],[ProjectName]]),(ProjectInfoTable[ProjectName]=DiscreteStatsTable[[#This Row],[ProjectName]])*ProjectInfoTable[ConfidenceInterval]))</f>
        <v>0.95</v>
      </c>
      <c r="Q980" s="5">
        <f>IF(AND(DiscreteStatsTable[[#This Row],[RepsWithStatObserved]]=1,Y980=0),200000000000000000000,IFERROR(_xlfn.T.INV.2T(1 -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0.23886896439249422</v>
      </c>
      <c r="R980" s="5" cm="1">
        <f t="array" ref="R980">MIN(IF((DiscreteStatsTable[GroupByKey]=DiscreteStatsTable[[#This Row],[GroupByKey]]),(DiscreteStatsTable[GroupByKey]=DiscreteStatsTable[[#This Row],[GroupByKey]])*DiscreteStatsTable[Average]))</f>
        <v>0</v>
      </c>
      <c r="S980" s="5" cm="1">
        <f t="array" ref="S980">MAX(IF((DiscreteStatsTable[GroupByKey]=DiscreteStatsTable[[#This Row],[GroupByKey]]),(DiscreteStatsTable[GroupByKey]=DiscreteStatsTable[[#This Row],[GroupByKey]])*DiscreteStatsTable[Average]))</f>
        <v>1</v>
      </c>
      <c r="T980" s="5" cm="1">
        <f t="array" ref="T980">MIN(IF((DiscreteStatsTable[GroupByKey]=DiscreteStatsTable[[#This Row],[GroupByKey]]),(DiscreteStatsTable[GroupByKey]=DiscreteStatsTable[[#This Row],[GroupByKey]])*DiscreteStatsTable[Minimum]))</f>
        <v>0</v>
      </c>
      <c r="U980" s="5" cm="1">
        <f t="array" ref="U980">MAX(IF((DiscreteStatsTable[GroupByKey]=DiscreteStatsTable[[#This Row],[GroupByKey]]),(DiscreteStatsTable[GroupByKey]=DiscreteStatsTable[[#This Row],[GroupByKey]])*DiscreteStatsTable[Maximum]))</f>
        <v>1</v>
      </c>
      <c r="V980" s="5" cm="1">
        <f t="array" ref="V980">IFERROR(AVERAGE(IF((DiscreteStatsTable[GroupByKey]=DiscreteStatsTable[[#This Row],[GroupByKey]]),(DiscreteStatsTable[GroupByKey]=DiscreteStatsTable[[#This Row],[GroupByKey]])*DiscreteStatsTable[NumberObservations])),0)</f>
        <v>1</v>
      </c>
      <c r="W980" s="5">
        <f>IF((DiscreteStatsTable[[#This Row],[RepsRequested]]&gt;1),DiscreteStatsTable[[#This Row],[HalfWidth]],DiscreteStatsTable[[#This Row],[BatchMeansHalfWidth]])</f>
        <v>0.23886896439249422</v>
      </c>
      <c r="X980" s="5" cm="1">
        <f t="array" ref="X980">COUNT(IF((DiscreteStatsTable[GroupByKey]=DiscreteStatsTable[[#This Row],[GroupByKey]]),(DiscreteStatsTable[GroupByKey]=DiscreteStatsTable[[#This Row],[GroupByKey]])*DiscreteStatsTable[Replication]))</f>
        <v>19</v>
      </c>
      <c r="Y980" s="5">
        <f>IF(DiscreteStatsTable[[#This Row],[RepsRequested]]=DiscreteStatsTable[[#This Row],[RepsWithStatObserved]],1,0)</f>
        <v>1</v>
      </c>
    </row>
    <row r="981" spans="1:25" x14ac:dyDescent="0.25">
      <c r="A981" t="s">
        <v>67</v>
      </c>
      <c r="B981" t="s">
        <v>69</v>
      </c>
      <c r="C981">
        <v>16</v>
      </c>
      <c r="D981" t="s">
        <v>122</v>
      </c>
      <c r="E981" t="s">
        <v>79</v>
      </c>
      <c r="F981" t="s">
        <v>80</v>
      </c>
      <c r="G981">
        <v>1</v>
      </c>
      <c r="H981">
        <v>2E+20</v>
      </c>
      <c r="I981">
        <v>1</v>
      </c>
      <c r="J981">
        <v>1</v>
      </c>
      <c r="K981">
        <v>1</v>
      </c>
      <c r="L98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compartida)UtilizacionCajeroH2ExpressionUser Specified</v>
      </c>
      <c r="M981" s="5" cm="1">
        <f t="array" ref="M981">MAX(IF((ProjectInfoTable[ProjectName]=DiscreteStatsTable[[#This Row],[ProjectName]]),(ProjectInfoTable[ProjectName]=DiscreteStatsTable[[#This Row],[ProjectName]])*ProjectInfoTable[NumberOfReplications]))</f>
        <v>19</v>
      </c>
      <c r="N981" s="5" cm="1">
        <f t="array" ref="N981">IFERROR(AVERAGE(IF((DiscreteStatsTable[GroupByKey]=DiscreteStatsTable[[#This Row],[GroupByKey]]),(DiscreteStatsTable[GroupByKey]=DiscreteStatsTable[[#This Row],[GroupByKey]])*DiscreteStatsTable[Average])),0)</f>
        <v>0.63157894736842102</v>
      </c>
      <c r="O981" s="5" cm="1">
        <f t="array" ref="O981">IFERROR(_xlfn.STDEV.S(IF((DiscreteStatsTable[GroupByKey]=DiscreteStatsTable[[#This Row],[GroupByKey]]),(DiscreteStatsTable[GroupByKey]=DiscreteStatsTable[[#This Row],[GroupByKey]])*DiscreteStatsTable[Average])),0)</f>
        <v>0.49559462778335212</v>
      </c>
      <c r="P981" s="5" cm="1">
        <f t="array" ref="P981">MAX(IF((ProjectInfoTable[ProjectName]=DiscreteStatsTable[[#This Row],[ProjectName]]),(ProjectInfoTable[ProjectName]=DiscreteStatsTable[[#This Row],[ProjectName]])*ProjectInfoTable[ConfidenceInterval]))</f>
        <v>0.95</v>
      </c>
      <c r="Q981" s="5">
        <f>IF(AND(DiscreteStatsTable[[#This Row],[RepsWithStatObserved]]=1,Y981=0),200000000000000000000,IFERROR(_xlfn.T.INV.2T(1 -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0.23886896439249422</v>
      </c>
      <c r="R981" s="5" cm="1">
        <f t="array" ref="R981">MIN(IF((DiscreteStatsTable[GroupByKey]=DiscreteStatsTable[[#This Row],[GroupByKey]]),(DiscreteStatsTable[GroupByKey]=DiscreteStatsTable[[#This Row],[GroupByKey]])*DiscreteStatsTable[Average]))</f>
        <v>0</v>
      </c>
      <c r="S981" s="5" cm="1">
        <f t="array" ref="S981">MAX(IF((DiscreteStatsTable[GroupByKey]=DiscreteStatsTable[[#This Row],[GroupByKey]]),(DiscreteStatsTable[GroupByKey]=DiscreteStatsTable[[#This Row],[GroupByKey]])*DiscreteStatsTable[Average]))</f>
        <v>1</v>
      </c>
      <c r="T981" s="5" cm="1">
        <f t="array" ref="T981">MIN(IF((DiscreteStatsTable[GroupByKey]=DiscreteStatsTable[[#This Row],[GroupByKey]]),(DiscreteStatsTable[GroupByKey]=DiscreteStatsTable[[#This Row],[GroupByKey]])*DiscreteStatsTable[Minimum]))</f>
        <v>0</v>
      </c>
      <c r="U981" s="5" cm="1">
        <f t="array" ref="U981">MAX(IF((DiscreteStatsTable[GroupByKey]=DiscreteStatsTable[[#This Row],[GroupByKey]]),(DiscreteStatsTable[GroupByKey]=DiscreteStatsTable[[#This Row],[GroupByKey]])*DiscreteStatsTable[Maximum]))</f>
        <v>1</v>
      </c>
      <c r="V981" s="5" cm="1">
        <f t="array" ref="V981">IFERROR(AVERAGE(IF((DiscreteStatsTable[GroupByKey]=DiscreteStatsTable[[#This Row],[GroupByKey]]),(DiscreteStatsTable[GroupByKey]=DiscreteStatsTable[[#This Row],[GroupByKey]])*DiscreteStatsTable[NumberObservations])),0)</f>
        <v>1</v>
      </c>
      <c r="W981" s="5">
        <f>IF((DiscreteStatsTable[[#This Row],[RepsRequested]]&gt;1),DiscreteStatsTable[[#This Row],[HalfWidth]],DiscreteStatsTable[[#This Row],[BatchMeansHalfWidth]])</f>
        <v>0.23886896439249422</v>
      </c>
      <c r="X981" s="5" cm="1">
        <f t="array" ref="X981">COUNT(IF((DiscreteStatsTable[GroupByKey]=DiscreteStatsTable[[#This Row],[GroupByKey]]),(DiscreteStatsTable[GroupByKey]=DiscreteStatsTable[[#This Row],[GroupByKey]])*DiscreteStatsTable[Replication]))</f>
        <v>19</v>
      </c>
      <c r="Y981" s="5">
        <f>IF(DiscreteStatsTable[[#This Row],[RepsRequested]]=DiscreteStatsTable[[#This Row],[RepsWithStatObserved]],1,0)</f>
        <v>1</v>
      </c>
    </row>
    <row r="982" spans="1:25" x14ac:dyDescent="0.25">
      <c r="A982" t="s">
        <v>67</v>
      </c>
      <c r="B982" t="s">
        <v>69</v>
      </c>
      <c r="C982">
        <v>17</v>
      </c>
      <c r="D982" t="s">
        <v>122</v>
      </c>
      <c r="E982" t="s">
        <v>79</v>
      </c>
      <c r="F982" t="s">
        <v>80</v>
      </c>
      <c r="G982">
        <v>1</v>
      </c>
      <c r="H982">
        <v>2E+20</v>
      </c>
      <c r="I982">
        <v>1</v>
      </c>
      <c r="J982">
        <v>1</v>
      </c>
      <c r="K982">
        <v>1</v>
      </c>
      <c r="L98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compartida)UtilizacionCajeroH2ExpressionUser Specified</v>
      </c>
      <c r="M982" s="5" cm="1">
        <f t="array" ref="M982">MAX(IF((ProjectInfoTable[ProjectName]=DiscreteStatsTable[[#This Row],[ProjectName]]),(ProjectInfoTable[ProjectName]=DiscreteStatsTable[[#This Row],[ProjectName]])*ProjectInfoTable[NumberOfReplications]))</f>
        <v>19</v>
      </c>
      <c r="N982" s="5" cm="1">
        <f t="array" ref="N982">IFERROR(AVERAGE(IF((DiscreteStatsTable[GroupByKey]=DiscreteStatsTable[[#This Row],[GroupByKey]]),(DiscreteStatsTable[GroupByKey]=DiscreteStatsTable[[#This Row],[GroupByKey]])*DiscreteStatsTable[Average])),0)</f>
        <v>0.63157894736842102</v>
      </c>
      <c r="O982" s="5" cm="1">
        <f t="array" ref="O982">IFERROR(_xlfn.STDEV.S(IF((DiscreteStatsTable[GroupByKey]=DiscreteStatsTable[[#This Row],[GroupByKey]]),(DiscreteStatsTable[GroupByKey]=DiscreteStatsTable[[#This Row],[GroupByKey]])*DiscreteStatsTable[Average])),0)</f>
        <v>0.49559462778335212</v>
      </c>
      <c r="P982" s="5" cm="1">
        <f t="array" ref="P982">MAX(IF((ProjectInfoTable[ProjectName]=DiscreteStatsTable[[#This Row],[ProjectName]]),(ProjectInfoTable[ProjectName]=DiscreteStatsTable[[#This Row],[ProjectName]])*ProjectInfoTable[ConfidenceInterval]))</f>
        <v>0.95</v>
      </c>
      <c r="Q982" s="5">
        <f>IF(AND(DiscreteStatsTable[[#This Row],[RepsWithStatObserved]]=1,Y982=0),200000000000000000000,IFERROR(_xlfn.T.INV.2T(1 -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0.23886896439249422</v>
      </c>
      <c r="R982" s="5" cm="1">
        <f t="array" ref="R982">MIN(IF((DiscreteStatsTable[GroupByKey]=DiscreteStatsTable[[#This Row],[GroupByKey]]),(DiscreteStatsTable[GroupByKey]=DiscreteStatsTable[[#This Row],[GroupByKey]])*DiscreteStatsTable[Average]))</f>
        <v>0</v>
      </c>
      <c r="S982" s="5" cm="1">
        <f t="array" ref="S982">MAX(IF((DiscreteStatsTable[GroupByKey]=DiscreteStatsTable[[#This Row],[GroupByKey]]),(DiscreteStatsTable[GroupByKey]=DiscreteStatsTable[[#This Row],[GroupByKey]])*DiscreteStatsTable[Average]))</f>
        <v>1</v>
      </c>
      <c r="T982" s="5" cm="1">
        <f t="array" ref="T982">MIN(IF((DiscreteStatsTable[GroupByKey]=DiscreteStatsTable[[#This Row],[GroupByKey]]),(DiscreteStatsTable[GroupByKey]=DiscreteStatsTable[[#This Row],[GroupByKey]])*DiscreteStatsTable[Minimum]))</f>
        <v>0</v>
      </c>
      <c r="U982" s="5" cm="1">
        <f t="array" ref="U982">MAX(IF((DiscreteStatsTable[GroupByKey]=DiscreteStatsTable[[#This Row],[GroupByKey]]),(DiscreteStatsTable[GroupByKey]=DiscreteStatsTable[[#This Row],[GroupByKey]])*DiscreteStatsTable[Maximum]))</f>
        <v>1</v>
      </c>
      <c r="V982" s="5" cm="1">
        <f t="array" ref="V982">IFERROR(AVERAGE(IF((DiscreteStatsTable[GroupByKey]=DiscreteStatsTable[[#This Row],[GroupByKey]]),(DiscreteStatsTable[GroupByKey]=DiscreteStatsTable[[#This Row],[GroupByKey]])*DiscreteStatsTable[NumberObservations])),0)</f>
        <v>1</v>
      </c>
      <c r="W982" s="5">
        <f>IF((DiscreteStatsTable[[#This Row],[RepsRequested]]&gt;1),DiscreteStatsTable[[#This Row],[HalfWidth]],DiscreteStatsTable[[#This Row],[BatchMeansHalfWidth]])</f>
        <v>0.23886896439249422</v>
      </c>
      <c r="X982" s="5" cm="1">
        <f t="array" ref="X982">COUNT(IF((DiscreteStatsTable[GroupByKey]=DiscreteStatsTable[[#This Row],[GroupByKey]]),(DiscreteStatsTable[GroupByKey]=DiscreteStatsTable[[#This Row],[GroupByKey]])*DiscreteStatsTable[Replication]))</f>
        <v>19</v>
      </c>
      <c r="Y982" s="5">
        <f>IF(DiscreteStatsTable[[#This Row],[RepsRequested]]=DiscreteStatsTable[[#This Row],[RepsWithStatObserved]],1,0)</f>
        <v>1</v>
      </c>
    </row>
    <row r="983" spans="1:25" x14ac:dyDescent="0.25">
      <c r="A983" t="s">
        <v>67</v>
      </c>
      <c r="B983" t="s">
        <v>69</v>
      </c>
      <c r="C983">
        <v>18</v>
      </c>
      <c r="D983" t="s">
        <v>122</v>
      </c>
      <c r="E983" t="s">
        <v>79</v>
      </c>
      <c r="F983" t="s">
        <v>80</v>
      </c>
      <c r="G983">
        <v>1</v>
      </c>
      <c r="H983">
        <v>2E+20</v>
      </c>
      <c r="I983">
        <v>1</v>
      </c>
      <c r="J983">
        <v>1</v>
      </c>
      <c r="K983">
        <v>1</v>
      </c>
      <c r="L98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compartida)UtilizacionCajeroH2ExpressionUser Specified</v>
      </c>
      <c r="M983" s="5" cm="1">
        <f t="array" ref="M983">MAX(IF((ProjectInfoTable[ProjectName]=DiscreteStatsTable[[#This Row],[ProjectName]]),(ProjectInfoTable[ProjectName]=DiscreteStatsTable[[#This Row],[ProjectName]])*ProjectInfoTable[NumberOfReplications]))</f>
        <v>19</v>
      </c>
      <c r="N983" s="5" cm="1">
        <f t="array" ref="N983">IFERROR(AVERAGE(IF((DiscreteStatsTable[GroupByKey]=DiscreteStatsTable[[#This Row],[GroupByKey]]),(DiscreteStatsTable[GroupByKey]=DiscreteStatsTable[[#This Row],[GroupByKey]])*DiscreteStatsTable[Average])),0)</f>
        <v>0.63157894736842102</v>
      </c>
      <c r="O983" s="5" cm="1">
        <f t="array" ref="O983">IFERROR(_xlfn.STDEV.S(IF((DiscreteStatsTable[GroupByKey]=DiscreteStatsTable[[#This Row],[GroupByKey]]),(DiscreteStatsTable[GroupByKey]=DiscreteStatsTable[[#This Row],[GroupByKey]])*DiscreteStatsTable[Average])),0)</f>
        <v>0.49559462778335212</v>
      </c>
      <c r="P983" s="5" cm="1">
        <f t="array" ref="P983">MAX(IF((ProjectInfoTable[ProjectName]=DiscreteStatsTable[[#This Row],[ProjectName]]),(ProjectInfoTable[ProjectName]=DiscreteStatsTable[[#This Row],[ProjectName]])*ProjectInfoTable[ConfidenceInterval]))</f>
        <v>0.95</v>
      </c>
      <c r="Q983" s="5">
        <f>IF(AND(DiscreteStatsTable[[#This Row],[RepsWithStatObserved]]=1,Y983=0),200000000000000000000,IFERROR(_xlfn.T.INV.2T(1 -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0.23886896439249422</v>
      </c>
      <c r="R983" s="5" cm="1">
        <f t="array" ref="R983">MIN(IF((DiscreteStatsTable[GroupByKey]=DiscreteStatsTable[[#This Row],[GroupByKey]]),(DiscreteStatsTable[GroupByKey]=DiscreteStatsTable[[#This Row],[GroupByKey]])*DiscreteStatsTable[Average]))</f>
        <v>0</v>
      </c>
      <c r="S983" s="5" cm="1">
        <f t="array" ref="S983">MAX(IF((DiscreteStatsTable[GroupByKey]=DiscreteStatsTable[[#This Row],[GroupByKey]]),(DiscreteStatsTable[GroupByKey]=DiscreteStatsTable[[#This Row],[GroupByKey]])*DiscreteStatsTable[Average]))</f>
        <v>1</v>
      </c>
      <c r="T983" s="5" cm="1">
        <f t="array" ref="T983">MIN(IF((DiscreteStatsTable[GroupByKey]=DiscreteStatsTable[[#This Row],[GroupByKey]]),(DiscreteStatsTable[GroupByKey]=DiscreteStatsTable[[#This Row],[GroupByKey]])*DiscreteStatsTable[Minimum]))</f>
        <v>0</v>
      </c>
      <c r="U983" s="5" cm="1">
        <f t="array" ref="U983">MAX(IF((DiscreteStatsTable[GroupByKey]=DiscreteStatsTable[[#This Row],[GroupByKey]]),(DiscreteStatsTable[GroupByKey]=DiscreteStatsTable[[#This Row],[GroupByKey]])*DiscreteStatsTable[Maximum]))</f>
        <v>1</v>
      </c>
      <c r="V983" s="5" cm="1">
        <f t="array" ref="V983">IFERROR(AVERAGE(IF((DiscreteStatsTable[GroupByKey]=DiscreteStatsTable[[#This Row],[GroupByKey]]),(DiscreteStatsTable[GroupByKey]=DiscreteStatsTable[[#This Row],[GroupByKey]])*DiscreteStatsTable[NumberObservations])),0)</f>
        <v>1</v>
      </c>
      <c r="W983" s="5">
        <f>IF((DiscreteStatsTable[[#This Row],[RepsRequested]]&gt;1),DiscreteStatsTable[[#This Row],[HalfWidth]],DiscreteStatsTable[[#This Row],[BatchMeansHalfWidth]])</f>
        <v>0.23886896439249422</v>
      </c>
      <c r="X983" s="5" cm="1">
        <f t="array" ref="X983">COUNT(IF((DiscreteStatsTable[GroupByKey]=DiscreteStatsTable[[#This Row],[GroupByKey]]),(DiscreteStatsTable[GroupByKey]=DiscreteStatsTable[[#This Row],[GroupByKey]])*DiscreteStatsTable[Replication]))</f>
        <v>19</v>
      </c>
      <c r="Y983" s="5">
        <f>IF(DiscreteStatsTable[[#This Row],[RepsRequested]]=DiscreteStatsTable[[#This Row],[RepsWithStatObserved]],1,0)</f>
        <v>1</v>
      </c>
    </row>
    <row r="984" spans="1:25" x14ac:dyDescent="0.25">
      <c r="A984" t="s">
        <v>67</v>
      </c>
      <c r="B984" t="s">
        <v>69</v>
      </c>
      <c r="C984">
        <v>19</v>
      </c>
      <c r="D984" t="s">
        <v>122</v>
      </c>
      <c r="E984" t="s">
        <v>79</v>
      </c>
      <c r="F984" t="s">
        <v>80</v>
      </c>
      <c r="G984">
        <v>0</v>
      </c>
      <c r="H984">
        <v>2E+20</v>
      </c>
      <c r="I984">
        <v>0</v>
      </c>
      <c r="J984">
        <v>0</v>
      </c>
      <c r="K984">
        <v>1</v>
      </c>
      <c r="L98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compartida)UtilizacionCajeroH2ExpressionUser Specified</v>
      </c>
      <c r="M984" s="5" cm="1">
        <f t="array" ref="M984">MAX(IF((ProjectInfoTable[ProjectName]=DiscreteStatsTable[[#This Row],[ProjectName]]),(ProjectInfoTable[ProjectName]=DiscreteStatsTable[[#This Row],[ProjectName]])*ProjectInfoTable[NumberOfReplications]))</f>
        <v>19</v>
      </c>
      <c r="N984" s="5" cm="1">
        <f t="array" ref="N984">IFERROR(AVERAGE(IF((DiscreteStatsTable[GroupByKey]=DiscreteStatsTable[[#This Row],[GroupByKey]]),(DiscreteStatsTable[GroupByKey]=DiscreteStatsTable[[#This Row],[GroupByKey]])*DiscreteStatsTable[Average])),0)</f>
        <v>0.63157894736842102</v>
      </c>
      <c r="O984" s="5" cm="1">
        <f t="array" ref="O984">IFERROR(_xlfn.STDEV.S(IF((DiscreteStatsTable[GroupByKey]=DiscreteStatsTable[[#This Row],[GroupByKey]]),(DiscreteStatsTable[GroupByKey]=DiscreteStatsTable[[#This Row],[GroupByKey]])*DiscreteStatsTable[Average])),0)</f>
        <v>0.49559462778335212</v>
      </c>
      <c r="P984" s="5" cm="1">
        <f t="array" ref="P984">MAX(IF((ProjectInfoTable[ProjectName]=DiscreteStatsTable[[#This Row],[ProjectName]]),(ProjectInfoTable[ProjectName]=DiscreteStatsTable[[#This Row],[ProjectName]])*ProjectInfoTable[ConfidenceInterval]))</f>
        <v>0.95</v>
      </c>
      <c r="Q984" s="5">
        <f>IF(AND(DiscreteStatsTable[[#This Row],[RepsWithStatObserved]]=1,Y984=0),200000000000000000000,IFERROR(_xlfn.T.INV.2T(1 -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0.23886896439249422</v>
      </c>
      <c r="R984" s="5" cm="1">
        <f t="array" ref="R984">MIN(IF((DiscreteStatsTable[GroupByKey]=DiscreteStatsTable[[#This Row],[GroupByKey]]),(DiscreteStatsTable[GroupByKey]=DiscreteStatsTable[[#This Row],[GroupByKey]])*DiscreteStatsTable[Average]))</f>
        <v>0</v>
      </c>
      <c r="S984" s="5" cm="1">
        <f t="array" ref="S984">MAX(IF((DiscreteStatsTable[GroupByKey]=DiscreteStatsTable[[#This Row],[GroupByKey]]),(DiscreteStatsTable[GroupByKey]=DiscreteStatsTable[[#This Row],[GroupByKey]])*DiscreteStatsTable[Average]))</f>
        <v>1</v>
      </c>
      <c r="T984" s="5" cm="1">
        <f t="array" ref="T984">MIN(IF((DiscreteStatsTable[GroupByKey]=DiscreteStatsTable[[#This Row],[GroupByKey]]),(DiscreteStatsTable[GroupByKey]=DiscreteStatsTable[[#This Row],[GroupByKey]])*DiscreteStatsTable[Minimum]))</f>
        <v>0</v>
      </c>
      <c r="U984" s="5" cm="1">
        <f t="array" ref="U984">MAX(IF((DiscreteStatsTable[GroupByKey]=DiscreteStatsTable[[#This Row],[GroupByKey]]),(DiscreteStatsTable[GroupByKey]=DiscreteStatsTable[[#This Row],[GroupByKey]])*DiscreteStatsTable[Maximum]))</f>
        <v>1</v>
      </c>
      <c r="V984" s="5" cm="1">
        <f t="array" ref="V984">IFERROR(AVERAGE(IF((DiscreteStatsTable[GroupByKey]=DiscreteStatsTable[[#This Row],[GroupByKey]]),(DiscreteStatsTable[GroupByKey]=DiscreteStatsTable[[#This Row],[GroupByKey]])*DiscreteStatsTable[NumberObservations])),0)</f>
        <v>1</v>
      </c>
      <c r="W984" s="5">
        <f>IF((DiscreteStatsTable[[#This Row],[RepsRequested]]&gt;1),DiscreteStatsTable[[#This Row],[HalfWidth]],DiscreteStatsTable[[#This Row],[BatchMeansHalfWidth]])</f>
        <v>0.23886896439249422</v>
      </c>
      <c r="X984" s="5" cm="1">
        <f t="array" ref="X984">COUNT(IF((DiscreteStatsTable[GroupByKey]=DiscreteStatsTable[[#This Row],[GroupByKey]]),(DiscreteStatsTable[GroupByKey]=DiscreteStatsTable[[#This Row],[GroupByKey]])*DiscreteStatsTable[Replication]))</f>
        <v>19</v>
      </c>
      <c r="Y984" s="5">
        <f>IF(DiscreteStatsTable[[#This Row],[RepsRequested]]=DiscreteStatsTable[[#This Row],[RepsWithStatObserved]],1,0)</f>
        <v>1</v>
      </c>
    </row>
    <row r="985" spans="1:25" x14ac:dyDescent="0.25">
      <c r="A985" t="s">
        <v>67</v>
      </c>
      <c r="B985" t="s">
        <v>69</v>
      </c>
      <c r="C985">
        <v>1</v>
      </c>
      <c r="D985" t="s">
        <v>123</v>
      </c>
      <c r="E985" t="s">
        <v>79</v>
      </c>
      <c r="F985" t="s">
        <v>80</v>
      </c>
      <c r="G985">
        <v>1</v>
      </c>
      <c r="H985">
        <v>2E+20</v>
      </c>
      <c r="I985">
        <v>1</v>
      </c>
      <c r="J985">
        <v>1</v>
      </c>
      <c r="K985">
        <v>1</v>
      </c>
      <c r="L98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compartida)UtilizacionCajeroH3ExpressionUser Specified</v>
      </c>
      <c r="M985" s="5" cm="1">
        <f t="array" ref="M985">MAX(IF((ProjectInfoTable[ProjectName]=DiscreteStatsTable[[#This Row],[ProjectName]]),(ProjectInfoTable[ProjectName]=DiscreteStatsTable[[#This Row],[ProjectName]])*ProjectInfoTable[NumberOfReplications]))</f>
        <v>19</v>
      </c>
      <c r="N985" s="5" cm="1">
        <f t="array" ref="N985">IFERROR(AVERAGE(IF((DiscreteStatsTable[GroupByKey]=DiscreteStatsTable[[#This Row],[GroupByKey]]),(DiscreteStatsTable[GroupByKey]=DiscreteStatsTable[[#This Row],[GroupByKey]])*DiscreteStatsTable[Average])),0)</f>
        <v>0.78947368421052633</v>
      </c>
      <c r="O985" s="5" cm="1">
        <f t="array" ref="O985">IFERROR(_xlfn.STDEV.S(IF((DiscreteStatsTable[GroupByKey]=DiscreteStatsTable[[#This Row],[GroupByKey]]),(DiscreteStatsTable[GroupByKey]=DiscreteStatsTable[[#This Row],[GroupByKey]])*DiscreteStatsTable[Average])),0)</f>
        <v>0.41885390829169544</v>
      </c>
      <c r="P985" s="5" cm="1">
        <f t="array" ref="P985">MAX(IF((ProjectInfoTable[ProjectName]=DiscreteStatsTable[[#This Row],[ProjectName]]),(ProjectInfoTable[ProjectName]=DiscreteStatsTable[[#This Row],[ProjectName]])*ProjectInfoTable[ConfidenceInterval]))</f>
        <v>0.95</v>
      </c>
      <c r="Q985" s="5">
        <f>IF(AND(DiscreteStatsTable[[#This Row],[RepsWithStatObserved]]=1,Y985=0),200000000000000000000,IFERROR(_xlfn.T.INV.2T(1 -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0.20188112157891097</v>
      </c>
      <c r="R985" s="5" cm="1">
        <f t="array" ref="R985">MIN(IF((DiscreteStatsTable[GroupByKey]=DiscreteStatsTable[[#This Row],[GroupByKey]]),(DiscreteStatsTable[GroupByKey]=DiscreteStatsTable[[#This Row],[GroupByKey]])*DiscreteStatsTable[Average]))</f>
        <v>0</v>
      </c>
      <c r="S985" s="5" cm="1">
        <f t="array" ref="S985">MAX(IF((DiscreteStatsTable[GroupByKey]=DiscreteStatsTable[[#This Row],[GroupByKey]]),(DiscreteStatsTable[GroupByKey]=DiscreteStatsTable[[#This Row],[GroupByKey]])*DiscreteStatsTable[Average]))</f>
        <v>1</v>
      </c>
      <c r="T985" s="5" cm="1">
        <f t="array" ref="T985">MIN(IF((DiscreteStatsTable[GroupByKey]=DiscreteStatsTable[[#This Row],[GroupByKey]]),(DiscreteStatsTable[GroupByKey]=DiscreteStatsTable[[#This Row],[GroupByKey]])*DiscreteStatsTable[Minimum]))</f>
        <v>0</v>
      </c>
      <c r="U985" s="5" cm="1">
        <f t="array" ref="U985">MAX(IF((DiscreteStatsTable[GroupByKey]=DiscreteStatsTable[[#This Row],[GroupByKey]]),(DiscreteStatsTable[GroupByKey]=DiscreteStatsTable[[#This Row],[GroupByKey]])*DiscreteStatsTable[Maximum]))</f>
        <v>1</v>
      </c>
      <c r="V985" s="5" cm="1">
        <f t="array" ref="V985">IFERROR(AVERAGE(IF((DiscreteStatsTable[GroupByKey]=DiscreteStatsTable[[#This Row],[GroupByKey]]),(DiscreteStatsTable[GroupByKey]=DiscreteStatsTable[[#This Row],[GroupByKey]])*DiscreteStatsTable[NumberObservations])),0)</f>
        <v>1</v>
      </c>
      <c r="W985" s="5">
        <f>IF((DiscreteStatsTable[[#This Row],[RepsRequested]]&gt;1),DiscreteStatsTable[[#This Row],[HalfWidth]],DiscreteStatsTable[[#This Row],[BatchMeansHalfWidth]])</f>
        <v>0.20188112157891097</v>
      </c>
      <c r="X985" s="5" cm="1">
        <f t="array" ref="X985">COUNT(IF((DiscreteStatsTable[GroupByKey]=DiscreteStatsTable[[#This Row],[GroupByKey]]),(DiscreteStatsTable[GroupByKey]=DiscreteStatsTable[[#This Row],[GroupByKey]])*DiscreteStatsTable[Replication]))</f>
        <v>19</v>
      </c>
      <c r="Y985" s="5">
        <f>IF(DiscreteStatsTable[[#This Row],[RepsRequested]]=DiscreteStatsTable[[#This Row],[RepsWithStatObserved]],1,0)</f>
        <v>1</v>
      </c>
    </row>
    <row r="986" spans="1:25" x14ac:dyDescent="0.25">
      <c r="A986" t="s">
        <v>67</v>
      </c>
      <c r="B986" t="s">
        <v>69</v>
      </c>
      <c r="C986">
        <v>2</v>
      </c>
      <c r="D986" t="s">
        <v>123</v>
      </c>
      <c r="E986" t="s">
        <v>79</v>
      </c>
      <c r="F986" t="s">
        <v>80</v>
      </c>
      <c r="G986">
        <v>1</v>
      </c>
      <c r="H986">
        <v>2E+20</v>
      </c>
      <c r="I986">
        <v>1</v>
      </c>
      <c r="J986">
        <v>1</v>
      </c>
      <c r="K986">
        <v>1</v>
      </c>
      <c r="L98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compartida)UtilizacionCajeroH3ExpressionUser Specified</v>
      </c>
      <c r="M986" s="5" cm="1">
        <f t="array" ref="M986">MAX(IF((ProjectInfoTable[ProjectName]=DiscreteStatsTable[[#This Row],[ProjectName]]),(ProjectInfoTable[ProjectName]=DiscreteStatsTable[[#This Row],[ProjectName]])*ProjectInfoTable[NumberOfReplications]))</f>
        <v>19</v>
      </c>
      <c r="N986" s="5" cm="1">
        <f t="array" ref="N986">IFERROR(AVERAGE(IF((DiscreteStatsTable[GroupByKey]=DiscreteStatsTable[[#This Row],[GroupByKey]]),(DiscreteStatsTable[GroupByKey]=DiscreteStatsTable[[#This Row],[GroupByKey]])*DiscreteStatsTable[Average])),0)</f>
        <v>0.78947368421052633</v>
      </c>
      <c r="O986" s="5" cm="1">
        <f t="array" ref="O986">IFERROR(_xlfn.STDEV.S(IF((DiscreteStatsTable[GroupByKey]=DiscreteStatsTable[[#This Row],[GroupByKey]]),(DiscreteStatsTable[GroupByKey]=DiscreteStatsTable[[#This Row],[GroupByKey]])*DiscreteStatsTable[Average])),0)</f>
        <v>0.41885390829169544</v>
      </c>
      <c r="P986" s="5" cm="1">
        <f t="array" ref="P986">MAX(IF((ProjectInfoTable[ProjectName]=DiscreteStatsTable[[#This Row],[ProjectName]]),(ProjectInfoTable[ProjectName]=DiscreteStatsTable[[#This Row],[ProjectName]])*ProjectInfoTable[ConfidenceInterval]))</f>
        <v>0.95</v>
      </c>
      <c r="Q986" s="5">
        <f>IF(AND(DiscreteStatsTable[[#This Row],[RepsWithStatObserved]]=1,Y986=0),200000000000000000000,IFERROR(_xlfn.T.INV.2T(1 -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0.20188112157891097</v>
      </c>
      <c r="R986" s="5" cm="1">
        <f t="array" ref="R986">MIN(IF((DiscreteStatsTable[GroupByKey]=DiscreteStatsTable[[#This Row],[GroupByKey]]),(DiscreteStatsTable[GroupByKey]=DiscreteStatsTable[[#This Row],[GroupByKey]])*DiscreteStatsTable[Average]))</f>
        <v>0</v>
      </c>
      <c r="S986" s="5" cm="1">
        <f t="array" ref="S986">MAX(IF((DiscreteStatsTable[GroupByKey]=DiscreteStatsTable[[#This Row],[GroupByKey]]),(DiscreteStatsTable[GroupByKey]=DiscreteStatsTable[[#This Row],[GroupByKey]])*DiscreteStatsTable[Average]))</f>
        <v>1</v>
      </c>
      <c r="T986" s="5" cm="1">
        <f t="array" ref="T986">MIN(IF((DiscreteStatsTable[GroupByKey]=DiscreteStatsTable[[#This Row],[GroupByKey]]),(DiscreteStatsTable[GroupByKey]=DiscreteStatsTable[[#This Row],[GroupByKey]])*DiscreteStatsTable[Minimum]))</f>
        <v>0</v>
      </c>
      <c r="U986" s="5" cm="1">
        <f t="array" ref="U986">MAX(IF((DiscreteStatsTable[GroupByKey]=DiscreteStatsTable[[#This Row],[GroupByKey]]),(DiscreteStatsTable[GroupByKey]=DiscreteStatsTable[[#This Row],[GroupByKey]])*DiscreteStatsTable[Maximum]))</f>
        <v>1</v>
      </c>
      <c r="V986" s="5" cm="1">
        <f t="array" ref="V986">IFERROR(AVERAGE(IF((DiscreteStatsTable[GroupByKey]=DiscreteStatsTable[[#This Row],[GroupByKey]]),(DiscreteStatsTable[GroupByKey]=DiscreteStatsTable[[#This Row],[GroupByKey]])*DiscreteStatsTable[NumberObservations])),0)</f>
        <v>1</v>
      </c>
      <c r="W986" s="5">
        <f>IF((DiscreteStatsTable[[#This Row],[RepsRequested]]&gt;1),DiscreteStatsTable[[#This Row],[HalfWidth]],DiscreteStatsTable[[#This Row],[BatchMeansHalfWidth]])</f>
        <v>0.20188112157891097</v>
      </c>
      <c r="X986" s="5" cm="1">
        <f t="array" ref="X986">COUNT(IF((DiscreteStatsTable[GroupByKey]=DiscreteStatsTable[[#This Row],[GroupByKey]]),(DiscreteStatsTable[GroupByKey]=DiscreteStatsTable[[#This Row],[GroupByKey]])*DiscreteStatsTable[Replication]))</f>
        <v>19</v>
      </c>
      <c r="Y986" s="5">
        <f>IF(DiscreteStatsTable[[#This Row],[RepsRequested]]=DiscreteStatsTable[[#This Row],[RepsWithStatObserved]],1,0)</f>
        <v>1</v>
      </c>
    </row>
    <row r="987" spans="1:25" x14ac:dyDescent="0.25">
      <c r="A987" t="s">
        <v>67</v>
      </c>
      <c r="B987" t="s">
        <v>69</v>
      </c>
      <c r="C987">
        <v>3</v>
      </c>
      <c r="D987" t="s">
        <v>123</v>
      </c>
      <c r="E987" t="s">
        <v>79</v>
      </c>
      <c r="F987" t="s">
        <v>80</v>
      </c>
      <c r="G987">
        <v>1</v>
      </c>
      <c r="H987">
        <v>2E+20</v>
      </c>
      <c r="I987">
        <v>1</v>
      </c>
      <c r="J987">
        <v>1</v>
      </c>
      <c r="K987">
        <v>1</v>
      </c>
      <c r="L98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compartida)UtilizacionCajeroH3ExpressionUser Specified</v>
      </c>
      <c r="M987" s="5" cm="1">
        <f t="array" ref="M987">MAX(IF((ProjectInfoTable[ProjectName]=DiscreteStatsTable[[#This Row],[ProjectName]]),(ProjectInfoTable[ProjectName]=DiscreteStatsTable[[#This Row],[ProjectName]])*ProjectInfoTable[NumberOfReplications]))</f>
        <v>19</v>
      </c>
      <c r="N987" s="5" cm="1">
        <f t="array" ref="N987">IFERROR(AVERAGE(IF((DiscreteStatsTable[GroupByKey]=DiscreteStatsTable[[#This Row],[GroupByKey]]),(DiscreteStatsTable[GroupByKey]=DiscreteStatsTable[[#This Row],[GroupByKey]])*DiscreteStatsTable[Average])),0)</f>
        <v>0.78947368421052633</v>
      </c>
      <c r="O987" s="5" cm="1">
        <f t="array" ref="O987">IFERROR(_xlfn.STDEV.S(IF((DiscreteStatsTable[GroupByKey]=DiscreteStatsTable[[#This Row],[GroupByKey]]),(DiscreteStatsTable[GroupByKey]=DiscreteStatsTable[[#This Row],[GroupByKey]])*DiscreteStatsTable[Average])),0)</f>
        <v>0.41885390829169544</v>
      </c>
      <c r="P987" s="5" cm="1">
        <f t="array" ref="P987">MAX(IF((ProjectInfoTable[ProjectName]=DiscreteStatsTable[[#This Row],[ProjectName]]),(ProjectInfoTable[ProjectName]=DiscreteStatsTable[[#This Row],[ProjectName]])*ProjectInfoTable[ConfidenceInterval]))</f>
        <v>0.95</v>
      </c>
      <c r="Q987" s="5">
        <f>IF(AND(DiscreteStatsTable[[#This Row],[RepsWithStatObserved]]=1,Y987=0),200000000000000000000,IFERROR(_xlfn.T.INV.2T(1 -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0.20188112157891097</v>
      </c>
      <c r="R987" s="5" cm="1">
        <f t="array" ref="R987">MIN(IF((DiscreteStatsTable[GroupByKey]=DiscreteStatsTable[[#This Row],[GroupByKey]]),(DiscreteStatsTable[GroupByKey]=DiscreteStatsTable[[#This Row],[GroupByKey]])*DiscreteStatsTable[Average]))</f>
        <v>0</v>
      </c>
      <c r="S987" s="5" cm="1">
        <f t="array" ref="S987">MAX(IF((DiscreteStatsTable[GroupByKey]=DiscreteStatsTable[[#This Row],[GroupByKey]]),(DiscreteStatsTable[GroupByKey]=DiscreteStatsTable[[#This Row],[GroupByKey]])*DiscreteStatsTable[Average]))</f>
        <v>1</v>
      </c>
      <c r="T987" s="5" cm="1">
        <f t="array" ref="T987">MIN(IF((DiscreteStatsTable[GroupByKey]=DiscreteStatsTable[[#This Row],[GroupByKey]]),(DiscreteStatsTable[GroupByKey]=DiscreteStatsTable[[#This Row],[GroupByKey]])*DiscreteStatsTable[Minimum]))</f>
        <v>0</v>
      </c>
      <c r="U987" s="5" cm="1">
        <f t="array" ref="U987">MAX(IF((DiscreteStatsTable[GroupByKey]=DiscreteStatsTable[[#This Row],[GroupByKey]]),(DiscreteStatsTable[GroupByKey]=DiscreteStatsTable[[#This Row],[GroupByKey]])*DiscreteStatsTable[Maximum]))</f>
        <v>1</v>
      </c>
      <c r="V987" s="5" cm="1">
        <f t="array" ref="V987">IFERROR(AVERAGE(IF((DiscreteStatsTable[GroupByKey]=DiscreteStatsTable[[#This Row],[GroupByKey]]),(DiscreteStatsTable[GroupByKey]=DiscreteStatsTable[[#This Row],[GroupByKey]])*DiscreteStatsTable[NumberObservations])),0)</f>
        <v>1</v>
      </c>
      <c r="W987" s="5">
        <f>IF((DiscreteStatsTable[[#This Row],[RepsRequested]]&gt;1),DiscreteStatsTable[[#This Row],[HalfWidth]],DiscreteStatsTable[[#This Row],[BatchMeansHalfWidth]])</f>
        <v>0.20188112157891097</v>
      </c>
      <c r="X987" s="5" cm="1">
        <f t="array" ref="X987">COUNT(IF((DiscreteStatsTable[GroupByKey]=DiscreteStatsTable[[#This Row],[GroupByKey]]),(DiscreteStatsTable[GroupByKey]=DiscreteStatsTable[[#This Row],[GroupByKey]])*DiscreteStatsTable[Replication]))</f>
        <v>19</v>
      </c>
      <c r="Y987" s="5">
        <f>IF(DiscreteStatsTable[[#This Row],[RepsRequested]]=DiscreteStatsTable[[#This Row],[RepsWithStatObserved]],1,0)</f>
        <v>1</v>
      </c>
    </row>
    <row r="988" spans="1:25" x14ac:dyDescent="0.25">
      <c r="A988" t="s">
        <v>67</v>
      </c>
      <c r="B988" t="s">
        <v>69</v>
      </c>
      <c r="C988">
        <v>4</v>
      </c>
      <c r="D988" t="s">
        <v>123</v>
      </c>
      <c r="E988" t="s">
        <v>79</v>
      </c>
      <c r="F988" t="s">
        <v>80</v>
      </c>
      <c r="G988">
        <v>1</v>
      </c>
      <c r="H988">
        <v>2E+20</v>
      </c>
      <c r="I988">
        <v>1</v>
      </c>
      <c r="J988">
        <v>1</v>
      </c>
      <c r="K988">
        <v>1</v>
      </c>
      <c r="L98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compartida)UtilizacionCajeroH3ExpressionUser Specified</v>
      </c>
      <c r="M988" s="5" cm="1">
        <f t="array" ref="M988">MAX(IF((ProjectInfoTable[ProjectName]=DiscreteStatsTable[[#This Row],[ProjectName]]),(ProjectInfoTable[ProjectName]=DiscreteStatsTable[[#This Row],[ProjectName]])*ProjectInfoTable[NumberOfReplications]))</f>
        <v>19</v>
      </c>
      <c r="N988" s="5" cm="1">
        <f t="array" ref="N988">IFERROR(AVERAGE(IF((DiscreteStatsTable[GroupByKey]=DiscreteStatsTable[[#This Row],[GroupByKey]]),(DiscreteStatsTable[GroupByKey]=DiscreteStatsTable[[#This Row],[GroupByKey]])*DiscreteStatsTable[Average])),0)</f>
        <v>0.78947368421052633</v>
      </c>
      <c r="O988" s="5" cm="1">
        <f t="array" ref="O988">IFERROR(_xlfn.STDEV.S(IF((DiscreteStatsTable[GroupByKey]=DiscreteStatsTable[[#This Row],[GroupByKey]]),(DiscreteStatsTable[GroupByKey]=DiscreteStatsTable[[#This Row],[GroupByKey]])*DiscreteStatsTable[Average])),0)</f>
        <v>0.41885390829169544</v>
      </c>
      <c r="P988" s="5" cm="1">
        <f t="array" ref="P988">MAX(IF((ProjectInfoTable[ProjectName]=DiscreteStatsTable[[#This Row],[ProjectName]]),(ProjectInfoTable[ProjectName]=DiscreteStatsTable[[#This Row],[ProjectName]])*ProjectInfoTable[ConfidenceInterval]))</f>
        <v>0.95</v>
      </c>
      <c r="Q988" s="5">
        <f>IF(AND(DiscreteStatsTable[[#This Row],[RepsWithStatObserved]]=1,Y988=0),200000000000000000000,IFERROR(_xlfn.T.INV.2T(1 -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0.20188112157891097</v>
      </c>
      <c r="R988" s="5" cm="1">
        <f t="array" ref="R988">MIN(IF((DiscreteStatsTable[GroupByKey]=DiscreteStatsTable[[#This Row],[GroupByKey]]),(DiscreteStatsTable[GroupByKey]=DiscreteStatsTable[[#This Row],[GroupByKey]])*DiscreteStatsTable[Average]))</f>
        <v>0</v>
      </c>
      <c r="S988" s="5" cm="1">
        <f t="array" ref="S988">MAX(IF((DiscreteStatsTable[GroupByKey]=DiscreteStatsTable[[#This Row],[GroupByKey]]),(DiscreteStatsTable[GroupByKey]=DiscreteStatsTable[[#This Row],[GroupByKey]])*DiscreteStatsTable[Average]))</f>
        <v>1</v>
      </c>
      <c r="T988" s="5" cm="1">
        <f t="array" ref="T988">MIN(IF((DiscreteStatsTable[GroupByKey]=DiscreteStatsTable[[#This Row],[GroupByKey]]),(DiscreteStatsTable[GroupByKey]=DiscreteStatsTable[[#This Row],[GroupByKey]])*DiscreteStatsTable[Minimum]))</f>
        <v>0</v>
      </c>
      <c r="U988" s="5" cm="1">
        <f t="array" ref="U988">MAX(IF((DiscreteStatsTable[GroupByKey]=DiscreteStatsTable[[#This Row],[GroupByKey]]),(DiscreteStatsTable[GroupByKey]=DiscreteStatsTable[[#This Row],[GroupByKey]])*DiscreteStatsTable[Maximum]))</f>
        <v>1</v>
      </c>
      <c r="V988" s="5" cm="1">
        <f t="array" ref="V988">IFERROR(AVERAGE(IF((DiscreteStatsTable[GroupByKey]=DiscreteStatsTable[[#This Row],[GroupByKey]]),(DiscreteStatsTable[GroupByKey]=DiscreteStatsTable[[#This Row],[GroupByKey]])*DiscreteStatsTable[NumberObservations])),0)</f>
        <v>1</v>
      </c>
      <c r="W988" s="5">
        <f>IF((DiscreteStatsTable[[#This Row],[RepsRequested]]&gt;1),DiscreteStatsTable[[#This Row],[HalfWidth]],DiscreteStatsTable[[#This Row],[BatchMeansHalfWidth]])</f>
        <v>0.20188112157891097</v>
      </c>
      <c r="X988" s="5" cm="1">
        <f t="array" ref="X988">COUNT(IF((DiscreteStatsTable[GroupByKey]=DiscreteStatsTable[[#This Row],[GroupByKey]]),(DiscreteStatsTable[GroupByKey]=DiscreteStatsTable[[#This Row],[GroupByKey]])*DiscreteStatsTable[Replication]))</f>
        <v>19</v>
      </c>
      <c r="Y988" s="5">
        <f>IF(DiscreteStatsTable[[#This Row],[RepsRequested]]=DiscreteStatsTable[[#This Row],[RepsWithStatObserved]],1,0)</f>
        <v>1</v>
      </c>
    </row>
    <row r="989" spans="1:25" x14ac:dyDescent="0.25">
      <c r="A989" t="s">
        <v>67</v>
      </c>
      <c r="B989" t="s">
        <v>69</v>
      </c>
      <c r="C989">
        <v>5</v>
      </c>
      <c r="D989" t="s">
        <v>123</v>
      </c>
      <c r="E989" t="s">
        <v>79</v>
      </c>
      <c r="F989" t="s">
        <v>80</v>
      </c>
      <c r="G989">
        <v>0</v>
      </c>
      <c r="H989">
        <v>2E+20</v>
      </c>
      <c r="I989">
        <v>0</v>
      </c>
      <c r="J989">
        <v>0</v>
      </c>
      <c r="K989">
        <v>1</v>
      </c>
      <c r="L98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compartida)UtilizacionCajeroH3ExpressionUser Specified</v>
      </c>
      <c r="M989" s="5" cm="1">
        <f t="array" ref="M989">MAX(IF((ProjectInfoTable[ProjectName]=DiscreteStatsTable[[#This Row],[ProjectName]]),(ProjectInfoTable[ProjectName]=DiscreteStatsTable[[#This Row],[ProjectName]])*ProjectInfoTable[NumberOfReplications]))</f>
        <v>19</v>
      </c>
      <c r="N989" s="5" cm="1">
        <f t="array" ref="N989">IFERROR(AVERAGE(IF((DiscreteStatsTable[GroupByKey]=DiscreteStatsTable[[#This Row],[GroupByKey]]),(DiscreteStatsTable[GroupByKey]=DiscreteStatsTable[[#This Row],[GroupByKey]])*DiscreteStatsTable[Average])),0)</f>
        <v>0.78947368421052633</v>
      </c>
      <c r="O989" s="5" cm="1">
        <f t="array" ref="O989">IFERROR(_xlfn.STDEV.S(IF((DiscreteStatsTable[GroupByKey]=DiscreteStatsTable[[#This Row],[GroupByKey]]),(DiscreteStatsTable[GroupByKey]=DiscreteStatsTable[[#This Row],[GroupByKey]])*DiscreteStatsTable[Average])),0)</f>
        <v>0.41885390829169544</v>
      </c>
      <c r="P989" s="5" cm="1">
        <f t="array" ref="P989">MAX(IF((ProjectInfoTable[ProjectName]=DiscreteStatsTable[[#This Row],[ProjectName]]),(ProjectInfoTable[ProjectName]=DiscreteStatsTable[[#This Row],[ProjectName]])*ProjectInfoTable[ConfidenceInterval]))</f>
        <v>0.95</v>
      </c>
      <c r="Q989" s="5">
        <f>IF(AND(DiscreteStatsTable[[#This Row],[RepsWithStatObserved]]=1,Y989=0),200000000000000000000,IFERROR(_xlfn.T.INV.2T(1 -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0.20188112157891097</v>
      </c>
      <c r="R989" s="5" cm="1">
        <f t="array" ref="R989">MIN(IF((DiscreteStatsTable[GroupByKey]=DiscreteStatsTable[[#This Row],[GroupByKey]]),(DiscreteStatsTable[GroupByKey]=DiscreteStatsTable[[#This Row],[GroupByKey]])*DiscreteStatsTable[Average]))</f>
        <v>0</v>
      </c>
      <c r="S989" s="5" cm="1">
        <f t="array" ref="S989">MAX(IF((DiscreteStatsTable[GroupByKey]=DiscreteStatsTable[[#This Row],[GroupByKey]]),(DiscreteStatsTable[GroupByKey]=DiscreteStatsTable[[#This Row],[GroupByKey]])*DiscreteStatsTable[Average]))</f>
        <v>1</v>
      </c>
      <c r="T989" s="5" cm="1">
        <f t="array" ref="T989">MIN(IF((DiscreteStatsTable[GroupByKey]=DiscreteStatsTable[[#This Row],[GroupByKey]]),(DiscreteStatsTable[GroupByKey]=DiscreteStatsTable[[#This Row],[GroupByKey]])*DiscreteStatsTable[Minimum]))</f>
        <v>0</v>
      </c>
      <c r="U989" s="5" cm="1">
        <f t="array" ref="U989">MAX(IF((DiscreteStatsTable[GroupByKey]=DiscreteStatsTable[[#This Row],[GroupByKey]]),(DiscreteStatsTable[GroupByKey]=DiscreteStatsTable[[#This Row],[GroupByKey]])*DiscreteStatsTable[Maximum]))</f>
        <v>1</v>
      </c>
      <c r="V989" s="5" cm="1">
        <f t="array" ref="V989">IFERROR(AVERAGE(IF((DiscreteStatsTable[GroupByKey]=DiscreteStatsTable[[#This Row],[GroupByKey]]),(DiscreteStatsTable[GroupByKey]=DiscreteStatsTable[[#This Row],[GroupByKey]])*DiscreteStatsTable[NumberObservations])),0)</f>
        <v>1</v>
      </c>
      <c r="W989" s="5">
        <f>IF((DiscreteStatsTable[[#This Row],[RepsRequested]]&gt;1),DiscreteStatsTable[[#This Row],[HalfWidth]],DiscreteStatsTable[[#This Row],[BatchMeansHalfWidth]])</f>
        <v>0.20188112157891097</v>
      </c>
      <c r="X989" s="5" cm="1">
        <f t="array" ref="X989">COUNT(IF((DiscreteStatsTable[GroupByKey]=DiscreteStatsTable[[#This Row],[GroupByKey]]),(DiscreteStatsTable[GroupByKey]=DiscreteStatsTable[[#This Row],[GroupByKey]])*DiscreteStatsTable[Replication]))</f>
        <v>19</v>
      </c>
      <c r="Y989" s="5">
        <f>IF(DiscreteStatsTable[[#This Row],[RepsRequested]]=DiscreteStatsTable[[#This Row],[RepsWithStatObserved]],1,0)</f>
        <v>1</v>
      </c>
    </row>
    <row r="990" spans="1:25" x14ac:dyDescent="0.25">
      <c r="A990" t="s">
        <v>67</v>
      </c>
      <c r="B990" t="s">
        <v>69</v>
      </c>
      <c r="C990">
        <v>6</v>
      </c>
      <c r="D990" t="s">
        <v>123</v>
      </c>
      <c r="E990" t="s">
        <v>79</v>
      </c>
      <c r="F990" t="s">
        <v>80</v>
      </c>
      <c r="G990">
        <v>1</v>
      </c>
      <c r="H990">
        <v>2E+20</v>
      </c>
      <c r="I990">
        <v>1</v>
      </c>
      <c r="J990">
        <v>1</v>
      </c>
      <c r="K990">
        <v>1</v>
      </c>
      <c r="L99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compartida)UtilizacionCajeroH3ExpressionUser Specified</v>
      </c>
      <c r="M990" s="5" cm="1">
        <f t="array" ref="M990">MAX(IF((ProjectInfoTable[ProjectName]=DiscreteStatsTable[[#This Row],[ProjectName]]),(ProjectInfoTable[ProjectName]=DiscreteStatsTable[[#This Row],[ProjectName]])*ProjectInfoTable[NumberOfReplications]))</f>
        <v>19</v>
      </c>
      <c r="N990" s="5" cm="1">
        <f t="array" ref="N990">IFERROR(AVERAGE(IF((DiscreteStatsTable[GroupByKey]=DiscreteStatsTable[[#This Row],[GroupByKey]]),(DiscreteStatsTable[GroupByKey]=DiscreteStatsTable[[#This Row],[GroupByKey]])*DiscreteStatsTable[Average])),0)</f>
        <v>0.78947368421052633</v>
      </c>
      <c r="O990" s="5" cm="1">
        <f t="array" ref="O990">IFERROR(_xlfn.STDEV.S(IF((DiscreteStatsTable[GroupByKey]=DiscreteStatsTable[[#This Row],[GroupByKey]]),(DiscreteStatsTable[GroupByKey]=DiscreteStatsTable[[#This Row],[GroupByKey]])*DiscreteStatsTable[Average])),0)</f>
        <v>0.41885390829169544</v>
      </c>
      <c r="P990" s="5" cm="1">
        <f t="array" ref="P990">MAX(IF((ProjectInfoTable[ProjectName]=DiscreteStatsTable[[#This Row],[ProjectName]]),(ProjectInfoTable[ProjectName]=DiscreteStatsTable[[#This Row],[ProjectName]])*ProjectInfoTable[ConfidenceInterval]))</f>
        <v>0.95</v>
      </c>
      <c r="Q990" s="5">
        <f>IF(AND(DiscreteStatsTable[[#This Row],[RepsWithStatObserved]]=1,Y990=0),200000000000000000000,IFERROR(_xlfn.T.INV.2T(1 -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0.20188112157891097</v>
      </c>
      <c r="R990" s="5" cm="1">
        <f t="array" ref="R990">MIN(IF((DiscreteStatsTable[GroupByKey]=DiscreteStatsTable[[#This Row],[GroupByKey]]),(DiscreteStatsTable[GroupByKey]=DiscreteStatsTable[[#This Row],[GroupByKey]])*DiscreteStatsTable[Average]))</f>
        <v>0</v>
      </c>
      <c r="S990" s="5" cm="1">
        <f t="array" ref="S990">MAX(IF((DiscreteStatsTable[GroupByKey]=DiscreteStatsTable[[#This Row],[GroupByKey]]),(DiscreteStatsTable[GroupByKey]=DiscreteStatsTable[[#This Row],[GroupByKey]])*DiscreteStatsTable[Average]))</f>
        <v>1</v>
      </c>
      <c r="T990" s="5" cm="1">
        <f t="array" ref="T990">MIN(IF((DiscreteStatsTable[GroupByKey]=DiscreteStatsTable[[#This Row],[GroupByKey]]),(DiscreteStatsTable[GroupByKey]=DiscreteStatsTable[[#This Row],[GroupByKey]])*DiscreteStatsTable[Minimum]))</f>
        <v>0</v>
      </c>
      <c r="U990" s="5" cm="1">
        <f t="array" ref="U990">MAX(IF((DiscreteStatsTable[GroupByKey]=DiscreteStatsTable[[#This Row],[GroupByKey]]),(DiscreteStatsTable[GroupByKey]=DiscreteStatsTable[[#This Row],[GroupByKey]])*DiscreteStatsTable[Maximum]))</f>
        <v>1</v>
      </c>
      <c r="V990" s="5" cm="1">
        <f t="array" ref="V990">IFERROR(AVERAGE(IF((DiscreteStatsTable[GroupByKey]=DiscreteStatsTable[[#This Row],[GroupByKey]]),(DiscreteStatsTable[GroupByKey]=DiscreteStatsTable[[#This Row],[GroupByKey]])*DiscreteStatsTable[NumberObservations])),0)</f>
        <v>1</v>
      </c>
      <c r="W990" s="5">
        <f>IF((DiscreteStatsTable[[#This Row],[RepsRequested]]&gt;1),DiscreteStatsTable[[#This Row],[HalfWidth]],DiscreteStatsTable[[#This Row],[BatchMeansHalfWidth]])</f>
        <v>0.20188112157891097</v>
      </c>
      <c r="X990" s="5" cm="1">
        <f t="array" ref="X990">COUNT(IF((DiscreteStatsTable[GroupByKey]=DiscreteStatsTable[[#This Row],[GroupByKey]]),(DiscreteStatsTable[GroupByKey]=DiscreteStatsTable[[#This Row],[GroupByKey]])*DiscreteStatsTable[Replication]))</f>
        <v>19</v>
      </c>
      <c r="Y990" s="5">
        <f>IF(DiscreteStatsTable[[#This Row],[RepsRequested]]=DiscreteStatsTable[[#This Row],[RepsWithStatObserved]],1,0)</f>
        <v>1</v>
      </c>
    </row>
    <row r="991" spans="1:25" x14ac:dyDescent="0.25">
      <c r="A991" t="s">
        <v>67</v>
      </c>
      <c r="B991" t="s">
        <v>69</v>
      </c>
      <c r="C991">
        <v>7</v>
      </c>
      <c r="D991" t="s">
        <v>123</v>
      </c>
      <c r="E991" t="s">
        <v>79</v>
      </c>
      <c r="F991" t="s">
        <v>80</v>
      </c>
      <c r="G991">
        <v>0</v>
      </c>
      <c r="H991">
        <v>2E+20</v>
      </c>
      <c r="I991">
        <v>0</v>
      </c>
      <c r="J991">
        <v>0</v>
      </c>
      <c r="K991">
        <v>1</v>
      </c>
      <c r="L99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compartida)UtilizacionCajeroH3ExpressionUser Specified</v>
      </c>
      <c r="M991" s="5" cm="1">
        <f t="array" ref="M991">MAX(IF((ProjectInfoTable[ProjectName]=DiscreteStatsTable[[#This Row],[ProjectName]]),(ProjectInfoTable[ProjectName]=DiscreteStatsTable[[#This Row],[ProjectName]])*ProjectInfoTable[NumberOfReplications]))</f>
        <v>19</v>
      </c>
      <c r="N991" s="5" cm="1">
        <f t="array" ref="N991">IFERROR(AVERAGE(IF((DiscreteStatsTable[GroupByKey]=DiscreteStatsTable[[#This Row],[GroupByKey]]),(DiscreteStatsTable[GroupByKey]=DiscreteStatsTable[[#This Row],[GroupByKey]])*DiscreteStatsTable[Average])),0)</f>
        <v>0.78947368421052633</v>
      </c>
      <c r="O991" s="5" cm="1">
        <f t="array" ref="O991">IFERROR(_xlfn.STDEV.S(IF((DiscreteStatsTable[GroupByKey]=DiscreteStatsTable[[#This Row],[GroupByKey]]),(DiscreteStatsTable[GroupByKey]=DiscreteStatsTable[[#This Row],[GroupByKey]])*DiscreteStatsTable[Average])),0)</f>
        <v>0.41885390829169544</v>
      </c>
      <c r="P991" s="5" cm="1">
        <f t="array" ref="P991">MAX(IF((ProjectInfoTable[ProjectName]=DiscreteStatsTable[[#This Row],[ProjectName]]),(ProjectInfoTable[ProjectName]=DiscreteStatsTable[[#This Row],[ProjectName]])*ProjectInfoTable[ConfidenceInterval]))</f>
        <v>0.95</v>
      </c>
      <c r="Q991" s="5">
        <f>IF(AND(DiscreteStatsTable[[#This Row],[RepsWithStatObserved]]=1,Y991=0),200000000000000000000,IFERROR(_xlfn.T.INV.2T(1 -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0.20188112157891097</v>
      </c>
      <c r="R991" s="5" cm="1">
        <f t="array" ref="R991">MIN(IF((DiscreteStatsTable[GroupByKey]=DiscreteStatsTable[[#This Row],[GroupByKey]]),(DiscreteStatsTable[GroupByKey]=DiscreteStatsTable[[#This Row],[GroupByKey]])*DiscreteStatsTable[Average]))</f>
        <v>0</v>
      </c>
      <c r="S991" s="5" cm="1">
        <f t="array" ref="S991">MAX(IF((DiscreteStatsTable[GroupByKey]=DiscreteStatsTable[[#This Row],[GroupByKey]]),(DiscreteStatsTable[GroupByKey]=DiscreteStatsTable[[#This Row],[GroupByKey]])*DiscreteStatsTable[Average]))</f>
        <v>1</v>
      </c>
      <c r="T991" s="5" cm="1">
        <f t="array" ref="T991">MIN(IF((DiscreteStatsTable[GroupByKey]=DiscreteStatsTable[[#This Row],[GroupByKey]]),(DiscreteStatsTable[GroupByKey]=DiscreteStatsTable[[#This Row],[GroupByKey]])*DiscreteStatsTable[Minimum]))</f>
        <v>0</v>
      </c>
      <c r="U991" s="5" cm="1">
        <f t="array" ref="U991">MAX(IF((DiscreteStatsTable[GroupByKey]=DiscreteStatsTable[[#This Row],[GroupByKey]]),(DiscreteStatsTable[GroupByKey]=DiscreteStatsTable[[#This Row],[GroupByKey]])*DiscreteStatsTable[Maximum]))</f>
        <v>1</v>
      </c>
      <c r="V991" s="5" cm="1">
        <f t="array" ref="V991">IFERROR(AVERAGE(IF((DiscreteStatsTable[GroupByKey]=DiscreteStatsTable[[#This Row],[GroupByKey]]),(DiscreteStatsTable[GroupByKey]=DiscreteStatsTable[[#This Row],[GroupByKey]])*DiscreteStatsTable[NumberObservations])),0)</f>
        <v>1</v>
      </c>
      <c r="W991" s="5">
        <f>IF((DiscreteStatsTable[[#This Row],[RepsRequested]]&gt;1),DiscreteStatsTable[[#This Row],[HalfWidth]],DiscreteStatsTable[[#This Row],[BatchMeansHalfWidth]])</f>
        <v>0.20188112157891097</v>
      </c>
      <c r="X991" s="5" cm="1">
        <f t="array" ref="X991">COUNT(IF((DiscreteStatsTable[GroupByKey]=DiscreteStatsTable[[#This Row],[GroupByKey]]),(DiscreteStatsTable[GroupByKey]=DiscreteStatsTable[[#This Row],[GroupByKey]])*DiscreteStatsTable[Replication]))</f>
        <v>19</v>
      </c>
      <c r="Y991" s="5">
        <f>IF(DiscreteStatsTable[[#This Row],[RepsRequested]]=DiscreteStatsTable[[#This Row],[RepsWithStatObserved]],1,0)</f>
        <v>1</v>
      </c>
    </row>
    <row r="992" spans="1:25" x14ac:dyDescent="0.25">
      <c r="A992" t="s">
        <v>67</v>
      </c>
      <c r="B992" t="s">
        <v>69</v>
      </c>
      <c r="C992">
        <v>8</v>
      </c>
      <c r="D992" t="s">
        <v>123</v>
      </c>
      <c r="E992" t="s">
        <v>79</v>
      </c>
      <c r="F992" t="s">
        <v>80</v>
      </c>
      <c r="G992">
        <v>1</v>
      </c>
      <c r="H992">
        <v>2E+20</v>
      </c>
      <c r="I992">
        <v>1</v>
      </c>
      <c r="J992">
        <v>1</v>
      </c>
      <c r="K992">
        <v>1</v>
      </c>
      <c r="L99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compartida)UtilizacionCajeroH3ExpressionUser Specified</v>
      </c>
      <c r="M992" s="5" cm="1">
        <f t="array" ref="M992">MAX(IF((ProjectInfoTable[ProjectName]=DiscreteStatsTable[[#This Row],[ProjectName]]),(ProjectInfoTable[ProjectName]=DiscreteStatsTable[[#This Row],[ProjectName]])*ProjectInfoTable[NumberOfReplications]))</f>
        <v>19</v>
      </c>
      <c r="N992" s="5" cm="1">
        <f t="array" ref="N992">IFERROR(AVERAGE(IF((DiscreteStatsTable[GroupByKey]=DiscreteStatsTable[[#This Row],[GroupByKey]]),(DiscreteStatsTable[GroupByKey]=DiscreteStatsTable[[#This Row],[GroupByKey]])*DiscreteStatsTable[Average])),0)</f>
        <v>0.78947368421052633</v>
      </c>
      <c r="O992" s="5" cm="1">
        <f t="array" ref="O992">IFERROR(_xlfn.STDEV.S(IF((DiscreteStatsTable[GroupByKey]=DiscreteStatsTable[[#This Row],[GroupByKey]]),(DiscreteStatsTable[GroupByKey]=DiscreteStatsTable[[#This Row],[GroupByKey]])*DiscreteStatsTable[Average])),0)</f>
        <v>0.41885390829169544</v>
      </c>
      <c r="P992" s="5" cm="1">
        <f t="array" ref="P992">MAX(IF((ProjectInfoTable[ProjectName]=DiscreteStatsTable[[#This Row],[ProjectName]]),(ProjectInfoTable[ProjectName]=DiscreteStatsTable[[#This Row],[ProjectName]])*ProjectInfoTable[ConfidenceInterval]))</f>
        <v>0.95</v>
      </c>
      <c r="Q992" s="5">
        <f>IF(AND(DiscreteStatsTable[[#This Row],[RepsWithStatObserved]]=1,Y992=0),200000000000000000000,IFERROR(_xlfn.T.INV.2T(1 -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0.20188112157891097</v>
      </c>
      <c r="R992" s="5" cm="1">
        <f t="array" ref="R992">MIN(IF((DiscreteStatsTable[GroupByKey]=DiscreteStatsTable[[#This Row],[GroupByKey]]),(DiscreteStatsTable[GroupByKey]=DiscreteStatsTable[[#This Row],[GroupByKey]])*DiscreteStatsTable[Average]))</f>
        <v>0</v>
      </c>
      <c r="S992" s="5" cm="1">
        <f t="array" ref="S992">MAX(IF((DiscreteStatsTable[GroupByKey]=DiscreteStatsTable[[#This Row],[GroupByKey]]),(DiscreteStatsTable[GroupByKey]=DiscreteStatsTable[[#This Row],[GroupByKey]])*DiscreteStatsTable[Average]))</f>
        <v>1</v>
      </c>
      <c r="T992" s="5" cm="1">
        <f t="array" ref="T992">MIN(IF((DiscreteStatsTable[GroupByKey]=DiscreteStatsTable[[#This Row],[GroupByKey]]),(DiscreteStatsTable[GroupByKey]=DiscreteStatsTable[[#This Row],[GroupByKey]])*DiscreteStatsTable[Minimum]))</f>
        <v>0</v>
      </c>
      <c r="U992" s="5" cm="1">
        <f t="array" ref="U992">MAX(IF((DiscreteStatsTable[GroupByKey]=DiscreteStatsTable[[#This Row],[GroupByKey]]),(DiscreteStatsTable[GroupByKey]=DiscreteStatsTable[[#This Row],[GroupByKey]])*DiscreteStatsTable[Maximum]))</f>
        <v>1</v>
      </c>
      <c r="V992" s="5" cm="1">
        <f t="array" ref="V992">IFERROR(AVERAGE(IF((DiscreteStatsTable[GroupByKey]=DiscreteStatsTable[[#This Row],[GroupByKey]]),(DiscreteStatsTable[GroupByKey]=DiscreteStatsTable[[#This Row],[GroupByKey]])*DiscreteStatsTable[NumberObservations])),0)</f>
        <v>1</v>
      </c>
      <c r="W992" s="5">
        <f>IF((DiscreteStatsTable[[#This Row],[RepsRequested]]&gt;1),DiscreteStatsTable[[#This Row],[HalfWidth]],DiscreteStatsTable[[#This Row],[BatchMeansHalfWidth]])</f>
        <v>0.20188112157891097</v>
      </c>
      <c r="X992" s="5" cm="1">
        <f t="array" ref="X992">COUNT(IF((DiscreteStatsTable[GroupByKey]=DiscreteStatsTable[[#This Row],[GroupByKey]]),(DiscreteStatsTable[GroupByKey]=DiscreteStatsTable[[#This Row],[GroupByKey]])*DiscreteStatsTable[Replication]))</f>
        <v>19</v>
      </c>
      <c r="Y992" s="5">
        <f>IF(DiscreteStatsTable[[#This Row],[RepsRequested]]=DiscreteStatsTable[[#This Row],[RepsWithStatObserved]],1,0)</f>
        <v>1</v>
      </c>
    </row>
    <row r="993" spans="1:25" x14ac:dyDescent="0.25">
      <c r="A993" t="s">
        <v>67</v>
      </c>
      <c r="B993" t="s">
        <v>69</v>
      </c>
      <c r="C993">
        <v>9</v>
      </c>
      <c r="D993" t="s">
        <v>123</v>
      </c>
      <c r="E993" t="s">
        <v>79</v>
      </c>
      <c r="F993" t="s">
        <v>80</v>
      </c>
      <c r="G993">
        <v>1</v>
      </c>
      <c r="H993">
        <v>2E+20</v>
      </c>
      <c r="I993">
        <v>1</v>
      </c>
      <c r="J993">
        <v>1</v>
      </c>
      <c r="K993">
        <v>1</v>
      </c>
      <c r="L99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compartida)UtilizacionCajeroH3ExpressionUser Specified</v>
      </c>
      <c r="M993" s="5" cm="1">
        <f t="array" ref="M993">MAX(IF((ProjectInfoTable[ProjectName]=DiscreteStatsTable[[#This Row],[ProjectName]]),(ProjectInfoTable[ProjectName]=DiscreteStatsTable[[#This Row],[ProjectName]])*ProjectInfoTable[NumberOfReplications]))</f>
        <v>19</v>
      </c>
      <c r="N993" s="5" cm="1">
        <f t="array" ref="N993">IFERROR(AVERAGE(IF((DiscreteStatsTable[GroupByKey]=DiscreteStatsTable[[#This Row],[GroupByKey]]),(DiscreteStatsTable[GroupByKey]=DiscreteStatsTable[[#This Row],[GroupByKey]])*DiscreteStatsTable[Average])),0)</f>
        <v>0.78947368421052633</v>
      </c>
      <c r="O993" s="5" cm="1">
        <f t="array" ref="O993">IFERROR(_xlfn.STDEV.S(IF((DiscreteStatsTable[GroupByKey]=DiscreteStatsTable[[#This Row],[GroupByKey]]),(DiscreteStatsTable[GroupByKey]=DiscreteStatsTable[[#This Row],[GroupByKey]])*DiscreteStatsTable[Average])),0)</f>
        <v>0.41885390829169544</v>
      </c>
      <c r="P993" s="5" cm="1">
        <f t="array" ref="P993">MAX(IF((ProjectInfoTable[ProjectName]=DiscreteStatsTable[[#This Row],[ProjectName]]),(ProjectInfoTable[ProjectName]=DiscreteStatsTable[[#This Row],[ProjectName]])*ProjectInfoTable[ConfidenceInterval]))</f>
        <v>0.95</v>
      </c>
      <c r="Q993" s="5">
        <f>IF(AND(DiscreteStatsTable[[#This Row],[RepsWithStatObserved]]=1,Y993=0),200000000000000000000,IFERROR(_xlfn.T.INV.2T(1 -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0.20188112157891097</v>
      </c>
      <c r="R993" s="5" cm="1">
        <f t="array" ref="R993">MIN(IF((DiscreteStatsTable[GroupByKey]=DiscreteStatsTable[[#This Row],[GroupByKey]]),(DiscreteStatsTable[GroupByKey]=DiscreteStatsTable[[#This Row],[GroupByKey]])*DiscreteStatsTable[Average]))</f>
        <v>0</v>
      </c>
      <c r="S993" s="5" cm="1">
        <f t="array" ref="S993">MAX(IF((DiscreteStatsTable[GroupByKey]=DiscreteStatsTable[[#This Row],[GroupByKey]]),(DiscreteStatsTable[GroupByKey]=DiscreteStatsTable[[#This Row],[GroupByKey]])*DiscreteStatsTable[Average]))</f>
        <v>1</v>
      </c>
      <c r="T993" s="5" cm="1">
        <f t="array" ref="T993">MIN(IF((DiscreteStatsTable[GroupByKey]=DiscreteStatsTable[[#This Row],[GroupByKey]]),(DiscreteStatsTable[GroupByKey]=DiscreteStatsTable[[#This Row],[GroupByKey]])*DiscreteStatsTable[Minimum]))</f>
        <v>0</v>
      </c>
      <c r="U993" s="5" cm="1">
        <f t="array" ref="U993">MAX(IF((DiscreteStatsTable[GroupByKey]=DiscreteStatsTable[[#This Row],[GroupByKey]]),(DiscreteStatsTable[GroupByKey]=DiscreteStatsTable[[#This Row],[GroupByKey]])*DiscreteStatsTable[Maximum]))</f>
        <v>1</v>
      </c>
      <c r="V993" s="5" cm="1">
        <f t="array" ref="V993">IFERROR(AVERAGE(IF((DiscreteStatsTable[GroupByKey]=DiscreteStatsTable[[#This Row],[GroupByKey]]),(DiscreteStatsTable[GroupByKey]=DiscreteStatsTable[[#This Row],[GroupByKey]])*DiscreteStatsTable[NumberObservations])),0)</f>
        <v>1</v>
      </c>
      <c r="W993" s="5">
        <f>IF((DiscreteStatsTable[[#This Row],[RepsRequested]]&gt;1),DiscreteStatsTable[[#This Row],[HalfWidth]],DiscreteStatsTable[[#This Row],[BatchMeansHalfWidth]])</f>
        <v>0.20188112157891097</v>
      </c>
      <c r="X993" s="5" cm="1">
        <f t="array" ref="X993">COUNT(IF((DiscreteStatsTable[GroupByKey]=DiscreteStatsTable[[#This Row],[GroupByKey]]),(DiscreteStatsTable[GroupByKey]=DiscreteStatsTable[[#This Row],[GroupByKey]])*DiscreteStatsTable[Replication]))</f>
        <v>19</v>
      </c>
      <c r="Y993" s="5">
        <f>IF(DiscreteStatsTable[[#This Row],[RepsRequested]]=DiscreteStatsTable[[#This Row],[RepsWithStatObserved]],1,0)</f>
        <v>1</v>
      </c>
    </row>
    <row r="994" spans="1:25" x14ac:dyDescent="0.25">
      <c r="A994" t="s">
        <v>67</v>
      </c>
      <c r="B994" t="s">
        <v>69</v>
      </c>
      <c r="C994">
        <v>10</v>
      </c>
      <c r="D994" t="s">
        <v>123</v>
      </c>
      <c r="E994" t="s">
        <v>79</v>
      </c>
      <c r="F994" t="s">
        <v>80</v>
      </c>
      <c r="G994">
        <v>0</v>
      </c>
      <c r="H994">
        <v>2E+20</v>
      </c>
      <c r="I994">
        <v>0</v>
      </c>
      <c r="J994">
        <v>0</v>
      </c>
      <c r="K994">
        <v>1</v>
      </c>
      <c r="L99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compartida)UtilizacionCajeroH3ExpressionUser Specified</v>
      </c>
      <c r="M994" s="5" cm="1">
        <f t="array" ref="M994">MAX(IF((ProjectInfoTable[ProjectName]=DiscreteStatsTable[[#This Row],[ProjectName]]),(ProjectInfoTable[ProjectName]=DiscreteStatsTable[[#This Row],[ProjectName]])*ProjectInfoTable[NumberOfReplications]))</f>
        <v>19</v>
      </c>
      <c r="N994" s="5" cm="1">
        <f t="array" ref="N994">IFERROR(AVERAGE(IF((DiscreteStatsTable[GroupByKey]=DiscreteStatsTable[[#This Row],[GroupByKey]]),(DiscreteStatsTable[GroupByKey]=DiscreteStatsTable[[#This Row],[GroupByKey]])*DiscreteStatsTable[Average])),0)</f>
        <v>0.78947368421052633</v>
      </c>
      <c r="O994" s="5" cm="1">
        <f t="array" ref="O994">IFERROR(_xlfn.STDEV.S(IF((DiscreteStatsTable[GroupByKey]=DiscreteStatsTable[[#This Row],[GroupByKey]]),(DiscreteStatsTable[GroupByKey]=DiscreteStatsTable[[#This Row],[GroupByKey]])*DiscreteStatsTable[Average])),0)</f>
        <v>0.41885390829169544</v>
      </c>
      <c r="P994" s="5" cm="1">
        <f t="array" ref="P994">MAX(IF((ProjectInfoTable[ProjectName]=DiscreteStatsTable[[#This Row],[ProjectName]]),(ProjectInfoTable[ProjectName]=DiscreteStatsTable[[#This Row],[ProjectName]])*ProjectInfoTable[ConfidenceInterval]))</f>
        <v>0.95</v>
      </c>
      <c r="Q994" s="5">
        <f>IF(AND(DiscreteStatsTable[[#This Row],[RepsWithStatObserved]]=1,Y994=0),200000000000000000000,IFERROR(_xlfn.T.INV.2T(1 -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0.20188112157891097</v>
      </c>
      <c r="R994" s="5" cm="1">
        <f t="array" ref="R994">MIN(IF((DiscreteStatsTable[GroupByKey]=DiscreteStatsTable[[#This Row],[GroupByKey]]),(DiscreteStatsTable[GroupByKey]=DiscreteStatsTable[[#This Row],[GroupByKey]])*DiscreteStatsTable[Average]))</f>
        <v>0</v>
      </c>
      <c r="S994" s="5" cm="1">
        <f t="array" ref="S994">MAX(IF((DiscreteStatsTable[GroupByKey]=DiscreteStatsTable[[#This Row],[GroupByKey]]),(DiscreteStatsTable[GroupByKey]=DiscreteStatsTable[[#This Row],[GroupByKey]])*DiscreteStatsTable[Average]))</f>
        <v>1</v>
      </c>
      <c r="T994" s="5" cm="1">
        <f t="array" ref="T994">MIN(IF((DiscreteStatsTable[GroupByKey]=DiscreteStatsTable[[#This Row],[GroupByKey]]),(DiscreteStatsTable[GroupByKey]=DiscreteStatsTable[[#This Row],[GroupByKey]])*DiscreteStatsTable[Minimum]))</f>
        <v>0</v>
      </c>
      <c r="U994" s="5" cm="1">
        <f t="array" ref="U994">MAX(IF((DiscreteStatsTable[GroupByKey]=DiscreteStatsTable[[#This Row],[GroupByKey]]),(DiscreteStatsTable[GroupByKey]=DiscreteStatsTable[[#This Row],[GroupByKey]])*DiscreteStatsTable[Maximum]))</f>
        <v>1</v>
      </c>
      <c r="V994" s="5" cm="1">
        <f t="array" ref="V994">IFERROR(AVERAGE(IF((DiscreteStatsTable[GroupByKey]=DiscreteStatsTable[[#This Row],[GroupByKey]]),(DiscreteStatsTable[GroupByKey]=DiscreteStatsTable[[#This Row],[GroupByKey]])*DiscreteStatsTable[NumberObservations])),0)</f>
        <v>1</v>
      </c>
      <c r="W994" s="5">
        <f>IF((DiscreteStatsTable[[#This Row],[RepsRequested]]&gt;1),DiscreteStatsTable[[#This Row],[HalfWidth]],DiscreteStatsTable[[#This Row],[BatchMeansHalfWidth]])</f>
        <v>0.20188112157891097</v>
      </c>
      <c r="X994" s="5" cm="1">
        <f t="array" ref="X994">COUNT(IF((DiscreteStatsTable[GroupByKey]=DiscreteStatsTable[[#This Row],[GroupByKey]]),(DiscreteStatsTable[GroupByKey]=DiscreteStatsTable[[#This Row],[GroupByKey]])*DiscreteStatsTable[Replication]))</f>
        <v>19</v>
      </c>
      <c r="Y994" s="5">
        <f>IF(DiscreteStatsTable[[#This Row],[RepsRequested]]=DiscreteStatsTable[[#This Row],[RepsWithStatObserved]],1,0)</f>
        <v>1</v>
      </c>
    </row>
    <row r="995" spans="1:25" x14ac:dyDescent="0.25">
      <c r="A995" t="s">
        <v>67</v>
      </c>
      <c r="B995" t="s">
        <v>69</v>
      </c>
      <c r="C995">
        <v>11</v>
      </c>
      <c r="D995" t="s">
        <v>123</v>
      </c>
      <c r="E995" t="s">
        <v>79</v>
      </c>
      <c r="F995" t="s">
        <v>80</v>
      </c>
      <c r="G995">
        <v>1</v>
      </c>
      <c r="H995">
        <v>2E+20</v>
      </c>
      <c r="I995">
        <v>1</v>
      </c>
      <c r="J995">
        <v>1</v>
      </c>
      <c r="K995">
        <v>1</v>
      </c>
      <c r="L99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compartida)UtilizacionCajeroH3ExpressionUser Specified</v>
      </c>
      <c r="M995" s="5" cm="1">
        <f t="array" ref="M995">MAX(IF((ProjectInfoTable[ProjectName]=DiscreteStatsTable[[#This Row],[ProjectName]]),(ProjectInfoTable[ProjectName]=DiscreteStatsTable[[#This Row],[ProjectName]])*ProjectInfoTable[NumberOfReplications]))</f>
        <v>19</v>
      </c>
      <c r="N995" s="5" cm="1">
        <f t="array" ref="N995">IFERROR(AVERAGE(IF((DiscreteStatsTable[GroupByKey]=DiscreteStatsTable[[#This Row],[GroupByKey]]),(DiscreteStatsTable[GroupByKey]=DiscreteStatsTable[[#This Row],[GroupByKey]])*DiscreteStatsTable[Average])),0)</f>
        <v>0.78947368421052633</v>
      </c>
      <c r="O995" s="5" cm="1">
        <f t="array" ref="O995">IFERROR(_xlfn.STDEV.S(IF((DiscreteStatsTable[GroupByKey]=DiscreteStatsTable[[#This Row],[GroupByKey]]),(DiscreteStatsTable[GroupByKey]=DiscreteStatsTable[[#This Row],[GroupByKey]])*DiscreteStatsTable[Average])),0)</f>
        <v>0.41885390829169544</v>
      </c>
      <c r="P995" s="5" cm="1">
        <f t="array" ref="P995">MAX(IF((ProjectInfoTable[ProjectName]=DiscreteStatsTable[[#This Row],[ProjectName]]),(ProjectInfoTable[ProjectName]=DiscreteStatsTable[[#This Row],[ProjectName]])*ProjectInfoTable[ConfidenceInterval]))</f>
        <v>0.95</v>
      </c>
      <c r="Q995" s="5">
        <f>IF(AND(DiscreteStatsTable[[#This Row],[RepsWithStatObserved]]=1,Y995=0),200000000000000000000,IFERROR(_xlfn.T.INV.2T(1 -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0.20188112157891097</v>
      </c>
      <c r="R995" s="5" cm="1">
        <f t="array" ref="R995">MIN(IF((DiscreteStatsTable[GroupByKey]=DiscreteStatsTable[[#This Row],[GroupByKey]]),(DiscreteStatsTable[GroupByKey]=DiscreteStatsTable[[#This Row],[GroupByKey]])*DiscreteStatsTable[Average]))</f>
        <v>0</v>
      </c>
      <c r="S995" s="5" cm="1">
        <f t="array" ref="S995">MAX(IF((DiscreteStatsTable[GroupByKey]=DiscreteStatsTable[[#This Row],[GroupByKey]]),(DiscreteStatsTable[GroupByKey]=DiscreteStatsTable[[#This Row],[GroupByKey]])*DiscreteStatsTable[Average]))</f>
        <v>1</v>
      </c>
      <c r="T995" s="5" cm="1">
        <f t="array" ref="T995">MIN(IF((DiscreteStatsTable[GroupByKey]=DiscreteStatsTable[[#This Row],[GroupByKey]]),(DiscreteStatsTable[GroupByKey]=DiscreteStatsTable[[#This Row],[GroupByKey]])*DiscreteStatsTable[Minimum]))</f>
        <v>0</v>
      </c>
      <c r="U995" s="5" cm="1">
        <f t="array" ref="U995">MAX(IF((DiscreteStatsTable[GroupByKey]=DiscreteStatsTable[[#This Row],[GroupByKey]]),(DiscreteStatsTable[GroupByKey]=DiscreteStatsTable[[#This Row],[GroupByKey]])*DiscreteStatsTable[Maximum]))</f>
        <v>1</v>
      </c>
      <c r="V995" s="5" cm="1">
        <f t="array" ref="V995">IFERROR(AVERAGE(IF((DiscreteStatsTable[GroupByKey]=DiscreteStatsTable[[#This Row],[GroupByKey]]),(DiscreteStatsTable[GroupByKey]=DiscreteStatsTable[[#This Row],[GroupByKey]])*DiscreteStatsTable[NumberObservations])),0)</f>
        <v>1</v>
      </c>
      <c r="W995" s="5">
        <f>IF((DiscreteStatsTable[[#This Row],[RepsRequested]]&gt;1),DiscreteStatsTable[[#This Row],[HalfWidth]],DiscreteStatsTable[[#This Row],[BatchMeansHalfWidth]])</f>
        <v>0.20188112157891097</v>
      </c>
      <c r="X995" s="5" cm="1">
        <f t="array" ref="X995">COUNT(IF((DiscreteStatsTable[GroupByKey]=DiscreteStatsTable[[#This Row],[GroupByKey]]),(DiscreteStatsTable[GroupByKey]=DiscreteStatsTable[[#This Row],[GroupByKey]])*DiscreteStatsTable[Replication]))</f>
        <v>19</v>
      </c>
      <c r="Y995" s="5">
        <f>IF(DiscreteStatsTable[[#This Row],[RepsRequested]]=DiscreteStatsTable[[#This Row],[RepsWithStatObserved]],1,0)</f>
        <v>1</v>
      </c>
    </row>
    <row r="996" spans="1:25" x14ac:dyDescent="0.25">
      <c r="A996" t="s">
        <v>67</v>
      </c>
      <c r="B996" t="s">
        <v>69</v>
      </c>
      <c r="C996">
        <v>12</v>
      </c>
      <c r="D996" t="s">
        <v>123</v>
      </c>
      <c r="E996" t="s">
        <v>79</v>
      </c>
      <c r="F996" t="s">
        <v>80</v>
      </c>
      <c r="G996">
        <v>1</v>
      </c>
      <c r="H996">
        <v>2E+20</v>
      </c>
      <c r="I996">
        <v>1</v>
      </c>
      <c r="J996">
        <v>1</v>
      </c>
      <c r="K996">
        <v>1</v>
      </c>
      <c r="L99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compartida)UtilizacionCajeroH3ExpressionUser Specified</v>
      </c>
      <c r="M996" s="5" cm="1">
        <f t="array" ref="M996">MAX(IF((ProjectInfoTable[ProjectName]=DiscreteStatsTable[[#This Row],[ProjectName]]),(ProjectInfoTable[ProjectName]=DiscreteStatsTable[[#This Row],[ProjectName]])*ProjectInfoTable[NumberOfReplications]))</f>
        <v>19</v>
      </c>
      <c r="N996" s="5" cm="1">
        <f t="array" ref="N996">IFERROR(AVERAGE(IF((DiscreteStatsTable[GroupByKey]=DiscreteStatsTable[[#This Row],[GroupByKey]]),(DiscreteStatsTable[GroupByKey]=DiscreteStatsTable[[#This Row],[GroupByKey]])*DiscreteStatsTable[Average])),0)</f>
        <v>0.78947368421052633</v>
      </c>
      <c r="O996" s="5" cm="1">
        <f t="array" ref="O996">IFERROR(_xlfn.STDEV.S(IF((DiscreteStatsTable[GroupByKey]=DiscreteStatsTable[[#This Row],[GroupByKey]]),(DiscreteStatsTable[GroupByKey]=DiscreteStatsTable[[#This Row],[GroupByKey]])*DiscreteStatsTable[Average])),0)</f>
        <v>0.41885390829169544</v>
      </c>
      <c r="P996" s="5" cm="1">
        <f t="array" ref="P996">MAX(IF((ProjectInfoTable[ProjectName]=DiscreteStatsTable[[#This Row],[ProjectName]]),(ProjectInfoTable[ProjectName]=DiscreteStatsTable[[#This Row],[ProjectName]])*ProjectInfoTable[ConfidenceInterval]))</f>
        <v>0.95</v>
      </c>
      <c r="Q996" s="5">
        <f>IF(AND(DiscreteStatsTable[[#This Row],[RepsWithStatObserved]]=1,Y996=0),200000000000000000000,IFERROR(_xlfn.T.INV.2T(1 -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0.20188112157891097</v>
      </c>
      <c r="R996" s="5" cm="1">
        <f t="array" ref="R996">MIN(IF((DiscreteStatsTable[GroupByKey]=DiscreteStatsTable[[#This Row],[GroupByKey]]),(DiscreteStatsTable[GroupByKey]=DiscreteStatsTable[[#This Row],[GroupByKey]])*DiscreteStatsTable[Average]))</f>
        <v>0</v>
      </c>
      <c r="S996" s="5" cm="1">
        <f t="array" ref="S996">MAX(IF((DiscreteStatsTable[GroupByKey]=DiscreteStatsTable[[#This Row],[GroupByKey]]),(DiscreteStatsTable[GroupByKey]=DiscreteStatsTable[[#This Row],[GroupByKey]])*DiscreteStatsTable[Average]))</f>
        <v>1</v>
      </c>
      <c r="T996" s="5" cm="1">
        <f t="array" ref="T996">MIN(IF((DiscreteStatsTable[GroupByKey]=DiscreteStatsTable[[#This Row],[GroupByKey]]),(DiscreteStatsTable[GroupByKey]=DiscreteStatsTable[[#This Row],[GroupByKey]])*DiscreteStatsTable[Minimum]))</f>
        <v>0</v>
      </c>
      <c r="U996" s="5" cm="1">
        <f t="array" ref="U996">MAX(IF((DiscreteStatsTable[GroupByKey]=DiscreteStatsTable[[#This Row],[GroupByKey]]),(DiscreteStatsTable[GroupByKey]=DiscreteStatsTable[[#This Row],[GroupByKey]])*DiscreteStatsTable[Maximum]))</f>
        <v>1</v>
      </c>
      <c r="V996" s="5" cm="1">
        <f t="array" ref="V996">IFERROR(AVERAGE(IF((DiscreteStatsTable[GroupByKey]=DiscreteStatsTable[[#This Row],[GroupByKey]]),(DiscreteStatsTable[GroupByKey]=DiscreteStatsTable[[#This Row],[GroupByKey]])*DiscreteStatsTable[NumberObservations])),0)</f>
        <v>1</v>
      </c>
      <c r="W996" s="5">
        <f>IF((DiscreteStatsTable[[#This Row],[RepsRequested]]&gt;1),DiscreteStatsTable[[#This Row],[HalfWidth]],DiscreteStatsTable[[#This Row],[BatchMeansHalfWidth]])</f>
        <v>0.20188112157891097</v>
      </c>
      <c r="X996" s="5" cm="1">
        <f t="array" ref="X996">COUNT(IF((DiscreteStatsTable[GroupByKey]=DiscreteStatsTable[[#This Row],[GroupByKey]]),(DiscreteStatsTable[GroupByKey]=DiscreteStatsTable[[#This Row],[GroupByKey]])*DiscreteStatsTable[Replication]))</f>
        <v>19</v>
      </c>
      <c r="Y996" s="5">
        <f>IF(DiscreteStatsTable[[#This Row],[RepsRequested]]=DiscreteStatsTable[[#This Row],[RepsWithStatObserved]],1,0)</f>
        <v>1</v>
      </c>
    </row>
    <row r="997" spans="1:25" x14ac:dyDescent="0.25">
      <c r="A997" t="s">
        <v>67</v>
      </c>
      <c r="B997" t="s">
        <v>69</v>
      </c>
      <c r="C997">
        <v>13</v>
      </c>
      <c r="D997" t="s">
        <v>123</v>
      </c>
      <c r="E997" t="s">
        <v>79</v>
      </c>
      <c r="F997" t="s">
        <v>80</v>
      </c>
      <c r="G997">
        <v>1</v>
      </c>
      <c r="H997">
        <v>2E+20</v>
      </c>
      <c r="I997">
        <v>1</v>
      </c>
      <c r="J997">
        <v>1</v>
      </c>
      <c r="K997">
        <v>1</v>
      </c>
      <c r="L99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compartida)UtilizacionCajeroH3ExpressionUser Specified</v>
      </c>
      <c r="M997" s="5" cm="1">
        <f t="array" ref="M997">MAX(IF((ProjectInfoTable[ProjectName]=DiscreteStatsTable[[#This Row],[ProjectName]]),(ProjectInfoTable[ProjectName]=DiscreteStatsTable[[#This Row],[ProjectName]])*ProjectInfoTable[NumberOfReplications]))</f>
        <v>19</v>
      </c>
      <c r="N997" s="5" cm="1">
        <f t="array" ref="N997">IFERROR(AVERAGE(IF((DiscreteStatsTable[GroupByKey]=DiscreteStatsTable[[#This Row],[GroupByKey]]),(DiscreteStatsTable[GroupByKey]=DiscreteStatsTable[[#This Row],[GroupByKey]])*DiscreteStatsTable[Average])),0)</f>
        <v>0.78947368421052633</v>
      </c>
      <c r="O997" s="5" cm="1">
        <f t="array" ref="O997">IFERROR(_xlfn.STDEV.S(IF((DiscreteStatsTable[GroupByKey]=DiscreteStatsTable[[#This Row],[GroupByKey]]),(DiscreteStatsTable[GroupByKey]=DiscreteStatsTable[[#This Row],[GroupByKey]])*DiscreteStatsTable[Average])),0)</f>
        <v>0.41885390829169544</v>
      </c>
      <c r="P997" s="5" cm="1">
        <f t="array" ref="P997">MAX(IF((ProjectInfoTable[ProjectName]=DiscreteStatsTable[[#This Row],[ProjectName]]),(ProjectInfoTable[ProjectName]=DiscreteStatsTable[[#This Row],[ProjectName]])*ProjectInfoTable[ConfidenceInterval]))</f>
        <v>0.95</v>
      </c>
      <c r="Q997" s="5">
        <f>IF(AND(DiscreteStatsTable[[#This Row],[RepsWithStatObserved]]=1,Y997=0),200000000000000000000,IFERROR(_xlfn.T.INV.2T(1 -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0.20188112157891097</v>
      </c>
      <c r="R997" s="5" cm="1">
        <f t="array" ref="R997">MIN(IF((DiscreteStatsTable[GroupByKey]=DiscreteStatsTable[[#This Row],[GroupByKey]]),(DiscreteStatsTable[GroupByKey]=DiscreteStatsTable[[#This Row],[GroupByKey]])*DiscreteStatsTable[Average]))</f>
        <v>0</v>
      </c>
      <c r="S997" s="5" cm="1">
        <f t="array" ref="S997">MAX(IF((DiscreteStatsTable[GroupByKey]=DiscreteStatsTable[[#This Row],[GroupByKey]]),(DiscreteStatsTable[GroupByKey]=DiscreteStatsTable[[#This Row],[GroupByKey]])*DiscreteStatsTable[Average]))</f>
        <v>1</v>
      </c>
      <c r="T997" s="5" cm="1">
        <f t="array" ref="T997">MIN(IF((DiscreteStatsTable[GroupByKey]=DiscreteStatsTable[[#This Row],[GroupByKey]]),(DiscreteStatsTable[GroupByKey]=DiscreteStatsTable[[#This Row],[GroupByKey]])*DiscreteStatsTable[Minimum]))</f>
        <v>0</v>
      </c>
      <c r="U997" s="5" cm="1">
        <f t="array" ref="U997">MAX(IF((DiscreteStatsTable[GroupByKey]=DiscreteStatsTable[[#This Row],[GroupByKey]]),(DiscreteStatsTable[GroupByKey]=DiscreteStatsTable[[#This Row],[GroupByKey]])*DiscreteStatsTable[Maximum]))</f>
        <v>1</v>
      </c>
      <c r="V997" s="5" cm="1">
        <f t="array" ref="V997">IFERROR(AVERAGE(IF((DiscreteStatsTable[GroupByKey]=DiscreteStatsTable[[#This Row],[GroupByKey]]),(DiscreteStatsTable[GroupByKey]=DiscreteStatsTable[[#This Row],[GroupByKey]])*DiscreteStatsTable[NumberObservations])),0)</f>
        <v>1</v>
      </c>
      <c r="W997" s="5">
        <f>IF((DiscreteStatsTable[[#This Row],[RepsRequested]]&gt;1),DiscreteStatsTable[[#This Row],[HalfWidth]],DiscreteStatsTable[[#This Row],[BatchMeansHalfWidth]])</f>
        <v>0.20188112157891097</v>
      </c>
      <c r="X997" s="5" cm="1">
        <f t="array" ref="X997">COUNT(IF((DiscreteStatsTable[GroupByKey]=DiscreteStatsTable[[#This Row],[GroupByKey]]),(DiscreteStatsTable[GroupByKey]=DiscreteStatsTable[[#This Row],[GroupByKey]])*DiscreteStatsTable[Replication]))</f>
        <v>19</v>
      </c>
      <c r="Y997" s="5">
        <f>IF(DiscreteStatsTable[[#This Row],[RepsRequested]]=DiscreteStatsTable[[#This Row],[RepsWithStatObserved]],1,0)</f>
        <v>1</v>
      </c>
    </row>
    <row r="998" spans="1:25" x14ac:dyDescent="0.25">
      <c r="A998" t="s">
        <v>67</v>
      </c>
      <c r="B998" t="s">
        <v>69</v>
      </c>
      <c r="C998">
        <v>14</v>
      </c>
      <c r="D998" t="s">
        <v>123</v>
      </c>
      <c r="E998" t="s">
        <v>79</v>
      </c>
      <c r="F998" t="s">
        <v>80</v>
      </c>
      <c r="G998">
        <v>1</v>
      </c>
      <c r="H998">
        <v>2E+20</v>
      </c>
      <c r="I998">
        <v>1</v>
      </c>
      <c r="J998">
        <v>1</v>
      </c>
      <c r="K998">
        <v>1</v>
      </c>
      <c r="L99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compartida)UtilizacionCajeroH3ExpressionUser Specified</v>
      </c>
      <c r="M998" s="5" cm="1">
        <f t="array" ref="M998">MAX(IF((ProjectInfoTable[ProjectName]=DiscreteStatsTable[[#This Row],[ProjectName]]),(ProjectInfoTable[ProjectName]=DiscreteStatsTable[[#This Row],[ProjectName]])*ProjectInfoTable[NumberOfReplications]))</f>
        <v>19</v>
      </c>
      <c r="N998" s="5" cm="1">
        <f t="array" ref="N998">IFERROR(AVERAGE(IF((DiscreteStatsTable[GroupByKey]=DiscreteStatsTable[[#This Row],[GroupByKey]]),(DiscreteStatsTable[GroupByKey]=DiscreteStatsTable[[#This Row],[GroupByKey]])*DiscreteStatsTable[Average])),0)</f>
        <v>0.78947368421052633</v>
      </c>
      <c r="O998" s="5" cm="1">
        <f t="array" ref="O998">IFERROR(_xlfn.STDEV.S(IF((DiscreteStatsTable[GroupByKey]=DiscreteStatsTable[[#This Row],[GroupByKey]]),(DiscreteStatsTable[GroupByKey]=DiscreteStatsTable[[#This Row],[GroupByKey]])*DiscreteStatsTable[Average])),0)</f>
        <v>0.41885390829169544</v>
      </c>
      <c r="P998" s="5" cm="1">
        <f t="array" ref="P998">MAX(IF((ProjectInfoTable[ProjectName]=DiscreteStatsTable[[#This Row],[ProjectName]]),(ProjectInfoTable[ProjectName]=DiscreteStatsTable[[#This Row],[ProjectName]])*ProjectInfoTable[ConfidenceInterval]))</f>
        <v>0.95</v>
      </c>
      <c r="Q998" s="5">
        <f>IF(AND(DiscreteStatsTable[[#This Row],[RepsWithStatObserved]]=1,Y998=0),200000000000000000000,IFERROR(_xlfn.T.INV.2T(1 -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0.20188112157891097</v>
      </c>
      <c r="R998" s="5" cm="1">
        <f t="array" ref="R998">MIN(IF((DiscreteStatsTable[GroupByKey]=DiscreteStatsTable[[#This Row],[GroupByKey]]),(DiscreteStatsTable[GroupByKey]=DiscreteStatsTable[[#This Row],[GroupByKey]])*DiscreteStatsTable[Average]))</f>
        <v>0</v>
      </c>
      <c r="S998" s="5" cm="1">
        <f t="array" ref="S998">MAX(IF((DiscreteStatsTable[GroupByKey]=DiscreteStatsTable[[#This Row],[GroupByKey]]),(DiscreteStatsTable[GroupByKey]=DiscreteStatsTable[[#This Row],[GroupByKey]])*DiscreteStatsTable[Average]))</f>
        <v>1</v>
      </c>
      <c r="T998" s="5" cm="1">
        <f t="array" ref="T998">MIN(IF((DiscreteStatsTable[GroupByKey]=DiscreteStatsTable[[#This Row],[GroupByKey]]),(DiscreteStatsTable[GroupByKey]=DiscreteStatsTable[[#This Row],[GroupByKey]])*DiscreteStatsTable[Minimum]))</f>
        <v>0</v>
      </c>
      <c r="U998" s="5" cm="1">
        <f t="array" ref="U998">MAX(IF((DiscreteStatsTable[GroupByKey]=DiscreteStatsTable[[#This Row],[GroupByKey]]),(DiscreteStatsTable[GroupByKey]=DiscreteStatsTable[[#This Row],[GroupByKey]])*DiscreteStatsTable[Maximum]))</f>
        <v>1</v>
      </c>
      <c r="V998" s="5" cm="1">
        <f t="array" ref="V998">IFERROR(AVERAGE(IF((DiscreteStatsTable[GroupByKey]=DiscreteStatsTable[[#This Row],[GroupByKey]]),(DiscreteStatsTable[GroupByKey]=DiscreteStatsTable[[#This Row],[GroupByKey]])*DiscreteStatsTable[NumberObservations])),0)</f>
        <v>1</v>
      </c>
      <c r="W998" s="5">
        <f>IF((DiscreteStatsTable[[#This Row],[RepsRequested]]&gt;1),DiscreteStatsTable[[#This Row],[HalfWidth]],DiscreteStatsTable[[#This Row],[BatchMeansHalfWidth]])</f>
        <v>0.20188112157891097</v>
      </c>
      <c r="X998" s="5" cm="1">
        <f t="array" ref="X998">COUNT(IF((DiscreteStatsTable[GroupByKey]=DiscreteStatsTable[[#This Row],[GroupByKey]]),(DiscreteStatsTable[GroupByKey]=DiscreteStatsTable[[#This Row],[GroupByKey]])*DiscreteStatsTable[Replication]))</f>
        <v>19</v>
      </c>
      <c r="Y998" s="5">
        <f>IF(DiscreteStatsTable[[#This Row],[RepsRequested]]=DiscreteStatsTable[[#This Row],[RepsWithStatObserved]],1,0)</f>
        <v>1</v>
      </c>
    </row>
    <row r="999" spans="1:25" x14ac:dyDescent="0.25">
      <c r="A999" t="s">
        <v>67</v>
      </c>
      <c r="B999" t="s">
        <v>69</v>
      </c>
      <c r="C999">
        <v>15</v>
      </c>
      <c r="D999" t="s">
        <v>123</v>
      </c>
      <c r="E999" t="s">
        <v>79</v>
      </c>
      <c r="F999" t="s">
        <v>80</v>
      </c>
      <c r="G999">
        <v>1</v>
      </c>
      <c r="H999">
        <v>2E+20</v>
      </c>
      <c r="I999">
        <v>1</v>
      </c>
      <c r="J999">
        <v>1</v>
      </c>
      <c r="K999">
        <v>1</v>
      </c>
      <c r="L99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compartida)UtilizacionCajeroH3ExpressionUser Specified</v>
      </c>
      <c r="M999" s="5" cm="1">
        <f t="array" ref="M999">MAX(IF((ProjectInfoTable[ProjectName]=DiscreteStatsTable[[#This Row],[ProjectName]]),(ProjectInfoTable[ProjectName]=DiscreteStatsTable[[#This Row],[ProjectName]])*ProjectInfoTable[NumberOfReplications]))</f>
        <v>19</v>
      </c>
      <c r="N999" s="5" cm="1">
        <f t="array" ref="N999">IFERROR(AVERAGE(IF((DiscreteStatsTable[GroupByKey]=DiscreteStatsTable[[#This Row],[GroupByKey]]),(DiscreteStatsTable[GroupByKey]=DiscreteStatsTable[[#This Row],[GroupByKey]])*DiscreteStatsTable[Average])),0)</f>
        <v>0.78947368421052633</v>
      </c>
      <c r="O999" s="5" cm="1">
        <f t="array" ref="O999">IFERROR(_xlfn.STDEV.S(IF((DiscreteStatsTable[GroupByKey]=DiscreteStatsTable[[#This Row],[GroupByKey]]),(DiscreteStatsTable[GroupByKey]=DiscreteStatsTable[[#This Row],[GroupByKey]])*DiscreteStatsTable[Average])),0)</f>
        <v>0.41885390829169544</v>
      </c>
      <c r="P999" s="5" cm="1">
        <f t="array" ref="P999">MAX(IF((ProjectInfoTable[ProjectName]=DiscreteStatsTable[[#This Row],[ProjectName]]),(ProjectInfoTable[ProjectName]=DiscreteStatsTable[[#This Row],[ProjectName]])*ProjectInfoTable[ConfidenceInterval]))</f>
        <v>0.95</v>
      </c>
      <c r="Q999" s="5">
        <f>IF(AND(DiscreteStatsTable[[#This Row],[RepsWithStatObserved]]=1,Y999=0),200000000000000000000,IFERROR(_xlfn.T.INV.2T(1 -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0.20188112157891097</v>
      </c>
      <c r="R999" s="5" cm="1">
        <f t="array" ref="R999">MIN(IF((DiscreteStatsTable[GroupByKey]=DiscreteStatsTable[[#This Row],[GroupByKey]]),(DiscreteStatsTable[GroupByKey]=DiscreteStatsTable[[#This Row],[GroupByKey]])*DiscreteStatsTable[Average]))</f>
        <v>0</v>
      </c>
      <c r="S999" s="5" cm="1">
        <f t="array" ref="S999">MAX(IF((DiscreteStatsTable[GroupByKey]=DiscreteStatsTable[[#This Row],[GroupByKey]]),(DiscreteStatsTable[GroupByKey]=DiscreteStatsTable[[#This Row],[GroupByKey]])*DiscreteStatsTable[Average]))</f>
        <v>1</v>
      </c>
      <c r="T999" s="5" cm="1">
        <f t="array" ref="T999">MIN(IF((DiscreteStatsTable[GroupByKey]=DiscreteStatsTable[[#This Row],[GroupByKey]]),(DiscreteStatsTable[GroupByKey]=DiscreteStatsTable[[#This Row],[GroupByKey]])*DiscreteStatsTable[Minimum]))</f>
        <v>0</v>
      </c>
      <c r="U999" s="5" cm="1">
        <f t="array" ref="U999">MAX(IF((DiscreteStatsTable[GroupByKey]=DiscreteStatsTable[[#This Row],[GroupByKey]]),(DiscreteStatsTable[GroupByKey]=DiscreteStatsTable[[#This Row],[GroupByKey]])*DiscreteStatsTable[Maximum]))</f>
        <v>1</v>
      </c>
      <c r="V999" s="5" cm="1">
        <f t="array" ref="V999">IFERROR(AVERAGE(IF((DiscreteStatsTable[GroupByKey]=DiscreteStatsTable[[#This Row],[GroupByKey]]),(DiscreteStatsTable[GroupByKey]=DiscreteStatsTable[[#This Row],[GroupByKey]])*DiscreteStatsTable[NumberObservations])),0)</f>
        <v>1</v>
      </c>
      <c r="W999" s="5">
        <f>IF((DiscreteStatsTable[[#This Row],[RepsRequested]]&gt;1),DiscreteStatsTable[[#This Row],[HalfWidth]],DiscreteStatsTable[[#This Row],[BatchMeansHalfWidth]])</f>
        <v>0.20188112157891097</v>
      </c>
      <c r="X999" s="5" cm="1">
        <f t="array" ref="X999">COUNT(IF((DiscreteStatsTable[GroupByKey]=DiscreteStatsTable[[#This Row],[GroupByKey]]),(DiscreteStatsTable[GroupByKey]=DiscreteStatsTable[[#This Row],[GroupByKey]])*DiscreteStatsTable[Replication]))</f>
        <v>19</v>
      </c>
      <c r="Y999" s="5">
        <f>IF(DiscreteStatsTable[[#This Row],[RepsRequested]]=DiscreteStatsTable[[#This Row],[RepsWithStatObserved]],1,0)</f>
        <v>1</v>
      </c>
    </row>
    <row r="1000" spans="1:25" x14ac:dyDescent="0.25">
      <c r="A1000" t="s">
        <v>67</v>
      </c>
      <c r="B1000" t="s">
        <v>69</v>
      </c>
      <c r="C1000">
        <v>16</v>
      </c>
      <c r="D1000" t="s">
        <v>123</v>
      </c>
      <c r="E1000" t="s">
        <v>79</v>
      </c>
      <c r="F1000" t="s">
        <v>80</v>
      </c>
      <c r="G1000">
        <v>0</v>
      </c>
      <c r="H1000">
        <v>2E+20</v>
      </c>
      <c r="I1000">
        <v>0</v>
      </c>
      <c r="J1000">
        <v>0</v>
      </c>
      <c r="K1000">
        <v>1</v>
      </c>
      <c r="L100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compartida)UtilizacionCajeroH3ExpressionUser Specified</v>
      </c>
      <c r="M1000" s="5" cm="1">
        <f t="array" ref="M1000">MAX(IF((ProjectInfoTable[ProjectName]=DiscreteStatsTable[[#This Row],[ProjectName]]),(ProjectInfoTable[ProjectName]=DiscreteStatsTable[[#This Row],[ProjectName]])*ProjectInfoTable[NumberOfReplications]))</f>
        <v>19</v>
      </c>
      <c r="N1000" s="5" cm="1">
        <f t="array" ref="N1000">IFERROR(AVERAGE(IF((DiscreteStatsTable[GroupByKey]=DiscreteStatsTable[[#This Row],[GroupByKey]]),(DiscreteStatsTable[GroupByKey]=DiscreteStatsTable[[#This Row],[GroupByKey]])*DiscreteStatsTable[Average])),0)</f>
        <v>0.78947368421052633</v>
      </c>
      <c r="O1000" s="5" cm="1">
        <f t="array" ref="O1000">IFERROR(_xlfn.STDEV.S(IF((DiscreteStatsTable[GroupByKey]=DiscreteStatsTable[[#This Row],[GroupByKey]]),(DiscreteStatsTable[GroupByKey]=DiscreteStatsTable[[#This Row],[GroupByKey]])*DiscreteStatsTable[Average])),0)</f>
        <v>0.41885390829169544</v>
      </c>
      <c r="P1000" s="5" cm="1">
        <f t="array" ref="P1000">MAX(IF((ProjectInfoTable[ProjectName]=DiscreteStatsTable[[#This Row],[ProjectName]]),(ProjectInfoTable[ProjectName]=DiscreteStatsTable[[#This Row],[ProjectName]])*ProjectInfoTable[ConfidenceInterval]))</f>
        <v>0.95</v>
      </c>
      <c r="Q1000" s="5">
        <f>IF(AND(DiscreteStatsTable[[#This Row],[RepsWithStatObserved]]=1,Y1000=0),200000000000000000000,IFERROR(_xlfn.T.INV.2T(1 -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0.20188112157891097</v>
      </c>
      <c r="R1000" s="5" cm="1">
        <f t="array" ref="R1000">MIN(IF((DiscreteStatsTable[GroupByKey]=DiscreteStatsTable[[#This Row],[GroupByKey]]),(DiscreteStatsTable[GroupByKey]=DiscreteStatsTable[[#This Row],[GroupByKey]])*DiscreteStatsTable[Average]))</f>
        <v>0</v>
      </c>
      <c r="S1000" s="5" cm="1">
        <f t="array" ref="S1000">MAX(IF((DiscreteStatsTable[GroupByKey]=DiscreteStatsTable[[#This Row],[GroupByKey]]),(DiscreteStatsTable[GroupByKey]=DiscreteStatsTable[[#This Row],[GroupByKey]])*DiscreteStatsTable[Average]))</f>
        <v>1</v>
      </c>
      <c r="T1000" s="5" cm="1">
        <f t="array" ref="T1000">MIN(IF((DiscreteStatsTable[GroupByKey]=DiscreteStatsTable[[#This Row],[GroupByKey]]),(DiscreteStatsTable[GroupByKey]=DiscreteStatsTable[[#This Row],[GroupByKey]])*DiscreteStatsTable[Minimum]))</f>
        <v>0</v>
      </c>
      <c r="U1000" s="5" cm="1">
        <f t="array" ref="U1000">MAX(IF((DiscreteStatsTable[GroupByKey]=DiscreteStatsTable[[#This Row],[GroupByKey]]),(DiscreteStatsTable[GroupByKey]=DiscreteStatsTable[[#This Row],[GroupByKey]])*DiscreteStatsTable[Maximum]))</f>
        <v>1</v>
      </c>
      <c r="V1000" s="5" cm="1">
        <f t="array" ref="V1000">IFERROR(AVERAGE(IF((DiscreteStatsTable[GroupByKey]=DiscreteStatsTable[[#This Row],[GroupByKey]]),(DiscreteStatsTable[GroupByKey]=DiscreteStatsTable[[#This Row],[GroupByKey]])*DiscreteStatsTable[NumberObservations])),0)</f>
        <v>1</v>
      </c>
      <c r="W1000" s="5">
        <f>IF((DiscreteStatsTable[[#This Row],[RepsRequested]]&gt;1),DiscreteStatsTable[[#This Row],[HalfWidth]],DiscreteStatsTable[[#This Row],[BatchMeansHalfWidth]])</f>
        <v>0.20188112157891097</v>
      </c>
      <c r="X1000" s="5" cm="1">
        <f t="array" ref="X1000">COUNT(IF((DiscreteStatsTable[GroupByKey]=DiscreteStatsTable[[#This Row],[GroupByKey]]),(DiscreteStatsTable[GroupByKey]=DiscreteStatsTable[[#This Row],[GroupByKey]])*DiscreteStatsTable[Replication]))</f>
        <v>19</v>
      </c>
      <c r="Y1000" s="5">
        <f>IF(DiscreteStatsTable[[#This Row],[RepsRequested]]=DiscreteStatsTable[[#This Row],[RepsWithStatObserved]],1,0)</f>
        <v>1</v>
      </c>
    </row>
    <row r="1001" spans="1:25" x14ac:dyDescent="0.25">
      <c r="A1001" t="s">
        <v>67</v>
      </c>
      <c r="B1001" t="s">
        <v>69</v>
      </c>
      <c r="C1001">
        <v>17</v>
      </c>
      <c r="D1001" t="s">
        <v>123</v>
      </c>
      <c r="E1001" t="s">
        <v>79</v>
      </c>
      <c r="F1001" t="s">
        <v>80</v>
      </c>
      <c r="G1001">
        <v>1</v>
      </c>
      <c r="H1001">
        <v>2E+20</v>
      </c>
      <c r="I1001">
        <v>1</v>
      </c>
      <c r="J1001">
        <v>1</v>
      </c>
      <c r="K1001">
        <v>1</v>
      </c>
      <c r="L100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compartida)UtilizacionCajeroH3ExpressionUser Specified</v>
      </c>
      <c r="M1001" s="5" cm="1">
        <f t="array" ref="M1001">MAX(IF((ProjectInfoTable[ProjectName]=DiscreteStatsTable[[#This Row],[ProjectName]]),(ProjectInfoTable[ProjectName]=DiscreteStatsTable[[#This Row],[ProjectName]])*ProjectInfoTable[NumberOfReplications]))</f>
        <v>19</v>
      </c>
      <c r="N1001" s="5" cm="1">
        <f t="array" ref="N1001">IFERROR(AVERAGE(IF((DiscreteStatsTable[GroupByKey]=DiscreteStatsTable[[#This Row],[GroupByKey]]),(DiscreteStatsTable[GroupByKey]=DiscreteStatsTable[[#This Row],[GroupByKey]])*DiscreteStatsTable[Average])),0)</f>
        <v>0.78947368421052633</v>
      </c>
      <c r="O1001" s="5" cm="1">
        <f t="array" ref="O1001">IFERROR(_xlfn.STDEV.S(IF((DiscreteStatsTable[GroupByKey]=DiscreteStatsTable[[#This Row],[GroupByKey]]),(DiscreteStatsTable[GroupByKey]=DiscreteStatsTable[[#This Row],[GroupByKey]])*DiscreteStatsTable[Average])),0)</f>
        <v>0.41885390829169544</v>
      </c>
      <c r="P1001" s="5" cm="1">
        <f t="array" ref="P1001">MAX(IF((ProjectInfoTable[ProjectName]=DiscreteStatsTable[[#This Row],[ProjectName]]),(ProjectInfoTable[ProjectName]=DiscreteStatsTable[[#This Row],[ProjectName]])*ProjectInfoTable[ConfidenceInterval]))</f>
        <v>0.95</v>
      </c>
      <c r="Q1001" s="5">
        <f>IF(AND(DiscreteStatsTable[[#This Row],[RepsWithStatObserved]]=1,Y1001=0),200000000000000000000,IFERROR(_xlfn.T.INV.2T(1 -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0.20188112157891097</v>
      </c>
      <c r="R1001" s="5" cm="1">
        <f t="array" ref="R1001">MIN(IF((DiscreteStatsTable[GroupByKey]=DiscreteStatsTable[[#This Row],[GroupByKey]]),(DiscreteStatsTable[GroupByKey]=DiscreteStatsTable[[#This Row],[GroupByKey]])*DiscreteStatsTable[Average]))</f>
        <v>0</v>
      </c>
      <c r="S1001" s="5" cm="1">
        <f t="array" ref="S1001">MAX(IF((DiscreteStatsTable[GroupByKey]=DiscreteStatsTable[[#This Row],[GroupByKey]]),(DiscreteStatsTable[GroupByKey]=DiscreteStatsTable[[#This Row],[GroupByKey]])*DiscreteStatsTable[Average]))</f>
        <v>1</v>
      </c>
      <c r="T1001" s="5" cm="1">
        <f t="array" ref="T1001">MIN(IF((DiscreteStatsTable[GroupByKey]=DiscreteStatsTable[[#This Row],[GroupByKey]]),(DiscreteStatsTable[GroupByKey]=DiscreteStatsTable[[#This Row],[GroupByKey]])*DiscreteStatsTable[Minimum]))</f>
        <v>0</v>
      </c>
      <c r="U1001" s="5" cm="1">
        <f t="array" ref="U1001">MAX(IF((DiscreteStatsTable[GroupByKey]=DiscreteStatsTable[[#This Row],[GroupByKey]]),(DiscreteStatsTable[GroupByKey]=DiscreteStatsTable[[#This Row],[GroupByKey]])*DiscreteStatsTable[Maximum]))</f>
        <v>1</v>
      </c>
      <c r="V1001" s="5" cm="1">
        <f t="array" ref="V1001">IFERROR(AVERAGE(IF((DiscreteStatsTable[GroupByKey]=DiscreteStatsTable[[#This Row],[GroupByKey]]),(DiscreteStatsTable[GroupByKey]=DiscreteStatsTable[[#This Row],[GroupByKey]])*DiscreteStatsTable[NumberObservations])),0)</f>
        <v>1</v>
      </c>
      <c r="W1001" s="5">
        <f>IF((DiscreteStatsTable[[#This Row],[RepsRequested]]&gt;1),DiscreteStatsTable[[#This Row],[HalfWidth]],DiscreteStatsTable[[#This Row],[BatchMeansHalfWidth]])</f>
        <v>0.20188112157891097</v>
      </c>
      <c r="X1001" s="5" cm="1">
        <f t="array" ref="X1001">COUNT(IF((DiscreteStatsTable[GroupByKey]=DiscreteStatsTable[[#This Row],[GroupByKey]]),(DiscreteStatsTable[GroupByKey]=DiscreteStatsTable[[#This Row],[GroupByKey]])*DiscreteStatsTable[Replication]))</f>
        <v>19</v>
      </c>
      <c r="Y1001" s="5">
        <f>IF(DiscreteStatsTable[[#This Row],[RepsRequested]]=DiscreteStatsTable[[#This Row],[RepsWithStatObserved]],1,0)</f>
        <v>1</v>
      </c>
    </row>
    <row r="1002" spans="1:25" x14ac:dyDescent="0.25">
      <c r="A1002" t="s">
        <v>67</v>
      </c>
      <c r="B1002" t="s">
        <v>69</v>
      </c>
      <c r="C1002">
        <v>18</v>
      </c>
      <c r="D1002" t="s">
        <v>123</v>
      </c>
      <c r="E1002" t="s">
        <v>79</v>
      </c>
      <c r="F1002" t="s">
        <v>80</v>
      </c>
      <c r="G1002">
        <v>1</v>
      </c>
      <c r="H1002">
        <v>2E+20</v>
      </c>
      <c r="I1002">
        <v>1</v>
      </c>
      <c r="J1002">
        <v>1</v>
      </c>
      <c r="K1002">
        <v>1</v>
      </c>
      <c r="L100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compartida)UtilizacionCajeroH3ExpressionUser Specified</v>
      </c>
      <c r="M1002" s="5" cm="1">
        <f t="array" ref="M1002">MAX(IF((ProjectInfoTable[ProjectName]=DiscreteStatsTable[[#This Row],[ProjectName]]),(ProjectInfoTable[ProjectName]=DiscreteStatsTable[[#This Row],[ProjectName]])*ProjectInfoTable[NumberOfReplications]))</f>
        <v>19</v>
      </c>
      <c r="N1002" s="5" cm="1">
        <f t="array" ref="N1002">IFERROR(AVERAGE(IF((DiscreteStatsTable[GroupByKey]=DiscreteStatsTable[[#This Row],[GroupByKey]]),(DiscreteStatsTable[GroupByKey]=DiscreteStatsTable[[#This Row],[GroupByKey]])*DiscreteStatsTable[Average])),0)</f>
        <v>0.78947368421052633</v>
      </c>
      <c r="O1002" s="5" cm="1">
        <f t="array" ref="O1002">IFERROR(_xlfn.STDEV.S(IF((DiscreteStatsTable[GroupByKey]=DiscreteStatsTable[[#This Row],[GroupByKey]]),(DiscreteStatsTable[GroupByKey]=DiscreteStatsTable[[#This Row],[GroupByKey]])*DiscreteStatsTable[Average])),0)</f>
        <v>0.41885390829169544</v>
      </c>
      <c r="P1002" s="5" cm="1">
        <f t="array" ref="P1002">MAX(IF((ProjectInfoTable[ProjectName]=DiscreteStatsTable[[#This Row],[ProjectName]]),(ProjectInfoTable[ProjectName]=DiscreteStatsTable[[#This Row],[ProjectName]])*ProjectInfoTable[ConfidenceInterval]))</f>
        <v>0.95</v>
      </c>
      <c r="Q1002" s="5">
        <f>IF(AND(DiscreteStatsTable[[#This Row],[RepsWithStatObserved]]=1,Y1002=0),200000000000000000000,IFERROR(_xlfn.T.INV.2T(1 -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0.20188112157891097</v>
      </c>
      <c r="R1002" s="5" cm="1">
        <f t="array" ref="R1002">MIN(IF((DiscreteStatsTable[GroupByKey]=DiscreteStatsTable[[#This Row],[GroupByKey]]),(DiscreteStatsTable[GroupByKey]=DiscreteStatsTable[[#This Row],[GroupByKey]])*DiscreteStatsTable[Average]))</f>
        <v>0</v>
      </c>
      <c r="S1002" s="5" cm="1">
        <f t="array" ref="S1002">MAX(IF((DiscreteStatsTable[GroupByKey]=DiscreteStatsTable[[#This Row],[GroupByKey]]),(DiscreteStatsTable[GroupByKey]=DiscreteStatsTable[[#This Row],[GroupByKey]])*DiscreteStatsTable[Average]))</f>
        <v>1</v>
      </c>
      <c r="T1002" s="5" cm="1">
        <f t="array" ref="T1002">MIN(IF((DiscreteStatsTable[GroupByKey]=DiscreteStatsTable[[#This Row],[GroupByKey]]),(DiscreteStatsTable[GroupByKey]=DiscreteStatsTable[[#This Row],[GroupByKey]])*DiscreteStatsTable[Minimum]))</f>
        <v>0</v>
      </c>
      <c r="U1002" s="5" cm="1">
        <f t="array" ref="U1002">MAX(IF((DiscreteStatsTable[GroupByKey]=DiscreteStatsTable[[#This Row],[GroupByKey]]),(DiscreteStatsTable[GroupByKey]=DiscreteStatsTable[[#This Row],[GroupByKey]])*DiscreteStatsTable[Maximum]))</f>
        <v>1</v>
      </c>
      <c r="V1002" s="5" cm="1">
        <f t="array" ref="V1002">IFERROR(AVERAGE(IF((DiscreteStatsTable[GroupByKey]=DiscreteStatsTable[[#This Row],[GroupByKey]]),(DiscreteStatsTable[GroupByKey]=DiscreteStatsTable[[#This Row],[GroupByKey]])*DiscreteStatsTable[NumberObservations])),0)</f>
        <v>1</v>
      </c>
      <c r="W1002" s="5">
        <f>IF((DiscreteStatsTable[[#This Row],[RepsRequested]]&gt;1),DiscreteStatsTable[[#This Row],[HalfWidth]],DiscreteStatsTable[[#This Row],[BatchMeansHalfWidth]])</f>
        <v>0.20188112157891097</v>
      </c>
      <c r="X1002" s="5" cm="1">
        <f t="array" ref="X1002">COUNT(IF((DiscreteStatsTable[GroupByKey]=DiscreteStatsTable[[#This Row],[GroupByKey]]),(DiscreteStatsTable[GroupByKey]=DiscreteStatsTable[[#This Row],[GroupByKey]])*DiscreteStatsTable[Replication]))</f>
        <v>19</v>
      </c>
      <c r="Y1002" s="5">
        <f>IF(DiscreteStatsTable[[#This Row],[RepsRequested]]=DiscreteStatsTable[[#This Row],[RepsWithStatObserved]],1,0)</f>
        <v>1</v>
      </c>
    </row>
    <row r="1003" spans="1:25" x14ac:dyDescent="0.25">
      <c r="A1003" t="s">
        <v>67</v>
      </c>
      <c r="B1003" t="s">
        <v>69</v>
      </c>
      <c r="C1003">
        <v>19</v>
      </c>
      <c r="D1003" t="s">
        <v>123</v>
      </c>
      <c r="E1003" t="s">
        <v>79</v>
      </c>
      <c r="F1003" t="s">
        <v>80</v>
      </c>
      <c r="G1003">
        <v>1</v>
      </c>
      <c r="H1003">
        <v>2E+20</v>
      </c>
      <c r="I1003">
        <v>1</v>
      </c>
      <c r="J1003">
        <v>1</v>
      </c>
      <c r="K1003">
        <v>1</v>
      </c>
      <c r="L100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compartida)UtilizacionCajeroH3ExpressionUser Specified</v>
      </c>
      <c r="M1003" s="5" cm="1">
        <f t="array" ref="M1003">MAX(IF((ProjectInfoTable[ProjectName]=DiscreteStatsTable[[#This Row],[ProjectName]]),(ProjectInfoTable[ProjectName]=DiscreteStatsTable[[#This Row],[ProjectName]])*ProjectInfoTable[NumberOfReplications]))</f>
        <v>19</v>
      </c>
      <c r="N1003" s="5" cm="1">
        <f t="array" ref="N1003">IFERROR(AVERAGE(IF((DiscreteStatsTable[GroupByKey]=DiscreteStatsTable[[#This Row],[GroupByKey]]),(DiscreteStatsTable[GroupByKey]=DiscreteStatsTable[[#This Row],[GroupByKey]])*DiscreteStatsTable[Average])),0)</f>
        <v>0.78947368421052633</v>
      </c>
      <c r="O1003" s="5" cm="1">
        <f t="array" ref="O1003">IFERROR(_xlfn.STDEV.S(IF((DiscreteStatsTable[GroupByKey]=DiscreteStatsTable[[#This Row],[GroupByKey]]),(DiscreteStatsTable[GroupByKey]=DiscreteStatsTable[[#This Row],[GroupByKey]])*DiscreteStatsTable[Average])),0)</f>
        <v>0.41885390829169544</v>
      </c>
      <c r="P1003" s="5" cm="1">
        <f t="array" ref="P1003">MAX(IF((ProjectInfoTable[ProjectName]=DiscreteStatsTable[[#This Row],[ProjectName]]),(ProjectInfoTable[ProjectName]=DiscreteStatsTable[[#This Row],[ProjectName]])*ProjectInfoTable[ConfidenceInterval]))</f>
        <v>0.95</v>
      </c>
      <c r="Q1003" s="5">
        <f>IF(AND(DiscreteStatsTable[[#This Row],[RepsWithStatObserved]]=1,Y1003=0),200000000000000000000,IFERROR(_xlfn.T.INV.2T(1 -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0.20188112157891097</v>
      </c>
      <c r="R1003" s="5" cm="1">
        <f t="array" ref="R1003">MIN(IF((DiscreteStatsTable[GroupByKey]=DiscreteStatsTable[[#This Row],[GroupByKey]]),(DiscreteStatsTable[GroupByKey]=DiscreteStatsTable[[#This Row],[GroupByKey]])*DiscreteStatsTable[Average]))</f>
        <v>0</v>
      </c>
      <c r="S1003" s="5" cm="1">
        <f t="array" ref="S1003">MAX(IF((DiscreteStatsTable[GroupByKey]=DiscreteStatsTable[[#This Row],[GroupByKey]]),(DiscreteStatsTable[GroupByKey]=DiscreteStatsTable[[#This Row],[GroupByKey]])*DiscreteStatsTable[Average]))</f>
        <v>1</v>
      </c>
      <c r="T1003" s="5" cm="1">
        <f t="array" ref="T1003">MIN(IF((DiscreteStatsTable[GroupByKey]=DiscreteStatsTable[[#This Row],[GroupByKey]]),(DiscreteStatsTable[GroupByKey]=DiscreteStatsTable[[#This Row],[GroupByKey]])*DiscreteStatsTable[Minimum]))</f>
        <v>0</v>
      </c>
      <c r="U1003" s="5" cm="1">
        <f t="array" ref="U1003">MAX(IF((DiscreteStatsTable[GroupByKey]=DiscreteStatsTable[[#This Row],[GroupByKey]]),(DiscreteStatsTable[GroupByKey]=DiscreteStatsTable[[#This Row],[GroupByKey]])*DiscreteStatsTable[Maximum]))</f>
        <v>1</v>
      </c>
      <c r="V1003" s="5" cm="1">
        <f t="array" ref="V1003">IFERROR(AVERAGE(IF((DiscreteStatsTable[GroupByKey]=DiscreteStatsTable[[#This Row],[GroupByKey]]),(DiscreteStatsTable[GroupByKey]=DiscreteStatsTable[[#This Row],[GroupByKey]])*DiscreteStatsTable[NumberObservations])),0)</f>
        <v>1</v>
      </c>
      <c r="W1003" s="5">
        <f>IF((DiscreteStatsTable[[#This Row],[RepsRequested]]&gt;1),DiscreteStatsTable[[#This Row],[HalfWidth]],DiscreteStatsTable[[#This Row],[BatchMeansHalfWidth]])</f>
        <v>0.20188112157891097</v>
      </c>
      <c r="X1003" s="5" cm="1">
        <f t="array" ref="X1003">COUNT(IF((DiscreteStatsTable[GroupByKey]=DiscreteStatsTable[[#This Row],[GroupByKey]]),(DiscreteStatsTable[GroupByKey]=DiscreteStatsTable[[#This Row],[GroupByKey]])*DiscreteStatsTable[Replication]))</f>
        <v>19</v>
      </c>
      <c r="Y1003" s="5">
        <f>IF(DiscreteStatsTable[[#This Row],[RepsRequested]]=DiscreteStatsTable[[#This Row],[RepsWithStatObserved]],1,0)</f>
        <v>1</v>
      </c>
    </row>
    <row r="1004" spans="1:25" x14ac:dyDescent="0.25">
      <c r="A1004" t="s">
        <v>67</v>
      </c>
      <c r="B1004" t="s">
        <v>69</v>
      </c>
      <c r="C1004">
        <v>1</v>
      </c>
      <c r="D1004" t="s">
        <v>124</v>
      </c>
      <c r="E1004" t="s">
        <v>79</v>
      </c>
      <c r="F1004" t="s">
        <v>80</v>
      </c>
      <c r="G1004">
        <v>1</v>
      </c>
      <c r="H1004">
        <v>2E+20</v>
      </c>
      <c r="I1004">
        <v>1</v>
      </c>
      <c r="J1004">
        <v>1</v>
      </c>
      <c r="K1004">
        <v>1</v>
      </c>
      <c r="L100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compartida)UtilizacionCocinaH1ExpressionUser Specified</v>
      </c>
      <c r="M1004" s="5" cm="1">
        <f t="array" ref="M1004">MAX(IF((ProjectInfoTable[ProjectName]=DiscreteStatsTable[[#This Row],[ProjectName]]),(ProjectInfoTable[ProjectName]=DiscreteStatsTable[[#This Row],[ProjectName]])*ProjectInfoTable[NumberOfReplications]))</f>
        <v>19</v>
      </c>
      <c r="N1004" s="5" cm="1">
        <f t="array" ref="N1004">IFERROR(AVERAGE(IF((DiscreteStatsTable[GroupByKey]=DiscreteStatsTable[[#This Row],[GroupByKey]]),(DiscreteStatsTable[GroupByKey]=DiscreteStatsTable[[#This Row],[GroupByKey]])*DiscreteStatsTable[Average])),0)</f>
        <v>0.70252114313058733</v>
      </c>
      <c r="O1004" s="5" cm="1">
        <f t="array" ref="O1004">IFERROR(_xlfn.STDEV.S(IF((DiscreteStatsTable[GroupByKey]=DiscreteStatsTable[[#This Row],[GroupByKey]]),(DiscreteStatsTable[GroupByKey]=DiscreteStatsTable[[#This Row],[GroupByKey]])*DiscreteStatsTable[Average])),0)</f>
        <v>0.13432189260482255</v>
      </c>
      <c r="P1004" s="5" cm="1">
        <f t="array" ref="P1004">MAX(IF((ProjectInfoTable[ProjectName]=DiscreteStatsTable[[#This Row],[ProjectName]]),(ProjectInfoTable[ProjectName]=DiscreteStatsTable[[#This Row],[ProjectName]])*ProjectInfoTable[ConfidenceInterval]))</f>
        <v>0.95</v>
      </c>
      <c r="Q1004" s="5">
        <f>IF(AND(DiscreteStatsTable[[#This Row],[RepsWithStatObserved]]=1,Y1004=0),200000000000000000000,IFERROR(_xlfn.T.INV.2T(1 -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6.4741079872600651E-2</v>
      </c>
      <c r="R1004" s="5" cm="1">
        <f t="array" ref="R1004">MIN(IF((DiscreteStatsTable[GroupByKey]=DiscreteStatsTable[[#This Row],[GroupByKey]]),(DiscreteStatsTable[GroupByKey]=DiscreteStatsTable[[#This Row],[GroupByKey]])*DiscreteStatsTable[Average]))</f>
        <v>0.47294888831318199</v>
      </c>
      <c r="S1004" s="5" cm="1">
        <f t="array" ref="S1004">MAX(IF((DiscreteStatsTable[GroupByKey]=DiscreteStatsTable[[#This Row],[GroupByKey]]),(DiscreteStatsTable[GroupByKey]=DiscreteStatsTable[[#This Row],[GroupByKey]])*DiscreteStatsTable[Average]))</f>
        <v>1</v>
      </c>
      <c r="T1004" s="5" cm="1">
        <f t="array" ref="T1004">MIN(IF((DiscreteStatsTable[GroupByKey]=DiscreteStatsTable[[#This Row],[GroupByKey]]),(DiscreteStatsTable[GroupByKey]=DiscreteStatsTable[[#This Row],[GroupByKey]])*DiscreteStatsTable[Minimum]))</f>
        <v>0.47294888831318199</v>
      </c>
      <c r="U1004" s="5" cm="1">
        <f t="array" ref="U1004">MAX(IF((DiscreteStatsTable[GroupByKey]=DiscreteStatsTable[[#This Row],[GroupByKey]]),(DiscreteStatsTable[GroupByKey]=DiscreteStatsTable[[#This Row],[GroupByKey]])*DiscreteStatsTable[Maximum]))</f>
        <v>1</v>
      </c>
      <c r="V1004" s="5" cm="1">
        <f t="array" ref="V1004">IFERROR(AVERAGE(IF((DiscreteStatsTable[GroupByKey]=DiscreteStatsTable[[#This Row],[GroupByKey]]),(DiscreteStatsTable[GroupByKey]=DiscreteStatsTable[[#This Row],[GroupByKey]])*DiscreteStatsTable[NumberObservations])),0)</f>
        <v>1</v>
      </c>
      <c r="W1004" s="5">
        <f>IF((DiscreteStatsTable[[#This Row],[RepsRequested]]&gt;1),DiscreteStatsTable[[#This Row],[HalfWidth]],DiscreteStatsTable[[#This Row],[BatchMeansHalfWidth]])</f>
        <v>6.4741079872600651E-2</v>
      </c>
      <c r="X1004" s="5" cm="1">
        <f t="array" ref="X1004">COUNT(IF((DiscreteStatsTable[GroupByKey]=DiscreteStatsTable[[#This Row],[GroupByKey]]),(DiscreteStatsTable[GroupByKey]=DiscreteStatsTable[[#This Row],[GroupByKey]])*DiscreteStatsTable[Replication]))</f>
        <v>19</v>
      </c>
      <c r="Y1004" s="5">
        <f>IF(DiscreteStatsTable[[#This Row],[RepsRequested]]=DiscreteStatsTable[[#This Row],[RepsWithStatObserved]],1,0)</f>
        <v>1</v>
      </c>
    </row>
    <row r="1005" spans="1:25" x14ac:dyDescent="0.25">
      <c r="A1005" t="s">
        <v>67</v>
      </c>
      <c r="B1005" t="s">
        <v>69</v>
      </c>
      <c r="C1005">
        <v>2</v>
      </c>
      <c r="D1005" t="s">
        <v>124</v>
      </c>
      <c r="E1005" t="s">
        <v>79</v>
      </c>
      <c r="F1005" t="s">
        <v>80</v>
      </c>
      <c r="G1005">
        <v>0.65311336065885806</v>
      </c>
      <c r="H1005">
        <v>2E+20</v>
      </c>
      <c r="I1005">
        <v>0.65311336065885806</v>
      </c>
      <c r="J1005">
        <v>0.65311336065885806</v>
      </c>
      <c r="K1005">
        <v>1</v>
      </c>
      <c r="L100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compartida)UtilizacionCocinaH1ExpressionUser Specified</v>
      </c>
      <c r="M1005" s="5" cm="1">
        <f t="array" ref="M1005">MAX(IF((ProjectInfoTable[ProjectName]=DiscreteStatsTable[[#This Row],[ProjectName]]),(ProjectInfoTable[ProjectName]=DiscreteStatsTable[[#This Row],[ProjectName]])*ProjectInfoTable[NumberOfReplications]))</f>
        <v>19</v>
      </c>
      <c r="N1005" s="5" cm="1">
        <f t="array" ref="N1005">IFERROR(AVERAGE(IF((DiscreteStatsTable[GroupByKey]=DiscreteStatsTable[[#This Row],[GroupByKey]]),(DiscreteStatsTable[GroupByKey]=DiscreteStatsTable[[#This Row],[GroupByKey]])*DiscreteStatsTable[Average])),0)</f>
        <v>0.70252114313058733</v>
      </c>
      <c r="O1005" s="5" cm="1">
        <f t="array" ref="O1005">IFERROR(_xlfn.STDEV.S(IF((DiscreteStatsTable[GroupByKey]=DiscreteStatsTable[[#This Row],[GroupByKey]]),(DiscreteStatsTable[GroupByKey]=DiscreteStatsTable[[#This Row],[GroupByKey]])*DiscreteStatsTable[Average])),0)</f>
        <v>0.13432189260482255</v>
      </c>
      <c r="P1005" s="5" cm="1">
        <f t="array" ref="P1005">MAX(IF((ProjectInfoTable[ProjectName]=DiscreteStatsTable[[#This Row],[ProjectName]]),(ProjectInfoTable[ProjectName]=DiscreteStatsTable[[#This Row],[ProjectName]])*ProjectInfoTable[ConfidenceInterval]))</f>
        <v>0.95</v>
      </c>
      <c r="Q1005" s="5">
        <f>IF(AND(DiscreteStatsTable[[#This Row],[RepsWithStatObserved]]=1,Y1005=0),200000000000000000000,IFERROR(_xlfn.T.INV.2T(1 -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6.4741079872600651E-2</v>
      </c>
      <c r="R1005" s="5" cm="1">
        <f t="array" ref="R1005">MIN(IF((DiscreteStatsTable[GroupByKey]=DiscreteStatsTable[[#This Row],[GroupByKey]]),(DiscreteStatsTable[GroupByKey]=DiscreteStatsTable[[#This Row],[GroupByKey]])*DiscreteStatsTable[Average]))</f>
        <v>0.47294888831318199</v>
      </c>
      <c r="S1005" s="5" cm="1">
        <f t="array" ref="S1005">MAX(IF((DiscreteStatsTable[GroupByKey]=DiscreteStatsTable[[#This Row],[GroupByKey]]),(DiscreteStatsTable[GroupByKey]=DiscreteStatsTable[[#This Row],[GroupByKey]])*DiscreteStatsTable[Average]))</f>
        <v>1</v>
      </c>
      <c r="T1005" s="5" cm="1">
        <f t="array" ref="T1005">MIN(IF((DiscreteStatsTable[GroupByKey]=DiscreteStatsTable[[#This Row],[GroupByKey]]),(DiscreteStatsTable[GroupByKey]=DiscreteStatsTable[[#This Row],[GroupByKey]])*DiscreteStatsTable[Minimum]))</f>
        <v>0.47294888831318199</v>
      </c>
      <c r="U1005" s="5" cm="1">
        <f t="array" ref="U1005">MAX(IF((DiscreteStatsTable[GroupByKey]=DiscreteStatsTable[[#This Row],[GroupByKey]]),(DiscreteStatsTable[GroupByKey]=DiscreteStatsTable[[#This Row],[GroupByKey]])*DiscreteStatsTable[Maximum]))</f>
        <v>1</v>
      </c>
      <c r="V1005" s="5" cm="1">
        <f t="array" ref="V1005">IFERROR(AVERAGE(IF((DiscreteStatsTable[GroupByKey]=DiscreteStatsTable[[#This Row],[GroupByKey]]),(DiscreteStatsTable[GroupByKey]=DiscreteStatsTable[[#This Row],[GroupByKey]])*DiscreteStatsTable[NumberObservations])),0)</f>
        <v>1</v>
      </c>
      <c r="W1005" s="5">
        <f>IF((DiscreteStatsTable[[#This Row],[RepsRequested]]&gt;1),DiscreteStatsTable[[#This Row],[HalfWidth]],DiscreteStatsTable[[#This Row],[BatchMeansHalfWidth]])</f>
        <v>6.4741079872600651E-2</v>
      </c>
      <c r="X1005" s="5" cm="1">
        <f t="array" ref="X1005">COUNT(IF((DiscreteStatsTable[GroupByKey]=DiscreteStatsTable[[#This Row],[GroupByKey]]),(DiscreteStatsTable[GroupByKey]=DiscreteStatsTable[[#This Row],[GroupByKey]])*DiscreteStatsTable[Replication]))</f>
        <v>19</v>
      </c>
      <c r="Y1005" s="5">
        <f>IF(DiscreteStatsTable[[#This Row],[RepsRequested]]=DiscreteStatsTable[[#This Row],[RepsWithStatObserved]],1,0)</f>
        <v>1</v>
      </c>
    </row>
    <row r="1006" spans="1:25" x14ac:dyDescent="0.25">
      <c r="A1006" t="s">
        <v>67</v>
      </c>
      <c r="B1006" t="s">
        <v>69</v>
      </c>
      <c r="C1006">
        <v>3</v>
      </c>
      <c r="D1006" t="s">
        <v>124</v>
      </c>
      <c r="E1006" t="s">
        <v>79</v>
      </c>
      <c r="F1006" t="s">
        <v>80</v>
      </c>
      <c r="G1006">
        <v>0.95120613992454905</v>
      </c>
      <c r="H1006">
        <v>2E+20</v>
      </c>
      <c r="I1006">
        <v>0.95120613992454905</v>
      </c>
      <c r="J1006">
        <v>0.95120613992454905</v>
      </c>
      <c r="K1006">
        <v>1</v>
      </c>
      <c r="L100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compartida)UtilizacionCocinaH1ExpressionUser Specified</v>
      </c>
      <c r="M1006" s="5" cm="1">
        <f t="array" ref="M1006">MAX(IF((ProjectInfoTable[ProjectName]=DiscreteStatsTable[[#This Row],[ProjectName]]),(ProjectInfoTable[ProjectName]=DiscreteStatsTable[[#This Row],[ProjectName]])*ProjectInfoTable[NumberOfReplications]))</f>
        <v>19</v>
      </c>
      <c r="N1006" s="5" cm="1">
        <f t="array" ref="N1006">IFERROR(AVERAGE(IF((DiscreteStatsTable[GroupByKey]=DiscreteStatsTable[[#This Row],[GroupByKey]]),(DiscreteStatsTable[GroupByKey]=DiscreteStatsTable[[#This Row],[GroupByKey]])*DiscreteStatsTable[Average])),0)</f>
        <v>0.70252114313058733</v>
      </c>
      <c r="O1006" s="5" cm="1">
        <f t="array" ref="O1006">IFERROR(_xlfn.STDEV.S(IF((DiscreteStatsTable[GroupByKey]=DiscreteStatsTable[[#This Row],[GroupByKey]]),(DiscreteStatsTable[GroupByKey]=DiscreteStatsTable[[#This Row],[GroupByKey]])*DiscreteStatsTable[Average])),0)</f>
        <v>0.13432189260482255</v>
      </c>
      <c r="P1006" s="5" cm="1">
        <f t="array" ref="P1006">MAX(IF((ProjectInfoTable[ProjectName]=DiscreteStatsTable[[#This Row],[ProjectName]]),(ProjectInfoTable[ProjectName]=DiscreteStatsTable[[#This Row],[ProjectName]])*ProjectInfoTable[ConfidenceInterval]))</f>
        <v>0.95</v>
      </c>
      <c r="Q1006" s="5">
        <f>IF(AND(DiscreteStatsTable[[#This Row],[RepsWithStatObserved]]=1,Y1006=0),200000000000000000000,IFERROR(_xlfn.T.INV.2T(1 -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6.4741079872600651E-2</v>
      </c>
      <c r="R1006" s="5" cm="1">
        <f t="array" ref="R1006">MIN(IF((DiscreteStatsTable[GroupByKey]=DiscreteStatsTable[[#This Row],[GroupByKey]]),(DiscreteStatsTable[GroupByKey]=DiscreteStatsTable[[#This Row],[GroupByKey]])*DiscreteStatsTable[Average]))</f>
        <v>0.47294888831318199</v>
      </c>
      <c r="S1006" s="5" cm="1">
        <f t="array" ref="S1006">MAX(IF((DiscreteStatsTable[GroupByKey]=DiscreteStatsTable[[#This Row],[GroupByKey]]),(DiscreteStatsTable[GroupByKey]=DiscreteStatsTable[[#This Row],[GroupByKey]])*DiscreteStatsTable[Average]))</f>
        <v>1</v>
      </c>
      <c r="T1006" s="5" cm="1">
        <f t="array" ref="T1006">MIN(IF((DiscreteStatsTable[GroupByKey]=DiscreteStatsTable[[#This Row],[GroupByKey]]),(DiscreteStatsTable[GroupByKey]=DiscreteStatsTable[[#This Row],[GroupByKey]])*DiscreteStatsTable[Minimum]))</f>
        <v>0.47294888831318199</v>
      </c>
      <c r="U1006" s="5" cm="1">
        <f t="array" ref="U1006">MAX(IF((DiscreteStatsTable[GroupByKey]=DiscreteStatsTable[[#This Row],[GroupByKey]]),(DiscreteStatsTable[GroupByKey]=DiscreteStatsTable[[#This Row],[GroupByKey]])*DiscreteStatsTable[Maximum]))</f>
        <v>1</v>
      </c>
      <c r="V1006" s="5" cm="1">
        <f t="array" ref="V1006">IFERROR(AVERAGE(IF((DiscreteStatsTable[GroupByKey]=DiscreteStatsTable[[#This Row],[GroupByKey]]),(DiscreteStatsTable[GroupByKey]=DiscreteStatsTable[[#This Row],[GroupByKey]])*DiscreteStatsTable[NumberObservations])),0)</f>
        <v>1</v>
      </c>
      <c r="W1006" s="5">
        <f>IF((DiscreteStatsTable[[#This Row],[RepsRequested]]&gt;1),DiscreteStatsTable[[#This Row],[HalfWidth]],DiscreteStatsTable[[#This Row],[BatchMeansHalfWidth]])</f>
        <v>6.4741079872600651E-2</v>
      </c>
      <c r="X1006" s="5" cm="1">
        <f t="array" ref="X1006">COUNT(IF((DiscreteStatsTable[GroupByKey]=DiscreteStatsTable[[#This Row],[GroupByKey]]),(DiscreteStatsTable[GroupByKey]=DiscreteStatsTable[[#This Row],[GroupByKey]])*DiscreteStatsTable[Replication]))</f>
        <v>19</v>
      </c>
      <c r="Y1006" s="5">
        <f>IF(DiscreteStatsTable[[#This Row],[RepsRequested]]=DiscreteStatsTable[[#This Row],[RepsWithStatObserved]],1,0)</f>
        <v>1</v>
      </c>
    </row>
    <row r="1007" spans="1:25" x14ac:dyDescent="0.25">
      <c r="A1007" t="s">
        <v>67</v>
      </c>
      <c r="B1007" t="s">
        <v>69</v>
      </c>
      <c r="C1007">
        <v>4</v>
      </c>
      <c r="D1007" t="s">
        <v>124</v>
      </c>
      <c r="E1007" t="s">
        <v>79</v>
      </c>
      <c r="F1007" t="s">
        <v>80</v>
      </c>
      <c r="G1007">
        <v>0.77827697792280004</v>
      </c>
      <c r="H1007">
        <v>2E+20</v>
      </c>
      <c r="I1007">
        <v>0.77827697792280004</v>
      </c>
      <c r="J1007">
        <v>0.77827697792280004</v>
      </c>
      <c r="K1007">
        <v>1</v>
      </c>
      <c r="L100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compartida)UtilizacionCocinaH1ExpressionUser Specified</v>
      </c>
      <c r="M1007" s="5" cm="1">
        <f t="array" ref="M1007">MAX(IF((ProjectInfoTable[ProjectName]=DiscreteStatsTable[[#This Row],[ProjectName]]),(ProjectInfoTable[ProjectName]=DiscreteStatsTable[[#This Row],[ProjectName]])*ProjectInfoTable[NumberOfReplications]))</f>
        <v>19</v>
      </c>
      <c r="N1007" s="5" cm="1">
        <f t="array" ref="N1007">IFERROR(AVERAGE(IF((DiscreteStatsTable[GroupByKey]=DiscreteStatsTable[[#This Row],[GroupByKey]]),(DiscreteStatsTable[GroupByKey]=DiscreteStatsTable[[#This Row],[GroupByKey]])*DiscreteStatsTable[Average])),0)</f>
        <v>0.70252114313058733</v>
      </c>
      <c r="O1007" s="5" cm="1">
        <f t="array" ref="O1007">IFERROR(_xlfn.STDEV.S(IF((DiscreteStatsTable[GroupByKey]=DiscreteStatsTable[[#This Row],[GroupByKey]]),(DiscreteStatsTable[GroupByKey]=DiscreteStatsTable[[#This Row],[GroupByKey]])*DiscreteStatsTable[Average])),0)</f>
        <v>0.13432189260482255</v>
      </c>
      <c r="P1007" s="5" cm="1">
        <f t="array" ref="P1007">MAX(IF((ProjectInfoTable[ProjectName]=DiscreteStatsTable[[#This Row],[ProjectName]]),(ProjectInfoTable[ProjectName]=DiscreteStatsTable[[#This Row],[ProjectName]])*ProjectInfoTable[ConfidenceInterval]))</f>
        <v>0.95</v>
      </c>
      <c r="Q1007" s="5">
        <f>IF(AND(DiscreteStatsTable[[#This Row],[RepsWithStatObserved]]=1,Y1007=0),200000000000000000000,IFERROR(_xlfn.T.INV.2T(1 -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6.4741079872600651E-2</v>
      </c>
      <c r="R1007" s="5" cm="1">
        <f t="array" ref="R1007">MIN(IF((DiscreteStatsTable[GroupByKey]=DiscreteStatsTable[[#This Row],[GroupByKey]]),(DiscreteStatsTable[GroupByKey]=DiscreteStatsTable[[#This Row],[GroupByKey]])*DiscreteStatsTable[Average]))</f>
        <v>0.47294888831318199</v>
      </c>
      <c r="S1007" s="5" cm="1">
        <f t="array" ref="S1007">MAX(IF((DiscreteStatsTable[GroupByKey]=DiscreteStatsTable[[#This Row],[GroupByKey]]),(DiscreteStatsTable[GroupByKey]=DiscreteStatsTable[[#This Row],[GroupByKey]])*DiscreteStatsTable[Average]))</f>
        <v>1</v>
      </c>
      <c r="T1007" s="5" cm="1">
        <f t="array" ref="T1007">MIN(IF((DiscreteStatsTable[GroupByKey]=DiscreteStatsTable[[#This Row],[GroupByKey]]),(DiscreteStatsTable[GroupByKey]=DiscreteStatsTable[[#This Row],[GroupByKey]])*DiscreteStatsTable[Minimum]))</f>
        <v>0.47294888831318199</v>
      </c>
      <c r="U1007" s="5" cm="1">
        <f t="array" ref="U1007">MAX(IF((DiscreteStatsTable[GroupByKey]=DiscreteStatsTable[[#This Row],[GroupByKey]]),(DiscreteStatsTable[GroupByKey]=DiscreteStatsTable[[#This Row],[GroupByKey]])*DiscreteStatsTable[Maximum]))</f>
        <v>1</v>
      </c>
      <c r="V1007" s="5" cm="1">
        <f t="array" ref="V1007">IFERROR(AVERAGE(IF((DiscreteStatsTable[GroupByKey]=DiscreteStatsTable[[#This Row],[GroupByKey]]),(DiscreteStatsTable[GroupByKey]=DiscreteStatsTable[[#This Row],[GroupByKey]])*DiscreteStatsTable[NumberObservations])),0)</f>
        <v>1</v>
      </c>
      <c r="W1007" s="5">
        <f>IF((DiscreteStatsTable[[#This Row],[RepsRequested]]&gt;1),DiscreteStatsTable[[#This Row],[HalfWidth]],DiscreteStatsTable[[#This Row],[BatchMeansHalfWidth]])</f>
        <v>6.4741079872600651E-2</v>
      </c>
      <c r="X1007" s="5" cm="1">
        <f t="array" ref="X1007">COUNT(IF((DiscreteStatsTable[GroupByKey]=DiscreteStatsTable[[#This Row],[GroupByKey]]),(DiscreteStatsTable[GroupByKey]=DiscreteStatsTable[[#This Row],[GroupByKey]])*DiscreteStatsTable[Replication]))</f>
        <v>19</v>
      </c>
      <c r="Y1007" s="5">
        <f>IF(DiscreteStatsTable[[#This Row],[RepsRequested]]=DiscreteStatsTable[[#This Row],[RepsWithStatObserved]],1,0)</f>
        <v>1</v>
      </c>
    </row>
    <row r="1008" spans="1:25" x14ac:dyDescent="0.25">
      <c r="A1008" t="s">
        <v>67</v>
      </c>
      <c r="B1008" t="s">
        <v>69</v>
      </c>
      <c r="C1008">
        <v>5</v>
      </c>
      <c r="D1008" t="s">
        <v>124</v>
      </c>
      <c r="E1008" t="s">
        <v>79</v>
      </c>
      <c r="F1008" t="s">
        <v>80</v>
      </c>
      <c r="G1008">
        <v>0.64517670502770197</v>
      </c>
      <c r="H1008">
        <v>2E+20</v>
      </c>
      <c r="I1008">
        <v>0.64517670502770197</v>
      </c>
      <c r="J1008">
        <v>0.64517670502770197</v>
      </c>
      <c r="K1008">
        <v>1</v>
      </c>
      <c r="L100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compartida)UtilizacionCocinaH1ExpressionUser Specified</v>
      </c>
      <c r="M1008" s="5" cm="1">
        <f t="array" ref="M1008">MAX(IF((ProjectInfoTable[ProjectName]=DiscreteStatsTable[[#This Row],[ProjectName]]),(ProjectInfoTable[ProjectName]=DiscreteStatsTable[[#This Row],[ProjectName]])*ProjectInfoTable[NumberOfReplications]))</f>
        <v>19</v>
      </c>
      <c r="N1008" s="5" cm="1">
        <f t="array" ref="N1008">IFERROR(AVERAGE(IF((DiscreteStatsTable[GroupByKey]=DiscreteStatsTable[[#This Row],[GroupByKey]]),(DiscreteStatsTable[GroupByKey]=DiscreteStatsTable[[#This Row],[GroupByKey]])*DiscreteStatsTable[Average])),0)</f>
        <v>0.70252114313058733</v>
      </c>
      <c r="O1008" s="5" cm="1">
        <f t="array" ref="O1008">IFERROR(_xlfn.STDEV.S(IF((DiscreteStatsTable[GroupByKey]=DiscreteStatsTable[[#This Row],[GroupByKey]]),(DiscreteStatsTable[GroupByKey]=DiscreteStatsTable[[#This Row],[GroupByKey]])*DiscreteStatsTable[Average])),0)</f>
        <v>0.13432189260482255</v>
      </c>
      <c r="P1008" s="5" cm="1">
        <f t="array" ref="P1008">MAX(IF((ProjectInfoTable[ProjectName]=DiscreteStatsTable[[#This Row],[ProjectName]]),(ProjectInfoTable[ProjectName]=DiscreteStatsTable[[#This Row],[ProjectName]])*ProjectInfoTable[ConfidenceInterval]))</f>
        <v>0.95</v>
      </c>
      <c r="Q1008" s="5">
        <f>IF(AND(DiscreteStatsTable[[#This Row],[RepsWithStatObserved]]=1,Y1008=0),200000000000000000000,IFERROR(_xlfn.T.INV.2T(1 -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6.4741079872600651E-2</v>
      </c>
      <c r="R1008" s="5" cm="1">
        <f t="array" ref="R1008">MIN(IF((DiscreteStatsTable[GroupByKey]=DiscreteStatsTable[[#This Row],[GroupByKey]]),(DiscreteStatsTable[GroupByKey]=DiscreteStatsTable[[#This Row],[GroupByKey]])*DiscreteStatsTable[Average]))</f>
        <v>0.47294888831318199</v>
      </c>
      <c r="S1008" s="5" cm="1">
        <f t="array" ref="S1008">MAX(IF((DiscreteStatsTable[GroupByKey]=DiscreteStatsTable[[#This Row],[GroupByKey]]),(DiscreteStatsTable[GroupByKey]=DiscreteStatsTable[[#This Row],[GroupByKey]])*DiscreteStatsTable[Average]))</f>
        <v>1</v>
      </c>
      <c r="T1008" s="5" cm="1">
        <f t="array" ref="T1008">MIN(IF((DiscreteStatsTable[GroupByKey]=DiscreteStatsTable[[#This Row],[GroupByKey]]),(DiscreteStatsTable[GroupByKey]=DiscreteStatsTable[[#This Row],[GroupByKey]])*DiscreteStatsTable[Minimum]))</f>
        <v>0.47294888831318199</v>
      </c>
      <c r="U1008" s="5" cm="1">
        <f t="array" ref="U1008">MAX(IF((DiscreteStatsTable[GroupByKey]=DiscreteStatsTable[[#This Row],[GroupByKey]]),(DiscreteStatsTable[GroupByKey]=DiscreteStatsTable[[#This Row],[GroupByKey]])*DiscreteStatsTable[Maximum]))</f>
        <v>1</v>
      </c>
      <c r="V1008" s="5" cm="1">
        <f t="array" ref="V1008">IFERROR(AVERAGE(IF((DiscreteStatsTable[GroupByKey]=DiscreteStatsTable[[#This Row],[GroupByKey]]),(DiscreteStatsTable[GroupByKey]=DiscreteStatsTable[[#This Row],[GroupByKey]])*DiscreteStatsTable[NumberObservations])),0)</f>
        <v>1</v>
      </c>
      <c r="W1008" s="5">
        <f>IF((DiscreteStatsTable[[#This Row],[RepsRequested]]&gt;1),DiscreteStatsTable[[#This Row],[HalfWidth]],DiscreteStatsTable[[#This Row],[BatchMeansHalfWidth]])</f>
        <v>6.4741079872600651E-2</v>
      </c>
      <c r="X1008" s="5" cm="1">
        <f t="array" ref="X1008">COUNT(IF((DiscreteStatsTable[GroupByKey]=DiscreteStatsTable[[#This Row],[GroupByKey]]),(DiscreteStatsTable[GroupByKey]=DiscreteStatsTable[[#This Row],[GroupByKey]])*DiscreteStatsTable[Replication]))</f>
        <v>19</v>
      </c>
      <c r="Y1008" s="5">
        <f>IF(DiscreteStatsTable[[#This Row],[RepsRequested]]=DiscreteStatsTable[[#This Row],[RepsWithStatObserved]],1,0)</f>
        <v>1</v>
      </c>
    </row>
    <row r="1009" spans="1:25" x14ac:dyDescent="0.25">
      <c r="A1009" t="s">
        <v>67</v>
      </c>
      <c r="B1009" t="s">
        <v>69</v>
      </c>
      <c r="C1009">
        <v>6</v>
      </c>
      <c r="D1009" t="s">
        <v>124</v>
      </c>
      <c r="E1009" t="s">
        <v>79</v>
      </c>
      <c r="F1009" t="s">
        <v>80</v>
      </c>
      <c r="G1009">
        <v>0.65686013300843304</v>
      </c>
      <c r="H1009">
        <v>2E+20</v>
      </c>
      <c r="I1009">
        <v>0.65686013300843304</v>
      </c>
      <c r="J1009">
        <v>0.65686013300843304</v>
      </c>
      <c r="K1009">
        <v>1</v>
      </c>
      <c r="L100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compartida)UtilizacionCocinaH1ExpressionUser Specified</v>
      </c>
      <c r="M1009" s="5" cm="1">
        <f t="array" ref="M1009">MAX(IF((ProjectInfoTable[ProjectName]=DiscreteStatsTable[[#This Row],[ProjectName]]),(ProjectInfoTable[ProjectName]=DiscreteStatsTable[[#This Row],[ProjectName]])*ProjectInfoTable[NumberOfReplications]))</f>
        <v>19</v>
      </c>
      <c r="N1009" s="5" cm="1">
        <f t="array" ref="N1009">IFERROR(AVERAGE(IF((DiscreteStatsTable[GroupByKey]=DiscreteStatsTable[[#This Row],[GroupByKey]]),(DiscreteStatsTable[GroupByKey]=DiscreteStatsTable[[#This Row],[GroupByKey]])*DiscreteStatsTable[Average])),0)</f>
        <v>0.70252114313058733</v>
      </c>
      <c r="O1009" s="5" cm="1">
        <f t="array" ref="O1009">IFERROR(_xlfn.STDEV.S(IF((DiscreteStatsTable[GroupByKey]=DiscreteStatsTable[[#This Row],[GroupByKey]]),(DiscreteStatsTable[GroupByKey]=DiscreteStatsTable[[#This Row],[GroupByKey]])*DiscreteStatsTable[Average])),0)</f>
        <v>0.13432189260482255</v>
      </c>
      <c r="P1009" s="5" cm="1">
        <f t="array" ref="P1009">MAX(IF((ProjectInfoTable[ProjectName]=DiscreteStatsTable[[#This Row],[ProjectName]]),(ProjectInfoTable[ProjectName]=DiscreteStatsTable[[#This Row],[ProjectName]])*ProjectInfoTable[ConfidenceInterval]))</f>
        <v>0.95</v>
      </c>
      <c r="Q1009" s="5">
        <f>IF(AND(DiscreteStatsTable[[#This Row],[RepsWithStatObserved]]=1,Y1009=0),200000000000000000000,IFERROR(_xlfn.T.INV.2T(1 -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6.4741079872600651E-2</v>
      </c>
      <c r="R1009" s="5" cm="1">
        <f t="array" ref="R1009">MIN(IF((DiscreteStatsTable[GroupByKey]=DiscreteStatsTable[[#This Row],[GroupByKey]]),(DiscreteStatsTable[GroupByKey]=DiscreteStatsTable[[#This Row],[GroupByKey]])*DiscreteStatsTable[Average]))</f>
        <v>0.47294888831318199</v>
      </c>
      <c r="S1009" s="5" cm="1">
        <f t="array" ref="S1009">MAX(IF((DiscreteStatsTable[GroupByKey]=DiscreteStatsTable[[#This Row],[GroupByKey]]),(DiscreteStatsTable[GroupByKey]=DiscreteStatsTable[[#This Row],[GroupByKey]])*DiscreteStatsTable[Average]))</f>
        <v>1</v>
      </c>
      <c r="T1009" s="5" cm="1">
        <f t="array" ref="T1009">MIN(IF((DiscreteStatsTable[GroupByKey]=DiscreteStatsTable[[#This Row],[GroupByKey]]),(DiscreteStatsTable[GroupByKey]=DiscreteStatsTable[[#This Row],[GroupByKey]])*DiscreteStatsTable[Minimum]))</f>
        <v>0.47294888831318199</v>
      </c>
      <c r="U1009" s="5" cm="1">
        <f t="array" ref="U1009">MAX(IF((DiscreteStatsTable[GroupByKey]=DiscreteStatsTable[[#This Row],[GroupByKey]]),(DiscreteStatsTable[GroupByKey]=DiscreteStatsTable[[#This Row],[GroupByKey]])*DiscreteStatsTable[Maximum]))</f>
        <v>1</v>
      </c>
      <c r="V1009" s="5" cm="1">
        <f t="array" ref="V1009">IFERROR(AVERAGE(IF((DiscreteStatsTable[GroupByKey]=DiscreteStatsTable[[#This Row],[GroupByKey]]),(DiscreteStatsTable[GroupByKey]=DiscreteStatsTable[[#This Row],[GroupByKey]])*DiscreteStatsTable[NumberObservations])),0)</f>
        <v>1</v>
      </c>
      <c r="W1009" s="5">
        <f>IF((DiscreteStatsTable[[#This Row],[RepsRequested]]&gt;1),DiscreteStatsTable[[#This Row],[HalfWidth]],DiscreteStatsTable[[#This Row],[BatchMeansHalfWidth]])</f>
        <v>6.4741079872600651E-2</v>
      </c>
      <c r="X1009" s="5" cm="1">
        <f t="array" ref="X1009">COUNT(IF((DiscreteStatsTable[GroupByKey]=DiscreteStatsTable[[#This Row],[GroupByKey]]),(DiscreteStatsTable[GroupByKey]=DiscreteStatsTable[[#This Row],[GroupByKey]])*DiscreteStatsTable[Replication]))</f>
        <v>19</v>
      </c>
      <c r="Y1009" s="5">
        <f>IF(DiscreteStatsTable[[#This Row],[RepsRequested]]=DiscreteStatsTable[[#This Row],[RepsWithStatObserved]],1,0)</f>
        <v>1</v>
      </c>
    </row>
    <row r="1010" spans="1:25" x14ac:dyDescent="0.25">
      <c r="A1010" t="s">
        <v>67</v>
      </c>
      <c r="B1010" t="s">
        <v>69</v>
      </c>
      <c r="C1010">
        <v>7</v>
      </c>
      <c r="D1010" t="s">
        <v>124</v>
      </c>
      <c r="E1010" t="s">
        <v>79</v>
      </c>
      <c r="F1010" t="s">
        <v>80</v>
      </c>
      <c r="G1010">
        <v>0.63376196472592505</v>
      </c>
      <c r="H1010">
        <v>2E+20</v>
      </c>
      <c r="I1010">
        <v>0.63376196472592505</v>
      </c>
      <c r="J1010">
        <v>0.63376196472592505</v>
      </c>
      <c r="K1010">
        <v>1</v>
      </c>
      <c r="L101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compartida)UtilizacionCocinaH1ExpressionUser Specified</v>
      </c>
      <c r="M1010" s="5" cm="1">
        <f t="array" ref="M1010">MAX(IF((ProjectInfoTable[ProjectName]=DiscreteStatsTable[[#This Row],[ProjectName]]),(ProjectInfoTable[ProjectName]=DiscreteStatsTable[[#This Row],[ProjectName]])*ProjectInfoTable[NumberOfReplications]))</f>
        <v>19</v>
      </c>
      <c r="N1010" s="5" cm="1">
        <f t="array" ref="N1010">IFERROR(AVERAGE(IF((DiscreteStatsTable[GroupByKey]=DiscreteStatsTable[[#This Row],[GroupByKey]]),(DiscreteStatsTable[GroupByKey]=DiscreteStatsTable[[#This Row],[GroupByKey]])*DiscreteStatsTable[Average])),0)</f>
        <v>0.70252114313058733</v>
      </c>
      <c r="O1010" s="5" cm="1">
        <f t="array" ref="O1010">IFERROR(_xlfn.STDEV.S(IF((DiscreteStatsTable[GroupByKey]=DiscreteStatsTable[[#This Row],[GroupByKey]]),(DiscreteStatsTable[GroupByKey]=DiscreteStatsTable[[#This Row],[GroupByKey]])*DiscreteStatsTable[Average])),0)</f>
        <v>0.13432189260482255</v>
      </c>
      <c r="P1010" s="5" cm="1">
        <f t="array" ref="P1010">MAX(IF((ProjectInfoTable[ProjectName]=DiscreteStatsTable[[#This Row],[ProjectName]]),(ProjectInfoTable[ProjectName]=DiscreteStatsTable[[#This Row],[ProjectName]])*ProjectInfoTable[ConfidenceInterval]))</f>
        <v>0.95</v>
      </c>
      <c r="Q1010" s="5">
        <f>IF(AND(DiscreteStatsTable[[#This Row],[RepsWithStatObserved]]=1,Y1010=0),200000000000000000000,IFERROR(_xlfn.T.INV.2T(1 -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6.4741079872600651E-2</v>
      </c>
      <c r="R1010" s="5" cm="1">
        <f t="array" ref="R1010">MIN(IF((DiscreteStatsTable[GroupByKey]=DiscreteStatsTable[[#This Row],[GroupByKey]]),(DiscreteStatsTable[GroupByKey]=DiscreteStatsTable[[#This Row],[GroupByKey]])*DiscreteStatsTable[Average]))</f>
        <v>0.47294888831318199</v>
      </c>
      <c r="S1010" s="5" cm="1">
        <f t="array" ref="S1010">MAX(IF((DiscreteStatsTable[GroupByKey]=DiscreteStatsTable[[#This Row],[GroupByKey]]),(DiscreteStatsTable[GroupByKey]=DiscreteStatsTable[[#This Row],[GroupByKey]])*DiscreteStatsTable[Average]))</f>
        <v>1</v>
      </c>
      <c r="T1010" s="5" cm="1">
        <f t="array" ref="T1010">MIN(IF((DiscreteStatsTable[GroupByKey]=DiscreteStatsTable[[#This Row],[GroupByKey]]),(DiscreteStatsTable[GroupByKey]=DiscreteStatsTable[[#This Row],[GroupByKey]])*DiscreteStatsTable[Minimum]))</f>
        <v>0.47294888831318199</v>
      </c>
      <c r="U1010" s="5" cm="1">
        <f t="array" ref="U1010">MAX(IF((DiscreteStatsTable[GroupByKey]=DiscreteStatsTable[[#This Row],[GroupByKey]]),(DiscreteStatsTable[GroupByKey]=DiscreteStatsTable[[#This Row],[GroupByKey]])*DiscreteStatsTable[Maximum]))</f>
        <v>1</v>
      </c>
      <c r="V1010" s="5" cm="1">
        <f t="array" ref="V1010">IFERROR(AVERAGE(IF((DiscreteStatsTable[GroupByKey]=DiscreteStatsTable[[#This Row],[GroupByKey]]),(DiscreteStatsTable[GroupByKey]=DiscreteStatsTable[[#This Row],[GroupByKey]])*DiscreteStatsTable[NumberObservations])),0)</f>
        <v>1</v>
      </c>
      <c r="W1010" s="5">
        <f>IF((DiscreteStatsTable[[#This Row],[RepsRequested]]&gt;1),DiscreteStatsTable[[#This Row],[HalfWidth]],DiscreteStatsTable[[#This Row],[BatchMeansHalfWidth]])</f>
        <v>6.4741079872600651E-2</v>
      </c>
      <c r="X1010" s="5" cm="1">
        <f t="array" ref="X1010">COUNT(IF((DiscreteStatsTable[GroupByKey]=DiscreteStatsTable[[#This Row],[GroupByKey]]),(DiscreteStatsTable[GroupByKey]=DiscreteStatsTable[[#This Row],[GroupByKey]])*DiscreteStatsTable[Replication]))</f>
        <v>19</v>
      </c>
      <c r="Y1010" s="5">
        <f>IF(DiscreteStatsTable[[#This Row],[RepsRequested]]=DiscreteStatsTable[[#This Row],[RepsWithStatObserved]],1,0)</f>
        <v>1</v>
      </c>
    </row>
    <row r="1011" spans="1:25" x14ac:dyDescent="0.25">
      <c r="A1011" t="s">
        <v>67</v>
      </c>
      <c r="B1011" t="s">
        <v>69</v>
      </c>
      <c r="C1011">
        <v>8</v>
      </c>
      <c r="D1011" t="s">
        <v>124</v>
      </c>
      <c r="E1011" t="s">
        <v>79</v>
      </c>
      <c r="F1011" t="s">
        <v>80</v>
      </c>
      <c r="G1011">
        <v>0.71568434615447896</v>
      </c>
      <c r="H1011">
        <v>2E+20</v>
      </c>
      <c r="I1011">
        <v>0.71568434615447896</v>
      </c>
      <c r="J1011">
        <v>0.71568434615447896</v>
      </c>
      <c r="K1011">
        <v>1</v>
      </c>
      <c r="L101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compartida)UtilizacionCocinaH1ExpressionUser Specified</v>
      </c>
      <c r="M1011" s="5" cm="1">
        <f t="array" ref="M1011">MAX(IF((ProjectInfoTable[ProjectName]=DiscreteStatsTable[[#This Row],[ProjectName]]),(ProjectInfoTable[ProjectName]=DiscreteStatsTable[[#This Row],[ProjectName]])*ProjectInfoTable[NumberOfReplications]))</f>
        <v>19</v>
      </c>
      <c r="N1011" s="5" cm="1">
        <f t="array" ref="N1011">IFERROR(AVERAGE(IF((DiscreteStatsTable[GroupByKey]=DiscreteStatsTable[[#This Row],[GroupByKey]]),(DiscreteStatsTable[GroupByKey]=DiscreteStatsTable[[#This Row],[GroupByKey]])*DiscreteStatsTable[Average])),0)</f>
        <v>0.70252114313058733</v>
      </c>
      <c r="O1011" s="5" cm="1">
        <f t="array" ref="O1011">IFERROR(_xlfn.STDEV.S(IF((DiscreteStatsTable[GroupByKey]=DiscreteStatsTable[[#This Row],[GroupByKey]]),(DiscreteStatsTable[GroupByKey]=DiscreteStatsTable[[#This Row],[GroupByKey]])*DiscreteStatsTable[Average])),0)</f>
        <v>0.13432189260482255</v>
      </c>
      <c r="P1011" s="5" cm="1">
        <f t="array" ref="P1011">MAX(IF((ProjectInfoTable[ProjectName]=DiscreteStatsTable[[#This Row],[ProjectName]]),(ProjectInfoTable[ProjectName]=DiscreteStatsTable[[#This Row],[ProjectName]])*ProjectInfoTable[ConfidenceInterval]))</f>
        <v>0.95</v>
      </c>
      <c r="Q1011" s="5">
        <f>IF(AND(DiscreteStatsTable[[#This Row],[RepsWithStatObserved]]=1,Y1011=0),200000000000000000000,IFERROR(_xlfn.T.INV.2T(1 -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6.4741079872600651E-2</v>
      </c>
      <c r="R1011" s="5" cm="1">
        <f t="array" ref="R1011">MIN(IF((DiscreteStatsTable[GroupByKey]=DiscreteStatsTable[[#This Row],[GroupByKey]]),(DiscreteStatsTable[GroupByKey]=DiscreteStatsTable[[#This Row],[GroupByKey]])*DiscreteStatsTable[Average]))</f>
        <v>0.47294888831318199</v>
      </c>
      <c r="S1011" s="5" cm="1">
        <f t="array" ref="S1011">MAX(IF((DiscreteStatsTable[GroupByKey]=DiscreteStatsTable[[#This Row],[GroupByKey]]),(DiscreteStatsTable[GroupByKey]=DiscreteStatsTable[[#This Row],[GroupByKey]])*DiscreteStatsTable[Average]))</f>
        <v>1</v>
      </c>
      <c r="T1011" s="5" cm="1">
        <f t="array" ref="T1011">MIN(IF((DiscreteStatsTable[GroupByKey]=DiscreteStatsTable[[#This Row],[GroupByKey]]),(DiscreteStatsTable[GroupByKey]=DiscreteStatsTable[[#This Row],[GroupByKey]])*DiscreteStatsTable[Minimum]))</f>
        <v>0.47294888831318199</v>
      </c>
      <c r="U1011" s="5" cm="1">
        <f t="array" ref="U1011">MAX(IF((DiscreteStatsTable[GroupByKey]=DiscreteStatsTable[[#This Row],[GroupByKey]]),(DiscreteStatsTable[GroupByKey]=DiscreteStatsTable[[#This Row],[GroupByKey]])*DiscreteStatsTable[Maximum]))</f>
        <v>1</v>
      </c>
      <c r="V1011" s="5" cm="1">
        <f t="array" ref="V1011">IFERROR(AVERAGE(IF((DiscreteStatsTable[GroupByKey]=DiscreteStatsTable[[#This Row],[GroupByKey]]),(DiscreteStatsTable[GroupByKey]=DiscreteStatsTable[[#This Row],[GroupByKey]])*DiscreteStatsTable[NumberObservations])),0)</f>
        <v>1</v>
      </c>
      <c r="W1011" s="5">
        <f>IF((DiscreteStatsTable[[#This Row],[RepsRequested]]&gt;1),DiscreteStatsTable[[#This Row],[HalfWidth]],DiscreteStatsTable[[#This Row],[BatchMeansHalfWidth]])</f>
        <v>6.4741079872600651E-2</v>
      </c>
      <c r="X1011" s="5" cm="1">
        <f t="array" ref="X1011">COUNT(IF((DiscreteStatsTable[GroupByKey]=DiscreteStatsTable[[#This Row],[GroupByKey]]),(DiscreteStatsTable[GroupByKey]=DiscreteStatsTable[[#This Row],[GroupByKey]])*DiscreteStatsTable[Replication]))</f>
        <v>19</v>
      </c>
      <c r="Y1011" s="5">
        <f>IF(DiscreteStatsTable[[#This Row],[RepsRequested]]=DiscreteStatsTable[[#This Row],[RepsWithStatObserved]],1,0)</f>
        <v>1</v>
      </c>
    </row>
    <row r="1012" spans="1:25" x14ac:dyDescent="0.25">
      <c r="A1012" t="s">
        <v>67</v>
      </c>
      <c r="B1012" t="s">
        <v>69</v>
      </c>
      <c r="C1012">
        <v>9</v>
      </c>
      <c r="D1012" t="s">
        <v>124</v>
      </c>
      <c r="E1012" t="s">
        <v>79</v>
      </c>
      <c r="F1012" t="s">
        <v>80</v>
      </c>
      <c r="G1012">
        <v>0.74493047849023197</v>
      </c>
      <c r="H1012">
        <v>2E+20</v>
      </c>
      <c r="I1012">
        <v>0.74493047849023197</v>
      </c>
      <c r="J1012">
        <v>0.74493047849023197</v>
      </c>
      <c r="K1012">
        <v>1</v>
      </c>
      <c r="L101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compartida)UtilizacionCocinaH1ExpressionUser Specified</v>
      </c>
      <c r="M1012" s="5" cm="1">
        <f t="array" ref="M1012">MAX(IF((ProjectInfoTable[ProjectName]=DiscreteStatsTable[[#This Row],[ProjectName]]),(ProjectInfoTable[ProjectName]=DiscreteStatsTable[[#This Row],[ProjectName]])*ProjectInfoTable[NumberOfReplications]))</f>
        <v>19</v>
      </c>
      <c r="N1012" s="5" cm="1">
        <f t="array" ref="N1012">IFERROR(AVERAGE(IF((DiscreteStatsTable[GroupByKey]=DiscreteStatsTable[[#This Row],[GroupByKey]]),(DiscreteStatsTable[GroupByKey]=DiscreteStatsTable[[#This Row],[GroupByKey]])*DiscreteStatsTable[Average])),0)</f>
        <v>0.70252114313058733</v>
      </c>
      <c r="O1012" s="5" cm="1">
        <f t="array" ref="O1012">IFERROR(_xlfn.STDEV.S(IF((DiscreteStatsTable[GroupByKey]=DiscreteStatsTable[[#This Row],[GroupByKey]]),(DiscreteStatsTable[GroupByKey]=DiscreteStatsTable[[#This Row],[GroupByKey]])*DiscreteStatsTable[Average])),0)</f>
        <v>0.13432189260482255</v>
      </c>
      <c r="P1012" s="5" cm="1">
        <f t="array" ref="P1012">MAX(IF((ProjectInfoTable[ProjectName]=DiscreteStatsTable[[#This Row],[ProjectName]]),(ProjectInfoTable[ProjectName]=DiscreteStatsTable[[#This Row],[ProjectName]])*ProjectInfoTable[ConfidenceInterval]))</f>
        <v>0.95</v>
      </c>
      <c r="Q1012" s="5">
        <f>IF(AND(DiscreteStatsTable[[#This Row],[RepsWithStatObserved]]=1,Y1012=0),200000000000000000000,IFERROR(_xlfn.T.INV.2T(1 -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6.4741079872600651E-2</v>
      </c>
      <c r="R1012" s="5" cm="1">
        <f t="array" ref="R1012">MIN(IF((DiscreteStatsTable[GroupByKey]=DiscreteStatsTable[[#This Row],[GroupByKey]]),(DiscreteStatsTable[GroupByKey]=DiscreteStatsTable[[#This Row],[GroupByKey]])*DiscreteStatsTable[Average]))</f>
        <v>0.47294888831318199</v>
      </c>
      <c r="S1012" s="5" cm="1">
        <f t="array" ref="S1012">MAX(IF((DiscreteStatsTable[GroupByKey]=DiscreteStatsTable[[#This Row],[GroupByKey]]),(DiscreteStatsTable[GroupByKey]=DiscreteStatsTable[[#This Row],[GroupByKey]])*DiscreteStatsTable[Average]))</f>
        <v>1</v>
      </c>
      <c r="T1012" s="5" cm="1">
        <f t="array" ref="T1012">MIN(IF((DiscreteStatsTable[GroupByKey]=DiscreteStatsTable[[#This Row],[GroupByKey]]),(DiscreteStatsTable[GroupByKey]=DiscreteStatsTable[[#This Row],[GroupByKey]])*DiscreteStatsTable[Minimum]))</f>
        <v>0.47294888831318199</v>
      </c>
      <c r="U1012" s="5" cm="1">
        <f t="array" ref="U1012">MAX(IF((DiscreteStatsTable[GroupByKey]=DiscreteStatsTable[[#This Row],[GroupByKey]]),(DiscreteStatsTable[GroupByKey]=DiscreteStatsTable[[#This Row],[GroupByKey]])*DiscreteStatsTable[Maximum]))</f>
        <v>1</v>
      </c>
      <c r="V1012" s="5" cm="1">
        <f t="array" ref="V1012">IFERROR(AVERAGE(IF((DiscreteStatsTable[GroupByKey]=DiscreteStatsTable[[#This Row],[GroupByKey]]),(DiscreteStatsTable[GroupByKey]=DiscreteStatsTable[[#This Row],[GroupByKey]])*DiscreteStatsTable[NumberObservations])),0)</f>
        <v>1</v>
      </c>
      <c r="W1012" s="5">
        <f>IF((DiscreteStatsTable[[#This Row],[RepsRequested]]&gt;1),DiscreteStatsTable[[#This Row],[HalfWidth]],DiscreteStatsTable[[#This Row],[BatchMeansHalfWidth]])</f>
        <v>6.4741079872600651E-2</v>
      </c>
      <c r="X1012" s="5" cm="1">
        <f t="array" ref="X1012">COUNT(IF((DiscreteStatsTable[GroupByKey]=DiscreteStatsTable[[#This Row],[GroupByKey]]),(DiscreteStatsTable[GroupByKey]=DiscreteStatsTable[[#This Row],[GroupByKey]])*DiscreteStatsTable[Replication]))</f>
        <v>19</v>
      </c>
      <c r="Y1012" s="5">
        <f>IF(DiscreteStatsTable[[#This Row],[RepsRequested]]=DiscreteStatsTable[[#This Row],[RepsWithStatObserved]],1,0)</f>
        <v>1</v>
      </c>
    </row>
    <row r="1013" spans="1:25" x14ac:dyDescent="0.25">
      <c r="A1013" t="s">
        <v>67</v>
      </c>
      <c r="B1013" t="s">
        <v>69</v>
      </c>
      <c r="C1013">
        <v>10</v>
      </c>
      <c r="D1013" t="s">
        <v>124</v>
      </c>
      <c r="E1013" t="s">
        <v>79</v>
      </c>
      <c r="F1013" t="s">
        <v>80</v>
      </c>
      <c r="G1013">
        <v>0.59225315772614595</v>
      </c>
      <c r="H1013">
        <v>2E+20</v>
      </c>
      <c r="I1013">
        <v>0.59225315772614595</v>
      </c>
      <c r="J1013">
        <v>0.59225315772614595</v>
      </c>
      <c r="K1013">
        <v>1</v>
      </c>
      <c r="L101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compartida)UtilizacionCocinaH1ExpressionUser Specified</v>
      </c>
      <c r="M1013" s="5" cm="1">
        <f t="array" ref="M1013">MAX(IF((ProjectInfoTable[ProjectName]=DiscreteStatsTable[[#This Row],[ProjectName]]),(ProjectInfoTable[ProjectName]=DiscreteStatsTable[[#This Row],[ProjectName]])*ProjectInfoTable[NumberOfReplications]))</f>
        <v>19</v>
      </c>
      <c r="N1013" s="5" cm="1">
        <f t="array" ref="N1013">IFERROR(AVERAGE(IF((DiscreteStatsTable[GroupByKey]=DiscreteStatsTable[[#This Row],[GroupByKey]]),(DiscreteStatsTable[GroupByKey]=DiscreteStatsTable[[#This Row],[GroupByKey]])*DiscreteStatsTable[Average])),0)</f>
        <v>0.70252114313058733</v>
      </c>
      <c r="O1013" s="5" cm="1">
        <f t="array" ref="O1013">IFERROR(_xlfn.STDEV.S(IF((DiscreteStatsTable[GroupByKey]=DiscreteStatsTable[[#This Row],[GroupByKey]]),(DiscreteStatsTable[GroupByKey]=DiscreteStatsTable[[#This Row],[GroupByKey]])*DiscreteStatsTable[Average])),0)</f>
        <v>0.13432189260482255</v>
      </c>
      <c r="P1013" s="5" cm="1">
        <f t="array" ref="P1013">MAX(IF((ProjectInfoTable[ProjectName]=DiscreteStatsTable[[#This Row],[ProjectName]]),(ProjectInfoTable[ProjectName]=DiscreteStatsTable[[#This Row],[ProjectName]])*ProjectInfoTable[ConfidenceInterval]))</f>
        <v>0.95</v>
      </c>
      <c r="Q1013" s="5">
        <f>IF(AND(DiscreteStatsTable[[#This Row],[RepsWithStatObserved]]=1,Y1013=0),200000000000000000000,IFERROR(_xlfn.T.INV.2T(1 -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6.4741079872600651E-2</v>
      </c>
      <c r="R1013" s="5" cm="1">
        <f t="array" ref="R1013">MIN(IF((DiscreteStatsTable[GroupByKey]=DiscreteStatsTable[[#This Row],[GroupByKey]]),(DiscreteStatsTable[GroupByKey]=DiscreteStatsTable[[#This Row],[GroupByKey]])*DiscreteStatsTable[Average]))</f>
        <v>0.47294888831318199</v>
      </c>
      <c r="S1013" s="5" cm="1">
        <f t="array" ref="S1013">MAX(IF((DiscreteStatsTable[GroupByKey]=DiscreteStatsTable[[#This Row],[GroupByKey]]),(DiscreteStatsTable[GroupByKey]=DiscreteStatsTable[[#This Row],[GroupByKey]])*DiscreteStatsTable[Average]))</f>
        <v>1</v>
      </c>
      <c r="T1013" s="5" cm="1">
        <f t="array" ref="T1013">MIN(IF((DiscreteStatsTable[GroupByKey]=DiscreteStatsTable[[#This Row],[GroupByKey]]),(DiscreteStatsTable[GroupByKey]=DiscreteStatsTable[[#This Row],[GroupByKey]])*DiscreteStatsTable[Minimum]))</f>
        <v>0.47294888831318199</v>
      </c>
      <c r="U1013" s="5" cm="1">
        <f t="array" ref="U1013">MAX(IF((DiscreteStatsTable[GroupByKey]=DiscreteStatsTable[[#This Row],[GroupByKey]]),(DiscreteStatsTable[GroupByKey]=DiscreteStatsTable[[#This Row],[GroupByKey]])*DiscreteStatsTable[Maximum]))</f>
        <v>1</v>
      </c>
      <c r="V1013" s="5" cm="1">
        <f t="array" ref="V1013">IFERROR(AVERAGE(IF((DiscreteStatsTable[GroupByKey]=DiscreteStatsTable[[#This Row],[GroupByKey]]),(DiscreteStatsTable[GroupByKey]=DiscreteStatsTable[[#This Row],[GroupByKey]])*DiscreteStatsTable[NumberObservations])),0)</f>
        <v>1</v>
      </c>
      <c r="W1013" s="5">
        <f>IF((DiscreteStatsTable[[#This Row],[RepsRequested]]&gt;1),DiscreteStatsTable[[#This Row],[HalfWidth]],DiscreteStatsTable[[#This Row],[BatchMeansHalfWidth]])</f>
        <v>6.4741079872600651E-2</v>
      </c>
      <c r="X1013" s="5" cm="1">
        <f t="array" ref="X1013">COUNT(IF((DiscreteStatsTable[GroupByKey]=DiscreteStatsTable[[#This Row],[GroupByKey]]),(DiscreteStatsTable[GroupByKey]=DiscreteStatsTable[[#This Row],[GroupByKey]])*DiscreteStatsTable[Replication]))</f>
        <v>19</v>
      </c>
      <c r="Y1013" s="5">
        <f>IF(DiscreteStatsTable[[#This Row],[RepsRequested]]=DiscreteStatsTable[[#This Row],[RepsWithStatObserved]],1,0)</f>
        <v>1</v>
      </c>
    </row>
    <row r="1014" spans="1:25" x14ac:dyDescent="0.25">
      <c r="A1014" t="s">
        <v>67</v>
      </c>
      <c r="B1014" t="s">
        <v>69</v>
      </c>
      <c r="C1014">
        <v>11</v>
      </c>
      <c r="D1014" t="s">
        <v>124</v>
      </c>
      <c r="E1014" t="s">
        <v>79</v>
      </c>
      <c r="F1014" t="s">
        <v>80</v>
      </c>
      <c r="G1014">
        <v>0.47294888831318199</v>
      </c>
      <c r="H1014">
        <v>2E+20</v>
      </c>
      <c r="I1014">
        <v>0.47294888831318199</v>
      </c>
      <c r="J1014">
        <v>0.47294888831318199</v>
      </c>
      <c r="K1014">
        <v>1</v>
      </c>
      <c r="L101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compartida)UtilizacionCocinaH1ExpressionUser Specified</v>
      </c>
      <c r="M1014" s="5" cm="1">
        <f t="array" ref="M1014">MAX(IF((ProjectInfoTable[ProjectName]=DiscreteStatsTable[[#This Row],[ProjectName]]),(ProjectInfoTable[ProjectName]=DiscreteStatsTable[[#This Row],[ProjectName]])*ProjectInfoTable[NumberOfReplications]))</f>
        <v>19</v>
      </c>
      <c r="N1014" s="5" cm="1">
        <f t="array" ref="N1014">IFERROR(AVERAGE(IF((DiscreteStatsTable[GroupByKey]=DiscreteStatsTable[[#This Row],[GroupByKey]]),(DiscreteStatsTable[GroupByKey]=DiscreteStatsTable[[#This Row],[GroupByKey]])*DiscreteStatsTable[Average])),0)</f>
        <v>0.70252114313058733</v>
      </c>
      <c r="O1014" s="5" cm="1">
        <f t="array" ref="O1014">IFERROR(_xlfn.STDEV.S(IF((DiscreteStatsTable[GroupByKey]=DiscreteStatsTable[[#This Row],[GroupByKey]]),(DiscreteStatsTable[GroupByKey]=DiscreteStatsTable[[#This Row],[GroupByKey]])*DiscreteStatsTable[Average])),0)</f>
        <v>0.13432189260482255</v>
      </c>
      <c r="P1014" s="5" cm="1">
        <f t="array" ref="P1014">MAX(IF((ProjectInfoTable[ProjectName]=DiscreteStatsTable[[#This Row],[ProjectName]]),(ProjectInfoTable[ProjectName]=DiscreteStatsTable[[#This Row],[ProjectName]])*ProjectInfoTable[ConfidenceInterval]))</f>
        <v>0.95</v>
      </c>
      <c r="Q1014" s="5">
        <f>IF(AND(DiscreteStatsTable[[#This Row],[RepsWithStatObserved]]=1,Y1014=0),200000000000000000000,IFERROR(_xlfn.T.INV.2T(1 -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6.4741079872600651E-2</v>
      </c>
      <c r="R1014" s="5" cm="1">
        <f t="array" ref="R1014">MIN(IF((DiscreteStatsTable[GroupByKey]=DiscreteStatsTable[[#This Row],[GroupByKey]]),(DiscreteStatsTable[GroupByKey]=DiscreteStatsTable[[#This Row],[GroupByKey]])*DiscreteStatsTable[Average]))</f>
        <v>0.47294888831318199</v>
      </c>
      <c r="S1014" s="5" cm="1">
        <f t="array" ref="S1014">MAX(IF((DiscreteStatsTable[GroupByKey]=DiscreteStatsTable[[#This Row],[GroupByKey]]),(DiscreteStatsTable[GroupByKey]=DiscreteStatsTable[[#This Row],[GroupByKey]])*DiscreteStatsTable[Average]))</f>
        <v>1</v>
      </c>
      <c r="T1014" s="5" cm="1">
        <f t="array" ref="T1014">MIN(IF((DiscreteStatsTable[GroupByKey]=DiscreteStatsTable[[#This Row],[GroupByKey]]),(DiscreteStatsTable[GroupByKey]=DiscreteStatsTable[[#This Row],[GroupByKey]])*DiscreteStatsTable[Minimum]))</f>
        <v>0.47294888831318199</v>
      </c>
      <c r="U1014" s="5" cm="1">
        <f t="array" ref="U1014">MAX(IF((DiscreteStatsTable[GroupByKey]=DiscreteStatsTable[[#This Row],[GroupByKey]]),(DiscreteStatsTable[GroupByKey]=DiscreteStatsTable[[#This Row],[GroupByKey]])*DiscreteStatsTable[Maximum]))</f>
        <v>1</v>
      </c>
      <c r="V1014" s="5" cm="1">
        <f t="array" ref="V1014">IFERROR(AVERAGE(IF((DiscreteStatsTable[GroupByKey]=DiscreteStatsTable[[#This Row],[GroupByKey]]),(DiscreteStatsTable[GroupByKey]=DiscreteStatsTable[[#This Row],[GroupByKey]])*DiscreteStatsTable[NumberObservations])),0)</f>
        <v>1</v>
      </c>
      <c r="W1014" s="5">
        <f>IF((DiscreteStatsTable[[#This Row],[RepsRequested]]&gt;1),DiscreteStatsTable[[#This Row],[HalfWidth]],DiscreteStatsTable[[#This Row],[BatchMeansHalfWidth]])</f>
        <v>6.4741079872600651E-2</v>
      </c>
      <c r="X1014" s="5" cm="1">
        <f t="array" ref="X1014">COUNT(IF((DiscreteStatsTable[GroupByKey]=DiscreteStatsTable[[#This Row],[GroupByKey]]),(DiscreteStatsTable[GroupByKey]=DiscreteStatsTable[[#This Row],[GroupByKey]])*DiscreteStatsTable[Replication]))</f>
        <v>19</v>
      </c>
      <c r="Y1014" s="5">
        <f>IF(DiscreteStatsTable[[#This Row],[RepsRequested]]=DiscreteStatsTable[[#This Row],[RepsWithStatObserved]],1,0)</f>
        <v>1</v>
      </c>
    </row>
    <row r="1015" spans="1:25" x14ac:dyDescent="0.25">
      <c r="A1015" t="s">
        <v>67</v>
      </c>
      <c r="B1015" t="s">
        <v>69</v>
      </c>
      <c r="C1015">
        <v>12</v>
      </c>
      <c r="D1015" t="s">
        <v>124</v>
      </c>
      <c r="E1015" t="s">
        <v>79</v>
      </c>
      <c r="F1015" t="s">
        <v>80</v>
      </c>
      <c r="G1015">
        <v>0.65991252897872998</v>
      </c>
      <c r="H1015">
        <v>2E+20</v>
      </c>
      <c r="I1015">
        <v>0.65991252897872998</v>
      </c>
      <c r="J1015">
        <v>0.65991252897872998</v>
      </c>
      <c r="K1015">
        <v>1</v>
      </c>
      <c r="L101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compartida)UtilizacionCocinaH1ExpressionUser Specified</v>
      </c>
      <c r="M1015" s="5" cm="1">
        <f t="array" ref="M1015">MAX(IF((ProjectInfoTable[ProjectName]=DiscreteStatsTable[[#This Row],[ProjectName]]),(ProjectInfoTable[ProjectName]=DiscreteStatsTable[[#This Row],[ProjectName]])*ProjectInfoTable[NumberOfReplications]))</f>
        <v>19</v>
      </c>
      <c r="N1015" s="5" cm="1">
        <f t="array" ref="N1015">IFERROR(AVERAGE(IF((DiscreteStatsTable[GroupByKey]=DiscreteStatsTable[[#This Row],[GroupByKey]]),(DiscreteStatsTable[GroupByKey]=DiscreteStatsTable[[#This Row],[GroupByKey]])*DiscreteStatsTable[Average])),0)</f>
        <v>0.70252114313058733</v>
      </c>
      <c r="O1015" s="5" cm="1">
        <f t="array" ref="O1015">IFERROR(_xlfn.STDEV.S(IF((DiscreteStatsTable[GroupByKey]=DiscreteStatsTable[[#This Row],[GroupByKey]]),(DiscreteStatsTable[GroupByKey]=DiscreteStatsTable[[#This Row],[GroupByKey]])*DiscreteStatsTable[Average])),0)</f>
        <v>0.13432189260482255</v>
      </c>
      <c r="P1015" s="5" cm="1">
        <f t="array" ref="P1015">MAX(IF((ProjectInfoTable[ProjectName]=DiscreteStatsTable[[#This Row],[ProjectName]]),(ProjectInfoTable[ProjectName]=DiscreteStatsTable[[#This Row],[ProjectName]])*ProjectInfoTable[ConfidenceInterval]))</f>
        <v>0.95</v>
      </c>
      <c r="Q1015" s="5">
        <f>IF(AND(DiscreteStatsTable[[#This Row],[RepsWithStatObserved]]=1,Y1015=0),200000000000000000000,IFERROR(_xlfn.T.INV.2T(1 -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6.4741079872600651E-2</v>
      </c>
      <c r="R1015" s="5" cm="1">
        <f t="array" ref="R1015">MIN(IF((DiscreteStatsTable[GroupByKey]=DiscreteStatsTable[[#This Row],[GroupByKey]]),(DiscreteStatsTable[GroupByKey]=DiscreteStatsTable[[#This Row],[GroupByKey]])*DiscreteStatsTable[Average]))</f>
        <v>0.47294888831318199</v>
      </c>
      <c r="S1015" s="5" cm="1">
        <f t="array" ref="S1015">MAX(IF((DiscreteStatsTable[GroupByKey]=DiscreteStatsTable[[#This Row],[GroupByKey]]),(DiscreteStatsTable[GroupByKey]=DiscreteStatsTable[[#This Row],[GroupByKey]])*DiscreteStatsTable[Average]))</f>
        <v>1</v>
      </c>
      <c r="T1015" s="5" cm="1">
        <f t="array" ref="T1015">MIN(IF((DiscreteStatsTable[GroupByKey]=DiscreteStatsTable[[#This Row],[GroupByKey]]),(DiscreteStatsTable[GroupByKey]=DiscreteStatsTable[[#This Row],[GroupByKey]])*DiscreteStatsTable[Minimum]))</f>
        <v>0.47294888831318199</v>
      </c>
      <c r="U1015" s="5" cm="1">
        <f t="array" ref="U1015">MAX(IF((DiscreteStatsTable[GroupByKey]=DiscreteStatsTable[[#This Row],[GroupByKey]]),(DiscreteStatsTable[GroupByKey]=DiscreteStatsTable[[#This Row],[GroupByKey]])*DiscreteStatsTable[Maximum]))</f>
        <v>1</v>
      </c>
      <c r="V1015" s="5" cm="1">
        <f t="array" ref="V1015">IFERROR(AVERAGE(IF((DiscreteStatsTable[GroupByKey]=DiscreteStatsTable[[#This Row],[GroupByKey]]),(DiscreteStatsTable[GroupByKey]=DiscreteStatsTable[[#This Row],[GroupByKey]])*DiscreteStatsTable[NumberObservations])),0)</f>
        <v>1</v>
      </c>
      <c r="W1015" s="5">
        <f>IF((DiscreteStatsTable[[#This Row],[RepsRequested]]&gt;1),DiscreteStatsTable[[#This Row],[HalfWidth]],DiscreteStatsTable[[#This Row],[BatchMeansHalfWidth]])</f>
        <v>6.4741079872600651E-2</v>
      </c>
      <c r="X1015" s="5" cm="1">
        <f t="array" ref="X1015">COUNT(IF((DiscreteStatsTable[GroupByKey]=DiscreteStatsTable[[#This Row],[GroupByKey]]),(DiscreteStatsTable[GroupByKey]=DiscreteStatsTable[[#This Row],[GroupByKey]])*DiscreteStatsTable[Replication]))</f>
        <v>19</v>
      </c>
      <c r="Y1015" s="5">
        <f>IF(DiscreteStatsTable[[#This Row],[RepsRequested]]=DiscreteStatsTable[[#This Row],[RepsWithStatObserved]],1,0)</f>
        <v>1</v>
      </c>
    </row>
    <row r="1016" spans="1:25" x14ac:dyDescent="0.25">
      <c r="A1016" t="s">
        <v>67</v>
      </c>
      <c r="B1016" t="s">
        <v>69</v>
      </c>
      <c r="C1016">
        <v>13</v>
      </c>
      <c r="D1016" t="s">
        <v>124</v>
      </c>
      <c r="E1016" t="s">
        <v>79</v>
      </c>
      <c r="F1016" t="s">
        <v>80</v>
      </c>
      <c r="G1016">
        <v>0.517463442249112</v>
      </c>
      <c r="H1016">
        <v>2E+20</v>
      </c>
      <c r="I1016">
        <v>0.517463442249112</v>
      </c>
      <c r="J1016">
        <v>0.517463442249112</v>
      </c>
      <c r="K1016">
        <v>1</v>
      </c>
      <c r="L101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compartida)UtilizacionCocinaH1ExpressionUser Specified</v>
      </c>
      <c r="M1016" s="5" cm="1">
        <f t="array" ref="M1016">MAX(IF((ProjectInfoTable[ProjectName]=DiscreteStatsTable[[#This Row],[ProjectName]]),(ProjectInfoTable[ProjectName]=DiscreteStatsTable[[#This Row],[ProjectName]])*ProjectInfoTable[NumberOfReplications]))</f>
        <v>19</v>
      </c>
      <c r="N1016" s="5" cm="1">
        <f t="array" ref="N1016">IFERROR(AVERAGE(IF((DiscreteStatsTable[GroupByKey]=DiscreteStatsTable[[#This Row],[GroupByKey]]),(DiscreteStatsTable[GroupByKey]=DiscreteStatsTable[[#This Row],[GroupByKey]])*DiscreteStatsTable[Average])),0)</f>
        <v>0.70252114313058733</v>
      </c>
      <c r="O1016" s="5" cm="1">
        <f t="array" ref="O1016">IFERROR(_xlfn.STDEV.S(IF((DiscreteStatsTable[GroupByKey]=DiscreteStatsTable[[#This Row],[GroupByKey]]),(DiscreteStatsTable[GroupByKey]=DiscreteStatsTable[[#This Row],[GroupByKey]])*DiscreteStatsTable[Average])),0)</f>
        <v>0.13432189260482255</v>
      </c>
      <c r="P1016" s="5" cm="1">
        <f t="array" ref="P1016">MAX(IF((ProjectInfoTable[ProjectName]=DiscreteStatsTable[[#This Row],[ProjectName]]),(ProjectInfoTable[ProjectName]=DiscreteStatsTable[[#This Row],[ProjectName]])*ProjectInfoTable[ConfidenceInterval]))</f>
        <v>0.95</v>
      </c>
      <c r="Q1016" s="5">
        <f>IF(AND(DiscreteStatsTable[[#This Row],[RepsWithStatObserved]]=1,Y1016=0),200000000000000000000,IFERROR(_xlfn.T.INV.2T(1 -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6.4741079872600651E-2</v>
      </c>
      <c r="R1016" s="5" cm="1">
        <f t="array" ref="R1016">MIN(IF((DiscreteStatsTable[GroupByKey]=DiscreteStatsTable[[#This Row],[GroupByKey]]),(DiscreteStatsTable[GroupByKey]=DiscreteStatsTable[[#This Row],[GroupByKey]])*DiscreteStatsTable[Average]))</f>
        <v>0.47294888831318199</v>
      </c>
      <c r="S1016" s="5" cm="1">
        <f t="array" ref="S1016">MAX(IF((DiscreteStatsTable[GroupByKey]=DiscreteStatsTable[[#This Row],[GroupByKey]]),(DiscreteStatsTable[GroupByKey]=DiscreteStatsTable[[#This Row],[GroupByKey]])*DiscreteStatsTable[Average]))</f>
        <v>1</v>
      </c>
      <c r="T1016" s="5" cm="1">
        <f t="array" ref="T1016">MIN(IF((DiscreteStatsTable[GroupByKey]=DiscreteStatsTable[[#This Row],[GroupByKey]]),(DiscreteStatsTable[GroupByKey]=DiscreteStatsTable[[#This Row],[GroupByKey]])*DiscreteStatsTable[Minimum]))</f>
        <v>0.47294888831318199</v>
      </c>
      <c r="U1016" s="5" cm="1">
        <f t="array" ref="U1016">MAX(IF((DiscreteStatsTable[GroupByKey]=DiscreteStatsTable[[#This Row],[GroupByKey]]),(DiscreteStatsTable[GroupByKey]=DiscreteStatsTable[[#This Row],[GroupByKey]])*DiscreteStatsTable[Maximum]))</f>
        <v>1</v>
      </c>
      <c r="V1016" s="5" cm="1">
        <f t="array" ref="V1016">IFERROR(AVERAGE(IF((DiscreteStatsTable[GroupByKey]=DiscreteStatsTable[[#This Row],[GroupByKey]]),(DiscreteStatsTable[GroupByKey]=DiscreteStatsTable[[#This Row],[GroupByKey]])*DiscreteStatsTable[NumberObservations])),0)</f>
        <v>1</v>
      </c>
      <c r="W1016" s="5">
        <f>IF((DiscreteStatsTable[[#This Row],[RepsRequested]]&gt;1),DiscreteStatsTable[[#This Row],[HalfWidth]],DiscreteStatsTable[[#This Row],[BatchMeansHalfWidth]])</f>
        <v>6.4741079872600651E-2</v>
      </c>
      <c r="X1016" s="5" cm="1">
        <f t="array" ref="X1016">COUNT(IF((DiscreteStatsTable[GroupByKey]=DiscreteStatsTable[[#This Row],[GroupByKey]]),(DiscreteStatsTable[GroupByKey]=DiscreteStatsTable[[#This Row],[GroupByKey]])*DiscreteStatsTable[Replication]))</f>
        <v>19</v>
      </c>
      <c r="Y1016" s="5">
        <f>IF(DiscreteStatsTable[[#This Row],[RepsRequested]]=DiscreteStatsTable[[#This Row],[RepsWithStatObserved]],1,0)</f>
        <v>1</v>
      </c>
    </row>
    <row r="1017" spans="1:25" x14ac:dyDescent="0.25">
      <c r="A1017" t="s">
        <v>67</v>
      </c>
      <c r="B1017" t="s">
        <v>69</v>
      </c>
      <c r="C1017">
        <v>14</v>
      </c>
      <c r="D1017" t="s">
        <v>124</v>
      </c>
      <c r="E1017" t="s">
        <v>79</v>
      </c>
      <c r="F1017" t="s">
        <v>80</v>
      </c>
      <c r="G1017">
        <v>0.63776879858742197</v>
      </c>
      <c r="H1017">
        <v>2E+20</v>
      </c>
      <c r="I1017">
        <v>0.63776879858742197</v>
      </c>
      <c r="J1017">
        <v>0.63776879858742197</v>
      </c>
      <c r="K1017">
        <v>1</v>
      </c>
      <c r="L101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compartida)UtilizacionCocinaH1ExpressionUser Specified</v>
      </c>
      <c r="M1017" s="5" cm="1">
        <f t="array" ref="M1017">MAX(IF((ProjectInfoTable[ProjectName]=DiscreteStatsTable[[#This Row],[ProjectName]]),(ProjectInfoTable[ProjectName]=DiscreteStatsTable[[#This Row],[ProjectName]])*ProjectInfoTable[NumberOfReplications]))</f>
        <v>19</v>
      </c>
      <c r="N1017" s="5" cm="1">
        <f t="array" ref="N1017">IFERROR(AVERAGE(IF((DiscreteStatsTable[GroupByKey]=DiscreteStatsTable[[#This Row],[GroupByKey]]),(DiscreteStatsTable[GroupByKey]=DiscreteStatsTable[[#This Row],[GroupByKey]])*DiscreteStatsTable[Average])),0)</f>
        <v>0.70252114313058733</v>
      </c>
      <c r="O1017" s="5" cm="1">
        <f t="array" ref="O1017">IFERROR(_xlfn.STDEV.S(IF((DiscreteStatsTable[GroupByKey]=DiscreteStatsTable[[#This Row],[GroupByKey]]),(DiscreteStatsTable[GroupByKey]=DiscreteStatsTable[[#This Row],[GroupByKey]])*DiscreteStatsTable[Average])),0)</f>
        <v>0.13432189260482255</v>
      </c>
      <c r="P1017" s="5" cm="1">
        <f t="array" ref="P1017">MAX(IF((ProjectInfoTable[ProjectName]=DiscreteStatsTable[[#This Row],[ProjectName]]),(ProjectInfoTable[ProjectName]=DiscreteStatsTable[[#This Row],[ProjectName]])*ProjectInfoTable[ConfidenceInterval]))</f>
        <v>0.95</v>
      </c>
      <c r="Q1017" s="5">
        <f>IF(AND(DiscreteStatsTable[[#This Row],[RepsWithStatObserved]]=1,Y1017=0),200000000000000000000,IFERROR(_xlfn.T.INV.2T(1 -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6.4741079872600651E-2</v>
      </c>
      <c r="R1017" s="5" cm="1">
        <f t="array" ref="R1017">MIN(IF((DiscreteStatsTable[GroupByKey]=DiscreteStatsTable[[#This Row],[GroupByKey]]),(DiscreteStatsTable[GroupByKey]=DiscreteStatsTable[[#This Row],[GroupByKey]])*DiscreteStatsTable[Average]))</f>
        <v>0.47294888831318199</v>
      </c>
      <c r="S1017" s="5" cm="1">
        <f t="array" ref="S1017">MAX(IF((DiscreteStatsTable[GroupByKey]=DiscreteStatsTable[[#This Row],[GroupByKey]]),(DiscreteStatsTable[GroupByKey]=DiscreteStatsTable[[#This Row],[GroupByKey]])*DiscreteStatsTable[Average]))</f>
        <v>1</v>
      </c>
      <c r="T1017" s="5" cm="1">
        <f t="array" ref="T1017">MIN(IF((DiscreteStatsTable[GroupByKey]=DiscreteStatsTable[[#This Row],[GroupByKey]]),(DiscreteStatsTable[GroupByKey]=DiscreteStatsTable[[#This Row],[GroupByKey]])*DiscreteStatsTable[Minimum]))</f>
        <v>0.47294888831318199</v>
      </c>
      <c r="U1017" s="5" cm="1">
        <f t="array" ref="U1017">MAX(IF((DiscreteStatsTable[GroupByKey]=DiscreteStatsTable[[#This Row],[GroupByKey]]),(DiscreteStatsTable[GroupByKey]=DiscreteStatsTable[[#This Row],[GroupByKey]])*DiscreteStatsTable[Maximum]))</f>
        <v>1</v>
      </c>
      <c r="V1017" s="5" cm="1">
        <f t="array" ref="V1017">IFERROR(AVERAGE(IF((DiscreteStatsTable[GroupByKey]=DiscreteStatsTable[[#This Row],[GroupByKey]]),(DiscreteStatsTable[GroupByKey]=DiscreteStatsTable[[#This Row],[GroupByKey]])*DiscreteStatsTable[NumberObservations])),0)</f>
        <v>1</v>
      </c>
      <c r="W1017" s="5">
        <f>IF((DiscreteStatsTable[[#This Row],[RepsRequested]]&gt;1),DiscreteStatsTable[[#This Row],[HalfWidth]],DiscreteStatsTable[[#This Row],[BatchMeansHalfWidth]])</f>
        <v>6.4741079872600651E-2</v>
      </c>
      <c r="X1017" s="5" cm="1">
        <f t="array" ref="X1017">COUNT(IF((DiscreteStatsTable[GroupByKey]=DiscreteStatsTable[[#This Row],[GroupByKey]]),(DiscreteStatsTable[GroupByKey]=DiscreteStatsTable[[#This Row],[GroupByKey]])*DiscreteStatsTable[Replication]))</f>
        <v>19</v>
      </c>
      <c r="Y1017" s="5">
        <f>IF(DiscreteStatsTable[[#This Row],[RepsRequested]]=DiscreteStatsTable[[#This Row],[RepsWithStatObserved]],1,0)</f>
        <v>1</v>
      </c>
    </row>
    <row r="1018" spans="1:25" x14ac:dyDescent="0.25">
      <c r="A1018" t="s">
        <v>67</v>
      </c>
      <c r="B1018" t="s">
        <v>69</v>
      </c>
      <c r="C1018">
        <v>15</v>
      </c>
      <c r="D1018" t="s">
        <v>124</v>
      </c>
      <c r="E1018" t="s">
        <v>79</v>
      </c>
      <c r="F1018" t="s">
        <v>80</v>
      </c>
      <c r="G1018">
        <v>0.74740418503746897</v>
      </c>
      <c r="H1018">
        <v>2E+20</v>
      </c>
      <c r="I1018">
        <v>0.74740418503746897</v>
      </c>
      <c r="J1018">
        <v>0.74740418503746897</v>
      </c>
      <c r="K1018">
        <v>1</v>
      </c>
      <c r="L101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compartida)UtilizacionCocinaH1ExpressionUser Specified</v>
      </c>
      <c r="M1018" s="5" cm="1">
        <f t="array" ref="M1018">MAX(IF((ProjectInfoTable[ProjectName]=DiscreteStatsTable[[#This Row],[ProjectName]]),(ProjectInfoTable[ProjectName]=DiscreteStatsTable[[#This Row],[ProjectName]])*ProjectInfoTable[NumberOfReplications]))</f>
        <v>19</v>
      </c>
      <c r="N1018" s="5" cm="1">
        <f t="array" ref="N1018">IFERROR(AVERAGE(IF((DiscreteStatsTable[GroupByKey]=DiscreteStatsTable[[#This Row],[GroupByKey]]),(DiscreteStatsTable[GroupByKey]=DiscreteStatsTable[[#This Row],[GroupByKey]])*DiscreteStatsTable[Average])),0)</f>
        <v>0.70252114313058733</v>
      </c>
      <c r="O1018" s="5" cm="1">
        <f t="array" ref="O1018">IFERROR(_xlfn.STDEV.S(IF((DiscreteStatsTable[GroupByKey]=DiscreteStatsTable[[#This Row],[GroupByKey]]),(DiscreteStatsTable[GroupByKey]=DiscreteStatsTable[[#This Row],[GroupByKey]])*DiscreteStatsTable[Average])),0)</f>
        <v>0.13432189260482255</v>
      </c>
      <c r="P1018" s="5" cm="1">
        <f t="array" ref="P1018">MAX(IF((ProjectInfoTable[ProjectName]=DiscreteStatsTable[[#This Row],[ProjectName]]),(ProjectInfoTable[ProjectName]=DiscreteStatsTable[[#This Row],[ProjectName]])*ProjectInfoTable[ConfidenceInterval]))</f>
        <v>0.95</v>
      </c>
      <c r="Q1018" s="5">
        <f>IF(AND(DiscreteStatsTable[[#This Row],[RepsWithStatObserved]]=1,Y1018=0),200000000000000000000,IFERROR(_xlfn.T.INV.2T(1 -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6.4741079872600651E-2</v>
      </c>
      <c r="R1018" s="5" cm="1">
        <f t="array" ref="R1018">MIN(IF((DiscreteStatsTable[GroupByKey]=DiscreteStatsTable[[#This Row],[GroupByKey]]),(DiscreteStatsTable[GroupByKey]=DiscreteStatsTable[[#This Row],[GroupByKey]])*DiscreteStatsTable[Average]))</f>
        <v>0.47294888831318199</v>
      </c>
      <c r="S1018" s="5" cm="1">
        <f t="array" ref="S1018">MAX(IF((DiscreteStatsTable[GroupByKey]=DiscreteStatsTable[[#This Row],[GroupByKey]]),(DiscreteStatsTable[GroupByKey]=DiscreteStatsTable[[#This Row],[GroupByKey]])*DiscreteStatsTable[Average]))</f>
        <v>1</v>
      </c>
      <c r="T1018" s="5" cm="1">
        <f t="array" ref="T1018">MIN(IF((DiscreteStatsTable[GroupByKey]=DiscreteStatsTable[[#This Row],[GroupByKey]]),(DiscreteStatsTable[GroupByKey]=DiscreteStatsTable[[#This Row],[GroupByKey]])*DiscreteStatsTable[Minimum]))</f>
        <v>0.47294888831318199</v>
      </c>
      <c r="U1018" s="5" cm="1">
        <f t="array" ref="U1018">MAX(IF((DiscreteStatsTable[GroupByKey]=DiscreteStatsTable[[#This Row],[GroupByKey]]),(DiscreteStatsTable[GroupByKey]=DiscreteStatsTable[[#This Row],[GroupByKey]])*DiscreteStatsTable[Maximum]))</f>
        <v>1</v>
      </c>
      <c r="V1018" s="5" cm="1">
        <f t="array" ref="V1018">IFERROR(AVERAGE(IF((DiscreteStatsTable[GroupByKey]=DiscreteStatsTable[[#This Row],[GroupByKey]]),(DiscreteStatsTable[GroupByKey]=DiscreteStatsTable[[#This Row],[GroupByKey]])*DiscreteStatsTable[NumberObservations])),0)</f>
        <v>1</v>
      </c>
      <c r="W1018" s="5">
        <f>IF((DiscreteStatsTable[[#This Row],[RepsRequested]]&gt;1),DiscreteStatsTable[[#This Row],[HalfWidth]],DiscreteStatsTable[[#This Row],[BatchMeansHalfWidth]])</f>
        <v>6.4741079872600651E-2</v>
      </c>
      <c r="X1018" s="5" cm="1">
        <f t="array" ref="X1018">COUNT(IF((DiscreteStatsTable[GroupByKey]=DiscreteStatsTable[[#This Row],[GroupByKey]]),(DiscreteStatsTable[GroupByKey]=DiscreteStatsTable[[#This Row],[GroupByKey]])*DiscreteStatsTable[Replication]))</f>
        <v>19</v>
      </c>
      <c r="Y1018" s="5">
        <f>IF(DiscreteStatsTable[[#This Row],[RepsRequested]]=DiscreteStatsTable[[#This Row],[RepsWithStatObserved]],1,0)</f>
        <v>1</v>
      </c>
    </row>
    <row r="1019" spans="1:25" x14ac:dyDescent="0.25">
      <c r="A1019" t="s">
        <v>67</v>
      </c>
      <c r="B1019" t="s">
        <v>69</v>
      </c>
      <c r="C1019">
        <v>16</v>
      </c>
      <c r="D1019" t="s">
        <v>124</v>
      </c>
      <c r="E1019" t="s">
        <v>79</v>
      </c>
      <c r="F1019" t="s">
        <v>80</v>
      </c>
      <c r="G1019">
        <v>0.76184861774766999</v>
      </c>
      <c r="H1019">
        <v>2E+20</v>
      </c>
      <c r="I1019">
        <v>0.76184861774766999</v>
      </c>
      <c r="J1019">
        <v>0.76184861774766999</v>
      </c>
      <c r="K1019">
        <v>1</v>
      </c>
      <c r="L101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compartida)UtilizacionCocinaH1ExpressionUser Specified</v>
      </c>
      <c r="M1019" s="5" cm="1">
        <f t="array" ref="M1019">MAX(IF((ProjectInfoTable[ProjectName]=DiscreteStatsTable[[#This Row],[ProjectName]]),(ProjectInfoTable[ProjectName]=DiscreteStatsTable[[#This Row],[ProjectName]])*ProjectInfoTable[NumberOfReplications]))</f>
        <v>19</v>
      </c>
      <c r="N1019" s="5" cm="1">
        <f t="array" ref="N1019">IFERROR(AVERAGE(IF((DiscreteStatsTable[GroupByKey]=DiscreteStatsTable[[#This Row],[GroupByKey]]),(DiscreteStatsTable[GroupByKey]=DiscreteStatsTable[[#This Row],[GroupByKey]])*DiscreteStatsTable[Average])),0)</f>
        <v>0.70252114313058733</v>
      </c>
      <c r="O1019" s="5" cm="1">
        <f t="array" ref="O1019">IFERROR(_xlfn.STDEV.S(IF((DiscreteStatsTable[GroupByKey]=DiscreteStatsTable[[#This Row],[GroupByKey]]),(DiscreteStatsTable[GroupByKey]=DiscreteStatsTable[[#This Row],[GroupByKey]])*DiscreteStatsTable[Average])),0)</f>
        <v>0.13432189260482255</v>
      </c>
      <c r="P1019" s="5" cm="1">
        <f t="array" ref="P1019">MAX(IF((ProjectInfoTable[ProjectName]=DiscreteStatsTable[[#This Row],[ProjectName]]),(ProjectInfoTable[ProjectName]=DiscreteStatsTable[[#This Row],[ProjectName]])*ProjectInfoTable[ConfidenceInterval]))</f>
        <v>0.95</v>
      </c>
      <c r="Q1019" s="5">
        <f>IF(AND(DiscreteStatsTable[[#This Row],[RepsWithStatObserved]]=1,Y1019=0),200000000000000000000,IFERROR(_xlfn.T.INV.2T(1 -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6.4741079872600651E-2</v>
      </c>
      <c r="R1019" s="5" cm="1">
        <f t="array" ref="R1019">MIN(IF((DiscreteStatsTable[GroupByKey]=DiscreteStatsTable[[#This Row],[GroupByKey]]),(DiscreteStatsTable[GroupByKey]=DiscreteStatsTable[[#This Row],[GroupByKey]])*DiscreteStatsTable[Average]))</f>
        <v>0.47294888831318199</v>
      </c>
      <c r="S1019" s="5" cm="1">
        <f t="array" ref="S1019">MAX(IF((DiscreteStatsTable[GroupByKey]=DiscreteStatsTable[[#This Row],[GroupByKey]]),(DiscreteStatsTable[GroupByKey]=DiscreteStatsTable[[#This Row],[GroupByKey]])*DiscreteStatsTable[Average]))</f>
        <v>1</v>
      </c>
      <c r="T1019" s="5" cm="1">
        <f t="array" ref="T1019">MIN(IF((DiscreteStatsTable[GroupByKey]=DiscreteStatsTable[[#This Row],[GroupByKey]]),(DiscreteStatsTable[GroupByKey]=DiscreteStatsTable[[#This Row],[GroupByKey]])*DiscreteStatsTable[Minimum]))</f>
        <v>0.47294888831318199</v>
      </c>
      <c r="U1019" s="5" cm="1">
        <f t="array" ref="U1019">MAX(IF((DiscreteStatsTable[GroupByKey]=DiscreteStatsTable[[#This Row],[GroupByKey]]),(DiscreteStatsTable[GroupByKey]=DiscreteStatsTable[[#This Row],[GroupByKey]])*DiscreteStatsTable[Maximum]))</f>
        <v>1</v>
      </c>
      <c r="V1019" s="5" cm="1">
        <f t="array" ref="V1019">IFERROR(AVERAGE(IF((DiscreteStatsTable[GroupByKey]=DiscreteStatsTable[[#This Row],[GroupByKey]]),(DiscreteStatsTable[GroupByKey]=DiscreteStatsTable[[#This Row],[GroupByKey]])*DiscreteStatsTable[NumberObservations])),0)</f>
        <v>1</v>
      </c>
      <c r="W1019" s="5">
        <f>IF((DiscreteStatsTable[[#This Row],[RepsRequested]]&gt;1),DiscreteStatsTable[[#This Row],[HalfWidth]],DiscreteStatsTable[[#This Row],[BatchMeansHalfWidth]])</f>
        <v>6.4741079872600651E-2</v>
      </c>
      <c r="X1019" s="5" cm="1">
        <f t="array" ref="X1019">COUNT(IF((DiscreteStatsTable[GroupByKey]=DiscreteStatsTable[[#This Row],[GroupByKey]]),(DiscreteStatsTable[GroupByKey]=DiscreteStatsTable[[#This Row],[GroupByKey]])*DiscreteStatsTable[Replication]))</f>
        <v>19</v>
      </c>
      <c r="Y1019" s="5">
        <f>IF(DiscreteStatsTable[[#This Row],[RepsRequested]]=DiscreteStatsTable[[#This Row],[RepsWithStatObserved]],1,0)</f>
        <v>1</v>
      </c>
    </row>
    <row r="1020" spans="1:25" x14ac:dyDescent="0.25">
      <c r="A1020" t="s">
        <v>67</v>
      </c>
      <c r="B1020" t="s">
        <v>69</v>
      </c>
      <c r="C1020">
        <v>17</v>
      </c>
      <c r="D1020" t="s">
        <v>124</v>
      </c>
      <c r="E1020" t="s">
        <v>79</v>
      </c>
      <c r="F1020" t="s">
        <v>80</v>
      </c>
      <c r="G1020">
        <v>0.82262518738352897</v>
      </c>
      <c r="H1020">
        <v>2E+20</v>
      </c>
      <c r="I1020">
        <v>0.82262518738352897</v>
      </c>
      <c r="J1020">
        <v>0.82262518738352897</v>
      </c>
      <c r="K1020">
        <v>1</v>
      </c>
      <c r="L102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compartida)UtilizacionCocinaH1ExpressionUser Specified</v>
      </c>
      <c r="M1020" s="5" cm="1">
        <f t="array" ref="M1020">MAX(IF((ProjectInfoTable[ProjectName]=DiscreteStatsTable[[#This Row],[ProjectName]]),(ProjectInfoTable[ProjectName]=DiscreteStatsTable[[#This Row],[ProjectName]])*ProjectInfoTable[NumberOfReplications]))</f>
        <v>19</v>
      </c>
      <c r="N1020" s="5" cm="1">
        <f t="array" ref="N1020">IFERROR(AVERAGE(IF((DiscreteStatsTable[GroupByKey]=DiscreteStatsTable[[#This Row],[GroupByKey]]),(DiscreteStatsTable[GroupByKey]=DiscreteStatsTable[[#This Row],[GroupByKey]])*DiscreteStatsTable[Average])),0)</f>
        <v>0.70252114313058733</v>
      </c>
      <c r="O1020" s="5" cm="1">
        <f t="array" ref="O1020">IFERROR(_xlfn.STDEV.S(IF((DiscreteStatsTable[GroupByKey]=DiscreteStatsTable[[#This Row],[GroupByKey]]),(DiscreteStatsTable[GroupByKey]=DiscreteStatsTable[[#This Row],[GroupByKey]])*DiscreteStatsTable[Average])),0)</f>
        <v>0.13432189260482255</v>
      </c>
      <c r="P1020" s="5" cm="1">
        <f t="array" ref="P1020">MAX(IF((ProjectInfoTable[ProjectName]=DiscreteStatsTable[[#This Row],[ProjectName]]),(ProjectInfoTable[ProjectName]=DiscreteStatsTable[[#This Row],[ProjectName]])*ProjectInfoTable[ConfidenceInterval]))</f>
        <v>0.95</v>
      </c>
      <c r="Q1020" s="5">
        <f>IF(AND(DiscreteStatsTable[[#This Row],[RepsWithStatObserved]]=1,Y1020=0),200000000000000000000,IFERROR(_xlfn.T.INV.2T(1 -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6.4741079872600651E-2</v>
      </c>
      <c r="R1020" s="5" cm="1">
        <f t="array" ref="R1020">MIN(IF((DiscreteStatsTable[GroupByKey]=DiscreteStatsTable[[#This Row],[GroupByKey]]),(DiscreteStatsTable[GroupByKey]=DiscreteStatsTable[[#This Row],[GroupByKey]])*DiscreteStatsTable[Average]))</f>
        <v>0.47294888831318199</v>
      </c>
      <c r="S1020" s="5" cm="1">
        <f t="array" ref="S1020">MAX(IF((DiscreteStatsTable[GroupByKey]=DiscreteStatsTable[[#This Row],[GroupByKey]]),(DiscreteStatsTable[GroupByKey]=DiscreteStatsTable[[#This Row],[GroupByKey]])*DiscreteStatsTable[Average]))</f>
        <v>1</v>
      </c>
      <c r="T1020" s="5" cm="1">
        <f t="array" ref="T1020">MIN(IF((DiscreteStatsTable[GroupByKey]=DiscreteStatsTable[[#This Row],[GroupByKey]]),(DiscreteStatsTable[GroupByKey]=DiscreteStatsTable[[#This Row],[GroupByKey]])*DiscreteStatsTable[Minimum]))</f>
        <v>0.47294888831318199</v>
      </c>
      <c r="U1020" s="5" cm="1">
        <f t="array" ref="U1020">MAX(IF((DiscreteStatsTable[GroupByKey]=DiscreteStatsTable[[#This Row],[GroupByKey]]),(DiscreteStatsTable[GroupByKey]=DiscreteStatsTable[[#This Row],[GroupByKey]])*DiscreteStatsTable[Maximum]))</f>
        <v>1</v>
      </c>
      <c r="V1020" s="5" cm="1">
        <f t="array" ref="V1020">IFERROR(AVERAGE(IF((DiscreteStatsTable[GroupByKey]=DiscreteStatsTable[[#This Row],[GroupByKey]]),(DiscreteStatsTable[GroupByKey]=DiscreteStatsTable[[#This Row],[GroupByKey]])*DiscreteStatsTable[NumberObservations])),0)</f>
        <v>1</v>
      </c>
      <c r="W1020" s="5">
        <f>IF((DiscreteStatsTable[[#This Row],[RepsRequested]]&gt;1),DiscreteStatsTable[[#This Row],[HalfWidth]],DiscreteStatsTable[[#This Row],[BatchMeansHalfWidth]])</f>
        <v>6.4741079872600651E-2</v>
      </c>
      <c r="X1020" s="5" cm="1">
        <f t="array" ref="X1020">COUNT(IF((DiscreteStatsTable[GroupByKey]=DiscreteStatsTable[[#This Row],[GroupByKey]]),(DiscreteStatsTable[GroupByKey]=DiscreteStatsTable[[#This Row],[GroupByKey]])*DiscreteStatsTable[Replication]))</f>
        <v>19</v>
      </c>
      <c r="Y1020" s="5">
        <f>IF(DiscreteStatsTable[[#This Row],[RepsRequested]]=DiscreteStatsTable[[#This Row],[RepsWithStatObserved]],1,0)</f>
        <v>1</v>
      </c>
    </row>
    <row r="1021" spans="1:25" x14ac:dyDescent="0.25">
      <c r="A1021" t="s">
        <v>67</v>
      </c>
      <c r="B1021" t="s">
        <v>69</v>
      </c>
      <c r="C1021">
        <v>18</v>
      </c>
      <c r="D1021" t="s">
        <v>124</v>
      </c>
      <c r="E1021" t="s">
        <v>79</v>
      </c>
      <c r="F1021" t="s">
        <v>80</v>
      </c>
      <c r="G1021">
        <v>0.79649699745760005</v>
      </c>
      <c r="H1021">
        <v>2E+20</v>
      </c>
      <c r="I1021">
        <v>0.79649699745760005</v>
      </c>
      <c r="J1021">
        <v>0.79649699745760005</v>
      </c>
      <c r="K1021">
        <v>1</v>
      </c>
      <c r="L102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compartida)UtilizacionCocinaH1ExpressionUser Specified</v>
      </c>
      <c r="M1021" s="5" cm="1">
        <f t="array" ref="M1021">MAX(IF((ProjectInfoTable[ProjectName]=DiscreteStatsTable[[#This Row],[ProjectName]]),(ProjectInfoTable[ProjectName]=DiscreteStatsTable[[#This Row],[ProjectName]])*ProjectInfoTable[NumberOfReplications]))</f>
        <v>19</v>
      </c>
      <c r="N1021" s="5" cm="1">
        <f t="array" ref="N1021">IFERROR(AVERAGE(IF((DiscreteStatsTable[GroupByKey]=DiscreteStatsTable[[#This Row],[GroupByKey]]),(DiscreteStatsTable[GroupByKey]=DiscreteStatsTable[[#This Row],[GroupByKey]])*DiscreteStatsTable[Average])),0)</f>
        <v>0.70252114313058733</v>
      </c>
      <c r="O1021" s="5" cm="1">
        <f t="array" ref="O1021">IFERROR(_xlfn.STDEV.S(IF((DiscreteStatsTable[GroupByKey]=DiscreteStatsTable[[#This Row],[GroupByKey]]),(DiscreteStatsTable[GroupByKey]=DiscreteStatsTable[[#This Row],[GroupByKey]])*DiscreteStatsTable[Average])),0)</f>
        <v>0.13432189260482255</v>
      </c>
      <c r="P1021" s="5" cm="1">
        <f t="array" ref="P1021">MAX(IF((ProjectInfoTable[ProjectName]=DiscreteStatsTable[[#This Row],[ProjectName]]),(ProjectInfoTable[ProjectName]=DiscreteStatsTable[[#This Row],[ProjectName]])*ProjectInfoTable[ConfidenceInterval]))</f>
        <v>0.95</v>
      </c>
      <c r="Q1021" s="5">
        <f>IF(AND(DiscreteStatsTable[[#This Row],[RepsWithStatObserved]]=1,Y1021=0),200000000000000000000,IFERROR(_xlfn.T.INV.2T(1 -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6.4741079872600651E-2</v>
      </c>
      <c r="R1021" s="5" cm="1">
        <f t="array" ref="R1021">MIN(IF((DiscreteStatsTable[GroupByKey]=DiscreteStatsTable[[#This Row],[GroupByKey]]),(DiscreteStatsTable[GroupByKey]=DiscreteStatsTable[[#This Row],[GroupByKey]])*DiscreteStatsTable[Average]))</f>
        <v>0.47294888831318199</v>
      </c>
      <c r="S1021" s="5" cm="1">
        <f t="array" ref="S1021">MAX(IF((DiscreteStatsTable[GroupByKey]=DiscreteStatsTable[[#This Row],[GroupByKey]]),(DiscreteStatsTable[GroupByKey]=DiscreteStatsTable[[#This Row],[GroupByKey]])*DiscreteStatsTable[Average]))</f>
        <v>1</v>
      </c>
      <c r="T1021" s="5" cm="1">
        <f t="array" ref="T1021">MIN(IF((DiscreteStatsTable[GroupByKey]=DiscreteStatsTable[[#This Row],[GroupByKey]]),(DiscreteStatsTable[GroupByKey]=DiscreteStatsTable[[#This Row],[GroupByKey]])*DiscreteStatsTable[Minimum]))</f>
        <v>0.47294888831318199</v>
      </c>
      <c r="U1021" s="5" cm="1">
        <f t="array" ref="U1021">MAX(IF((DiscreteStatsTable[GroupByKey]=DiscreteStatsTable[[#This Row],[GroupByKey]]),(DiscreteStatsTable[GroupByKey]=DiscreteStatsTable[[#This Row],[GroupByKey]])*DiscreteStatsTable[Maximum]))</f>
        <v>1</v>
      </c>
      <c r="V1021" s="5" cm="1">
        <f t="array" ref="V1021">IFERROR(AVERAGE(IF((DiscreteStatsTable[GroupByKey]=DiscreteStatsTable[[#This Row],[GroupByKey]]),(DiscreteStatsTable[GroupByKey]=DiscreteStatsTable[[#This Row],[GroupByKey]])*DiscreteStatsTable[NumberObservations])),0)</f>
        <v>1</v>
      </c>
      <c r="W1021" s="5">
        <f>IF((DiscreteStatsTable[[#This Row],[RepsRequested]]&gt;1),DiscreteStatsTable[[#This Row],[HalfWidth]],DiscreteStatsTable[[#This Row],[BatchMeansHalfWidth]])</f>
        <v>6.4741079872600651E-2</v>
      </c>
      <c r="X1021" s="5" cm="1">
        <f t="array" ref="X1021">COUNT(IF((DiscreteStatsTable[GroupByKey]=DiscreteStatsTable[[#This Row],[GroupByKey]]),(DiscreteStatsTable[GroupByKey]=DiscreteStatsTable[[#This Row],[GroupByKey]])*DiscreteStatsTable[Replication]))</f>
        <v>19</v>
      </c>
      <c r="Y1021" s="5">
        <f>IF(DiscreteStatsTable[[#This Row],[RepsRequested]]=DiscreteStatsTable[[#This Row],[RepsWithStatObserved]],1,0)</f>
        <v>1</v>
      </c>
    </row>
    <row r="1022" spans="1:25" x14ac:dyDescent="0.25">
      <c r="A1022" t="s">
        <v>67</v>
      </c>
      <c r="B1022" t="s">
        <v>69</v>
      </c>
      <c r="C1022">
        <v>19</v>
      </c>
      <c r="D1022" t="s">
        <v>124</v>
      </c>
      <c r="E1022" t="s">
        <v>79</v>
      </c>
      <c r="F1022" t="s">
        <v>80</v>
      </c>
      <c r="G1022">
        <v>0.56016981008732203</v>
      </c>
      <c r="H1022">
        <v>2E+20</v>
      </c>
      <c r="I1022">
        <v>0.56016981008732203</v>
      </c>
      <c r="J1022">
        <v>0.56016981008732203</v>
      </c>
      <c r="K1022">
        <v>1</v>
      </c>
      <c r="L102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compartida)UtilizacionCocinaH1ExpressionUser Specified</v>
      </c>
      <c r="M1022" s="5" cm="1">
        <f t="array" ref="M1022">MAX(IF((ProjectInfoTable[ProjectName]=DiscreteStatsTable[[#This Row],[ProjectName]]),(ProjectInfoTable[ProjectName]=DiscreteStatsTable[[#This Row],[ProjectName]])*ProjectInfoTable[NumberOfReplications]))</f>
        <v>19</v>
      </c>
      <c r="N1022" s="5" cm="1">
        <f t="array" ref="N1022">IFERROR(AVERAGE(IF((DiscreteStatsTable[GroupByKey]=DiscreteStatsTable[[#This Row],[GroupByKey]]),(DiscreteStatsTable[GroupByKey]=DiscreteStatsTable[[#This Row],[GroupByKey]])*DiscreteStatsTable[Average])),0)</f>
        <v>0.70252114313058733</v>
      </c>
      <c r="O1022" s="5" cm="1">
        <f t="array" ref="O1022">IFERROR(_xlfn.STDEV.S(IF((DiscreteStatsTable[GroupByKey]=DiscreteStatsTable[[#This Row],[GroupByKey]]),(DiscreteStatsTable[GroupByKey]=DiscreteStatsTable[[#This Row],[GroupByKey]])*DiscreteStatsTable[Average])),0)</f>
        <v>0.13432189260482255</v>
      </c>
      <c r="P1022" s="5" cm="1">
        <f t="array" ref="P1022">MAX(IF((ProjectInfoTable[ProjectName]=DiscreteStatsTable[[#This Row],[ProjectName]]),(ProjectInfoTable[ProjectName]=DiscreteStatsTable[[#This Row],[ProjectName]])*ProjectInfoTable[ConfidenceInterval]))</f>
        <v>0.95</v>
      </c>
      <c r="Q1022" s="5">
        <f>IF(AND(DiscreteStatsTable[[#This Row],[RepsWithStatObserved]]=1,Y1022=0),200000000000000000000,IFERROR(_xlfn.T.INV.2T(1 -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6.4741079872600651E-2</v>
      </c>
      <c r="R1022" s="5" cm="1">
        <f t="array" ref="R1022">MIN(IF((DiscreteStatsTable[GroupByKey]=DiscreteStatsTable[[#This Row],[GroupByKey]]),(DiscreteStatsTable[GroupByKey]=DiscreteStatsTable[[#This Row],[GroupByKey]])*DiscreteStatsTable[Average]))</f>
        <v>0.47294888831318199</v>
      </c>
      <c r="S1022" s="5" cm="1">
        <f t="array" ref="S1022">MAX(IF((DiscreteStatsTable[GroupByKey]=DiscreteStatsTable[[#This Row],[GroupByKey]]),(DiscreteStatsTable[GroupByKey]=DiscreteStatsTable[[#This Row],[GroupByKey]])*DiscreteStatsTable[Average]))</f>
        <v>1</v>
      </c>
      <c r="T1022" s="5" cm="1">
        <f t="array" ref="T1022">MIN(IF((DiscreteStatsTable[GroupByKey]=DiscreteStatsTable[[#This Row],[GroupByKey]]),(DiscreteStatsTable[GroupByKey]=DiscreteStatsTable[[#This Row],[GroupByKey]])*DiscreteStatsTable[Minimum]))</f>
        <v>0.47294888831318199</v>
      </c>
      <c r="U1022" s="5" cm="1">
        <f t="array" ref="U1022">MAX(IF((DiscreteStatsTable[GroupByKey]=DiscreteStatsTable[[#This Row],[GroupByKey]]),(DiscreteStatsTable[GroupByKey]=DiscreteStatsTable[[#This Row],[GroupByKey]])*DiscreteStatsTable[Maximum]))</f>
        <v>1</v>
      </c>
      <c r="V1022" s="5" cm="1">
        <f t="array" ref="V1022">IFERROR(AVERAGE(IF((DiscreteStatsTable[GroupByKey]=DiscreteStatsTable[[#This Row],[GroupByKey]]),(DiscreteStatsTable[GroupByKey]=DiscreteStatsTable[[#This Row],[GroupByKey]])*DiscreteStatsTable[NumberObservations])),0)</f>
        <v>1</v>
      </c>
      <c r="W1022" s="5">
        <f>IF((DiscreteStatsTable[[#This Row],[RepsRequested]]&gt;1),DiscreteStatsTable[[#This Row],[HalfWidth]],DiscreteStatsTable[[#This Row],[BatchMeansHalfWidth]])</f>
        <v>6.4741079872600651E-2</v>
      </c>
      <c r="X1022" s="5" cm="1">
        <f t="array" ref="X1022">COUNT(IF((DiscreteStatsTable[GroupByKey]=DiscreteStatsTable[[#This Row],[GroupByKey]]),(DiscreteStatsTable[GroupByKey]=DiscreteStatsTable[[#This Row],[GroupByKey]])*DiscreteStatsTable[Replication]))</f>
        <v>19</v>
      </c>
      <c r="Y1022" s="5">
        <f>IF(DiscreteStatsTable[[#This Row],[RepsRequested]]=DiscreteStatsTable[[#This Row],[RepsWithStatObserved]],1,0)</f>
        <v>1</v>
      </c>
    </row>
    <row r="1023" spans="1:25" x14ac:dyDescent="0.25">
      <c r="A1023" t="s">
        <v>67</v>
      </c>
      <c r="B1023" t="s">
        <v>69</v>
      </c>
      <c r="C1023">
        <v>1</v>
      </c>
      <c r="D1023" t="s">
        <v>125</v>
      </c>
      <c r="E1023" t="s">
        <v>79</v>
      </c>
      <c r="F1023" t="s">
        <v>80</v>
      </c>
      <c r="G1023">
        <v>0.815482524363215</v>
      </c>
      <c r="H1023">
        <v>2E+20</v>
      </c>
      <c r="I1023">
        <v>0.815482524363215</v>
      </c>
      <c r="J1023">
        <v>0.815482524363215</v>
      </c>
      <c r="K1023">
        <v>1</v>
      </c>
      <c r="L102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compartida)UtilizacionCocinaH2ExpressionUser Specified</v>
      </c>
      <c r="M1023" s="5" cm="1">
        <f t="array" ref="M1023">MAX(IF((ProjectInfoTable[ProjectName]=DiscreteStatsTable[[#This Row],[ProjectName]]),(ProjectInfoTable[ProjectName]=DiscreteStatsTable[[#This Row],[ProjectName]])*ProjectInfoTable[NumberOfReplications]))</f>
        <v>19</v>
      </c>
      <c r="N1023" s="5" cm="1">
        <f t="array" ref="N1023">IFERROR(AVERAGE(IF((DiscreteStatsTable[GroupByKey]=DiscreteStatsTable[[#This Row],[GroupByKey]]),(DiscreteStatsTable[GroupByKey]=DiscreteStatsTable[[#This Row],[GroupByKey]])*DiscreteStatsTable[Average])),0)</f>
        <v>0.68140291572007905</v>
      </c>
      <c r="O1023" s="5" cm="1">
        <f t="array" ref="O1023">IFERROR(_xlfn.STDEV.S(IF((DiscreteStatsTable[GroupByKey]=DiscreteStatsTable[[#This Row],[GroupByKey]]),(DiscreteStatsTable[GroupByKey]=DiscreteStatsTable[[#This Row],[GroupByKey]])*DiscreteStatsTable[Average])),0)</f>
        <v>7.5179169598534323E-2</v>
      </c>
      <c r="P1023" s="5" cm="1">
        <f t="array" ref="P1023">MAX(IF((ProjectInfoTable[ProjectName]=DiscreteStatsTable[[#This Row],[ProjectName]]),(ProjectInfoTable[ProjectName]=DiscreteStatsTable[[#This Row],[ProjectName]])*ProjectInfoTable[ConfidenceInterval]))</f>
        <v>0.95</v>
      </c>
      <c r="Q1023" s="5">
        <f>IF(AND(DiscreteStatsTable[[#This Row],[RepsWithStatObserved]]=1,Y1023=0),200000000000000000000,IFERROR(_xlfn.T.INV.2T(1 -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3.6235199857210437E-2</v>
      </c>
      <c r="R1023" s="5" cm="1">
        <f t="array" ref="R1023">MIN(IF((DiscreteStatsTable[GroupByKey]=DiscreteStatsTable[[#This Row],[GroupByKey]]),(DiscreteStatsTable[GroupByKey]=DiscreteStatsTable[[#This Row],[GroupByKey]])*DiscreteStatsTable[Average]))</f>
        <v>0.54332107247146499</v>
      </c>
      <c r="S1023" s="5" cm="1">
        <f t="array" ref="S1023">MAX(IF((DiscreteStatsTable[GroupByKey]=DiscreteStatsTable[[#This Row],[GroupByKey]]),(DiscreteStatsTable[GroupByKey]=DiscreteStatsTable[[#This Row],[GroupByKey]])*DiscreteStatsTable[Average]))</f>
        <v>0.815482524363215</v>
      </c>
      <c r="T1023" s="5" cm="1">
        <f t="array" ref="T1023">MIN(IF((DiscreteStatsTable[GroupByKey]=DiscreteStatsTable[[#This Row],[GroupByKey]]),(DiscreteStatsTable[GroupByKey]=DiscreteStatsTable[[#This Row],[GroupByKey]])*DiscreteStatsTable[Minimum]))</f>
        <v>0.54332107247146499</v>
      </c>
      <c r="U1023" s="5" cm="1">
        <f t="array" ref="U1023">MAX(IF((DiscreteStatsTable[GroupByKey]=DiscreteStatsTable[[#This Row],[GroupByKey]]),(DiscreteStatsTable[GroupByKey]=DiscreteStatsTable[[#This Row],[GroupByKey]])*DiscreteStatsTable[Maximum]))</f>
        <v>0.815482524363215</v>
      </c>
      <c r="V1023" s="5" cm="1">
        <f t="array" ref="V1023">IFERROR(AVERAGE(IF((DiscreteStatsTable[GroupByKey]=DiscreteStatsTable[[#This Row],[GroupByKey]]),(DiscreteStatsTable[GroupByKey]=DiscreteStatsTable[[#This Row],[GroupByKey]])*DiscreteStatsTable[NumberObservations])),0)</f>
        <v>1</v>
      </c>
      <c r="W1023" s="5">
        <f>IF((DiscreteStatsTable[[#This Row],[RepsRequested]]&gt;1),DiscreteStatsTable[[#This Row],[HalfWidth]],DiscreteStatsTable[[#This Row],[BatchMeansHalfWidth]])</f>
        <v>3.6235199857210437E-2</v>
      </c>
      <c r="X1023" s="5" cm="1">
        <f t="array" ref="X1023">COUNT(IF((DiscreteStatsTable[GroupByKey]=DiscreteStatsTable[[#This Row],[GroupByKey]]),(DiscreteStatsTable[GroupByKey]=DiscreteStatsTable[[#This Row],[GroupByKey]])*DiscreteStatsTable[Replication]))</f>
        <v>19</v>
      </c>
      <c r="Y1023" s="5">
        <f>IF(DiscreteStatsTable[[#This Row],[RepsRequested]]=DiscreteStatsTable[[#This Row],[RepsWithStatObserved]],1,0)</f>
        <v>1</v>
      </c>
    </row>
    <row r="1024" spans="1:25" x14ac:dyDescent="0.25">
      <c r="A1024" t="s">
        <v>67</v>
      </c>
      <c r="B1024" t="s">
        <v>69</v>
      </c>
      <c r="C1024">
        <v>2</v>
      </c>
      <c r="D1024" t="s">
        <v>125</v>
      </c>
      <c r="E1024" t="s">
        <v>79</v>
      </c>
      <c r="F1024" t="s">
        <v>80</v>
      </c>
      <c r="G1024">
        <v>0.64172872636505096</v>
      </c>
      <c r="H1024">
        <v>2E+20</v>
      </c>
      <c r="I1024">
        <v>0.64172872636505096</v>
      </c>
      <c r="J1024">
        <v>0.64172872636505096</v>
      </c>
      <c r="K1024">
        <v>1</v>
      </c>
      <c r="L102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compartida)UtilizacionCocinaH2ExpressionUser Specified</v>
      </c>
      <c r="M1024" s="5" cm="1">
        <f t="array" ref="M1024">MAX(IF((ProjectInfoTable[ProjectName]=DiscreteStatsTable[[#This Row],[ProjectName]]),(ProjectInfoTable[ProjectName]=DiscreteStatsTable[[#This Row],[ProjectName]])*ProjectInfoTable[NumberOfReplications]))</f>
        <v>19</v>
      </c>
      <c r="N1024" s="5" cm="1">
        <f t="array" ref="N1024">IFERROR(AVERAGE(IF((DiscreteStatsTable[GroupByKey]=DiscreteStatsTable[[#This Row],[GroupByKey]]),(DiscreteStatsTable[GroupByKey]=DiscreteStatsTable[[#This Row],[GroupByKey]])*DiscreteStatsTable[Average])),0)</f>
        <v>0.68140291572007905</v>
      </c>
      <c r="O1024" s="5" cm="1">
        <f t="array" ref="O1024">IFERROR(_xlfn.STDEV.S(IF((DiscreteStatsTable[GroupByKey]=DiscreteStatsTable[[#This Row],[GroupByKey]]),(DiscreteStatsTable[GroupByKey]=DiscreteStatsTable[[#This Row],[GroupByKey]])*DiscreteStatsTable[Average])),0)</f>
        <v>7.5179169598534323E-2</v>
      </c>
      <c r="P1024" s="5" cm="1">
        <f t="array" ref="P1024">MAX(IF((ProjectInfoTable[ProjectName]=DiscreteStatsTable[[#This Row],[ProjectName]]),(ProjectInfoTable[ProjectName]=DiscreteStatsTable[[#This Row],[ProjectName]])*ProjectInfoTable[ConfidenceInterval]))</f>
        <v>0.95</v>
      </c>
      <c r="Q1024" s="5">
        <f>IF(AND(DiscreteStatsTable[[#This Row],[RepsWithStatObserved]]=1,Y1024=0),200000000000000000000,IFERROR(_xlfn.T.INV.2T(1 -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3.6235199857210437E-2</v>
      </c>
      <c r="R1024" s="5" cm="1">
        <f t="array" ref="R1024">MIN(IF((DiscreteStatsTable[GroupByKey]=DiscreteStatsTable[[#This Row],[GroupByKey]]),(DiscreteStatsTable[GroupByKey]=DiscreteStatsTable[[#This Row],[GroupByKey]])*DiscreteStatsTable[Average]))</f>
        <v>0.54332107247146499</v>
      </c>
      <c r="S1024" s="5" cm="1">
        <f t="array" ref="S1024">MAX(IF((DiscreteStatsTable[GroupByKey]=DiscreteStatsTable[[#This Row],[GroupByKey]]),(DiscreteStatsTable[GroupByKey]=DiscreteStatsTable[[#This Row],[GroupByKey]])*DiscreteStatsTable[Average]))</f>
        <v>0.815482524363215</v>
      </c>
      <c r="T1024" s="5" cm="1">
        <f t="array" ref="T1024">MIN(IF((DiscreteStatsTable[GroupByKey]=DiscreteStatsTable[[#This Row],[GroupByKey]]),(DiscreteStatsTable[GroupByKey]=DiscreteStatsTable[[#This Row],[GroupByKey]])*DiscreteStatsTable[Minimum]))</f>
        <v>0.54332107247146499</v>
      </c>
      <c r="U1024" s="5" cm="1">
        <f t="array" ref="U1024">MAX(IF((DiscreteStatsTable[GroupByKey]=DiscreteStatsTable[[#This Row],[GroupByKey]]),(DiscreteStatsTable[GroupByKey]=DiscreteStatsTable[[#This Row],[GroupByKey]])*DiscreteStatsTable[Maximum]))</f>
        <v>0.815482524363215</v>
      </c>
      <c r="V1024" s="5" cm="1">
        <f t="array" ref="V1024">IFERROR(AVERAGE(IF((DiscreteStatsTable[GroupByKey]=DiscreteStatsTable[[#This Row],[GroupByKey]]),(DiscreteStatsTable[GroupByKey]=DiscreteStatsTable[[#This Row],[GroupByKey]])*DiscreteStatsTable[NumberObservations])),0)</f>
        <v>1</v>
      </c>
      <c r="W1024" s="5">
        <f>IF((DiscreteStatsTable[[#This Row],[RepsRequested]]&gt;1),DiscreteStatsTable[[#This Row],[HalfWidth]],DiscreteStatsTable[[#This Row],[BatchMeansHalfWidth]])</f>
        <v>3.6235199857210437E-2</v>
      </c>
      <c r="X1024" s="5" cm="1">
        <f t="array" ref="X1024">COUNT(IF((DiscreteStatsTable[GroupByKey]=DiscreteStatsTable[[#This Row],[GroupByKey]]),(DiscreteStatsTable[GroupByKey]=DiscreteStatsTable[[#This Row],[GroupByKey]])*DiscreteStatsTable[Replication]))</f>
        <v>19</v>
      </c>
      <c r="Y1024" s="5">
        <f>IF(DiscreteStatsTable[[#This Row],[RepsRequested]]=DiscreteStatsTable[[#This Row],[RepsWithStatObserved]],1,0)</f>
        <v>1</v>
      </c>
    </row>
    <row r="1025" spans="1:25" x14ac:dyDescent="0.25">
      <c r="A1025" t="s">
        <v>67</v>
      </c>
      <c r="B1025" t="s">
        <v>69</v>
      </c>
      <c r="C1025">
        <v>3</v>
      </c>
      <c r="D1025" t="s">
        <v>125</v>
      </c>
      <c r="E1025" t="s">
        <v>79</v>
      </c>
      <c r="F1025" t="s">
        <v>80</v>
      </c>
      <c r="G1025">
        <v>0.78250777922007297</v>
      </c>
      <c r="H1025">
        <v>2E+20</v>
      </c>
      <c r="I1025">
        <v>0.78250777922007297</v>
      </c>
      <c r="J1025">
        <v>0.78250777922007297</v>
      </c>
      <c r="K1025">
        <v>1</v>
      </c>
      <c r="L102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compartida)UtilizacionCocinaH2ExpressionUser Specified</v>
      </c>
      <c r="M1025" s="5" cm="1">
        <f t="array" ref="M1025">MAX(IF((ProjectInfoTable[ProjectName]=DiscreteStatsTable[[#This Row],[ProjectName]]),(ProjectInfoTable[ProjectName]=DiscreteStatsTable[[#This Row],[ProjectName]])*ProjectInfoTable[NumberOfReplications]))</f>
        <v>19</v>
      </c>
      <c r="N1025" s="5" cm="1">
        <f t="array" ref="N1025">IFERROR(AVERAGE(IF((DiscreteStatsTable[GroupByKey]=DiscreteStatsTable[[#This Row],[GroupByKey]]),(DiscreteStatsTable[GroupByKey]=DiscreteStatsTable[[#This Row],[GroupByKey]])*DiscreteStatsTable[Average])),0)</f>
        <v>0.68140291572007905</v>
      </c>
      <c r="O1025" s="5" cm="1">
        <f t="array" ref="O1025">IFERROR(_xlfn.STDEV.S(IF((DiscreteStatsTable[GroupByKey]=DiscreteStatsTable[[#This Row],[GroupByKey]]),(DiscreteStatsTable[GroupByKey]=DiscreteStatsTable[[#This Row],[GroupByKey]])*DiscreteStatsTable[Average])),0)</f>
        <v>7.5179169598534323E-2</v>
      </c>
      <c r="P1025" s="5" cm="1">
        <f t="array" ref="P1025">MAX(IF((ProjectInfoTable[ProjectName]=DiscreteStatsTable[[#This Row],[ProjectName]]),(ProjectInfoTable[ProjectName]=DiscreteStatsTable[[#This Row],[ProjectName]])*ProjectInfoTable[ConfidenceInterval]))</f>
        <v>0.95</v>
      </c>
      <c r="Q1025" s="5">
        <f>IF(AND(DiscreteStatsTable[[#This Row],[RepsWithStatObserved]]=1,Y1025=0),200000000000000000000,IFERROR(_xlfn.T.INV.2T(1 -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3.6235199857210437E-2</v>
      </c>
      <c r="R1025" s="5" cm="1">
        <f t="array" ref="R1025">MIN(IF((DiscreteStatsTable[GroupByKey]=DiscreteStatsTable[[#This Row],[GroupByKey]]),(DiscreteStatsTable[GroupByKey]=DiscreteStatsTable[[#This Row],[GroupByKey]])*DiscreteStatsTable[Average]))</f>
        <v>0.54332107247146499</v>
      </c>
      <c r="S1025" s="5" cm="1">
        <f t="array" ref="S1025">MAX(IF((DiscreteStatsTable[GroupByKey]=DiscreteStatsTable[[#This Row],[GroupByKey]]),(DiscreteStatsTable[GroupByKey]=DiscreteStatsTable[[#This Row],[GroupByKey]])*DiscreteStatsTable[Average]))</f>
        <v>0.815482524363215</v>
      </c>
      <c r="T1025" s="5" cm="1">
        <f t="array" ref="T1025">MIN(IF((DiscreteStatsTable[GroupByKey]=DiscreteStatsTable[[#This Row],[GroupByKey]]),(DiscreteStatsTable[GroupByKey]=DiscreteStatsTable[[#This Row],[GroupByKey]])*DiscreteStatsTable[Minimum]))</f>
        <v>0.54332107247146499</v>
      </c>
      <c r="U1025" s="5" cm="1">
        <f t="array" ref="U1025">MAX(IF((DiscreteStatsTable[GroupByKey]=DiscreteStatsTable[[#This Row],[GroupByKey]]),(DiscreteStatsTable[GroupByKey]=DiscreteStatsTable[[#This Row],[GroupByKey]])*DiscreteStatsTable[Maximum]))</f>
        <v>0.815482524363215</v>
      </c>
      <c r="V1025" s="5" cm="1">
        <f t="array" ref="V1025">IFERROR(AVERAGE(IF((DiscreteStatsTable[GroupByKey]=DiscreteStatsTable[[#This Row],[GroupByKey]]),(DiscreteStatsTable[GroupByKey]=DiscreteStatsTable[[#This Row],[GroupByKey]])*DiscreteStatsTable[NumberObservations])),0)</f>
        <v>1</v>
      </c>
      <c r="W1025" s="5">
        <f>IF((DiscreteStatsTable[[#This Row],[RepsRequested]]&gt;1),DiscreteStatsTable[[#This Row],[HalfWidth]],DiscreteStatsTable[[#This Row],[BatchMeansHalfWidth]])</f>
        <v>3.6235199857210437E-2</v>
      </c>
      <c r="X1025" s="5" cm="1">
        <f t="array" ref="X1025">COUNT(IF((DiscreteStatsTable[GroupByKey]=DiscreteStatsTable[[#This Row],[GroupByKey]]),(DiscreteStatsTable[GroupByKey]=DiscreteStatsTable[[#This Row],[GroupByKey]])*DiscreteStatsTable[Replication]))</f>
        <v>19</v>
      </c>
      <c r="Y1025" s="5">
        <f>IF(DiscreteStatsTable[[#This Row],[RepsRequested]]=DiscreteStatsTable[[#This Row],[RepsWithStatObserved]],1,0)</f>
        <v>1</v>
      </c>
    </row>
    <row r="1026" spans="1:25" x14ac:dyDescent="0.25">
      <c r="A1026" t="s">
        <v>67</v>
      </c>
      <c r="B1026" t="s">
        <v>69</v>
      </c>
      <c r="C1026">
        <v>4</v>
      </c>
      <c r="D1026" t="s">
        <v>125</v>
      </c>
      <c r="E1026" t="s">
        <v>79</v>
      </c>
      <c r="F1026" t="s">
        <v>80</v>
      </c>
      <c r="G1026">
        <v>0.73116552822344905</v>
      </c>
      <c r="H1026">
        <v>2E+20</v>
      </c>
      <c r="I1026">
        <v>0.73116552822344905</v>
      </c>
      <c r="J1026">
        <v>0.73116552822344905</v>
      </c>
      <c r="K1026">
        <v>1</v>
      </c>
      <c r="L102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compartida)UtilizacionCocinaH2ExpressionUser Specified</v>
      </c>
      <c r="M1026" s="5" cm="1">
        <f t="array" ref="M1026">MAX(IF((ProjectInfoTable[ProjectName]=DiscreteStatsTable[[#This Row],[ProjectName]]),(ProjectInfoTable[ProjectName]=DiscreteStatsTable[[#This Row],[ProjectName]])*ProjectInfoTable[NumberOfReplications]))</f>
        <v>19</v>
      </c>
      <c r="N1026" s="5" cm="1">
        <f t="array" ref="N1026">IFERROR(AVERAGE(IF((DiscreteStatsTable[GroupByKey]=DiscreteStatsTable[[#This Row],[GroupByKey]]),(DiscreteStatsTable[GroupByKey]=DiscreteStatsTable[[#This Row],[GroupByKey]])*DiscreteStatsTable[Average])),0)</f>
        <v>0.68140291572007905</v>
      </c>
      <c r="O1026" s="5" cm="1">
        <f t="array" ref="O1026">IFERROR(_xlfn.STDEV.S(IF((DiscreteStatsTable[GroupByKey]=DiscreteStatsTable[[#This Row],[GroupByKey]]),(DiscreteStatsTable[GroupByKey]=DiscreteStatsTable[[#This Row],[GroupByKey]])*DiscreteStatsTable[Average])),0)</f>
        <v>7.5179169598534323E-2</v>
      </c>
      <c r="P1026" s="5" cm="1">
        <f t="array" ref="P1026">MAX(IF((ProjectInfoTable[ProjectName]=DiscreteStatsTable[[#This Row],[ProjectName]]),(ProjectInfoTable[ProjectName]=DiscreteStatsTable[[#This Row],[ProjectName]])*ProjectInfoTable[ConfidenceInterval]))</f>
        <v>0.95</v>
      </c>
      <c r="Q1026" s="5">
        <f>IF(AND(DiscreteStatsTable[[#This Row],[RepsWithStatObserved]]=1,Y1026=0),200000000000000000000,IFERROR(_xlfn.T.INV.2T(1 -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3.6235199857210437E-2</v>
      </c>
      <c r="R1026" s="5" cm="1">
        <f t="array" ref="R1026">MIN(IF((DiscreteStatsTable[GroupByKey]=DiscreteStatsTable[[#This Row],[GroupByKey]]),(DiscreteStatsTable[GroupByKey]=DiscreteStatsTable[[#This Row],[GroupByKey]])*DiscreteStatsTable[Average]))</f>
        <v>0.54332107247146499</v>
      </c>
      <c r="S1026" s="5" cm="1">
        <f t="array" ref="S1026">MAX(IF((DiscreteStatsTable[GroupByKey]=DiscreteStatsTable[[#This Row],[GroupByKey]]),(DiscreteStatsTable[GroupByKey]=DiscreteStatsTable[[#This Row],[GroupByKey]])*DiscreteStatsTable[Average]))</f>
        <v>0.815482524363215</v>
      </c>
      <c r="T1026" s="5" cm="1">
        <f t="array" ref="T1026">MIN(IF((DiscreteStatsTable[GroupByKey]=DiscreteStatsTable[[#This Row],[GroupByKey]]),(DiscreteStatsTable[GroupByKey]=DiscreteStatsTable[[#This Row],[GroupByKey]])*DiscreteStatsTable[Minimum]))</f>
        <v>0.54332107247146499</v>
      </c>
      <c r="U1026" s="5" cm="1">
        <f t="array" ref="U1026">MAX(IF((DiscreteStatsTable[GroupByKey]=DiscreteStatsTable[[#This Row],[GroupByKey]]),(DiscreteStatsTable[GroupByKey]=DiscreteStatsTable[[#This Row],[GroupByKey]])*DiscreteStatsTable[Maximum]))</f>
        <v>0.815482524363215</v>
      </c>
      <c r="V1026" s="5" cm="1">
        <f t="array" ref="V1026">IFERROR(AVERAGE(IF((DiscreteStatsTable[GroupByKey]=DiscreteStatsTable[[#This Row],[GroupByKey]]),(DiscreteStatsTable[GroupByKey]=DiscreteStatsTable[[#This Row],[GroupByKey]])*DiscreteStatsTable[NumberObservations])),0)</f>
        <v>1</v>
      </c>
      <c r="W1026" s="5">
        <f>IF((DiscreteStatsTable[[#This Row],[RepsRequested]]&gt;1),DiscreteStatsTable[[#This Row],[HalfWidth]],DiscreteStatsTable[[#This Row],[BatchMeansHalfWidth]])</f>
        <v>3.6235199857210437E-2</v>
      </c>
      <c r="X1026" s="5" cm="1">
        <f t="array" ref="X1026">COUNT(IF((DiscreteStatsTable[GroupByKey]=DiscreteStatsTable[[#This Row],[GroupByKey]]),(DiscreteStatsTable[GroupByKey]=DiscreteStatsTable[[#This Row],[GroupByKey]])*DiscreteStatsTable[Replication]))</f>
        <v>19</v>
      </c>
      <c r="Y1026" s="5">
        <f>IF(DiscreteStatsTable[[#This Row],[RepsRequested]]=DiscreteStatsTable[[#This Row],[RepsWithStatObserved]],1,0)</f>
        <v>1</v>
      </c>
    </row>
    <row r="1027" spans="1:25" x14ac:dyDescent="0.25">
      <c r="A1027" t="s">
        <v>67</v>
      </c>
      <c r="B1027" t="s">
        <v>69</v>
      </c>
      <c r="C1027">
        <v>5</v>
      </c>
      <c r="D1027" t="s">
        <v>125</v>
      </c>
      <c r="E1027" t="s">
        <v>79</v>
      </c>
      <c r="F1027" t="s">
        <v>80</v>
      </c>
      <c r="G1027">
        <v>0.56350294011612601</v>
      </c>
      <c r="H1027">
        <v>2E+20</v>
      </c>
      <c r="I1027">
        <v>0.56350294011612601</v>
      </c>
      <c r="J1027">
        <v>0.56350294011612601</v>
      </c>
      <c r="K1027">
        <v>1</v>
      </c>
      <c r="L102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compartida)UtilizacionCocinaH2ExpressionUser Specified</v>
      </c>
      <c r="M1027" s="5" cm="1">
        <f t="array" ref="M1027">MAX(IF((ProjectInfoTable[ProjectName]=DiscreteStatsTable[[#This Row],[ProjectName]]),(ProjectInfoTable[ProjectName]=DiscreteStatsTable[[#This Row],[ProjectName]])*ProjectInfoTable[NumberOfReplications]))</f>
        <v>19</v>
      </c>
      <c r="N1027" s="5" cm="1">
        <f t="array" ref="N1027">IFERROR(AVERAGE(IF((DiscreteStatsTable[GroupByKey]=DiscreteStatsTable[[#This Row],[GroupByKey]]),(DiscreteStatsTable[GroupByKey]=DiscreteStatsTable[[#This Row],[GroupByKey]])*DiscreteStatsTable[Average])),0)</f>
        <v>0.68140291572007905</v>
      </c>
      <c r="O1027" s="5" cm="1">
        <f t="array" ref="O1027">IFERROR(_xlfn.STDEV.S(IF((DiscreteStatsTable[GroupByKey]=DiscreteStatsTable[[#This Row],[GroupByKey]]),(DiscreteStatsTable[GroupByKey]=DiscreteStatsTable[[#This Row],[GroupByKey]])*DiscreteStatsTable[Average])),0)</f>
        <v>7.5179169598534323E-2</v>
      </c>
      <c r="P1027" s="5" cm="1">
        <f t="array" ref="P1027">MAX(IF((ProjectInfoTable[ProjectName]=DiscreteStatsTable[[#This Row],[ProjectName]]),(ProjectInfoTable[ProjectName]=DiscreteStatsTable[[#This Row],[ProjectName]])*ProjectInfoTable[ConfidenceInterval]))</f>
        <v>0.95</v>
      </c>
      <c r="Q1027" s="5">
        <f>IF(AND(DiscreteStatsTable[[#This Row],[RepsWithStatObserved]]=1,Y1027=0),200000000000000000000,IFERROR(_xlfn.T.INV.2T(1 -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3.6235199857210437E-2</v>
      </c>
      <c r="R1027" s="5" cm="1">
        <f t="array" ref="R1027">MIN(IF((DiscreteStatsTable[GroupByKey]=DiscreteStatsTable[[#This Row],[GroupByKey]]),(DiscreteStatsTable[GroupByKey]=DiscreteStatsTable[[#This Row],[GroupByKey]])*DiscreteStatsTable[Average]))</f>
        <v>0.54332107247146499</v>
      </c>
      <c r="S1027" s="5" cm="1">
        <f t="array" ref="S1027">MAX(IF((DiscreteStatsTable[GroupByKey]=DiscreteStatsTable[[#This Row],[GroupByKey]]),(DiscreteStatsTable[GroupByKey]=DiscreteStatsTable[[#This Row],[GroupByKey]])*DiscreteStatsTable[Average]))</f>
        <v>0.815482524363215</v>
      </c>
      <c r="T1027" s="5" cm="1">
        <f t="array" ref="T1027">MIN(IF((DiscreteStatsTable[GroupByKey]=DiscreteStatsTable[[#This Row],[GroupByKey]]),(DiscreteStatsTable[GroupByKey]=DiscreteStatsTable[[#This Row],[GroupByKey]])*DiscreteStatsTable[Minimum]))</f>
        <v>0.54332107247146499</v>
      </c>
      <c r="U1027" s="5" cm="1">
        <f t="array" ref="U1027">MAX(IF((DiscreteStatsTable[GroupByKey]=DiscreteStatsTable[[#This Row],[GroupByKey]]),(DiscreteStatsTable[GroupByKey]=DiscreteStatsTable[[#This Row],[GroupByKey]])*DiscreteStatsTable[Maximum]))</f>
        <v>0.815482524363215</v>
      </c>
      <c r="V1027" s="5" cm="1">
        <f t="array" ref="V1027">IFERROR(AVERAGE(IF((DiscreteStatsTable[GroupByKey]=DiscreteStatsTable[[#This Row],[GroupByKey]]),(DiscreteStatsTable[GroupByKey]=DiscreteStatsTable[[#This Row],[GroupByKey]])*DiscreteStatsTable[NumberObservations])),0)</f>
        <v>1</v>
      </c>
      <c r="W1027" s="5">
        <f>IF((DiscreteStatsTable[[#This Row],[RepsRequested]]&gt;1),DiscreteStatsTable[[#This Row],[HalfWidth]],DiscreteStatsTable[[#This Row],[BatchMeansHalfWidth]])</f>
        <v>3.6235199857210437E-2</v>
      </c>
      <c r="X1027" s="5" cm="1">
        <f t="array" ref="X1027">COUNT(IF((DiscreteStatsTable[GroupByKey]=DiscreteStatsTable[[#This Row],[GroupByKey]]),(DiscreteStatsTable[GroupByKey]=DiscreteStatsTable[[#This Row],[GroupByKey]])*DiscreteStatsTable[Replication]))</f>
        <v>19</v>
      </c>
      <c r="Y1027" s="5">
        <f>IF(DiscreteStatsTable[[#This Row],[RepsRequested]]=DiscreteStatsTable[[#This Row],[RepsWithStatObserved]],1,0)</f>
        <v>1</v>
      </c>
    </row>
    <row r="1028" spans="1:25" x14ac:dyDescent="0.25">
      <c r="A1028" t="s">
        <v>67</v>
      </c>
      <c r="B1028" t="s">
        <v>69</v>
      </c>
      <c r="C1028">
        <v>6</v>
      </c>
      <c r="D1028" t="s">
        <v>125</v>
      </c>
      <c r="E1028" t="s">
        <v>79</v>
      </c>
      <c r="F1028" t="s">
        <v>80</v>
      </c>
      <c r="G1028">
        <v>0.61914529595578705</v>
      </c>
      <c r="H1028">
        <v>2E+20</v>
      </c>
      <c r="I1028">
        <v>0.61914529595578705</v>
      </c>
      <c r="J1028">
        <v>0.61914529595578705</v>
      </c>
      <c r="K1028">
        <v>1</v>
      </c>
      <c r="L102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compartida)UtilizacionCocinaH2ExpressionUser Specified</v>
      </c>
      <c r="M1028" s="5" cm="1">
        <f t="array" ref="M1028">MAX(IF((ProjectInfoTable[ProjectName]=DiscreteStatsTable[[#This Row],[ProjectName]]),(ProjectInfoTable[ProjectName]=DiscreteStatsTable[[#This Row],[ProjectName]])*ProjectInfoTable[NumberOfReplications]))</f>
        <v>19</v>
      </c>
      <c r="N1028" s="5" cm="1">
        <f t="array" ref="N1028">IFERROR(AVERAGE(IF((DiscreteStatsTable[GroupByKey]=DiscreteStatsTable[[#This Row],[GroupByKey]]),(DiscreteStatsTable[GroupByKey]=DiscreteStatsTable[[#This Row],[GroupByKey]])*DiscreteStatsTable[Average])),0)</f>
        <v>0.68140291572007905</v>
      </c>
      <c r="O1028" s="5" cm="1">
        <f t="array" ref="O1028">IFERROR(_xlfn.STDEV.S(IF((DiscreteStatsTable[GroupByKey]=DiscreteStatsTable[[#This Row],[GroupByKey]]),(DiscreteStatsTable[GroupByKey]=DiscreteStatsTable[[#This Row],[GroupByKey]])*DiscreteStatsTable[Average])),0)</f>
        <v>7.5179169598534323E-2</v>
      </c>
      <c r="P1028" s="5" cm="1">
        <f t="array" ref="P1028">MAX(IF((ProjectInfoTable[ProjectName]=DiscreteStatsTable[[#This Row],[ProjectName]]),(ProjectInfoTable[ProjectName]=DiscreteStatsTable[[#This Row],[ProjectName]])*ProjectInfoTable[ConfidenceInterval]))</f>
        <v>0.95</v>
      </c>
      <c r="Q1028" s="5">
        <f>IF(AND(DiscreteStatsTable[[#This Row],[RepsWithStatObserved]]=1,Y1028=0),200000000000000000000,IFERROR(_xlfn.T.INV.2T(1 -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3.6235199857210437E-2</v>
      </c>
      <c r="R1028" s="5" cm="1">
        <f t="array" ref="R1028">MIN(IF((DiscreteStatsTable[GroupByKey]=DiscreteStatsTable[[#This Row],[GroupByKey]]),(DiscreteStatsTable[GroupByKey]=DiscreteStatsTable[[#This Row],[GroupByKey]])*DiscreteStatsTable[Average]))</f>
        <v>0.54332107247146499</v>
      </c>
      <c r="S1028" s="5" cm="1">
        <f t="array" ref="S1028">MAX(IF((DiscreteStatsTable[GroupByKey]=DiscreteStatsTable[[#This Row],[GroupByKey]]),(DiscreteStatsTable[GroupByKey]=DiscreteStatsTable[[#This Row],[GroupByKey]])*DiscreteStatsTable[Average]))</f>
        <v>0.815482524363215</v>
      </c>
      <c r="T1028" s="5" cm="1">
        <f t="array" ref="T1028">MIN(IF((DiscreteStatsTable[GroupByKey]=DiscreteStatsTable[[#This Row],[GroupByKey]]),(DiscreteStatsTable[GroupByKey]=DiscreteStatsTable[[#This Row],[GroupByKey]])*DiscreteStatsTable[Minimum]))</f>
        <v>0.54332107247146499</v>
      </c>
      <c r="U1028" s="5" cm="1">
        <f t="array" ref="U1028">MAX(IF((DiscreteStatsTable[GroupByKey]=DiscreteStatsTable[[#This Row],[GroupByKey]]),(DiscreteStatsTable[GroupByKey]=DiscreteStatsTable[[#This Row],[GroupByKey]])*DiscreteStatsTable[Maximum]))</f>
        <v>0.815482524363215</v>
      </c>
      <c r="V1028" s="5" cm="1">
        <f t="array" ref="V1028">IFERROR(AVERAGE(IF((DiscreteStatsTable[GroupByKey]=DiscreteStatsTable[[#This Row],[GroupByKey]]),(DiscreteStatsTable[GroupByKey]=DiscreteStatsTable[[#This Row],[GroupByKey]])*DiscreteStatsTable[NumberObservations])),0)</f>
        <v>1</v>
      </c>
      <c r="W1028" s="5">
        <f>IF((DiscreteStatsTable[[#This Row],[RepsRequested]]&gt;1),DiscreteStatsTable[[#This Row],[HalfWidth]],DiscreteStatsTable[[#This Row],[BatchMeansHalfWidth]])</f>
        <v>3.6235199857210437E-2</v>
      </c>
      <c r="X1028" s="5" cm="1">
        <f t="array" ref="X1028">COUNT(IF((DiscreteStatsTable[GroupByKey]=DiscreteStatsTable[[#This Row],[GroupByKey]]),(DiscreteStatsTable[GroupByKey]=DiscreteStatsTable[[#This Row],[GroupByKey]])*DiscreteStatsTable[Replication]))</f>
        <v>19</v>
      </c>
      <c r="Y1028" s="5">
        <f>IF(DiscreteStatsTable[[#This Row],[RepsRequested]]=DiscreteStatsTable[[#This Row],[RepsWithStatObserved]],1,0)</f>
        <v>1</v>
      </c>
    </row>
    <row r="1029" spans="1:25" x14ac:dyDescent="0.25">
      <c r="A1029" t="s">
        <v>67</v>
      </c>
      <c r="B1029" t="s">
        <v>69</v>
      </c>
      <c r="C1029">
        <v>7</v>
      </c>
      <c r="D1029" t="s">
        <v>125</v>
      </c>
      <c r="E1029" t="s">
        <v>79</v>
      </c>
      <c r="F1029" t="s">
        <v>80</v>
      </c>
      <c r="G1029">
        <v>0.62154226559598802</v>
      </c>
      <c r="H1029">
        <v>2E+20</v>
      </c>
      <c r="I1029">
        <v>0.62154226559598802</v>
      </c>
      <c r="J1029">
        <v>0.62154226559598802</v>
      </c>
      <c r="K1029">
        <v>1</v>
      </c>
      <c r="L102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compartida)UtilizacionCocinaH2ExpressionUser Specified</v>
      </c>
      <c r="M1029" s="5" cm="1">
        <f t="array" ref="M1029">MAX(IF((ProjectInfoTable[ProjectName]=DiscreteStatsTable[[#This Row],[ProjectName]]),(ProjectInfoTable[ProjectName]=DiscreteStatsTable[[#This Row],[ProjectName]])*ProjectInfoTable[NumberOfReplications]))</f>
        <v>19</v>
      </c>
      <c r="N1029" s="5" cm="1">
        <f t="array" ref="N1029">IFERROR(AVERAGE(IF((DiscreteStatsTable[GroupByKey]=DiscreteStatsTable[[#This Row],[GroupByKey]]),(DiscreteStatsTable[GroupByKey]=DiscreteStatsTable[[#This Row],[GroupByKey]])*DiscreteStatsTable[Average])),0)</f>
        <v>0.68140291572007905</v>
      </c>
      <c r="O1029" s="5" cm="1">
        <f t="array" ref="O1029">IFERROR(_xlfn.STDEV.S(IF((DiscreteStatsTable[GroupByKey]=DiscreteStatsTable[[#This Row],[GroupByKey]]),(DiscreteStatsTable[GroupByKey]=DiscreteStatsTable[[#This Row],[GroupByKey]])*DiscreteStatsTable[Average])),0)</f>
        <v>7.5179169598534323E-2</v>
      </c>
      <c r="P1029" s="5" cm="1">
        <f t="array" ref="P1029">MAX(IF((ProjectInfoTable[ProjectName]=DiscreteStatsTable[[#This Row],[ProjectName]]),(ProjectInfoTable[ProjectName]=DiscreteStatsTable[[#This Row],[ProjectName]])*ProjectInfoTable[ConfidenceInterval]))</f>
        <v>0.95</v>
      </c>
      <c r="Q1029" s="5">
        <f>IF(AND(DiscreteStatsTable[[#This Row],[RepsWithStatObserved]]=1,Y1029=0),200000000000000000000,IFERROR(_xlfn.T.INV.2T(1 -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3.6235199857210437E-2</v>
      </c>
      <c r="R1029" s="5" cm="1">
        <f t="array" ref="R1029">MIN(IF((DiscreteStatsTable[GroupByKey]=DiscreteStatsTable[[#This Row],[GroupByKey]]),(DiscreteStatsTable[GroupByKey]=DiscreteStatsTable[[#This Row],[GroupByKey]])*DiscreteStatsTable[Average]))</f>
        <v>0.54332107247146499</v>
      </c>
      <c r="S1029" s="5" cm="1">
        <f t="array" ref="S1029">MAX(IF((DiscreteStatsTable[GroupByKey]=DiscreteStatsTable[[#This Row],[GroupByKey]]),(DiscreteStatsTable[GroupByKey]=DiscreteStatsTable[[#This Row],[GroupByKey]])*DiscreteStatsTable[Average]))</f>
        <v>0.815482524363215</v>
      </c>
      <c r="T1029" s="5" cm="1">
        <f t="array" ref="T1029">MIN(IF((DiscreteStatsTable[GroupByKey]=DiscreteStatsTable[[#This Row],[GroupByKey]]),(DiscreteStatsTable[GroupByKey]=DiscreteStatsTable[[#This Row],[GroupByKey]])*DiscreteStatsTable[Minimum]))</f>
        <v>0.54332107247146499</v>
      </c>
      <c r="U1029" s="5" cm="1">
        <f t="array" ref="U1029">MAX(IF((DiscreteStatsTable[GroupByKey]=DiscreteStatsTable[[#This Row],[GroupByKey]]),(DiscreteStatsTable[GroupByKey]=DiscreteStatsTable[[#This Row],[GroupByKey]])*DiscreteStatsTable[Maximum]))</f>
        <v>0.815482524363215</v>
      </c>
      <c r="V1029" s="5" cm="1">
        <f t="array" ref="V1029">IFERROR(AVERAGE(IF((DiscreteStatsTable[GroupByKey]=DiscreteStatsTable[[#This Row],[GroupByKey]]),(DiscreteStatsTable[GroupByKey]=DiscreteStatsTable[[#This Row],[GroupByKey]])*DiscreteStatsTable[NumberObservations])),0)</f>
        <v>1</v>
      </c>
      <c r="W1029" s="5">
        <f>IF((DiscreteStatsTable[[#This Row],[RepsRequested]]&gt;1),DiscreteStatsTable[[#This Row],[HalfWidth]],DiscreteStatsTable[[#This Row],[BatchMeansHalfWidth]])</f>
        <v>3.6235199857210437E-2</v>
      </c>
      <c r="X1029" s="5" cm="1">
        <f t="array" ref="X1029">COUNT(IF((DiscreteStatsTable[GroupByKey]=DiscreteStatsTable[[#This Row],[GroupByKey]]),(DiscreteStatsTable[GroupByKey]=DiscreteStatsTable[[#This Row],[GroupByKey]])*DiscreteStatsTable[Replication]))</f>
        <v>19</v>
      </c>
      <c r="Y1029" s="5">
        <f>IF(DiscreteStatsTable[[#This Row],[RepsRequested]]=DiscreteStatsTable[[#This Row],[RepsWithStatObserved]],1,0)</f>
        <v>1</v>
      </c>
    </row>
    <row r="1030" spans="1:25" x14ac:dyDescent="0.25">
      <c r="A1030" t="s">
        <v>67</v>
      </c>
      <c r="B1030" t="s">
        <v>69</v>
      </c>
      <c r="C1030">
        <v>8</v>
      </c>
      <c r="D1030" t="s">
        <v>125</v>
      </c>
      <c r="E1030" t="s">
        <v>79</v>
      </c>
      <c r="F1030" t="s">
        <v>80</v>
      </c>
      <c r="G1030">
        <v>0.78906134822933305</v>
      </c>
      <c r="H1030">
        <v>2E+20</v>
      </c>
      <c r="I1030">
        <v>0.78906134822933305</v>
      </c>
      <c r="J1030">
        <v>0.78906134822933305</v>
      </c>
      <c r="K1030">
        <v>1</v>
      </c>
      <c r="L103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compartida)UtilizacionCocinaH2ExpressionUser Specified</v>
      </c>
      <c r="M1030" s="5" cm="1">
        <f t="array" ref="M1030">MAX(IF((ProjectInfoTable[ProjectName]=DiscreteStatsTable[[#This Row],[ProjectName]]),(ProjectInfoTable[ProjectName]=DiscreteStatsTable[[#This Row],[ProjectName]])*ProjectInfoTable[NumberOfReplications]))</f>
        <v>19</v>
      </c>
      <c r="N1030" s="5" cm="1">
        <f t="array" ref="N1030">IFERROR(AVERAGE(IF((DiscreteStatsTable[GroupByKey]=DiscreteStatsTable[[#This Row],[GroupByKey]]),(DiscreteStatsTable[GroupByKey]=DiscreteStatsTable[[#This Row],[GroupByKey]])*DiscreteStatsTable[Average])),0)</f>
        <v>0.68140291572007905</v>
      </c>
      <c r="O1030" s="5" cm="1">
        <f t="array" ref="O1030">IFERROR(_xlfn.STDEV.S(IF((DiscreteStatsTable[GroupByKey]=DiscreteStatsTable[[#This Row],[GroupByKey]]),(DiscreteStatsTable[GroupByKey]=DiscreteStatsTable[[#This Row],[GroupByKey]])*DiscreteStatsTable[Average])),0)</f>
        <v>7.5179169598534323E-2</v>
      </c>
      <c r="P1030" s="5" cm="1">
        <f t="array" ref="P1030">MAX(IF((ProjectInfoTable[ProjectName]=DiscreteStatsTable[[#This Row],[ProjectName]]),(ProjectInfoTable[ProjectName]=DiscreteStatsTable[[#This Row],[ProjectName]])*ProjectInfoTable[ConfidenceInterval]))</f>
        <v>0.95</v>
      </c>
      <c r="Q1030" s="5">
        <f>IF(AND(DiscreteStatsTable[[#This Row],[RepsWithStatObserved]]=1,Y1030=0),200000000000000000000,IFERROR(_xlfn.T.INV.2T(1 -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3.6235199857210437E-2</v>
      </c>
      <c r="R1030" s="5" cm="1">
        <f t="array" ref="R1030">MIN(IF((DiscreteStatsTable[GroupByKey]=DiscreteStatsTable[[#This Row],[GroupByKey]]),(DiscreteStatsTable[GroupByKey]=DiscreteStatsTable[[#This Row],[GroupByKey]])*DiscreteStatsTable[Average]))</f>
        <v>0.54332107247146499</v>
      </c>
      <c r="S1030" s="5" cm="1">
        <f t="array" ref="S1030">MAX(IF((DiscreteStatsTable[GroupByKey]=DiscreteStatsTable[[#This Row],[GroupByKey]]),(DiscreteStatsTable[GroupByKey]=DiscreteStatsTable[[#This Row],[GroupByKey]])*DiscreteStatsTable[Average]))</f>
        <v>0.815482524363215</v>
      </c>
      <c r="T1030" s="5" cm="1">
        <f t="array" ref="T1030">MIN(IF((DiscreteStatsTable[GroupByKey]=DiscreteStatsTable[[#This Row],[GroupByKey]]),(DiscreteStatsTable[GroupByKey]=DiscreteStatsTable[[#This Row],[GroupByKey]])*DiscreteStatsTable[Minimum]))</f>
        <v>0.54332107247146499</v>
      </c>
      <c r="U1030" s="5" cm="1">
        <f t="array" ref="U1030">MAX(IF((DiscreteStatsTable[GroupByKey]=DiscreteStatsTable[[#This Row],[GroupByKey]]),(DiscreteStatsTable[GroupByKey]=DiscreteStatsTable[[#This Row],[GroupByKey]])*DiscreteStatsTable[Maximum]))</f>
        <v>0.815482524363215</v>
      </c>
      <c r="V1030" s="5" cm="1">
        <f t="array" ref="V1030">IFERROR(AVERAGE(IF((DiscreteStatsTable[GroupByKey]=DiscreteStatsTable[[#This Row],[GroupByKey]]),(DiscreteStatsTable[GroupByKey]=DiscreteStatsTable[[#This Row],[GroupByKey]])*DiscreteStatsTable[NumberObservations])),0)</f>
        <v>1</v>
      </c>
      <c r="W1030" s="5">
        <f>IF((DiscreteStatsTable[[#This Row],[RepsRequested]]&gt;1),DiscreteStatsTable[[#This Row],[HalfWidth]],DiscreteStatsTable[[#This Row],[BatchMeansHalfWidth]])</f>
        <v>3.6235199857210437E-2</v>
      </c>
      <c r="X1030" s="5" cm="1">
        <f t="array" ref="X1030">COUNT(IF((DiscreteStatsTable[GroupByKey]=DiscreteStatsTable[[#This Row],[GroupByKey]]),(DiscreteStatsTable[GroupByKey]=DiscreteStatsTable[[#This Row],[GroupByKey]])*DiscreteStatsTable[Replication]))</f>
        <v>19</v>
      </c>
      <c r="Y1030" s="5">
        <f>IF(DiscreteStatsTable[[#This Row],[RepsRequested]]=DiscreteStatsTable[[#This Row],[RepsWithStatObserved]],1,0)</f>
        <v>1</v>
      </c>
    </row>
    <row r="1031" spans="1:25" x14ac:dyDescent="0.25">
      <c r="A1031" t="s">
        <v>67</v>
      </c>
      <c r="B1031" t="s">
        <v>69</v>
      </c>
      <c r="C1031">
        <v>9</v>
      </c>
      <c r="D1031" t="s">
        <v>125</v>
      </c>
      <c r="E1031" t="s">
        <v>79</v>
      </c>
      <c r="F1031" t="s">
        <v>80</v>
      </c>
      <c r="G1031">
        <v>0.74244292916955401</v>
      </c>
      <c r="H1031">
        <v>2E+20</v>
      </c>
      <c r="I1031">
        <v>0.74244292916955401</v>
      </c>
      <c r="J1031">
        <v>0.74244292916955401</v>
      </c>
      <c r="K1031">
        <v>1</v>
      </c>
      <c r="L103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compartida)UtilizacionCocinaH2ExpressionUser Specified</v>
      </c>
      <c r="M1031" s="5" cm="1">
        <f t="array" ref="M1031">MAX(IF((ProjectInfoTable[ProjectName]=DiscreteStatsTable[[#This Row],[ProjectName]]),(ProjectInfoTable[ProjectName]=DiscreteStatsTable[[#This Row],[ProjectName]])*ProjectInfoTable[NumberOfReplications]))</f>
        <v>19</v>
      </c>
      <c r="N1031" s="5" cm="1">
        <f t="array" ref="N1031">IFERROR(AVERAGE(IF((DiscreteStatsTable[GroupByKey]=DiscreteStatsTable[[#This Row],[GroupByKey]]),(DiscreteStatsTable[GroupByKey]=DiscreteStatsTable[[#This Row],[GroupByKey]])*DiscreteStatsTable[Average])),0)</f>
        <v>0.68140291572007905</v>
      </c>
      <c r="O1031" s="5" cm="1">
        <f t="array" ref="O1031">IFERROR(_xlfn.STDEV.S(IF((DiscreteStatsTable[GroupByKey]=DiscreteStatsTable[[#This Row],[GroupByKey]]),(DiscreteStatsTable[GroupByKey]=DiscreteStatsTable[[#This Row],[GroupByKey]])*DiscreteStatsTable[Average])),0)</f>
        <v>7.5179169598534323E-2</v>
      </c>
      <c r="P1031" s="5" cm="1">
        <f t="array" ref="P1031">MAX(IF((ProjectInfoTable[ProjectName]=DiscreteStatsTable[[#This Row],[ProjectName]]),(ProjectInfoTable[ProjectName]=DiscreteStatsTable[[#This Row],[ProjectName]])*ProjectInfoTable[ConfidenceInterval]))</f>
        <v>0.95</v>
      </c>
      <c r="Q1031" s="5">
        <f>IF(AND(DiscreteStatsTable[[#This Row],[RepsWithStatObserved]]=1,Y1031=0),200000000000000000000,IFERROR(_xlfn.T.INV.2T(1 -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3.6235199857210437E-2</v>
      </c>
      <c r="R1031" s="5" cm="1">
        <f t="array" ref="R1031">MIN(IF((DiscreteStatsTable[GroupByKey]=DiscreteStatsTable[[#This Row],[GroupByKey]]),(DiscreteStatsTable[GroupByKey]=DiscreteStatsTable[[#This Row],[GroupByKey]])*DiscreteStatsTable[Average]))</f>
        <v>0.54332107247146499</v>
      </c>
      <c r="S1031" s="5" cm="1">
        <f t="array" ref="S1031">MAX(IF((DiscreteStatsTable[GroupByKey]=DiscreteStatsTable[[#This Row],[GroupByKey]]),(DiscreteStatsTable[GroupByKey]=DiscreteStatsTable[[#This Row],[GroupByKey]])*DiscreteStatsTable[Average]))</f>
        <v>0.815482524363215</v>
      </c>
      <c r="T1031" s="5" cm="1">
        <f t="array" ref="T1031">MIN(IF((DiscreteStatsTable[GroupByKey]=DiscreteStatsTable[[#This Row],[GroupByKey]]),(DiscreteStatsTable[GroupByKey]=DiscreteStatsTable[[#This Row],[GroupByKey]])*DiscreteStatsTable[Minimum]))</f>
        <v>0.54332107247146499</v>
      </c>
      <c r="U1031" s="5" cm="1">
        <f t="array" ref="U1031">MAX(IF((DiscreteStatsTable[GroupByKey]=DiscreteStatsTable[[#This Row],[GroupByKey]]),(DiscreteStatsTable[GroupByKey]=DiscreteStatsTable[[#This Row],[GroupByKey]])*DiscreteStatsTable[Maximum]))</f>
        <v>0.815482524363215</v>
      </c>
      <c r="V1031" s="5" cm="1">
        <f t="array" ref="V1031">IFERROR(AVERAGE(IF((DiscreteStatsTable[GroupByKey]=DiscreteStatsTable[[#This Row],[GroupByKey]]),(DiscreteStatsTable[GroupByKey]=DiscreteStatsTable[[#This Row],[GroupByKey]])*DiscreteStatsTable[NumberObservations])),0)</f>
        <v>1</v>
      </c>
      <c r="W1031" s="5">
        <f>IF((DiscreteStatsTable[[#This Row],[RepsRequested]]&gt;1),DiscreteStatsTable[[#This Row],[HalfWidth]],DiscreteStatsTable[[#This Row],[BatchMeansHalfWidth]])</f>
        <v>3.6235199857210437E-2</v>
      </c>
      <c r="X1031" s="5" cm="1">
        <f t="array" ref="X1031">COUNT(IF((DiscreteStatsTable[GroupByKey]=DiscreteStatsTable[[#This Row],[GroupByKey]]),(DiscreteStatsTable[GroupByKey]=DiscreteStatsTable[[#This Row],[GroupByKey]])*DiscreteStatsTable[Replication]))</f>
        <v>19</v>
      </c>
      <c r="Y1031" s="5">
        <f>IF(DiscreteStatsTable[[#This Row],[RepsRequested]]=DiscreteStatsTable[[#This Row],[RepsWithStatObserved]],1,0)</f>
        <v>1</v>
      </c>
    </row>
    <row r="1032" spans="1:25" x14ac:dyDescent="0.25">
      <c r="A1032" t="s">
        <v>67</v>
      </c>
      <c r="B1032" t="s">
        <v>69</v>
      </c>
      <c r="C1032">
        <v>10</v>
      </c>
      <c r="D1032" t="s">
        <v>125</v>
      </c>
      <c r="E1032" t="s">
        <v>79</v>
      </c>
      <c r="F1032" t="s">
        <v>80</v>
      </c>
      <c r="G1032">
        <v>0.67316345155396096</v>
      </c>
      <c r="H1032">
        <v>2E+20</v>
      </c>
      <c r="I1032">
        <v>0.67316345155396096</v>
      </c>
      <c r="J1032">
        <v>0.67316345155396096</v>
      </c>
      <c r="K1032">
        <v>1</v>
      </c>
      <c r="L103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compartida)UtilizacionCocinaH2ExpressionUser Specified</v>
      </c>
      <c r="M1032" s="5" cm="1">
        <f t="array" ref="M1032">MAX(IF((ProjectInfoTable[ProjectName]=DiscreteStatsTable[[#This Row],[ProjectName]]),(ProjectInfoTable[ProjectName]=DiscreteStatsTable[[#This Row],[ProjectName]])*ProjectInfoTable[NumberOfReplications]))</f>
        <v>19</v>
      </c>
      <c r="N1032" s="5" cm="1">
        <f t="array" ref="N1032">IFERROR(AVERAGE(IF((DiscreteStatsTable[GroupByKey]=DiscreteStatsTable[[#This Row],[GroupByKey]]),(DiscreteStatsTable[GroupByKey]=DiscreteStatsTable[[#This Row],[GroupByKey]])*DiscreteStatsTable[Average])),0)</f>
        <v>0.68140291572007905</v>
      </c>
      <c r="O1032" s="5" cm="1">
        <f t="array" ref="O1032">IFERROR(_xlfn.STDEV.S(IF((DiscreteStatsTable[GroupByKey]=DiscreteStatsTable[[#This Row],[GroupByKey]]),(DiscreteStatsTable[GroupByKey]=DiscreteStatsTable[[#This Row],[GroupByKey]])*DiscreteStatsTable[Average])),0)</f>
        <v>7.5179169598534323E-2</v>
      </c>
      <c r="P1032" s="5" cm="1">
        <f t="array" ref="P1032">MAX(IF((ProjectInfoTable[ProjectName]=DiscreteStatsTable[[#This Row],[ProjectName]]),(ProjectInfoTable[ProjectName]=DiscreteStatsTable[[#This Row],[ProjectName]])*ProjectInfoTable[ConfidenceInterval]))</f>
        <v>0.95</v>
      </c>
      <c r="Q1032" s="5">
        <f>IF(AND(DiscreteStatsTable[[#This Row],[RepsWithStatObserved]]=1,Y1032=0),200000000000000000000,IFERROR(_xlfn.T.INV.2T(1 -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3.6235199857210437E-2</v>
      </c>
      <c r="R1032" s="5" cm="1">
        <f t="array" ref="R1032">MIN(IF((DiscreteStatsTable[GroupByKey]=DiscreteStatsTable[[#This Row],[GroupByKey]]),(DiscreteStatsTable[GroupByKey]=DiscreteStatsTable[[#This Row],[GroupByKey]])*DiscreteStatsTable[Average]))</f>
        <v>0.54332107247146499</v>
      </c>
      <c r="S1032" s="5" cm="1">
        <f t="array" ref="S1032">MAX(IF((DiscreteStatsTable[GroupByKey]=DiscreteStatsTable[[#This Row],[GroupByKey]]),(DiscreteStatsTable[GroupByKey]=DiscreteStatsTable[[#This Row],[GroupByKey]])*DiscreteStatsTable[Average]))</f>
        <v>0.815482524363215</v>
      </c>
      <c r="T1032" s="5" cm="1">
        <f t="array" ref="T1032">MIN(IF((DiscreteStatsTable[GroupByKey]=DiscreteStatsTable[[#This Row],[GroupByKey]]),(DiscreteStatsTable[GroupByKey]=DiscreteStatsTable[[#This Row],[GroupByKey]])*DiscreteStatsTable[Minimum]))</f>
        <v>0.54332107247146499</v>
      </c>
      <c r="U1032" s="5" cm="1">
        <f t="array" ref="U1032">MAX(IF((DiscreteStatsTable[GroupByKey]=DiscreteStatsTable[[#This Row],[GroupByKey]]),(DiscreteStatsTable[GroupByKey]=DiscreteStatsTable[[#This Row],[GroupByKey]])*DiscreteStatsTable[Maximum]))</f>
        <v>0.815482524363215</v>
      </c>
      <c r="V1032" s="5" cm="1">
        <f t="array" ref="V1032">IFERROR(AVERAGE(IF((DiscreteStatsTable[GroupByKey]=DiscreteStatsTable[[#This Row],[GroupByKey]]),(DiscreteStatsTable[GroupByKey]=DiscreteStatsTable[[#This Row],[GroupByKey]])*DiscreteStatsTable[NumberObservations])),0)</f>
        <v>1</v>
      </c>
      <c r="W1032" s="5">
        <f>IF((DiscreteStatsTable[[#This Row],[RepsRequested]]&gt;1),DiscreteStatsTable[[#This Row],[HalfWidth]],DiscreteStatsTable[[#This Row],[BatchMeansHalfWidth]])</f>
        <v>3.6235199857210437E-2</v>
      </c>
      <c r="X1032" s="5" cm="1">
        <f t="array" ref="X1032">COUNT(IF((DiscreteStatsTable[GroupByKey]=DiscreteStatsTable[[#This Row],[GroupByKey]]),(DiscreteStatsTable[GroupByKey]=DiscreteStatsTable[[#This Row],[GroupByKey]])*DiscreteStatsTable[Replication]))</f>
        <v>19</v>
      </c>
      <c r="Y1032" s="5">
        <f>IF(DiscreteStatsTable[[#This Row],[RepsRequested]]=DiscreteStatsTable[[#This Row],[RepsWithStatObserved]],1,0)</f>
        <v>1</v>
      </c>
    </row>
    <row r="1033" spans="1:25" x14ac:dyDescent="0.25">
      <c r="A1033" t="s">
        <v>67</v>
      </c>
      <c r="B1033" t="s">
        <v>69</v>
      </c>
      <c r="C1033">
        <v>11</v>
      </c>
      <c r="D1033" t="s">
        <v>125</v>
      </c>
      <c r="E1033" t="s">
        <v>79</v>
      </c>
      <c r="F1033" t="s">
        <v>80</v>
      </c>
      <c r="G1033">
        <v>0.54332107247146499</v>
      </c>
      <c r="H1033">
        <v>2E+20</v>
      </c>
      <c r="I1033">
        <v>0.54332107247146499</v>
      </c>
      <c r="J1033">
        <v>0.54332107247146499</v>
      </c>
      <c r="K1033">
        <v>1</v>
      </c>
      <c r="L103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compartida)UtilizacionCocinaH2ExpressionUser Specified</v>
      </c>
      <c r="M1033" s="5" cm="1">
        <f t="array" ref="M1033">MAX(IF((ProjectInfoTable[ProjectName]=DiscreteStatsTable[[#This Row],[ProjectName]]),(ProjectInfoTable[ProjectName]=DiscreteStatsTable[[#This Row],[ProjectName]])*ProjectInfoTable[NumberOfReplications]))</f>
        <v>19</v>
      </c>
      <c r="N1033" s="5" cm="1">
        <f t="array" ref="N1033">IFERROR(AVERAGE(IF((DiscreteStatsTable[GroupByKey]=DiscreteStatsTable[[#This Row],[GroupByKey]]),(DiscreteStatsTable[GroupByKey]=DiscreteStatsTable[[#This Row],[GroupByKey]])*DiscreteStatsTable[Average])),0)</f>
        <v>0.68140291572007905</v>
      </c>
      <c r="O1033" s="5" cm="1">
        <f t="array" ref="O1033">IFERROR(_xlfn.STDEV.S(IF((DiscreteStatsTable[GroupByKey]=DiscreteStatsTable[[#This Row],[GroupByKey]]),(DiscreteStatsTable[GroupByKey]=DiscreteStatsTable[[#This Row],[GroupByKey]])*DiscreteStatsTable[Average])),0)</f>
        <v>7.5179169598534323E-2</v>
      </c>
      <c r="P1033" s="5" cm="1">
        <f t="array" ref="P1033">MAX(IF((ProjectInfoTable[ProjectName]=DiscreteStatsTable[[#This Row],[ProjectName]]),(ProjectInfoTable[ProjectName]=DiscreteStatsTable[[#This Row],[ProjectName]])*ProjectInfoTable[ConfidenceInterval]))</f>
        <v>0.95</v>
      </c>
      <c r="Q1033" s="5">
        <f>IF(AND(DiscreteStatsTable[[#This Row],[RepsWithStatObserved]]=1,Y1033=0),200000000000000000000,IFERROR(_xlfn.T.INV.2T(1 -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3.6235199857210437E-2</v>
      </c>
      <c r="R1033" s="5" cm="1">
        <f t="array" ref="R1033">MIN(IF((DiscreteStatsTable[GroupByKey]=DiscreteStatsTable[[#This Row],[GroupByKey]]),(DiscreteStatsTable[GroupByKey]=DiscreteStatsTable[[#This Row],[GroupByKey]])*DiscreteStatsTable[Average]))</f>
        <v>0.54332107247146499</v>
      </c>
      <c r="S1033" s="5" cm="1">
        <f t="array" ref="S1033">MAX(IF((DiscreteStatsTable[GroupByKey]=DiscreteStatsTable[[#This Row],[GroupByKey]]),(DiscreteStatsTable[GroupByKey]=DiscreteStatsTable[[#This Row],[GroupByKey]])*DiscreteStatsTable[Average]))</f>
        <v>0.815482524363215</v>
      </c>
      <c r="T1033" s="5" cm="1">
        <f t="array" ref="T1033">MIN(IF((DiscreteStatsTable[GroupByKey]=DiscreteStatsTable[[#This Row],[GroupByKey]]),(DiscreteStatsTable[GroupByKey]=DiscreteStatsTable[[#This Row],[GroupByKey]])*DiscreteStatsTable[Minimum]))</f>
        <v>0.54332107247146499</v>
      </c>
      <c r="U1033" s="5" cm="1">
        <f t="array" ref="U1033">MAX(IF((DiscreteStatsTable[GroupByKey]=DiscreteStatsTable[[#This Row],[GroupByKey]]),(DiscreteStatsTable[GroupByKey]=DiscreteStatsTable[[#This Row],[GroupByKey]])*DiscreteStatsTable[Maximum]))</f>
        <v>0.815482524363215</v>
      </c>
      <c r="V1033" s="5" cm="1">
        <f t="array" ref="V1033">IFERROR(AVERAGE(IF((DiscreteStatsTable[GroupByKey]=DiscreteStatsTable[[#This Row],[GroupByKey]]),(DiscreteStatsTable[GroupByKey]=DiscreteStatsTable[[#This Row],[GroupByKey]])*DiscreteStatsTable[NumberObservations])),0)</f>
        <v>1</v>
      </c>
      <c r="W1033" s="5">
        <f>IF((DiscreteStatsTable[[#This Row],[RepsRequested]]&gt;1),DiscreteStatsTable[[#This Row],[HalfWidth]],DiscreteStatsTable[[#This Row],[BatchMeansHalfWidth]])</f>
        <v>3.6235199857210437E-2</v>
      </c>
      <c r="X1033" s="5" cm="1">
        <f t="array" ref="X1033">COUNT(IF((DiscreteStatsTable[GroupByKey]=DiscreteStatsTable[[#This Row],[GroupByKey]]),(DiscreteStatsTable[GroupByKey]=DiscreteStatsTable[[#This Row],[GroupByKey]])*DiscreteStatsTable[Replication]))</f>
        <v>19</v>
      </c>
      <c r="Y1033" s="5">
        <f>IF(DiscreteStatsTable[[#This Row],[RepsRequested]]=DiscreteStatsTable[[#This Row],[RepsWithStatObserved]],1,0)</f>
        <v>1</v>
      </c>
    </row>
    <row r="1034" spans="1:25" x14ac:dyDescent="0.25">
      <c r="A1034" t="s">
        <v>67</v>
      </c>
      <c r="B1034" t="s">
        <v>69</v>
      </c>
      <c r="C1034">
        <v>12</v>
      </c>
      <c r="D1034" t="s">
        <v>125</v>
      </c>
      <c r="E1034" t="s">
        <v>79</v>
      </c>
      <c r="F1034" t="s">
        <v>80</v>
      </c>
      <c r="G1034">
        <v>0.68449121850690398</v>
      </c>
      <c r="H1034">
        <v>2E+20</v>
      </c>
      <c r="I1034">
        <v>0.68449121850690398</v>
      </c>
      <c r="J1034">
        <v>0.68449121850690398</v>
      </c>
      <c r="K1034">
        <v>1</v>
      </c>
      <c r="L103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compartida)UtilizacionCocinaH2ExpressionUser Specified</v>
      </c>
      <c r="M1034" s="5" cm="1">
        <f t="array" ref="M1034">MAX(IF((ProjectInfoTable[ProjectName]=DiscreteStatsTable[[#This Row],[ProjectName]]),(ProjectInfoTable[ProjectName]=DiscreteStatsTable[[#This Row],[ProjectName]])*ProjectInfoTable[NumberOfReplications]))</f>
        <v>19</v>
      </c>
      <c r="N1034" s="5" cm="1">
        <f t="array" ref="N1034">IFERROR(AVERAGE(IF((DiscreteStatsTable[GroupByKey]=DiscreteStatsTable[[#This Row],[GroupByKey]]),(DiscreteStatsTable[GroupByKey]=DiscreteStatsTable[[#This Row],[GroupByKey]])*DiscreteStatsTable[Average])),0)</f>
        <v>0.68140291572007905</v>
      </c>
      <c r="O1034" s="5" cm="1">
        <f t="array" ref="O1034">IFERROR(_xlfn.STDEV.S(IF((DiscreteStatsTable[GroupByKey]=DiscreteStatsTable[[#This Row],[GroupByKey]]),(DiscreteStatsTable[GroupByKey]=DiscreteStatsTable[[#This Row],[GroupByKey]])*DiscreteStatsTable[Average])),0)</f>
        <v>7.5179169598534323E-2</v>
      </c>
      <c r="P1034" s="5" cm="1">
        <f t="array" ref="P1034">MAX(IF((ProjectInfoTable[ProjectName]=DiscreteStatsTable[[#This Row],[ProjectName]]),(ProjectInfoTable[ProjectName]=DiscreteStatsTable[[#This Row],[ProjectName]])*ProjectInfoTable[ConfidenceInterval]))</f>
        <v>0.95</v>
      </c>
      <c r="Q1034" s="5">
        <f>IF(AND(DiscreteStatsTable[[#This Row],[RepsWithStatObserved]]=1,Y1034=0),200000000000000000000,IFERROR(_xlfn.T.INV.2T(1 -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3.6235199857210437E-2</v>
      </c>
      <c r="R1034" s="5" cm="1">
        <f t="array" ref="R1034">MIN(IF((DiscreteStatsTable[GroupByKey]=DiscreteStatsTable[[#This Row],[GroupByKey]]),(DiscreteStatsTable[GroupByKey]=DiscreteStatsTable[[#This Row],[GroupByKey]])*DiscreteStatsTable[Average]))</f>
        <v>0.54332107247146499</v>
      </c>
      <c r="S1034" s="5" cm="1">
        <f t="array" ref="S1034">MAX(IF((DiscreteStatsTable[GroupByKey]=DiscreteStatsTable[[#This Row],[GroupByKey]]),(DiscreteStatsTable[GroupByKey]=DiscreteStatsTable[[#This Row],[GroupByKey]])*DiscreteStatsTable[Average]))</f>
        <v>0.815482524363215</v>
      </c>
      <c r="T1034" s="5" cm="1">
        <f t="array" ref="T1034">MIN(IF((DiscreteStatsTable[GroupByKey]=DiscreteStatsTable[[#This Row],[GroupByKey]]),(DiscreteStatsTable[GroupByKey]=DiscreteStatsTable[[#This Row],[GroupByKey]])*DiscreteStatsTable[Minimum]))</f>
        <v>0.54332107247146499</v>
      </c>
      <c r="U1034" s="5" cm="1">
        <f t="array" ref="U1034">MAX(IF((DiscreteStatsTable[GroupByKey]=DiscreteStatsTable[[#This Row],[GroupByKey]]),(DiscreteStatsTable[GroupByKey]=DiscreteStatsTable[[#This Row],[GroupByKey]])*DiscreteStatsTable[Maximum]))</f>
        <v>0.815482524363215</v>
      </c>
      <c r="V1034" s="5" cm="1">
        <f t="array" ref="V1034">IFERROR(AVERAGE(IF((DiscreteStatsTable[GroupByKey]=DiscreteStatsTable[[#This Row],[GroupByKey]]),(DiscreteStatsTable[GroupByKey]=DiscreteStatsTable[[#This Row],[GroupByKey]])*DiscreteStatsTable[NumberObservations])),0)</f>
        <v>1</v>
      </c>
      <c r="W1034" s="5">
        <f>IF((DiscreteStatsTable[[#This Row],[RepsRequested]]&gt;1),DiscreteStatsTable[[#This Row],[HalfWidth]],DiscreteStatsTable[[#This Row],[BatchMeansHalfWidth]])</f>
        <v>3.6235199857210437E-2</v>
      </c>
      <c r="X1034" s="5" cm="1">
        <f t="array" ref="X1034">COUNT(IF((DiscreteStatsTable[GroupByKey]=DiscreteStatsTable[[#This Row],[GroupByKey]]),(DiscreteStatsTable[GroupByKey]=DiscreteStatsTable[[#This Row],[GroupByKey]])*DiscreteStatsTable[Replication]))</f>
        <v>19</v>
      </c>
      <c r="Y1034" s="5">
        <f>IF(DiscreteStatsTable[[#This Row],[RepsRequested]]=DiscreteStatsTable[[#This Row],[RepsWithStatObserved]],1,0)</f>
        <v>1</v>
      </c>
    </row>
    <row r="1035" spans="1:25" x14ac:dyDescent="0.25">
      <c r="A1035" t="s">
        <v>67</v>
      </c>
      <c r="B1035" t="s">
        <v>69</v>
      </c>
      <c r="C1035">
        <v>13</v>
      </c>
      <c r="D1035" t="s">
        <v>125</v>
      </c>
      <c r="E1035" t="s">
        <v>79</v>
      </c>
      <c r="F1035" t="s">
        <v>80</v>
      </c>
      <c r="G1035">
        <v>0.62477269687929504</v>
      </c>
      <c r="H1035">
        <v>2E+20</v>
      </c>
      <c r="I1035">
        <v>0.62477269687929504</v>
      </c>
      <c r="J1035">
        <v>0.62477269687929504</v>
      </c>
      <c r="K1035">
        <v>1</v>
      </c>
      <c r="L103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compartida)UtilizacionCocinaH2ExpressionUser Specified</v>
      </c>
      <c r="M1035" s="5" cm="1">
        <f t="array" ref="M1035">MAX(IF((ProjectInfoTable[ProjectName]=DiscreteStatsTable[[#This Row],[ProjectName]]),(ProjectInfoTable[ProjectName]=DiscreteStatsTable[[#This Row],[ProjectName]])*ProjectInfoTable[NumberOfReplications]))</f>
        <v>19</v>
      </c>
      <c r="N1035" s="5" cm="1">
        <f t="array" ref="N1035">IFERROR(AVERAGE(IF((DiscreteStatsTable[GroupByKey]=DiscreteStatsTable[[#This Row],[GroupByKey]]),(DiscreteStatsTable[GroupByKey]=DiscreteStatsTable[[#This Row],[GroupByKey]])*DiscreteStatsTable[Average])),0)</f>
        <v>0.68140291572007905</v>
      </c>
      <c r="O1035" s="5" cm="1">
        <f t="array" ref="O1035">IFERROR(_xlfn.STDEV.S(IF((DiscreteStatsTable[GroupByKey]=DiscreteStatsTable[[#This Row],[GroupByKey]]),(DiscreteStatsTable[GroupByKey]=DiscreteStatsTable[[#This Row],[GroupByKey]])*DiscreteStatsTable[Average])),0)</f>
        <v>7.5179169598534323E-2</v>
      </c>
      <c r="P1035" s="5" cm="1">
        <f t="array" ref="P1035">MAX(IF((ProjectInfoTable[ProjectName]=DiscreteStatsTable[[#This Row],[ProjectName]]),(ProjectInfoTable[ProjectName]=DiscreteStatsTable[[#This Row],[ProjectName]])*ProjectInfoTable[ConfidenceInterval]))</f>
        <v>0.95</v>
      </c>
      <c r="Q1035" s="5">
        <f>IF(AND(DiscreteStatsTable[[#This Row],[RepsWithStatObserved]]=1,Y1035=0),200000000000000000000,IFERROR(_xlfn.T.INV.2T(1 -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3.6235199857210437E-2</v>
      </c>
      <c r="R1035" s="5" cm="1">
        <f t="array" ref="R1035">MIN(IF((DiscreteStatsTable[GroupByKey]=DiscreteStatsTable[[#This Row],[GroupByKey]]),(DiscreteStatsTable[GroupByKey]=DiscreteStatsTable[[#This Row],[GroupByKey]])*DiscreteStatsTable[Average]))</f>
        <v>0.54332107247146499</v>
      </c>
      <c r="S1035" s="5" cm="1">
        <f t="array" ref="S1035">MAX(IF((DiscreteStatsTable[GroupByKey]=DiscreteStatsTable[[#This Row],[GroupByKey]]),(DiscreteStatsTable[GroupByKey]=DiscreteStatsTable[[#This Row],[GroupByKey]])*DiscreteStatsTable[Average]))</f>
        <v>0.815482524363215</v>
      </c>
      <c r="T1035" s="5" cm="1">
        <f t="array" ref="T1035">MIN(IF((DiscreteStatsTable[GroupByKey]=DiscreteStatsTable[[#This Row],[GroupByKey]]),(DiscreteStatsTable[GroupByKey]=DiscreteStatsTable[[#This Row],[GroupByKey]])*DiscreteStatsTable[Minimum]))</f>
        <v>0.54332107247146499</v>
      </c>
      <c r="U1035" s="5" cm="1">
        <f t="array" ref="U1035">MAX(IF((DiscreteStatsTable[GroupByKey]=DiscreteStatsTable[[#This Row],[GroupByKey]]),(DiscreteStatsTable[GroupByKey]=DiscreteStatsTable[[#This Row],[GroupByKey]])*DiscreteStatsTable[Maximum]))</f>
        <v>0.815482524363215</v>
      </c>
      <c r="V1035" s="5" cm="1">
        <f t="array" ref="V1035">IFERROR(AVERAGE(IF((DiscreteStatsTable[GroupByKey]=DiscreteStatsTable[[#This Row],[GroupByKey]]),(DiscreteStatsTable[GroupByKey]=DiscreteStatsTable[[#This Row],[GroupByKey]])*DiscreteStatsTable[NumberObservations])),0)</f>
        <v>1</v>
      </c>
      <c r="W1035" s="5">
        <f>IF((DiscreteStatsTable[[#This Row],[RepsRequested]]&gt;1),DiscreteStatsTable[[#This Row],[HalfWidth]],DiscreteStatsTable[[#This Row],[BatchMeansHalfWidth]])</f>
        <v>3.6235199857210437E-2</v>
      </c>
      <c r="X1035" s="5" cm="1">
        <f t="array" ref="X1035">COUNT(IF((DiscreteStatsTable[GroupByKey]=DiscreteStatsTable[[#This Row],[GroupByKey]]),(DiscreteStatsTable[GroupByKey]=DiscreteStatsTable[[#This Row],[GroupByKey]])*DiscreteStatsTable[Replication]))</f>
        <v>19</v>
      </c>
      <c r="Y1035" s="5">
        <f>IF(DiscreteStatsTable[[#This Row],[RepsRequested]]=DiscreteStatsTable[[#This Row],[RepsWithStatObserved]],1,0)</f>
        <v>1</v>
      </c>
    </row>
    <row r="1036" spans="1:25" x14ac:dyDescent="0.25">
      <c r="A1036" t="s">
        <v>67</v>
      </c>
      <c r="B1036" t="s">
        <v>69</v>
      </c>
      <c r="C1036">
        <v>14</v>
      </c>
      <c r="D1036" t="s">
        <v>125</v>
      </c>
      <c r="E1036" t="s">
        <v>79</v>
      </c>
      <c r="F1036" t="s">
        <v>80</v>
      </c>
      <c r="G1036">
        <v>0.66094593383914402</v>
      </c>
      <c r="H1036">
        <v>2E+20</v>
      </c>
      <c r="I1036">
        <v>0.66094593383914402</v>
      </c>
      <c r="J1036">
        <v>0.66094593383914402</v>
      </c>
      <c r="K1036">
        <v>1</v>
      </c>
      <c r="L103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compartida)UtilizacionCocinaH2ExpressionUser Specified</v>
      </c>
      <c r="M1036" s="5" cm="1">
        <f t="array" ref="M1036">MAX(IF((ProjectInfoTable[ProjectName]=DiscreteStatsTable[[#This Row],[ProjectName]]),(ProjectInfoTable[ProjectName]=DiscreteStatsTable[[#This Row],[ProjectName]])*ProjectInfoTable[NumberOfReplications]))</f>
        <v>19</v>
      </c>
      <c r="N1036" s="5" cm="1">
        <f t="array" ref="N1036">IFERROR(AVERAGE(IF((DiscreteStatsTable[GroupByKey]=DiscreteStatsTable[[#This Row],[GroupByKey]]),(DiscreteStatsTable[GroupByKey]=DiscreteStatsTable[[#This Row],[GroupByKey]])*DiscreteStatsTable[Average])),0)</f>
        <v>0.68140291572007905</v>
      </c>
      <c r="O1036" s="5" cm="1">
        <f t="array" ref="O1036">IFERROR(_xlfn.STDEV.S(IF((DiscreteStatsTable[GroupByKey]=DiscreteStatsTable[[#This Row],[GroupByKey]]),(DiscreteStatsTable[GroupByKey]=DiscreteStatsTable[[#This Row],[GroupByKey]])*DiscreteStatsTable[Average])),0)</f>
        <v>7.5179169598534323E-2</v>
      </c>
      <c r="P1036" s="5" cm="1">
        <f t="array" ref="P1036">MAX(IF((ProjectInfoTable[ProjectName]=DiscreteStatsTable[[#This Row],[ProjectName]]),(ProjectInfoTable[ProjectName]=DiscreteStatsTable[[#This Row],[ProjectName]])*ProjectInfoTable[ConfidenceInterval]))</f>
        <v>0.95</v>
      </c>
      <c r="Q1036" s="5">
        <f>IF(AND(DiscreteStatsTable[[#This Row],[RepsWithStatObserved]]=1,Y1036=0),200000000000000000000,IFERROR(_xlfn.T.INV.2T(1 -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3.6235199857210437E-2</v>
      </c>
      <c r="R1036" s="5" cm="1">
        <f t="array" ref="R1036">MIN(IF((DiscreteStatsTable[GroupByKey]=DiscreteStatsTable[[#This Row],[GroupByKey]]),(DiscreteStatsTable[GroupByKey]=DiscreteStatsTable[[#This Row],[GroupByKey]])*DiscreteStatsTable[Average]))</f>
        <v>0.54332107247146499</v>
      </c>
      <c r="S1036" s="5" cm="1">
        <f t="array" ref="S1036">MAX(IF((DiscreteStatsTable[GroupByKey]=DiscreteStatsTable[[#This Row],[GroupByKey]]),(DiscreteStatsTable[GroupByKey]=DiscreteStatsTable[[#This Row],[GroupByKey]])*DiscreteStatsTable[Average]))</f>
        <v>0.815482524363215</v>
      </c>
      <c r="T1036" s="5" cm="1">
        <f t="array" ref="T1036">MIN(IF((DiscreteStatsTable[GroupByKey]=DiscreteStatsTable[[#This Row],[GroupByKey]]),(DiscreteStatsTable[GroupByKey]=DiscreteStatsTable[[#This Row],[GroupByKey]])*DiscreteStatsTable[Minimum]))</f>
        <v>0.54332107247146499</v>
      </c>
      <c r="U1036" s="5" cm="1">
        <f t="array" ref="U1036">MAX(IF((DiscreteStatsTable[GroupByKey]=DiscreteStatsTable[[#This Row],[GroupByKey]]),(DiscreteStatsTable[GroupByKey]=DiscreteStatsTable[[#This Row],[GroupByKey]])*DiscreteStatsTable[Maximum]))</f>
        <v>0.815482524363215</v>
      </c>
      <c r="V1036" s="5" cm="1">
        <f t="array" ref="V1036">IFERROR(AVERAGE(IF((DiscreteStatsTable[GroupByKey]=DiscreteStatsTable[[#This Row],[GroupByKey]]),(DiscreteStatsTable[GroupByKey]=DiscreteStatsTable[[#This Row],[GroupByKey]])*DiscreteStatsTable[NumberObservations])),0)</f>
        <v>1</v>
      </c>
      <c r="W1036" s="5">
        <f>IF((DiscreteStatsTable[[#This Row],[RepsRequested]]&gt;1),DiscreteStatsTable[[#This Row],[HalfWidth]],DiscreteStatsTable[[#This Row],[BatchMeansHalfWidth]])</f>
        <v>3.6235199857210437E-2</v>
      </c>
      <c r="X1036" s="5" cm="1">
        <f t="array" ref="X1036">COUNT(IF((DiscreteStatsTable[GroupByKey]=DiscreteStatsTable[[#This Row],[GroupByKey]]),(DiscreteStatsTable[GroupByKey]=DiscreteStatsTable[[#This Row],[GroupByKey]])*DiscreteStatsTable[Replication]))</f>
        <v>19</v>
      </c>
      <c r="Y1036" s="5">
        <f>IF(DiscreteStatsTable[[#This Row],[RepsRequested]]=DiscreteStatsTable[[#This Row],[RepsWithStatObserved]],1,0)</f>
        <v>1</v>
      </c>
    </row>
    <row r="1037" spans="1:25" x14ac:dyDescent="0.25">
      <c r="A1037" t="s">
        <v>67</v>
      </c>
      <c r="B1037" t="s">
        <v>69</v>
      </c>
      <c r="C1037">
        <v>15</v>
      </c>
      <c r="D1037" t="s">
        <v>125</v>
      </c>
      <c r="E1037" t="s">
        <v>79</v>
      </c>
      <c r="F1037" t="s">
        <v>80</v>
      </c>
      <c r="G1037">
        <v>0.68467763015435301</v>
      </c>
      <c r="H1037">
        <v>2E+20</v>
      </c>
      <c r="I1037">
        <v>0.68467763015435301</v>
      </c>
      <c r="J1037">
        <v>0.68467763015435301</v>
      </c>
      <c r="K1037">
        <v>1</v>
      </c>
      <c r="L103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compartida)UtilizacionCocinaH2ExpressionUser Specified</v>
      </c>
      <c r="M1037" s="5" cm="1">
        <f t="array" ref="M1037">MAX(IF((ProjectInfoTable[ProjectName]=DiscreteStatsTable[[#This Row],[ProjectName]]),(ProjectInfoTable[ProjectName]=DiscreteStatsTable[[#This Row],[ProjectName]])*ProjectInfoTable[NumberOfReplications]))</f>
        <v>19</v>
      </c>
      <c r="N1037" s="5" cm="1">
        <f t="array" ref="N1037">IFERROR(AVERAGE(IF((DiscreteStatsTable[GroupByKey]=DiscreteStatsTable[[#This Row],[GroupByKey]]),(DiscreteStatsTable[GroupByKey]=DiscreteStatsTable[[#This Row],[GroupByKey]])*DiscreteStatsTable[Average])),0)</f>
        <v>0.68140291572007905</v>
      </c>
      <c r="O1037" s="5" cm="1">
        <f t="array" ref="O1037">IFERROR(_xlfn.STDEV.S(IF((DiscreteStatsTable[GroupByKey]=DiscreteStatsTable[[#This Row],[GroupByKey]]),(DiscreteStatsTable[GroupByKey]=DiscreteStatsTable[[#This Row],[GroupByKey]])*DiscreteStatsTable[Average])),0)</f>
        <v>7.5179169598534323E-2</v>
      </c>
      <c r="P1037" s="5" cm="1">
        <f t="array" ref="P1037">MAX(IF((ProjectInfoTable[ProjectName]=DiscreteStatsTable[[#This Row],[ProjectName]]),(ProjectInfoTable[ProjectName]=DiscreteStatsTable[[#This Row],[ProjectName]])*ProjectInfoTable[ConfidenceInterval]))</f>
        <v>0.95</v>
      </c>
      <c r="Q1037" s="5">
        <f>IF(AND(DiscreteStatsTable[[#This Row],[RepsWithStatObserved]]=1,Y1037=0),200000000000000000000,IFERROR(_xlfn.T.INV.2T(1 -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3.6235199857210437E-2</v>
      </c>
      <c r="R1037" s="5" cm="1">
        <f t="array" ref="R1037">MIN(IF((DiscreteStatsTable[GroupByKey]=DiscreteStatsTable[[#This Row],[GroupByKey]]),(DiscreteStatsTable[GroupByKey]=DiscreteStatsTable[[#This Row],[GroupByKey]])*DiscreteStatsTable[Average]))</f>
        <v>0.54332107247146499</v>
      </c>
      <c r="S1037" s="5" cm="1">
        <f t="array" ref="S1037">MAX(IF((DiscreteStatsTable[GroupByKey]=DiscreteStatsTable[[#This Row],[GroupByKey]]),(DiscreteStatsTable[GroupByKey]=DiscreteStatsTable[[#This Row],[GroupByKey]])*DiscreteStatsTable[Average]))</f>
        <v>0.815482524363215</v>
      </c>
      <c r="T1037" s="5" cm="1">
        <f t="array" ref="T1037">MIN(IF((DiscreteStatsTable[GroupByKey]=DiscreteStatsTable[[#This Row],[GroupByKey]]),(DiscreteStatsTable[GroupByKey]=DiscreteStatsTable[[#This Row],[GroupByKey]])*DiscreteStatsTable[Minimum]))</f>
        <v>0.54332107247146499</v>
      </c>
      <c r="U1037" s="5" cm="1">
        <f t="array" ref="U1037">MAX(IF((DiscreteStatsTable[GroupByKey]=DiscreteStatsTable[[#This Row],[GroupByKey]]),(DiscreteStatsTable[GroupByKey]=DiscreteStatsTable[[#This Row],[GroupByKey]])*DiscreteStatsTable[Maximum]))</f>
        <v>0.815482524363215</v>
      </c>
      <c r="V1037" s="5" cm="1">
        <f t="array" ref="V1037">IFERROR(AVERAGE(IF((DiscreteStatsTable[GroupByKey]=DiscreteStatsTable[[#This Row],[GroupByKey]]),(DiscreteStatsTable[GroupByKey]=DiscreteStatsTable[[#This Row],[GroupByKey]])*DiscreteStatsTable[NumberObservations])),0)</f>
        <v>1</v>
      </c>
      <c r="W1037" s="5">
        <f>IF((DiscreteStatsTable[[#This Row],[RepsRequested]]&gt;1),DiscreteStatsTable[[#This Row],[HalfWidth]],DiscreteStatsTable[[#This Row],[BatchMeansHalfWidth]])</f>
        <v>3.6235199857210437E-2</v>
      </c>
      <c r="X1037" s="5" cm="1">
        <f t="array" ref="X1037">COUNT(IF((DiscreteStatsTable[GroupByKey]=DiscreteStatsTable[[#This Row],[GroupByKey]]),(DiscreteStatsTable[GroupByKey]=DiscreteStatsTable[[#This Row],[GroupByKey]])*DiscreteStatsTable[Replication]))</f>
        <v>19</v>
      </c>
      <c r="Y1037" s="5">
        <f>IF(DiscreteStatsTable[[#This Row],[RepsRequested]]=DiscreteStatsTable[[#This Row],[RepsWithStatObserved]],1,0)</f>
        <v>1</v>
      </c>
    </row>
    <row r="1038" spans="1:25" x14ac:dyDescent="0.25">
      <c r="A1038" t="s">
        <v>67</v>
      </c>
      <c r="B1038" t="s">
        <v>69</v>
      </c>
      <c r="C1038">
        <v>16</v>
      </c>
      <c r="D1038" t="s">
        <v>125</v>
      </c>
      <c r="E1038" t="s">
        <v>79</v>
      </c>
      <c r="F1038" t="s">
        <v>80</v>
      </c>
      <c r="G1038">
        <v>0.65230209743994905</v>
      </c>
      <c r="H1038">
        <v>2E+20</v>
      </c>
      <c r="I1038">
        <v>0.65230209743994905</v>
      </c>
      <c r="J1038">
        <v>0.65230209743994905</v>
      </c>
      <c r="K1038">
        <v>1</v>
      </c>
      <c r="L103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compartida)UtilizacionCocinaH2ExpressionUser Specified</v>
      </c>
      <c r="M1038" s="5" cm="1">
        <f t="array" ref="M1038">MAX(IF((ProjectInfoTable[ProjectName]=DiscreteStatsTable[[#This Row],[ProjectName]]),(ProjectInfoTable[ProjectName]=DiscreteStatsTable[[#This Row],[ProjectName]])*ProjectInfoTable[NumberOfReplications]))</f>
        <v>19</v>
      </c>
      <c r="N1038" s="5" cm="1">
        <f t="array" ref="N1038">IFERROR(AVERAGE(IF((DiscreteStatsTable[GroupByKey]=DiscreteStatsTable[[#This Row],[GroupByKey]]),(DiscreteStatsTable[GroupByKey]=DiscreteStatsTable[[#This Row],[GroupByKey]])*DiscreteStatsTable[Average])),0)</f>
        <v>0.68140291572007905</v>
      </c>
      <c r="O1038" s="5" cm="1">
        <f t="array" ref="O1038">IFERROR(_xlfn.STDEV.S(IF((DiscreteStatsTable[GroupByKey]=DiscreteStatsTable[[#This Row],[GroupByKey]]),(DiscreteStatsTable[GroupByKey]=DiscreteStatsTable[[#This Row],[GroupByKey]])*DiscreteStatsTable[Average])),0)</f>
        <v>7.5179169598534323E-2</v>
      </c>
      <c r="P1038" s="5" cm="1">
        <f t="array" ref="P1038">MAX(IF((ProjectInfoTable[ProjectName]=DiscreteStatsTable[[#This Row],[ProjectName]]),(ProjectInfoTable[ProjectName]=DiscreteStatsTable[[#This Row],[ProjectName]])*ProjectInfoTable[ConfidenceInterval]))</f>
        <v>0.95</v>
      </c>
      <c r="Q1038" s="5">
        <f>IF(AND(DiscreteStatsTable[[#This Row],[RepsWithStatObserved]]=1,Y1038=0),200000000000000000000,IFERROR(_xlfn.T.INV.2T(1 -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3.6235199857210437E-2</v>
      </c>
      <c r="R1038" s="5" cm="1">
        <f t="array" ref="R1038">MIN(IF((DiscreteStatsTable[GroupByKey]=DiscreteStatsTable[[#This Row],[GroupByKey]]),(DiscreteStatsTable[GroupByKey]=DiscreteStatsTable[[#This Row],[GroupByKey]])*DiscreteStatsTable[Average]))</f>
        <v>0.54332107247146499</v>
      </c>
      <c r="S1038" s="5" cm="1">
        <f t="array" ref="S1038">MAX(IF((DiscreteStatsTable[GroupByKey]=DiscreteStatsTable[[#This Row],[GroupByKey]]),(DiscreteStatsTable[GroupByKey]=DiscreteStatsTable[[#This Row],[GroupByKey]])*DiscreteStatsTable[Average]))</f>
        <v>0.815482524363215</v>
      </c>
      <c r="T1038" s="5" cm="1">
        <f t="array" ref="T1038">MIN(IF((DiscreteStatsTable[GroupByKey]=DiscreteStatsTable[[#This Row],[GroupByKey]]),(DiscreteStatsTable[GroupByKey]=DiscreteStatsTable[[#This Row],[GroupByKey]])*DiscreteStatsTable[Minimum]))</f>
        <v>0.54332107247146499</v>
      </c>
      <c r="U1038" s="5" cm="1">
        <f t="array" ref="U1038">MAX(IF((DiscreteStatsTable[GroupByKey]=DiscreteStatsTable[[#This Row],[GroupByKey]]),(DiscreteStatsTable[GroupByKey]=DiscreteStatsTable[[#This Row],[GroupByKey]])*DiscreteStatsTable[Maximum]))</f>
        <v>0.815482524363215</v>
      </c>
      <c r="V1038" s="5" cm="1">
        <f t="array" ref="V1038">IFERROR(AVERAGE(IF((DiscreteStatsTable[GroupByKey]=DiscreteStatsTable[[#This Row],[GroupByKey]]),(DiscreteStatsTable[GroupByKey]=DiscreteStatsTable[[#This Row],[GroupByKey]])*DiscreteStatsTable[NumberObservations])),0)</f>
        <v>1</v>
      </c>
      <c r="W1038" s="5">
        <f>IF((DiscreteStatsTable[[#This Row],[RepsRequested]]&gt;1),DiscreteStatsTable[[#This Row],[HalfWidth]],DiscreteStatsTable[[#This Row],[BatchMeansHalfWidth]])</f>
        <v>3.6235199857210437E-2</v>
      </c>
      <c r="X1038" s="5" cm="1">
        <f t="array" ref="X1038">COUNT(IF((DiscreteStatsTable[GroupByKey]=DiscreteStatsTable[[#This Row],[GroupByKey]]),(DiscreteStatsTable[GroupByKey]=DiscreteStatsTable[[#This Row],[GroupByKey]])*DiscreteStatsTable[Replication]))</f>
        <v>19</v>
      </c>
      <c r="Y1038" s="5">
        <f>IF(DiscreteStatsTable[[#This Row],[RepsRequested]]=DiscreteStatsTable[[#This Row],[RepsWithStatObserved]],1,0)</f>
        <v>1</v>
      </c>
    </row>
    <row r="1039" spans="1:25" x14ac:dyDescent="0.25">
      <c r="A1039" t="s">
        <v>67</v>
      </c>
      <c r="B1039" t="s">
        <v>69</v>
      </c>
      <c r="C1039">
        <v>17</v>
      </c>
      <c r="D1039" t="s">
        <v>125</v>
      </c>
      <c r="E1039" t="s">
        <v>79</v>
      </c>
      <c r="F1039" t="s">
        <v>80</v>
      </c>
      <c r="G1039">
        <v>0.75662675129033696</v>
      </c>
      <c r="H1039">
        <v>2E+20</v>
      </c>
      <c r="I1039">
        <v>0.75662675129033696</v>
      </c>
      <c r="J1039">
        <v>0.75662675129033696</v>
      </c>
      <c r="K1039">
        <v>1</v>
      </c>
      <c r="L103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compartida)UtilizacionCocinaH2ExpressionUser Specified</v>
      </c>
      <c r="M1039" s="5" cm="1">
        <f t="array" ref="M1039">MAX(IF((ProjectInfoTable[ProjectName]=DiscreteStatsTable[[#This Row],[ProjectName]]),(ProjectInfoTable[ProjectName]=DiscreteStatsTable[[#This Row],[ProjectName]])*ProjectInfoTable[NumberOfReplications]))</f>
        <v>19</v>
      </c>
      <c r="N1039" s="5" cm="1">
        <f t="array" ref="N1039">IFERROR(AVERAGE(IF((DiscreteStatsTable[GroupByKey]=DiscreteStatsTable[[#This Row],[GroupByKey]]),(DiscreteStatsTable[GroupByKey]=DiscreteStatsTable[[#This Row],[GroupByKey]])*DiscreteStatsTable[Average])),0)</f>
        <v>0.68140291572007905</v>
      </c>
      <c r="O1039" s="5" cm="1">
        <f t="array" ref="O1039">IFERROR(_xlfn.STDEV.S(IF((DiscreteStatsTable[GroupByKey]=DiscreteStatsTable[[#This Row],[GroupByKey]]),(DiscreteStatsTable[GroupByKey]=DiscreteStatsTable[[#This Row],[GroupByKey]])*DiscreteStatsTable[Average])),0)</f>
        <v>7.5179169598534323E-2</v>
      </c>
      <c r="P1039" s="5" cm="1">
        <f t="array" ref="P1039">MAX(IF((ProjectInfoTable[ProjectName]=DiscreteStatsTable[[#This Row],[ProjectName]]),(ProjectInfoTable[ProjectName]=DiscreteStatsTable[[#This Row],[ProjectName]])*ProjectInfoTable[ConfidenceInterval]))</f>
        <v>0.95</v>
      </c>
      <c r="Q1039" s="5">
        <f>IF(AND(DiscreteStatsTable[[#This Row],[RepsWithStatObserved]]=1,Y1039=0),200000000000000000000,IFERROR(_xlfn.T.INV.2T(1 -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3.6235199857210437E-2</v>
      </c>
      <c r="R1039" s="5" cm="1">
        <f t="array" ref="R1039">MIN(IF((DiscreteStatsTable[GroupByKey]=DiscreteStatsTable[[#This Row],[GroupByKey]]),(DiscreteStatsTable[GroupByKey]=DiscreteStatsTable[[#This Row],[GroupByKey]])*DiscreteStatsTable[Average]))</f>
        <v>0.54332107247146499</v>
      </c>
      <c r="S1039" s="5" cm="1">
        <f t="array" ref="S1039">MAX(IF((DiscreteStatsTable[GroupByKey]=DiscreteStatsTable[[#This Row],[GroupByKey]]),(DiscreteStatsTable[GroupByKey]=DiscreteStatsTable[[#This Row],[GroupByKey]])*DiscreteStatsTable[Average]))</f>
        <v>0.815482524363215</v>
      </c>
      <c r="T1039" s="5" cm="1">
        <f t="array" ref="T1039">MIN(IF((DiscreteStatsTable[GroupByKey]=DiscreteStatsTable[[#This Row],[GroupByKey]]),(DiscreteStatsTable[GroupByKey]=DiscreteStatsTable[[#This Row],[GroupByKey]])*DiscreteStatsTable[Minimum]))</f>
        <v>0.54332107247146499</v>
      </c>
      <c r="U1039" s="5" cm="1">
        <f t="array" ref="U1039">MAX(IF((DiscreteStatsTable[GroupByKey]=DiscreteStatsTable[[#This Row],[GroupByKey]]),(DiscreteStatsTable[GroupByKey]=DiscreteStatsTable[[#This Row],[GroupByKey]])*DiscreteStatsTable[Maximum]))</f>
        <v>0.815482524363215</v>
      </c>
      <c r="V1039" s="5" cm="1">
        <f t="array" ref="V1039">IFERROR(AVERAGE(IF((DiscreteStatsTable[GroupByKey]=DiscreteStatsTable[[#This Row],[GroupByKey]]),(DiscreteStatsTable[GroupByKey]=DiscreteStatsTable[[#This Row],[GroupByKey]])*DiscreteStatsTable[NumberObservations])),0)</f>
        <v>1</v>
      </c>
      <c r="W1039" s="5">
        <f>IF((DiscreteStatsTable[[#This Row],[RepsRequested]]&gt;1),DiscreteStatsTable[[#This Row],[HalfWidth]],DiscreteStatsTable[[#This Row],[BatchMeansHalfWidth]])</f>
        <v>3.6235199857210437E-2</v>
      </c>
      <c r="X1039" s="5" cm="1">
        <f t="array" ref="X1039">COUNT(IF((DiscreteStatsTable[GroupByKey]=DiscreteStatsTable[[#This Row],[GroupByKey]]),(DiscreteStatsTable[GroupByKey]=DiscreteStatsTable[[#This Row],[GroupByKey]])*DiscreteStatsTable[Replication]))</f>
        <v>19</v>
      </c>
      <c r="Y1039" s="5">
        <f>IF(DiscreteStatsTable[[#This Row],[RepsRequested]]=DiscreteStatsTable[[#This Row],[RepsWithStatObserved]],1,0)</f>
        <v>1</v>
      </c>
    </row>
    <row r="1040" spans="1:25" x14ac:dyDescent="0.25">
      <c r="A1040" t="s">
        <v>67</v>
      </c>
      <c r="B1040" t="s">
        <v>69</v>
      </c>
      <c r="C1040">
        <v>18</v>
      </c>
      <c r="D1040" t="s">
        <v>125</v>
      </c>
      <c r="E1040" t="s">
        <v>79</v>
      </c>
      <c r="F1040" t="s">
        <v>80</v>
      </c>
      <c r="G1040">
        <v>0.72182933190494702</v>
      </c>
      <c r="H1040">
        <v>2E+20</v>
      </c>
      <c r="I1040">
        <v>0.72182933190494702</v>
      </c>
      <c r="J1040">
        <v>0.72182933190494702</v>
      </c>
      <c r="K1040">
        <v>1</v>
      </c>
      <c r="L104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compartida)UtilizacionCocinaH2ExpressionUser Specified</v>
      </c>
      <c r="M1040" s="5" cm="1">
        <f t="array" ref="M1040">MAX(IF((ProjectInfoTable[ProjectName]=DiscreteStatsTable[[#This Row],[ProjectName]]),(ProjectInfoTable[ProjectName]=DiscreteStatsTable[[#This Row],[ProjectName]])*ProjectInfoTable[NumberOfReplications]))</f>
        <v>19</v>
      </c>
      <c r="N1040" s="5" cm="1">
        <f t="array" ref="N1040">IFERROR(AVERAGE(IF((DiscreteStatsTable[GroupByKey]=DiscreteStatsTable[[#This Row],[GroupByKey]]),(DiscreteStatsTable[GroupByKey]=DiscreteStatsTable[[#This Row],[GroupByKey]])*DiscreteStatsTable[Average])),0)</f>
        <v>0.68140291572007905</v>
      </c>
      <c r="O1040" s="5" cm="1">
        <f t="array" ref="O1040">IFERROR(_xlfn.STDEV.S(IF((DiscreteStatsTable[GroupByKey]=DiscreteStatsTable[[#This Row],[GroupByKey]]),(DiscreteStatsTable[GroupByKey]=DiscreteStatsTable[[#This Row],[GroupByKey]])*DiscreteStatsTable[Average])),0)</f>
        <v>7.5179169598534323E-2</v>
      </c>
      <c r="P1040" s="5" cm="1">
        <f t="array" ref="P1040">MAX(IF((ProjectInfoTable[ProjectName]=DiscreteStatsTable[[#This Row],[ProjectName]]),(ProjectInfoTable[ProjectName]=DiscreteStatsTable[[#This Row],[ProjectName]])*ProjectInfoTable[ConfidenceInterval]))</f>
        <v>0.95</v>
      </c>
      <c r="Q1040" s="5">
        <f>IF(AND(DiscreteStatsTable[[#This Row],[RepsWithStatObserved]]=1,Y1040=0),200000000000000000000,IFERROR(_xlfn.T.INV.2T(1 -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3.6235199857210437E-2</v>
      </c>
      <c r="R1040" s="5" cm="1">
        <f t="array" ref="R1040">MIN(IF((DiscreteStatsTable[GroupByKey]=DiscreteStatsTable[[#This Row],[GroupByKey]]),(DiscreteStatsTable[GroupByKey]=DiscreteStatsTable[[#This Row],[GroupByKey]])*DiscreteStatsTable[Average]))</f>
        <v>0.54332107247146499</v>
      </c>
      <c r="S1040" s="5" cm="1">
        <f t="array" ref="S1040">MAX(IF((DiscreteStatsTable[GroupByKey]=DiscreteStatsTable[[#This Row],[GroupByKey]]),(DiscreteStatsTable[GroupByKey]=DiscreteStatsTable[[#This Row],[GroupByKey]])*DiscreteStatsTable[Average]))</f>
        <v>0.815482524363215</v>
      </c>
      <c r="T1040" s="5" cm="1">
        <f t="array" ref="T1040">MIN(IF((DiscreteStatsTable[GroupByKey]=DiscreteStatsTable[[#This Row],[GroupByKey]]),(DiscreteStatsTable[GroupByKey]=DiscreteStatsTable[[#This Row],[GroupByKey]])*DiscreteStatsTable[Minimum]))</f>
        <v>0.54332107247146499</v>
      </c>
      <c r="U1040" s="5" cm="1">
        <f t="array" ref="U1040">MAX(IF((DiscreteStatsTable[GroupByKey]=DiscreteStatsTable[[#This Row],[GroupByKey]]),(DiscreteStatsTable[GroupByKey]=DiscreteStatsTable[[#This Row],[GroupByKey]])*DiscreteStatsTable[Maximum]))</f>
        <v>0.815482524363215</v>
      </c>
      <c r="V1040" s="5" cm="1">
        <f t="array" ref="V1040">IFERROR(AVERAGE(IF((DiscreteStatsTable[GroupByKey]=DiscreteStatsTable[[#This Row],[GroupByKey]]),(DiscreteStatsTable[GroupByKey]=DiscreteStatsTable[[#This Row],[GroupByKey]])*DiscreteStatsTable[NumberObservations])),0)</f>
        <v>1</v>
      </c>
      <c r="W1040" s="5">
        <f>IF((DiscreteStatsTable[[#This Row],[RepsRequested]]&gt;1),DiscreteStatsTable[[#This Row],[HalfWidth]],DiscreteStatsTable[[#This Row],[BatchMeansHalfWidth]])</f>
        <v>3.6235199857210437E-2</v>
      </c>
      <c r="X1040" s="5" cm="1">
        <f t="array" ref="X1040">COUNT(IF((DiscreteStatsTable[GroupByKey]=DiscreteStatsTable[[#This Row],[GroupByKey]]),(DiscreteStatsTable[GroupByKey]=DiscreteStatsTable[[#This Row],[GroupByKey]])*DiscreteStatsTable[Replication]))</f>
        <v>19</v>
      </c>
      <c r="Y1040" s="5">
        <f>IF(DiscreteStatsTable[[#This Row],[RepsRequested]]=DiscreteStatsTable[[#This Row],[RepsWithStatObserved]],1,0)</f>
        <v>1</v>
      </c>
    </row>
    <row r="1041" spans="1:25" x14ac:dyDescent="0.25">
      <c r="A1041" t="s">
        <v>67</v>
      </c>
      <c r="B1041" t="s">
        <v>69</v>
      </c>
      <c r="C1041">
        <v>19</v>
      </c>
      <c r="D1041" t="s">
        <v>125</v>
      </c>
      <c r="E1041" t="s">
        <v>79</v>
      </c>
      <c r="F1041" t="s">
        <v>80</v>
      </c>
      <c r="G1041">
        <v>0.63794587740257103</v>
      </c>
      <c r="H1041">
        <v>2E+20</v>
      </c>
      <c r="I1041">
        <v>0.63794587740257103</v>
      </c>
      <c r="J1041">
        <v>0.63794587740257103</v>
      </c>
      <c r="K1041">
        <v>1</v>
      </c>
      <c r="L104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compartida)UtilizacionCocinaH2ExpressionUser Specified</v>
      </c>
      <c r="M1041" s="5" cm="1">
        <f t="array" ref="M1041">MAX(IF((ProjectInfoTable[ProjectName]=DiscreteStatsTable[[#This Row],[ProjectName]]),(ProjectInfoTable[ProjectName]=DiscreteStatsTable[[#This Row],[ProjectName]])*ProjectInfoTable[NumberOfReplications]))</f>
        <v>19</v>
      </c>
      <c r="N1041" s="5" cm="1">
        <f t="array" ref="N1041">IFERROR(AVERAGE(IF((DiscreteStatsTable[GroupByKey]=DiscreteStatsTable[[#This Row],[GroupByKey]]),(DiscreteStatsTable[GroupByKey]=DiscreteStatsTable[[#This Row],[GroupByKey]])*DiscreteStatsTable[Average])),0)</f>
        <v>0.68140291572007905</v>
      </c>
      <c r="O1041" s="5" cm="1">
        <f t="array" ref="O1041">IFERROR(_xlfn.STDEV.S(IF((DiscreteStatsTable[GroupByKey]=DiscreteStatsTable[[#This Row],[GroupByKey]]),(DiscreteStatsTable[GroupByKey]=DiscreteStatsTable[[#This Row],[GroupByKey]])*DiscreteStatsTable[Average])),0)</f>
        <v>7.5179169598534323E-2</v>
      </c>
      <c r="P1041" s="5" cm="1">
        <f t="array" ref="P1041">MAX(IF((ProjectInfoTable[ProjectName]=DiscreteStatsTable[[#This Row],[ProjectName]]),(ProjectInfoTable[ProjectName]=DiscreteStatsTable[[#This Row],[ProjectName]])*ProjectInfoTable[ConfidenceInterval]))</f>
        <v>0.95</v>
      </c>
      <c r="Q1041" s="5">
        <f>IF(AND(DiscreteStatsTable[[#This Row],[RepsWithStatObserved]]=1,Y1041=0),200000000000000000000,IFERROR(_xlfn.T.INV.2T(1 -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3.6235199857210437E-2</v>
      </c>
      <c r="R1041" s="5" cm="1">
        <f t="array" ref="R1041">MIN(IF((DiscreteStatsTable[GroupByKey]=DiscreteStatsTable[[#This Row],[GroupByKey]]),(DiscreteStatsTable[GroupByKey]=DiscreteStatsTable[[#This Row],[GroupByKey]])*DiscreteStatsTable[Average]))</f>
        <v>0.54332107247146499</v>
      </c>
      <c r="S1041" s="5" cm="1">
        <f t="array" ref="S1041">MAX(IF((DiscreteStatsTable[GroupByKey]=DiscreteStatsTable[[#This Row],[GroupByKey]]),(DiscreteStatsTable[GroupByKey]=DiscreteStatsTable[[#This Row],[GroupByKey]])*DiscreteStatsTable[Average]))</f>
        <v>0.815482524363215</v>
      </c>
      <c r="T1041" s="5" cm="1">
        <f t="array" ref="T1041">MIN(IF((DiscreteStatsTable[GroupByKey]=DiscreteStatsTable[[#This Row],[GroupByKey]]),(DiscreteStatsTable[GroupByKey]=DiscreteStatsTable[[#This Row],[GroupByKey]])*DiscreteStatsTable[Minimum]))</f>
        <v>0.54332107247146499</v>
      </c>
      <c r="U1041" s="5" cm="1">
        <f t="array" ref="U1041">MAX(IF((DiscreteStatsTable[GroupByKey]=DiscreteStatsTable[[#This Row],[GroupByKey]]),(DiscreteStatsTable[GroupByKey]=DiscreteStatsTable[[#This Row],[GroupByKey]])*DiscreteStatsTable[Maximum]))</f>
        <v>0.815482524363215</v>
      </c>
      <c r="V1041" s="5" cm="1">
        <f t="array" ref="V1041">IFERROR(AVERAGE(IF((DiscreteStatsTable[GroupByKey]=DiscreteStatsTable[[#This Row],[GroupByKey]]),(DiscreteStatsTable[GroupByKey]=DiscreteStatsTable[[#This Row],[GroupByKey]])*DiscreteStatsTable[NumberObservations])),0)</f>
        <v>1</v>
      </c>
      <c r="W1041" s="5">
        <f>IF((DiscreteStatsTable[[#This Row],[RepsRequested]]&gt;1),DiscreteStatsTable[[#This Row],[HalfWidth]],DiscreteStatsTable[[#This Row],[BatchMeansHalfWidth]])</f>
        <v>3.6235199857210437E-2</v>
      </c>
      <c r="X1041" s="5" cm="1">
        <f t="array" ref="X1041">COUNT(IF((DiscreteStatsTable[GroupByKey]=DiscreteStatsTable[[#This Row],[GroupByKey]]),(DiscreteStatsTable[GroupByKey]=DiscreteStatsTable[[#This Row],[GroupByKey]])*DiscreteStatsTable[Replication]))</f>
        <v>19</v>
      </c>
      <c r="Y1041" s="5">
        <f>IF(DiscreteStatsTable[[#This Row],[RepsRequested]]=DiscreteStatsTable[[#This Row],[RepsWithStatObserved]],1,0)</f>
        <v>1</v>
      </c>
    </row>
    <row r="1042" spans="1:25" x14ac:dyDescent="0.25">
      <c r="A1042" t="s">
        <v>67</v>
      </c>
      <c r="B1042" t="s">
        <v>69</v>
      </c>
      <c r="C1042">
        <v>1</v>
      </c>
      <c r="D1042" t="s">
        <v>126</v>
      </c>
      <c r="E1042" t="s">
        <v>79</v>
      </c>
      <c r="F1042" t="s">
        <v>80</v>
      </c>
      <c r="G1042">
        <v>0.82897119936997599</v>
      </c>
      <c r="H1042">
        <v>2E+20</v>
      </c>
      <c r="I1042">
        <v>0.82897119936997599</v>
      </c>
      <c r="J1042">
        <v>0.82897119936997599</v>
      </c>
      <c r="K1042">
        <v>1</v>
      </c>
      <c r="L104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compartida)UtilizacionCocinaH3ExpressionUser Specified</v>
      </c>
      <c r="M1042" s="5" cm="1">
        <f t="array" ref="M1042">MAX(IF((ProjectInfoTable[ProjectName]=DiscreteStatsTable[[#This Row],[ProjectName]]),(ProjectInfoTable[ProjectName]=DiscreteStatsTable[[#This Row],[ProjectName]])*ProjectInfoTable[NumberOfReplications]))</f>
        <v>19</v>
      </c>
      <c r="N1042" s="5" cm="1">
        <f t="array" ref="N1042">IFERROR(AVERAGE(IF((DiscreteStatsTable[GroupByKey]=DiscreteStatsTable[[#This Row],[GroupByKey]]),(DiscreteStatsTable[GroupByKey]=DiscreteStatsTable[[#This Row],[GroupByKey]])*DiscreteStatsTable[Average])),0)</f>
        <v>0.68474836505339687</v>
      </c>
      <c r="O1042" s="5" cm="1">
        <f t="array" ref="O1042">IFERROR(_xlfn.STDEV.S(IF((DiscreteStatsTable[GroupByKey]=DiscreteStatsTable[[#This Row],[GroupByKey]]),(DiscreteStatsTable[GroupByKey]=DiscreteStatsTable[[#This Row],[GroupByKey]])*DiscreteStatsTable[Average])),0)</f>
        <v>6.2272947935973065E-2</v>
      </c>
      <c r="P1042" s="5" cm="1">
        <f t="array" ref="P1042">MAX(IF((ProjectInfoTable[ProjectName]=DiscreteStatsTable[[#This Row],[ProjectName]]),(ProjectInfoTable[ProjectName]=DiscreteStatsTable[[#This Row],[ProjectName]])*ProjectInfoTable[ConfidenceInterval]))</f>
        <v>0.95</v>
      </c>
      <c r="Q1042" s="5">
        <f>IF(AND(DiscreteStatsTable[[#This Row],[RepsWithStatObserved]]=1,Y1042=0),200000000000000000000,IFERROR(_xlfn.T.INV.2T(1 -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3.0014600137344902E-2</v>
      </c>
      <c r="R1042" s="5" cm="1">
        <f t="array" ref="R1042">MIN(IF((DiscreteStatsTable[GroupByKey]=DiscreteStatsTable[[#This Row],[GroupByKey]]),(DiscreteStatsTable[GroupByKey]=DiscreteStatsTable[[#This Row],[GroupByKey]])*DiscreteStatsTable[Average]))</f>
        <v>0.59592290927233305</v>
      </c>
      <c r="S1042" s="5" cm="1">
        <f t="array" ref="S1042">MAX(IF((DiscreteStatsTable[GroupByKey]=DiscreteStatsTable[[#This Row],[GroupByKey]]),(DiscreteStatsTable[GroupByKey]=DiscreteStatsTable[[#This Row],[GroupByKey]])*DiscreteStatsTable[Average]))</f>
        <v>0.82897119936997599</v>
      </c>
      <c r="T1042" s="5" cm="1">
        <f t="array" ref="T1042">MIN(IF((DiscreteStatsTable[GroupByKey]=DiscreteStatsTable[[#This Row],[GroupByKey]]),(DiscreteStatsTable[GroupByKey]=DiscreteStatsTable[[#This Row],[GroupByKey]])*DiscreteStatsTable[Minimum]))</f>
        <v>0.59592290927233305</v>
      </c>
      <c r="U1042" s="5" cm="1">
        <f t="array" ref="U1042">MAX(IF((DiscreteStatsTable[GroupByKey]=DiscreteStatsTable[[#This Row],[GroupByKey]]),(DiscreteStatsTable[GroupByKey]=DiscreteStatsTable[[#This Row],[GroupByKey]])*DiscreteStatsTable[Maximum]))</f>
        <v>0.82897119936997599</v>
      </c>
      <c r="V1042" s="5" cm="1">
        <f t="array" ref="V1042">IFERROR(AVERAGE(IF((DiscreteStatsTable[GroupByKey]=DiscreteStatsTable[[#This Row],[GroupByKey]]),(DiscreteStatsTable[GroupByKey]=DiscreteStatsTable[[#This Row],[GroupByKey]])*DiscreteStatsTable[NumberObservations])),0)</f>
        <v>1</v>
      </c>
      <c r="W1042" s="5">
        <f>IF((DiscreteStatsTable[[#This Row],[RepsRequested]]&gt;1),DiscreteStatsTable[[#This Row],[HalfWidth]],DiscreteStatsTable[[#This Row],[BatchMeansHalfWidth]])</f>
        <v>3.0014600137344902E-2</v>
      </c>
      <c r="X1042" s="5" cm="1">
        <f t="array" ref="X1042">COUNT(IF((DiscreteStatsTable[GroupByKey]=DiscreteStatsTable[[#This Row],[GroupByKey]]),(DiscreteStatsTable[GroupByKey]=DiscreteStatsTable[[#This Row],[GroupByKey]])*DiscreteStatsTable[Replication]))</f>
        <v>19</v>
      </c>
      <c r="Y1042" s="5">
        <f>IF(DiscreteStatsTable[[#This Row],[RepsRequested]]=DiscreteStatsTable[[#This Row],[RepsWithStatObserved]],1,0)</f>
        <v>1</v>
      </c>
    </row>
    <row r="1043" spans="1:25" x14ac:dyDescent="0.25">
      <c r="A1043" t="s">
        <v>67</v>
      </c>
      <c r="B1043" t="s">
        <v>69</v>
      </c>
      <c r="C1043">
        <v>2</v>
      </c>
      <c r="D1043" t="s">
        <v>126</v>
      </c>
      <c r="E1043" t="s">
        <v>79</v>
      </c>
      <c r="F1043" t="s">
        <v>80</v>
      </c>
      <c r="G1043">
        <v>0.63054559860404802</v>
      </c>
      <c r="H1043">
        <v>2E+20</v>
      </c>
      <c r="I1043">
        <v>0.63054559860404802</v>
      </c>
      <c r="J1043">
        <v>0.63054559860404802</v>
      </c>
      <c r="K1043">
        <v>1</v>
      </c>
      <c r="L104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compartida)UtilizacionCocinaH3ExpressionUser Specified</v>
      </c>
      <c r="M1043" s="5" cm="1">
        <f t="array" ref="M1043">MAX(IF((ProjectInfoTable[ProjectName]=DiscreteStatsTable[[#This Row],[ProjectName]]),(ProjectInfoTable[ProjectName]=DiscreteStatsTable[[#This Row],[ProjectName]])*ProjectInfoTable[NumberOfReplications]))</f>
        <v>19</v>
      </c>
      <c r="N1043" s="5" cm="1">
        <f t="array" ref="N1043">IFERROR(AVERAGE(IF((DiscreteStatsTable[GroupByKey]=DiscreteStatsTable[[#This Row],[GroupByKey]]),(DiscreteStatsTable[GroupByKey]=DiscreteStatsTable[[#This Row],[GroupByKey]])*DiscreteStatsTable[Average])),0)</f>
        <v>0.68474836505339687</v>
      </c>
      <c r="O1043" s="5" cm="1">
        <f t="array" ref="O1043">IFERROR(_xlfn.STDEV.S(IF((DiscreteStatsTable[GroupByKey]=DiscreteStatsTable[[#This Row],[GroupByKey]]),(DiscreteStatsTable[GroupByKey]=DiscreteStatsTable[[#This Row],[GroupByKey]])*DiscreteStatsTable[Average])),0)</f>
        <v>6.2272947935973065E-2</v>
      </c>
      <c r="P1043" s="5" cm="1">
        <f t="array" ref="P1043">MAX(IF((ProjectInfoTable[ProjectName]=DiscreteStatsTable[[#This Row],[ProjectName]]),(ProjectInfoTable[ProjectName]=DiscreteStatsTable[[#This Row],[ProjectName]])*ProjectInfoTable[ConfidenceInterval]))</f>
        <v>0.95</v>
      </c>
      <c r="Q1043" s="5">
        <f>IF(AND(DiscreteStatsTable[[#This Row],[RepsWithStatObserved]]=1,Y1043=0),200000000000000000000,IFERROR(_xlfn.T.INV.2T(1 -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3.0014600137344902E-2</v>
      </c>
      <c r="R1043" s="5" cm="1">
        <f t="array" ref="R1043">MIN(IF((DiscreteStatsTable[GroupByKey]=DiscreteStatsTable[[#This Row],[GroupByKey]]),(DiscreteStatsTable[GroupByKey]=DiscreteStatsTable[[#This Row],[GroupByKey]])*DiscreteStatsTable[Average]))</f>
        <v>0.59592290927233305</v>
      </c>
      <c r="S1043" s="5" cm="1">
        <f t="array" ref="S1043">MAX(IF((DiscreteStatsTable[GroupByKey]=DiscreteStatsTable[[#This Row],[GroupByKey]]),(DiscreteStatsTable[GroupByKey]=DiscreteStatsTable[[#This Row],[GroupByKey]])*DiscreteStatsTable[Average]))</f>
        <v>0.82897119936997599</v>
      </c>
      <c r="T1043" s="5" cm="1">
        <f t="array" ref="T1043">MIN(IF((DiscreteStatsTable[GroupByKey]=DiscreteStatsTable[[#This Row],[GroupByKey]]),(DiscreteStatsTable[GroupByKey]=DiscreteStatsTable[[#This Row],[GroupByKey]])*DiscreteStatsTable[Minimum]))</f>
        <v>0.59592290927233305</v>
      </c>
      <c r="U1043" s="5" cm="1">
        <f t="array" ref="U1043">MAX(IF((DiscreteStatsTable[GroupByKey]=DiscreteStatsTable[[#This Row],[GroupByKey]]),(DiscreteStatsTable[GroupByKey]=DiscreteStatsTable[[#This Row],[GroupByKey]])*DiscreteStatsTable[Maximum]))</f>
        <v>0.82897119936997599</v>
      </c>
      <c r="V1043" s="5" cm="1">
        <f t="array" ref="V1043">IFERROR(AVERAGE(IF((DiscreteStatsTable[GroupByKey]=DiscreteStatsTable[[#This Row],[GroupByKey]]),(DiscreteStatsTable[GroupByKey]=DiscreteStatsTable[[#This Row],[GroupByKey]])*DiscreteStatsTable[NumberObservations])),0)</f>
        <v>1</v>
      </c>
      <c r="W1043" s="5">
        <f>IF((DiscreteStatsTable[[#This Row],[RepsRequested]]&gt;1),DiscreteStatsTable[[#This Row],[HalfWidth]],DiscreteStatsTable[[#This Row],[BatchMeansHalfWidth]])</f>
        <v>3.0014600137344902E-2</v>
      </c>
      <c r="X1043" s="5" cm="1">
        <f t="array" ref="X1043">COUNT(IF((DiscreteStatsTable[GroupByKey]=DiscreteStatsTable[[#This Row],[GroupByKey]]),(DiscreteStatsTable[GroupByKey]=DiscreteStatsTable[[#This Row],[GroupByKey]])*DiscreteStatsTable[Replication]))</f>
        <v>19</v>
      </c>
      <c r="Y1043" s="5">
        <f>IF(DiscreteStatsTable[[#This Row],[RepsRequested]]=DiscreteStatsTable[[#This Row],[RepsWithStatObserved]],1,0)</f>
        <v>1</v>
      </c>
    </row>
    <row r="1044" spans="1:25" x14ac:dyDescent="0.25">
      <c r="A1044" t="s">
        <v>67</v>
      </c>
      <c r="B1044" t="s">
        <v>69</v>
      </c>
      <c r="C1044">
        <v>3</v>
      </c>
      <c r="D1044" t="s">
        <v>126</v>
      </c>
      <c r="E1044" t="s">
        <v>79</v>
      </c>
      <c r="F1044" t="s">
        <v>80</v>
      </c>
      <c r="G1044">
        <v>0.71651890712748101</v>
      </c>
      <c r="H1044">
        <v>2E+20</v>
      </c>
      <c r="I1044">
        <v>0.71651890712748101</v>
      </c>
      <c r="J1044">
        <v>0.71651890712748101</v>
      </c>
      <c r="K1044">
        <v>1</v>
      </c>
      <c r="L104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compartida)UtilizacionCocinaH3ExpressionUser Specified</v>
      </c>
      <c r="M1044" s="5" cm="1">
        <f t="array" ref="M1044">MAX(IF((ProjectInfoTable[ProjectName]=DiscreteStatsTable[[#This Row],[ProjectName]]),(ProjectInfoTable[ProjectName]=DiscreteStatsTable[[#This Row],[ProjectName]])*ProjectInfoTable[NumberOfReplications]))</f>
        <v>19</v>
      </c>
      <c r="N1044" s="5" cm="1">
        <f t="array" ref="N1044">IFERROR(AVERAGE(IF((DiscreteStatsTable[GroupByKey]=DiscreteStatsTable[[#This Row],[GroupByKey]]),(DiscreteStatsTable[GroupByKey]=DiscreteStatsTable[[#This Row],[GroupByKey]])*DiscreteStatsTable[Average])),0)</f>
        <v>0.68474836505339687</v>
      </c>
      <c r="O1044" s="5" cm="1">
        <f t="array" ref="O1044">IFERROR(_xlfn.STDEV.S(IF((DiscreteStatsTable[GroupByKey]=DiscreteStatsTable[[#This Row],[GroupByKey]]),(DiscreteStatsTable[GroupByKey]=DiscreteStatsTable[[#This Row],[GroupByKey]])*DiscreteStatsTable[Average])),0)</f>
        <v>6.2272947935973065E-2</v>
      </c>
      <c r="P1044" s="5" cm="1">
        <f t="array" ref="P1044">MAX(IF((ProjectInfoTable[ProjectName]=DiscreteStatsTable[[#This Row],[ProjectName]]),(ProjectInfoTable[ProjectName]=DiscreteStatsTable[[#This Row],[ProjectName]])*ProjectInfoTable[ConfidenceInterval]))</f>
        <v>0.95</v>
      </c>
      <c r="Q1044" s="5">
        <f>IF(AND(DiscreteStatsTable[[#This Row],[RepsWithStatObserved]]=1,Y1044=0),200000000000000000000,IFERROR(_xlfn.T.INV.2T(1 -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3.0014600137344902E-2</v>
      </c>
      <c r="R1044" s="5" cm="1">
        <f t="array" ref="R1044">MIN(IF((DiscreteStatsTable[GroupByKey]=DiscreteStatsTable[[#This Row],[GroupByKey]]),(DiscreteStatsTable[GroupByKey]=DiscreteStatsTable[[#This Row],[GroupByKey]])*DiscreteStatsTable[Average]))</f>
        <v>0.59592290927233305</v>
      </c>
      <c r="S1044" s="5" cm="1">
        <f t="array" ref="S1044">MAX(IF((DiscreteStatsTable[GroupByKey]=DiscreteStatsTable[[#This Row],[GroupByKey]]),(DiscreteStatsTable[GroupByKey]=DiscreteStatsTable[[#This Row],[GroupByKey]])*DiscreteStatsTable[Average]))</f>
        <v>0.82897119936997599</v>
      </c>
      <c r="T1044" s="5" cm="1">
        <f t="array" ref="T1044">MIN(IF((DiscreteStatsTable[GroupByKey]=DiscreteStatsTable[[#This Row],[GroupByKey]]),(DiscreteStatsTable[GroupByKey]=DiscreteStatsTable[[#This Row],[GroupByKey]])*DiscreteStatsTable[Minimum]))</f>
        <v>0.59592290927233305</v>
      </c>
      <c r="U1044" s="5" cm="1">
        <f t="array" ref="U1044">MAX(IF((DiscreteStatsTable[GroupByKey]=DiscreteStatsTable[[#This Row],[GroupByKey]]),(DiscreteStatsTable[GroupByKey]=DiscreteStatsTable[[#This Row],[GroupByKey]])*DiscreteStatsTable[Maximum]))</f>
        <v>0.82897119936997599</v>
      </c>
      <c r="V1044" s="5" cm="1">
        <f t="array" ref="V1044">IFERROR(AVERAGE(IF((DiscreteStatsTable[GroupByKey]=DiscreteStatsTable[[#This Row],[GroupByKey]]),(DiscreteStatsTable[GroupByKey]=DiscreteStatsTable[[#This Row],[GroupByKey]])*DiscreteStatsTable[NumberObservations])),0)</f>
        <v>1</v>
      </c>
      <c r="W1044" s="5">
        <f>IF((DiscreteStatsTable[[#This Row],[RepsRequested]]&gt;1),DiscreteStatsTable[[#This Row],[HalfWidth]],DiscreteStatsTable[[#This Row],[BatchMeansHalfWidth]])</f>
        <v>3.0014600137344902E-2</v>
      </c>
      <c r="X1044" s="5" cm="1">
        <f t="array" ref="X1044">COUNT(IF((DiscreteStatsTable[GroupByKey]=DiscreteStatsTable[[#This Row],[GroupByKey]]),(DiscreteStatsTable[GroupByKey]=DiscreteStatsTable[[#This Row],[GroupByKey]])*DiscreteStatsTable[Replication]))</f>
        <v>19</v>
      </c>
      <c r="Y1044" s="5">
        <f>IF(DiscreteStatsTable[[#This Row],[RepsRequested]]=DiscreteStatsTable[[#This Row],[RepsWithStatObserved]],1,0)</f>
        <v>1</v>
      </c>
    </row>
    <row r="1045" spans="1:25" x14ac:dyDescent="0.25">
      <c r="A1045" t="s">
        <v>67</v>
      </c>
      <c r="B1045" t="s">
        <v>69</v>
      </c>
      <c r="C1045">
        <v>4</v>
      </c>
      <c r="D1045" t="s">
        <v>126</v>
      </c>
      <c r="E1045" t="s">
        <v>79</v>
      </c>
      <c r="F1045" t="s">
        <v>80</v>
      </c>
      <c r="G1045">
        <v>0.65540630966095803</v>
      </c>
      <c r="H1045">
        <v>2E+20</v>
      </c>
      <c r="I1045">
        <v>0.65540630966095803</v>
      </c>
      <c r="J1045">
        <v>0.65540630966095803</v>
      </c>
      <c r="K1045">
        <v>1</v>
      </c>
      <c r="L104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compartida)UtilizacionCocinaH3ExpressionUser Specified</v>
      </c>
      <c r="M1045" s="5" cm="1">
        <f t="array" ref="M1045">MAX(IF((ProjectInfoTable[ProjectName]=DiscreteStatsTable[[#This Row],[ProjectName]]),(ProjectInfoTable[ProjectName]=DiscreteStatsTable[[#This Row],[ProjectName]])*ProjectInfoTable[NumberOfReplications]))</f>
        <v>19</v>
      </c>
      <c r="N1045" s="5" cm="1">
        <f t="array" ref="N1045">IFERROR(AVERAGE(IF((DiscreteStatsTable[GroupByKey]=DiscreteStatsTable[[#This Row],[GroupByKey]]),(DiscreteStatsTable[GroupByKey]=DiscreteStatsTable[[#This Row],[GroupByKey]])*DiscreteStatsTable[Average])),0)</f>
        <v>0.68474836505339687</v>
      </c>
      <c r="O1045" s="5" cm="1">
        <f t="array" ref="O1045">IFERROR(_xlfn.STDEV.S(IF((DiscreteStatsTable[GroupByKey]=DiscreteStatsTable[[#This Row],[GroupByKey]]),(DiscreteStatsTable[GroupByKey]=DiscreteStatsTable[[#This Row],[GroupByKey]])*DiscreteStatsTable[Average])),0)</f>
        <v>6.2272947935973065E-2</v>
      </c>
      <c r="P1045" s="5" cm="1">
        <f t="array" ref="P1045">MAX(IF((ProjectInfoTable[ProjectName]=DiscreteStatsTable[[#This Row],[ProjectName]]),(ProjectInfoTable[ProjectName]=DiscreteStatsTable[[#This Row],[ProjectName]])*ProjectInfoTable[ConfidenceInterval]))</f>
        <v>0.95</v>
      </c>
      <c r="Q1045" s="5">
        <f>IF(AND(DiscreteStatsTable[[#This Row],[RepsWithStatObserved]]=1,Y1045=0),200000000000000000000,IFERROR(_xlfn.T.INV.2T(1 -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3.0014600137344902E-2</v>
      </c>
      <c r="R1045" s="5" cm="1">
        <f t="array" ref="R1045">MIN(IF((DiscreteStatsTable[GroupByKey]=DiscreteStatsTable[[#This Row],[GroupByKey]]),(DiscreteStatsTable[GroupByKey]=DiscreteStatsTable[[#This Row],[GroupByKey]])*DiscreteStatsTable[Average]))</f>
        <v>0.59592290927233305</v>
      </c>
      <c r="S1045" s="5" cm="1">
        <f t="array" ref="S1045">MAX(IF((DiscreteStatsTable[GroupByKey]=DiscreteStatsTable[[#This Row],[GroupByKey]]),(DiscreteStatsTable[GroupByKey]=DiscreteStatsTable[[#This Row],[GroupByKey]])*DiscreteStatsTable[Average]))</f>
        <v>0.82897119936997599</v>
      </c>
      <c r="T1045" s="5" cm="1">
        <f t="array" ref="T1045">MIN(IF((DiscreteStatsTable[GroupByKey]=DiscreteStatsTable[[#This Row],[GroupByKey]]),(DiscreteStatsTable[GroupByKey]=DiscreteStatsTable[[#This Row],[GroupByKey]])*DiscreteStatsTable[Minimum]))</f>
        <v>0.59592290927233305</v>
      </c>
      <c r="U1045" s="5" cm="1">
        <f t="array" ref="U1045">MAX(IF((DiscreteStatsTable[GroupByKey]=DiscreteStatsTable[[#This Row],[GroupByKey]]),(DiscreteStatsTable[GroupByKey]=DiscreteStatsTable[[#This Row],[GroupByKey]])*DiscreteStatsTable[Maximum]))</f>
        <v>0.82897119936997599</v>
      </c>
      <c r="V1045" s="5" cm="1">
        <f t="array" ref="V1045">IFERROR(AVERAGE(IF((DiscreteStatsTable[GroupByKey]=DiscreteStatsTable[[#This Row],[GroupByKey]]),(DiscreteStatsTable[GroupByKey]=DiscreteStatsTable[[#This Row],[GroupByKey]])*DiscreteStatsTable[NumberObservations])),0)</f>
        <v>1</v>
      </c>
      <c r="W1045" s="5">
        <f>IF((DiscreteStatsTable[[#This Row],[RepsRequested]]&gt;1),DiscreteStatsTable[[#This Row],[HalfWidth]],DiscreteStatsTable[[#This Row],[BatchMeansHalfWidth]])</f>
        <v>3.0014600137344902E-2</v>
      </c>
      <c r="X1045" s="5" cm="1">
        <f t="array" ref="X1045">COUNT(IF((DiscreteStatsTable[GroupByKey]=DiscreteStatsTable[[#This Row],[GroupByKey]]),(DiscreteStatsTable[GroupByKey]=DiscreteStatsTable[[#This Row],[GroupByKey]])*DiscreteStatsTable[Replication]))</f>
        <v>19</v>
      </c>
      <c r="Y1045" s="5">
        <f>IF(DiscreteStatsTable[[#This Row],[RepsRequested]]=DiscreteStatsTable[[#This Row],[RepsWithStatObserved]],1,0)</f>
        <v>1</v>
      </c>
    </row>
    <row r="1046" spans="1:25" x14ac:dyDescent="0.25">
      <c r="A1046" t="s">
        <v>67</v>
      </c>
      <c r="B1046" t="s">
        <v>69</v>
      </c>
      <c r="C1046">
        <v>5</v>
      </c>
      <c r="D1046" t="s">
        <v>126</v>
      </c>
      <c r="E1046" t="s">
        <v>79</v>
      </c>
      <c r="F1046" t="s">
        <v>80</v>
      </c>
      <c r="G1046">
        <v>0.59861794843566096</v>
      </c>
      <c r="H1046">
        <v>2E+20</v>
      </c>
      <c r="I1046">
        <v>0.59861794843566096</v>
      </c>
      <c r="J1046">
        <v>0.59861794843566096</v>
      </c>
      <c r="K1046">
        <v>1</v>
      </c>
      <c r="L104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compartida)UtilizacionCocinaH3ExpressionUser Specified</v>
      </c>
      <c r="M1046" s="5" cm="1">
        <f t="array" ref="M1046">MAX(IF((ProjectInfoTable[ProjectName]=DiscreteStatsTable[[#This Row],[ProjectName]]),(ProjectInfoTable[ProjectName]=DiscreteStatsTable[[#This Row],[ProjectName]])*ProjectInfoTable[NumberOfReplications]))</f>
        <v>19</v>
      </c>
      <c r="N1046" s="5" cm="1">
        <f t="array" ref="N1046">IFERROR(AVERAGE(IF((DiscreteStatsTable[GroupByKey]=DiscreteStatsTable[[#This Row],[GroupByKey]]),(DiscreteStatsTable[GroupByKey]=DiscreteStatsTable[[#This Row],[GroupByKey]])*DiscreteStatsTable[Average])),0)</f>
        <v>0.68474836505339687</v>
      </c>
      <c r="O1046" s="5" cm="1">
        <f t="array" ref="O1046">IFERROR(_xlfn.STDEV.S(IF((DiscreteStatsTable[GroupByKey]=DiscreteStatsTable[[#This Row],[GroupByKey]]),(DiscreteStatsTable[GroupByKey]=DiscreteStatsTable[[#This Row],[GroupByKey]])*DiscreteStatsTable[Average])),0)</f>
        <v>6.2272947935973065E-2</v>
      </c>
      <c r="P1046" s="5" cm="1">
        <f t="array" ref="P1046">MAX(IF((ProjectInfoTable[ProjectName]=DiscreteStatsTable[[#This Row],[ProjectName]]),(ProjectInfoTable[ProjectName]=DiscreteStatsTable[[#This Row],[ProjectName]])*ProjectInfoTable[ConfidenceInterval]))</f>
        <v>0.95</v>
      </c>
      <c r="Q1046" s="5">
        <f>IF(AND(DiscreteStatsTable[[#This Row],[RepsWithStatObserved]]=1,Y1046=0),200000000000000000000,IFERROR(_xlfn.T.INV.2T(1 -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3.0014600137344902E-2</v>
      </c>
      <c r="R1046" s="5" cm="1">
        <f t="array" ref="R1046">MIN(IF((DiscreteStatsTable[GroupByKey]=DiscreteStatsTable[[#This Row],[GroupByKey]]),(DiscreteStatsTable[GroupByKey]=DiscreteStatsTable[[#This Row],[GroupByKey]])*DiscreteStatsTable[Average]))</f>
        <v>0.59592290927233305</v>
      </c>
      <c r="S1046" s="5" cm="1">
        <f t="array" ref="S1046">MAX(IF((DiscreteStatsTable[GroupByKey]=DiscreteStatsTable[[#This Row],[GroupByKey]]),(DiscreteStatsTable[GroupByKey]=DiscreteStatsTable[[#This Row],[GroupByKey]])*DiscreteStatsTable[Average]))</f>
        <v>0.82897119936997599</v>
      </c>
      <c r="T1046" s="5" cm="1">
        <f t="array" ref="T1046">MIN(IF((DiscreteStatsTable[GroupByKey]=DiscreteStatsTable[[#This Row],[GroupByKey]]),(DiscreteStatsTable[GroupByKey]=DiscreteStatsTable[[#This Row],[GroupByKey]])*DiscreteStatsTable[Minimum]))</f>
        <v>0.59592290927233305</v>
      </c>
      <c r="U1046" s="5" cm="1">
        <f t="array" ref="U1046">MAX(IF((DiscreteStatsTable[GroupByKey]=DiscreteStatsTable[[#This Row],[GroupByKey]]),(DiscreteStatsTable[GroupByKey]=DiscreteStatsTable[[#This Row],[GroupByKey]])*DiscreteStatsTable[Maximum]))</f>
        <v>0.82897119936997599</v>
      </c>
      <c r="V1046" s="5" cm="1">
        <f t="array" ref="V1046">IFERROR(AVERAGE(IF((DiscreteStatsTable[GroupByKey]=DiscreteStatsTable[[#This Row],[GroupByKey]]),(DiscreteStatsTable[GroupByKey]=DiscreteStatsTable[[#This Row],[GroupByKey]])*DiscreteStatsTable[NumberObservations])),0)</f>
        <v>1</v>
      </c>
      <c r="W1046" s="5">
        <f>IF((DiscreteStatsTable[[#This Row],[RepsRequested]]&gt;1),DiscreteStatsTable[[#This Row],[HalfWidth]],DiscreteStatsTable[[#This Row],[BatchMeansHalfWidth]])</f>
        <v>3.0014600137344902E-2</v>
      </c>
      <c r="X1046" s="5" cm="1">
        <f t="array" ref="X1046">COUNT(IF((DiscreteStatsTable[GroupByKey]=DiscreteStatsTable[[#This Row],[GroupByKey]]),(DiscreteStatsTable[GroupByKey]=DiscreteStatsTable[[#This Row],[GroupByKey]])*DiscreteStatsTable[Replication]))</f>
        <v>19</v>
      </c>
      <c r="Y1046" s="5">
        <f>IF(DiscreteStatsTable[[#This Row],[RepsRequested]]=DiscreteStatsTable[[#This Row],[RepsWithStatObserved]],1,0)</f>
        <v>1</v>
      </c>
    </row>
    <row r="1047" spans="1:25" x14ac:dyDescent="0.25">
      <c r="A1047" t="s">
        <v>67</v>
      </c>
      <c r="B1047" t="s">
        <v>69</v>
      </c>
      <c r="C1047">
        <v>6</v>
      </c>
      <c r="D1047" t="s">
        <v>126</v>
      </c>
      <c r="E1047" t="s">
        <v>79</v>
      </c>
      <c r="F1047" t="s">
        <v>80</v>
      </c>
      <c r="G1047">
        <v>0.64480330756614701</v>
      </c>
      <c r="H1047">
        <v>2E+20</v>
      </c>
      <c r="I1047">
        <v>0.64480330756614701</v>
      </c>
      <c r="J1047">
        <v>0.64480330756614701</v>
      </c>
      <c r="K1047">
        <v>1</v>
      </c>
      <c r="L104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compartida)UtilizacionCocinaH3ExpressionUser Specified</v>
      </c>
      <c r="M1047" s="5" cm="1">
        <f t="array" ref="M1047">MAX(IF((ProjectInfoTable[ProjectName]=DiscreteStatsTable[[#This Row],[ProjectName]]),(ProjectInfoTable[ProjectName]=DiscreteStatsTable[[#This Row],[ProjectName]])*ProjectInfoTable[NumberOfReplications]))</f>
        <v>19</v>
      </c>
      <c r="N1047" s="5" cm="1">
        <f t="array" ref="N1047">IFERROR(AVERAGE(IF((DiscreteStatsTable[GroupByKey]=DiscreteStatsTable[[#This Row],[GroupByKey]]),(DiscreteStatsTable[GroupByKey]=DiscreteStatsTable[[#This Row],[GroupByKey]])*DiscreteStatsTable[Average])),0)</f>
        <v>0.68474836505339687</v>
      </c>
      <c r="O1047" s="5" cm="1">
        <f t="array" ref="O1047">IFERROR(_xlfn.STDEV.S(IF((DiscreteStatsTable[GroupByKey]=DiscreteStatsTable[[#This Row],[GroupByKey]]),(DiscreteStatsTable[GroupByKey]=DiscreteStatsTable[[#This Row],[GroupByKey]])*DiscreteStatsTable[Average])),0)</f>
        <v>6.2272947935973065E-2</v>
      </c>
      <c r="P1047" s="5" cm="1">
        <f t="array" ref="P1047">MAX(IF((ProjectInfoTable[ProjectName]=DiscreteStatsTable[[#This Row],[ProjectName]]),(ProjectInfoTable[ProjectName]=DiscreteStatsTable[[#This Row],[ProjectName]])*ProjectInfoTable[ConfidenceInterval]))</f>
        <v>0.95</v>
      </c>
      <c r="Q1047" s="5">
        <f>IF(AND(DiscreteStatsTable[[#This Row],[RepsWithStatObserved]]=1,Y1047=0),200000000000000000000,IFERROR(_xlfn.T.INV.2T(1 -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3.0014600137344902E-2</v>
      </c>
      <c r="R1047" s="5" cm="1">
        <f t="array" ref="R1047">MIN(IF((DiscreteStatsTable[GroupByKey]=DiscreteStatsTable[[#This Row],[GroupByKey]]),(DiscreteStatsTable[GroupByKey]=DiscreteStatsTable[[#This Row],[GroupByKey]])*DiscreteStatsTable[Average]))</f>
        <v>0.59592290927233305</v>
      </c>
      <c r="S1047" s="5" cm="1">
        <f t="array" ref="S1047">MAX(IF((DiscreteStatsTable[GroupByKey]=DiscreteStatsTable[[#This Row],[GroupByKey]]),(DiscreteStatsTable[GroupByKey]=DiscreteStatsTable[[#This Row],[GroupByKey]])*DiscreteStatsTable[Average]))</f>
        <v>0.82897119936997599</v>
      </c>
      <c r="T1047" s="5" cm="1">
        <f t="array" ref="T1047">MIN(IF((DiscreteStatsTable[GroupByKey]=DiscreteStatsTable[[#This Row],[GroupByKey]]),(DiscreteStatsTable[GroupByKey]=DiscreteStatsTable[[#This Row],[GroupByKey]])*DiscreteStatsTable[Minimum]))</f>
        <v>0.59592290927233305</v>
      </c>
      <c r="U1047" s="5" cm="1">
        <f t="array" ref="U1047">MAX(IF((DiscreteStatsTable[GroupByKey]=DiscreteStatsTable[[#This Row],[GroupByKey]]),(DiscreteStatsTable[GroupByKey]=DiscreteStatsTable[[#This Row],[GroupByKey]])*DiscreteStatsTable[Maximum]))</f>
        <v>0.82897119936997599</v>
      </c>
      <c r="V1047" s="5" cm="1">
        <f t="array" ref="V1047">IFERROR(AVERAGE(IF((DiscreteStatsTable[GroupByKey]=DiscreteStatsTable[[#This Row],[GroupByKey]]),(DiscreteStatsTable[GroupByKey]=DiscreteStatsTable[[#This Row],[GroupByKey]])*DiscreteStatsTable[NumberObservations])),0)</f>
        <v>1</v>
      </c>
      <c r="W1047" s="5">
        <f>IF((DiscreteStatsTable[[#This Row],[RepsRequested]]&gt;1),DiscreteStatsTable[[#This Row],[HalfWidth]],DiscreteStatsTable[[#This Row],[BatchMeansHalfWidth]])</f>
        <v>3.0014600137344902E-2</v>
      </c>
      <c r="X1047" s="5" cm="1">
        <f t="array" ref="X1047">COUNT(IF((DiscreteStatsTable[GroupByKey]=DiscreteStatsTable[[#This Row],[GroupByKey]]),(DiscreteStatsTable[GroupByKey]=DiscreteStatsTable[[#This Row],[GroupByKey]])*DiscreteStatsTable[Replication]))</f>
        <v>19</v>
      </c>
      <c r="Y1047" s="5">
        <f>IF(DiscreteStatsTable[[#This Row],[RepsRequested]]=DiscreteStatsTable[[#This Row],[RepsWithStatObserved]],1,0)</f>
        <v>1</v>
      </c>
    </row>
    <row r="1048" spans="1:25" x14ac:dyDescent="0.25">
      <c r="A1048" t="s">
        <v>67</v>
      </c>
      <c r="B1048" t="s">
        <v>69</v>
      </c>
      <c r="C1048">
        <v>7</v>
      </c>
      <c r="D1048" t="s">
        <v>126</v>
      </c>
      <c r="E1048" t="s">
        <v>79</v>
      </c>
      <c r="F1048" t="s">
        <v>80</v>
      </c>
      <c r="G1048">
        <v>0.59592290927233305</v>
      </c>
      <c r="H1048">
        <v>2E+20</v>
      </c>
      <c r="I1048">
        <v>0.59592290927233305</v>
      </c>
      <c r="J1048">
        <v>0.59592290927233305</v>
      </c>
      <c r="K1048">
        <v>1</v>
      </c>
      <c r="L104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compartida)UtilizacionCocinaH3ExpressionUser Specified</v>
      </c>
      <c r="M1048" s="5" cm="1">
        <f t="array" ref="M1048">MAX(IF((ProjectInfoTable[ProjectName]=DiscreteStatsTable[[#This Row],[ProjectName]]),(ProjectInfoTable[ProjectName]=DiscreteStatsTable[[#This Row],[ProjectName]])*ProjectInfoTable[NumberOfReplications]))</f>
        <v>19</v>
      </c>
      <c r="N1048" s="5" cm="1">
        <f t="array" ref="N1048">IFERROR(AVERAGE(IF((DiscreteStatsTable[GroupByKey]=DiscreteStatsTable[[#This Row],[GroupByKey]]),(DiscreteStatsTable[GroupByKey]=DiscreteStatsTable[[#This Row],[GroupByKey]])*DiscreteStatsTable[Average])),0)</f>
        <v>0.68474836505339687</v>
      </c>
      <c r="O1048" s="5" cm="1">
        <f t="array" ref="O1048">IFERROR(_xlfn.STDEV.S(IF((DiscreteStatsTable[GroupByKey]=DiscreteStatsTable[[#This Row],[GroupByKey]]),(DiscreteStatsTable[GroupByKey]=DiscreteStatsTable[[#This Row],[GroupByKey]])*DiscreteStatsTable[Average])),0)</f>
        <v>6.2272947935973065E-2</v>
      </c>
      <c r="P1048" s="5" cm="1">
        <f t="array" ref="P1048">MAX(IF((ProjectInfoTable[ProjectName]=DiscreteStatsTable[[#This Row],[ProjectName]]),(ProjectInfoTable[ProjectName]=DiscreteStatsTable[[#This Row],[ProjectName]])*ProjectInfoTable[ConfidenceInterval]))</f>
        <v>0.95</v>
      </c>
      <c r="Q1048" s="5">
        <f>IF(AND(DiscreteStatsTable[[#This Row],[RepsWithStatObserved]]=1,Y1048=0),200000000000000000000,IFERROR(_xlfn.T.INV.2T(1 -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3.0014600137344902E-2</v>
      </c>
      <c r="R1048" s="5" cm="1">
        <f t="array" ref="R1048">MIN(IF((DiscreteStatsTable[GroupByKey]=DiscreteStatsTable[[#This Row],[GroupByKey]]),(DiscreteStatsTable[GroupByKey]=DiscreteStatsTable[[#This Row],[GroupByKey]])*DiscreteStatsTable[Average]))</f>
        <v>0.59592290927233305</v>
      </c>
      <c r="S1048" s="5" cm="1">
        <f t="array" ref="S1048">MAX(IF((DiscreteStatsTable[GroupByKey]=DiscreteStatsTable[[#This Row],[GroupByKey]]),(DiscreteStatsTable[GroupByKey]=DiscreteStatsTable[[#This Row],[GroupByKey]])*DiscreteStatsTable[Average]))</f>
        <v>0.82897119936997599</v>
      </c>
      <c r="T1048" s="5" cm="1">
        <f t="array" ref="T1048">MIN(IF((DiscreteStatsTable[GroupByKey]=DiscreteStatsTable[[#This Row],[GroupByKey]]),(DiscreteStatsTable[GroupByKey]=DiscreteStatsTable[[#This Row],[GroupByKey]])*DiscreteStatsTable[Minimum]))</f>
        <v>0.59592290927233305</v>
      </c>
      <c r="U1048" s="5" cm="1">
        <f t="array" ref="U1048">MAX(IF((DiscreteStatsTable[GroupByKey]=DiscreteStatsTable[[#This Row],[GroupByKey]]),(DiscreteStatsTable[GroupByKey]=DiscreteStatsTable[[#This Row],[GroupByKey]])*DiscreteStatsTable[Maximum]))</f>
        <v>0.82897119936997599</v>
      </c>
      <c r="V1048" s="5" cm="1">
        <f t="array" ref="V1048">IFERROR(AVERAGE(IF((DiscreteStatsTable[GroupByKey]=DiscreteStatsTable[[#This Row],[GroupByKey]]),(DiscreteStatsTable[GroupByKey]=DiscreteStatsTable[[#This Row],[GroupByKey]])*DiscreteStatsTable[NumberObservations])),0)</f>
        <v>1</v>
      </c>
      <c r="W1048" s="5">
        <f>IF((DiscreteStatsTable[[#This Row],[RepsRequested]]&gt;1),DiscreteStatsTable[[#This Row],[HalfWidth]],DiscreteStatsTable[[#This Row],[BatchMeansHalfWidth]])</f>
        <v>3.0014600137344902E-2</v>
      </c>
      <c r="X1048" s="5" cm="1">
        <f t="array" ref="X1048">COUNT(IF((DiscreteStatsTable[GroupByKey]=DiscreteStatsTable[[#This Row],[GroupByKey]]),(DiscreteStatsTable[GroupByKey]=DiscreteStatsTable[[#This Row],[GroupByKey]])*DiscreteStatsTable[Replication]))</f>
        <v>19</v>
      </c>
      <c r="Y1048" s="5">
        <f>IF(DiscreteStatsTable[[#This Row],[RepsRequested]]=DiscreteStatsTable[[#This Row],[RepsWithStatObserved]],1,0)</f>
        <v>1</v>
      </c>
    </row>
    <row r="1049" spans="1:25" x14ac:dyDescent="0.25">
      <c r="A1049" t="s">
        <v>67</v>
      </c>
      <c r="B1049" t="s">
        <v>69</v>
      </c>
      <c r="C1049">
        <v>8</v>
      </c>
      <c r="D1049" t="s">
        <v>126</v>
      </c>
      <c r="E1049" t="s">
        <v>79</v>
      </c>
      <c r="F1049" t="s">
        <v>80</v>
      </c>
      <c r="G1049">
        <v>0.77465536357210296</v>
      </c>
      <c r="H1049">
        <v>2E+20</v>
      </c>
      <c r="I1049">
        <v>0.77465536357210296</v>
      </c>
      <c r="J1049">
        <v>0.77465536357210296</v>
      </c>
      <c r="K1049">
        <v>1</v>
      </c>
      <c r="L104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compartida)UtilizacionCocinaH3ExpressionUser Specified</v>
      </c>
      <c r="M1049" s="5" cm="1">
        <f t="array" ref="M1049">MAX(IF((ProjectInfoTable[ProjectName]=DiscreteStatsTable[[#This Row],[ProjectName]]),(ProjectInfoTable[ProjectName]=DiscreteStatsTable[[#This Row],[ProjectName]])*ProjectInfoTable[NumberOfReplications]))</f>
        <v>19</v>
      </c>
      <c r="N1049" s="5" cm="1">
        <f t="array" ref="N1049">IFERROR(AVERAGE(IF((DiscreteStatsTable[GroupByKey]=DiscreteStatsTable[[#This Row],[GroupByKey]]),(DiscreteStatsTable[GroupByKey]=DiscreteStatsTable[[#This Row],[GroupByKey]])*DiscreteStatsTable[Average])),0)</f>
        <v>0.68474836505339687</v>
      </c>
      <c r="O1049" s="5" cm="1">
        <f t="array" ref="O1049">IFERROR(_xlfn.STDEV.S(IF((DiscreteStatsTable[GroupByKey]=DiscreteStatsTable[[#This Row],[GroupByKey]]),(DiscreteStatsTable[GroupByKey]=DiscreteStatsTable[[#This Row],[GroupByKey]])*DiscreteStatsTable[Average])),0)</f>
        <v>6.2272947935973065E-2</v>
      </c>
      <c r="P1049" s="5" cm="1">
        <f t="array" ref="P1049">MAX(IF((ProjectInfoTable[ProjectName]=DiscreteStatsTable[[#This Row],[ProjectName]]),(ProjectInfoTable[ProjectName]=DiscreteStatsTable[[#This Row],[ProjectName]])*ProjectInfoTable[ConfidenceInterval]))</f>
        <v>0.95</v>
      </c>
      <c r="Q1049" s="5">
        <f>IF(AND(DiscreteStatsTable[[#This Row],[RepsWithStatObserved]]=1,Y1049=0),200000000000000000000,IFERROR(_xlfn.T.INV.2T(1 -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3.0014600137344902E-2</v>
      </c>
      <c r="R1049" s="5" cm="1">
        <f t="array" ref="R1049">MIN(IF((DiscreteStatsTable[GroupByKey]=DiscreteStatsTable[[#This Row],[GroupByKey]]),(DiscreteStatsTable[GroupByKey]=DiscreteStatsTable[[#This Row],[GroupByKey]])*DiscreteStatsTable[Average]))</f>
        <v>0.59592290927233305</v>
      </c>
      <c r="S1049" s="5" cm="1">
        <f t="array" ref="S1049">MAX(IF((DiscreteStatsTable[GroupByKey]=DiscreteStatsTable[[#This Row],[GroupByKey]]),(DiscreteStatsTable[GroupByKey]=DiscreteStatsTable[[#This Row],[GroupByKey]])*DiscreteStatsTable[Average]))</f>
        <v>0.82897119936997599</v>
      </c>
      <c r="T1049" s="5" cm="1">
        <f t="array" ref="T1049">MIN(IF((DiscreteStatsTable[GroupByKey]=DiscreteStatsTable[[#This Row],[GroupByKey]]),(DiscreteStatsTable[GroupByKey]=DiscreteStatsTable[[#This Row],[GroupByKey]])*DiscreteStatsTable[Minimum]))</f>
        <v>0.59592290927233305</v>
      </c>
      <c r="U1049" s="5" cm="1">
        <f t="array" ref="U1049">MAX(IF((DiscreteStatsTable[GroupByKey]=DiscreteStatsTable[[#This Row],[GroupByKey]]),(DiscreteStatsTable[GroupByKey]=DiscreteStatsTable[[#This Row],[GroupByKey]])*DiscreteStatsTable[Maximum]))</f>
        <v>0.82897119936997599</v>
      </c>
      <c r="V1049" s="5" cm="1">
        <f t="array" ref="V1049">IFERROR(AVERAGE(IF((DiscreteStatsTable[GroupByKey]=DiscreteStatsTable[[#This Row],[GroupByKey]]),(DiscreteStatsTable[GroupByKey]=DiscreteStatsTable[[#This Row],[GroupByKey]])*DiscreteStatsTable[NumberObservations])),0)</f>
        <v>1</v>
      </c>
      <c r="W1049" s="5">
        <f>IF((DiscreteStatsTable[[#This Row],[RepsRequested]]&gt;1),DiscreteStatsTable[[#This Row],[HalfWidth]],DiscreteStatsTable[[#This Row],[BatchMeansHalfWidth]])</f>
        <v>3.0014600137344902E-2</v>
      </c>
      <c r="X1049" s="5" cm="1">
        <f t="array" ref="X1049">COUNT(IF((DiscreteStatsTable[GroupByKey]=DiscreteStatsTable[[#This Row],[GroupByKey]]),(DiscreteStatsTable[GroupByKey]=DiscreteStatsTable[[#This Row],[GroupByKey]])*DiscreteStatsTable[Replication]))</f>
        <v>19</v>
      </c>
      <c r="Y1049" s="5">
        <f>IF(DiscreteStatsTable[[#This Row],[RepsRequested]]=DiscreteStatsTable[[#This Row],[RepsWithStatObserved]],1,0)</f>
        <v>1</v>
      </c>
    </row>
    <row r="1050" spans="1:25" x14ac:dyDescent="0.25">
      <c r="A1050" t="s">
        <v>67</v>
      </c>
      <c r="B1050" t="s">
        <v>69</v>
      </c>
      <c r="C1050">
        <v>9</v>
      </c>
      <c r="D1050" t="s">
        <v>126</v>
      </c>
      <c r="E1050" t="s">
        <v>79</v>
      </c>
      <c r="F1050" t="s">
        <v>80</v>
      </c>
      <c r="G1050">
        <v>0.70138866139720901</v>
      </c>
      <c r="H1050">
        <v>2E+20</v>
      </c>
      <c r="I1050">
        <v>0.70138866139720901</v>
      </c>
      <c r="J1050">
        <v>0.70138866139720901</v>
      </c>
      <c r="K1050">
        <v>1</v>
      </c>
      <c r="L105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compartida)UtilizacionCocinaH3ExpressionUser Specified</v>
      </c>
      <c r="M1050" s="5" cm="1">
        <f t="array" ref="M1050">MAX(IF((ProjectInfoTable[ProjectName]=DiscreteStatsTable[[#This Row],[ProjectName]]),(ProjectInfoTable[ProjectName]=DiscreteStatsTable[[#This Row],[ProjectName]])*ProjectInfoTable[NumberOfReplications]))</f>
        <v>19</v>
      </c>
      <c r="N1050" s="5" cm="1">
        <f t="array" ref="N1050">IFERROR(AVERAGE(IF((DiscreteStatsTable[GroupByKey]=DiscreteStatsTable[[#This Row],[GroupByKey]]),(DiscreteStatsTable[GroupByKey]=DiscreteStatsTable[[#This Row],[GroupByKey]])*DiscreteStatsTable[Average])),0)</f>
        <v>0.68474836505339687</v>
      </c>
      <c r="O1050" s="5" cm="1">
        <f t="array" ref="O1050">IFERROR(_xlfn.STDEV.S(IF((DiscreteStatsTable[GroupByKey]=DiscreteStatsTable[[#This Row],[GroupByKey]]),(DiscreteStatsTable[GroupByKey]=DiscreteStatsTable[[#This Row],[GroupByKey]])*DiscreteStatsTable[Average])),0)</f>
        <v>6.2272947935973065E-2</v>
      </c>
      <c r="P1050" s="5" cm="1">
        <f t="array" ref="P1050">MAX(IF((ProjectInfoTable[ProjectName]=DiscreteStatsTable[[#This Row],[ProjectName]]),(ProjectInfoTable[ProjectName]=DiscreteStatsTable[[#This Row],[ProjectName]])*ProjectInfoTable[ConfidenceInterval]))</f>
        <v>0.95</v>
      </c>
      <c r="Q1050" s="5">
        <f>IF(AND(DiscreteStatsTable[[#This Row],[RepsWithStatObserved]]=1,Y1050=0),200000000000000000000,IFERROR(_xlfn.T.INV.2T(1 -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3.0014600137344902E-2</v>
      </c>
      <c r="R1050" s="5" cm="1">
        <f t="array" ref="R1050">MIN(IF((DiscreteStatsTable[GroupByKey]=DiscreteStatsTable[[#This Row],[GroupByKey]]),(DiscreteStatsTable[GroupByKey]=DiscreteStatsTable[[#This Row],[GroupByKey]])*DiscreteStatsTable[Average]))</f>
        <v>0.59592290927233305</v>
      </c>
      <c r="S1050" s="5" cm="1">
        <f t="array" ref="S1050">MAX(IF((DiscreteStatsTable[GroupByKey]=DiscreteStatsTable[[#This Row],[GroupByKey]]),(DiscreteStatsTable[GroupByKey]=DiscreteStatsTable[[#This Row],[GroupByKey]])*DiscreteStatsTable[Average]))</f>
        <v>0.82897119936997599</v>
      </c>
      <c r="T1050" s="5" cm="1">
        <f t="array" ref="T1050">MIN(IF((DiscreteStatsTable[GroupByKey]=DiscreteStatsTable[[#This Row],[GroupByKey]]),(DiscreteStatsTable[GroupByKey]=DiscreteStatsTable[[#This Row],[GroupByKey]])*DiscreteStatsTable[Minimum]))</f>
        <v>0.59592290927233305</v>
      </c>
      <c r="U1050" s="5" cm="1">
        <f t="array" ref="U1050">MAX(IF((DiscreteStatsTable[GroupByKey]=DiscreteStatsTable[[#This Row],[GroupByKey]]),(DiscreteStatsTable[GroupByKey]=DiscreteStatsTable[[#This Row],[GroupByKey]])*DiscreteStatsTable[Maximum]))</f>
        <v>0.82897119936997599</v>
      </c>
      <c r="V1050" s="5" cm="1">
        <f t="array" ref="V1050">IFERROR(AVERAGE(IF((DiscreteStatsTable[GroupByKey]=DiscreteStatsTable[[#This Row],[GroupByKey]]),(DiscreteStatsTable[GroupByKey]=DiscreteStatsTable[[#This Row],[GroupByKey]])*DiscreteStatsTable[NumberObservations])),0)</f>
        <v>1</v>
      </c>
      <c r="W1050" s="5">
        <f>IF((DiscreteStatsTable[[#This Row],[RepsRequested]]&gt;1),DiscreteStatsTable[[#This Row],[HalfWidth]],DiscreteStatsTable[[#This Row],[BatchMeansHalfWidth]])</f>
        <v>3.0014600137344902E-2</v>
      </c>
      <c r="X1050" s="5" cm="1">
        <f t="array" ref="X1050">COUNT(IF((DiscreteStatsTable[GroupByKey]=DiscreteStatsTable[[#This Row],[GroupByKey]]),(DiscreteStatsTable[GroupByKey]=DiscreteStatsTable[[#This Row],[GroupByKey]])*DiscreteStatsTable[Replication]))</f>
        <v>19</v>
      </c>
      <c r="Y1050" s="5">
        <f>IF(DiscreteStatsTable[[#This Row],[RepsRequested]]=DiscreteStatsTable[[#This Row],[RepsWithStatObserved]],1,0)</f>
        <v>1</v>
      </c>
    </row>
    <row r="1051" spans="1:25" x14ac:dyDescent="0.25">
      <c r="A1051" t="s">
        <v>67</v>
      </c>
      <c r="B1051" t="s">
        <v>69</v>
      </c>
      <c r="C1051">
        <v>10</v>
      </c>
      <c r="D1051" t="s">
        <v>126</v>
      </c>
      <c r="E1051" t="s">
        <v>79</v>
      </c>
      <c r="F1051" t="s">
        <v>80</v>
      </c>
      <c r="G1051">
        <v>0.73240339248557995</v>
      </c>
      <c r="H1051">
        <v>2E+20</v>
      </c>
      <c r="I1051">
        <v>0.73240339248557995</v>
      </c>
      <c r="J1051">
        <v>0.73240339248557995</v>
      </c>
      <c r="K1051">
        <v>1</v>
      </c>
      <c r="L1051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compartida)UtilizacionCocinaH3ExpressionUser Specified</v>
      </c>
      <c r="M1051" s="5" cm="1">
        <f t="array" ref="M1051">MAX(IF((ProjectInfoTable[ProjectName]=DiscreteStatsTable[[#This Row],[ProjectName]]),(ProjectInfoTable[ProjectName]=DiscreteStatsTable[[#This Row],[ProjectName]])*ProjectInfoTable[NumberOfReplications]))</f>
        <v>19</v>
      </c>
      <c r="N1051" s="5" cm="1">
        <f t="array" ref="N1051">IFERROR(AVERAGE(IF((DiscreteStatsTable[GroupByKey]=DiscreteStatsTable[[#This Row],[GroupByKey]]),(DiscreteStatsTable[GroupByKey]=DiscreteStatsTable[[#This Row],[GroupByKey]])*DiscreteStatsTable[Average])),0)</f>
        <v>0.68474836505339687</v>
      </c>
      <c r="O1051" s="5" cm="1">
        <f t="array" ref="O1051">IFERROR(_xlfn.STDEV.S(IF((DiscreteStatsTable[GroupByKey]=DiscreteStatsTable[[#This Row],[GroupByKey]]),(DiscreteStatsTable[GroupByKey]=DiscreteStatsTable[[#This Row],[GroupByKey]])*DiscreteStatsTable[Average])),0)</f>
        <v>6.2272947935973065E-2</v>
      </c>
      <c r="P1051" s="5" cm="1">
        <f t="array" ref="P1051">MAX(IF((ProjectInfoTable[ProjectName]=DiscreteStatsTable[[#This Row],[ProjectName]]),(ProjectInfoTable[ProjectName]=DiscreteStatsTable[[#This Row],[ProjectName]])*ProjectInfoTable[ConfidenceInterval]))</f>
        <v>0.95</v>
      </c>
      <c r="Q1051" s="5">
        <f>IF(AND(DiscreteStatsTable[[#This Row],[RepsWithStatObserved]]=1,Y1051=0),200000000000000000000,IFERROR(_xlfn.T.INV.2T(1 -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3.0014600137344902E-2</v>
      </c>
      <c r="R1051" s="5" cm="1">
        <f t="array" ref="R1051">MIN(IF((DiscreteStatsTable[GroupByKey]=DiscreteStatsTable[[#This Row],[GroupByKey]]),(DiscreteStatsTable[GroupByKey]=DiscreteStatsTable[[#This Row],[GroupByKey]])*DiscreteStatsTable[Average]))</f>
        <v>0.59592290927233305</v>
      </c>
      <c r="S1051" s="5" cm="1">
        <f t="array" ref="S1051">MAX(IF((DiscreteStatsTable[GroupByKey]=DiscreteStatsTable[[#This Row],[GroupByKey]]),(DiscreteStatsTable[GroupByKey]=DiscreteStatsTable[[#This Row],[GroupByKey]])*DiscreteStatsTable[Average]))</f>
        <v>0.82897119936997599</v>
      </c>
      <c r="T1051" s="5" cm="1">
        <f t="array" ref="T1051">MIN(IF((DiscreteStatsTable[GroupByKey]=DiscreteStatsTable[[#This Row],[GroupByKey]]),(DiscreteStatsTable[GroupByKey]=DiscreteStatsTable[[#This Row],[GroupByKey]])*DiscreteStatsTable[Minimum]))</f>
        <v>0.59592290927233305</v>
      </c>
      <c r="U1051" s="5" cm="1">
        <f t="array" ref="U1051">MAX(IF((DiscreteStatsTable[GroupByKey]=DiscreteStatsTable[[#This Row],[GroupByKey]]),(DiscreteStatsTable[GroupByKey]=DiscreteStatsTable[[#This Row],[GroupByKey]])*DiscreteStatsTable[Maximum]))</f>
        <v>0.82897119936997599</v>
      </c>
      <c r="V1051" s="5" cm="1">
        <f t="array" ref="V1051">IFERROR(AVERAGE(IF((DiscreteStatsTable[GroupByKey]=DiscreteStatsTable[[#This Row],[GroupByKey]]),(DiscreteStatsTable[GroupByKey]=DiscreteStatsTable[[#This Row],[GroupByKey]])*DiscreteStatsTable[NumberObservations])),0)</f>
        <v>1</v>
      </c>
      <c r="W1051" s="5">
        <f>IF((DiscreteStatsTable[[#This Row],[RepsRequested]]&gt;1),DiscreteStatsTable[[#This Row],[HalfWidth]],DiscreteStatsTable[[#This Row],[BatchMeansHalfWidth]])</f>
        <v>3.0014600137344902E-2</v>
      </c>
      <c r="X1051" s="5" cm="1">
        <f t="array" ref="X1051">COUNT(IF((DiscreteStatsTable[GroupByKey]=DiscreteStatsTable[[#This Row],[GroupByKey]]),(DiscreteStatsTable[GroupByKey]=DiscreteStatsTable[[#This Row],[GroupByKey]])*DiscreteStatsTable[Replication]))</f>
        <v>19</v>
      </c>
      <c r="Y1051" s="5">
        <f>IF(DiscreteStatsTable[[#This Row],[RepsRequested]]=DiscreteStatsTable[[#This Row],[RepsWithStatObserved]],1,0)</f>
        <v>1</v>
      </c>
    </row>
    <row r="1052" spans="1:25" x14ac:dyDescent="0.25">
      <c r="A1052" t="s">
        <v>67</v>
      </c>
      <c r="B1052" t="s">
        <v>69</v>
      </c>
      <c r="C1052">
        <v>11</v>
      </c>
      <c r="D1052" t="s">
        <v>126</v>
      </c>
      <c r="E1052" t="s">
        <v>79</v>
      </c>
      <c r="F1052" t="s">
        <v>80</v>
      </c>
      <c r="G1052">
        <v>0.62130605304115805</v>
      </c>
      <c r="H1052">
        <v>2E+20</v>
      </c>
      <c r="I1052">
        <v>0.62130605304115805</v>
      </c>
      <c r="J1052">
        <v>0.62130605304115805</v>
      </c>
      <c r="K1052">
        <v>1</v>
      </c>
      <c r="L1052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compartida)UtilizacionCocinaH3ExpressionUser Specified</v>
      </c>
      <c r="M1052" s="5" cm="1">
        <f t="array" ref="M1052">MAX(IF((ProjectInfoTable[ProjectName]=DiscreteStatsTable[[#This Row],[ProjectName]]),(ProjectInfoTable[ProjectName]=DiscreteStatsTable[[#This Row],[ProjectName]])*ProjectInfoTable[NumberOfReplications]))</f>
        <v>19</v>
      </c>
      <c r="N1052" s="5" cm="1">
        <f t="array" ref="N1052">IFERROR(AVERAGE(IF((DiscreteStatsTable[GroupByKey]=DiscreteStatsTable[[#This Row],[GroupByKey]]),(DiscreteStatsTable[GroupByKey]=DiscreteStatsTable[[#This Row],[GroupByKey]])*DiscreteStatsTable[Average])),0)</f>
        <v>0.68474836505339687</v>
      </c>
      <c r="O1052" s="5" cm="1">
        <f t="array" ref="O1052">IFERROR(_xlfn.STDEV.S(IF((DiscreteStatsTable[GroupByKey]=DiscreteStatsTable[[#This Row],[GroupByKey]]),(DiscreteStatsTable[GroupByKey]=DiscreteStatsTable[[#This Row],[GroupByKey]])*DiscreteStatsTable[Average])),0)</f>
        <v>6.2272947935973065E-2</v>
      </c>
      <c r="P1052" s="5" cm="1">
        <f t="array" ref="P1052">MAX(IF((ProjectInfoTable[ProjectName]=DiscreteStatsTable[[#This Row],[ProjectName]]),(ProjectInfoTable[ProjectName]=DiscreteStatsTable[[#This Row],[ProjectName]])*ProjectInfoTable[ConfidenceInterval]))</f>
        <v>0.95</v>
      </c>
      <c r="Q1052" s="5">
        <f>IF(AND(DiscreteStatsTable[[#This Row],[RepsWithStatObserved]]=1,Y1052=0),200000000000000000000,IFERROR(_xlfn.T.INV.2T(1 -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3.0014600137344902E-2</v>
      </c>
      <c r="R1052" s="5" cm="1">
        <f t="array" ref="R1052">MIN(IF((DiscreteStatsTable[GroupByKey]=DiscreteStatsTable[[#This Row],[GroupByKey]]),(DiscreteStatsTable[GroupByKey]=DiscreteStatsTable[[#This Row],[GroupByKey]])*DiscreteStatsTable[Average]))</f>
        <v>0.59592290927233305</v>
      </c>
      <c r="S1052" s="5" cm="1">
        <f t="array" ref="S1052">MAX(IF((DiscreteStatsTable[GroupByKey]=DiscreteStatsTable[[#This Row],[GroupByKey]]),(DiscreteStatsTable[GroupByKey]=DiscreteStatsTable[[#This Row],[GroupByKey]])*DiscreteStatsTable[Average]))</f>
        <v>0.82897119936997599</v>
      </c>
      <c r="T1052" s="5" cm="1">
        <f t="array" ref="T1052">MIN(IF((DiscreteStatsTable[GroupByKey]=DiscreteStatsTable[[#This Row],[GroupByKey]]),(DiscreteStatsTable[GroupByKey]=DiscreteStatsTable[[#This Row],[GroupByKey]])*DiscreteStatsTable[Minimum]))</f>
        <v>0.59592290927233305</v>
      </c>
      <c r="U1052" s="5" cm="1">
        <f t="array" ref="U1052">MAX(IF((DiscreteStatsTable[GroupByKey]=DiscreteStatsTable[[#This Row],[GroupByKey]]),(DiscreteStatsTable[GroupByKey]=DiscreteStatsTable[[#This Row],[GroupByKey]])*DiscreteStatsTable[Maximum]))</f>
        <v>0.82897119936997599</v>
      </c>
      <c r="V1052" s="5" cm="1">
        <f t="array" ref="V1052">IFERROR(AVERAGE(IF((DiscreteStatsTable[GroupByKey]=DiscreteStatsTable[[#This Row],[GroupByKey]]),(DiscreteStatsTable[GroupByKey]=DiscreteStatsTable[[#This Row],[GroupByKey]])*DiscreteStatsTable[NumberObservations])),0)</f>
        <v>1</v>
      </c>
      <c r="W1052" s="5">
        <f>IF((DiscreteStatsTable[[#This Row],[RepsRequested]]&gt;1),DiscreteStatsTable[[#This Row],[HalfWidth]],DiscreteStatsTable[[#This Row],[BatchMeansHalfWidth]])</f>
        <v>3.0014600137344902E-2</v>
      </c>
      <c r="X1052" s="5" cm="1">
        <f t="array" ref="X1052">COUNT(IF((DiscreteStatsTable[GroupByKey]=DiscreteStatsTable[[#This Row],[GroupByKey]]),(DiscreteStatsTable[GroupByKey]=DiscreteStatsTable[[#This Row],[GroupByKey]])*DiscreteStatsTable[Replication]))</f>
        <v>19</v>
      </c>
      <c r="Y1052" s="5">
        <f>IF(DiscreteStatsTable[[#This Row],[RepsRequested]]=DiscreteStatsTable[[#This Row],[RepsWithStatObserved]],1,0)</f>
        <v>1</v>
      </c>
    </row>
    <row r="1053" spans="1:25" x14ac:dyDescent="0.25">
      <c r="A1053" t="s">
        <v>67</v>
      </c>
      <c r="B1053" t="s">
        <v>69</v>
      </c>
      <c r="C1053">
        <v>12</v>
      </c>
      <c r="D1053" t="s">
        <v>126</v>
      </c>
      <c r="E1053" t="s">
        <v>79</v>
      </c>
      <c r="F1053" t="s">
        <v>80</v>
      </c>
      <c r="G1053">
        <v>0.68321371392804497</v>
      </c>
      <c r="H1053">
        <v>2E+20</v>
      </c>
      <c r="I1053">
        <v>0.68321371392804497</v>
      </c>
      <c r="J1053">
        <v>0.68321371392804497</v>
      </c>
      <c r="K1053">
        <v>1</v>
      </c>
      <c r="L1053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compartida)UtilizacionCocinaH3ExpressionUser Specified</v>
      </c>
      <c r="M1053" s="5" cm="1">
        <f t="array" ref="M1053">MAX(IF((ProjectInfoTable[ProjectName]=DiscreteStatsTable[[#This Row],[ProjectName]]),(ProjectInfoTable[ProjectName]=DiscreteStatsTable[[#This Row],[ProjectName]])*ProjectInfoTable[NumberOfReplications]))</f>
        <v>19</v>
      </c>
      <c r="N1053" s="5" cm="1">
        <f t="array" ref="N1053">IFERROR(AVERAGE(IF((DiscreteStatsTable[GroupByKey]=DiscreteStatsTable[[#This Row],[GroupByKey]]),(DiscreteStatsTable[GroupByKey]=DiscreteStatsTable[[#This Row],[GroupByKey]])*DiscreteStatsTable[Average])),0)</f>
        <v>0.68474836505339687</v>
      </c>
      <c r="O1053" s="5" cm="1">
        <f t="array" ref="O1053">IFERROR(_xlfn.STDEV.S(IF((DiscreteStatsTable[GroupByKey]=DiscreteStatsTable[[#This Row],[GroupByKey]]),(DiscreteStatsTable[GroupByKey]=DiscreteStatsTable[[#This Row],[GroupByKey]])*DiscreteStatsTable[Average])),0)</f>
        <v>6.2272947935973065E-2</v>
      </c>
      <c r="P1053" s="5" cm="1">
        <f t="array" ref="P1053">MAX(IF((ProjectInfoTable[ProjectName]=DiscreteStatsTable[[#This Row],[ProjectName]]),(ProjectInfoTable[ProjectName]=DiscreteStatsTable[[#This Row],[ProjectName]])*ProjectInfoTable[ConfidenceInterval]))</f>
        <v>0.95</v>
      </c>
      <c r="Q1053" s="5">
        <f>IF(AND(DiscreteStatsTable[[#This Row],[RepsWithStatObserved]]=1,Y1053=0),200000000000000000000,IFERROR(_xlfn.T.INV.2T(1 -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3.0014600137344902E-2</v>
      </c>
      <c r="R1053" s="5" cm="1">
        <f t="array" ref="R1053">MIN(IF((DiscreteStatsTable[GroupByKey]=DiscreteStatsTable[[#This Row],[GroupByKey]]),(DiscreteStatsTable[GroupByKey]=DiscreteStatsTable[[#This Row],[GroupByKey]])*DiscreteStatsTable[Average]))</f>
        <v>0.59592290927233305</v>
      </c>
      <c r="S1053" s="5" cm="1">
        <f t="array" ref="S1053">MAX(IF((DiscreteStatsTable[GroupByKey]=DiscreteStatsTable[[#This Row],[GroupByKey]]),(DiscreteStatsTable[GroupByKey]=DiscreteStatsTable[[#This Row],[GroupByKey]])*DiscreteStatsTable[Average]))</f>
        <v>0.82897119936997599</v>
      </c>
      <c r="T1053" s="5" cm="1">
        <f t="array" ref="T1053">MIN(IF((DiscreteStatsTable[GroupByKey]=DiscreteStatsTable[[#This Row],[GroupByKey]]),(DiscreteStatsTable[GroupByKey]=DiscreteStatsTable[[#This Row],[GroupByKey]])*DiscreteStatsTable[Minimum]))</f>
        <v>0.59592290927233305</v>
      </c>
      <c r="U1053" s="5" cm="1">
        <f t="array" ref="U1053">MAX(IF((DiscreteStatsTable[GroupByKey]=DiscreteStatsTable[[#This Row],[GroupByKey]]),(DiscreteStatsTable[GroupByKey]=DiscreteStatsTable[[#This Row],[GroupByKey]])*DiscreteStatsTable[Maximum]))</f>
        <v>0.82897119936997599</v>
      </c>
      <c r="V1053" s="5" cm="1">
        <f t="array" ref="V1053">IFERROR(AVERAGE(IF((DiscreteStatsTable[GroupByKey]=DiscreteStatsTable[[#This Row],[GroupByKey]]),(DiscreteStatsTable[GroupByKey]=DiscreteStatsTable[[#This Row],[GroupByKey]])*DiscreteStatsTable[NumberObservations])),0)</f>
        <v>1</v>
      </c>
      <c r="W1053" s="5">
        <f>IF((DiscreteStatsTable[[#This Row],[RepsRequested]]&gt;1),DiscreteStatsTable[[#This Row],[HalfWidth]],DiscreteStatsTable[[#This Row],[BatchMeansHalfWidth]])</f>
        <v>3.0014600137344902E-2</v>
      </c>
      <c r="X1053" s="5" cm="1">
        <f t="array" ref="X1053">COUNT(IF((DiscreteStatsTable[GroupByKey]=DiscreteStatsTable[[#This Row],[GroupByKey]]),(DiscreteStatsTable[GroupByKey]=DiscreteStatsTable[[#This Row],[GroupByKey]])*DiscreteStatsTable[Replication]))</f>
        <v>19</v>
      </c>
      <c r="Y1053" s="5">
        <f>IF(DiscreteStatsTable[[#This Row],[RepsRequested]]=DiscreteStatsTable[[#This Row],[RepsWithStatObserved]],1,0)</f>
        <v>1</v>
      </c>
    </row>
    <row r="1054" spans="1:25" x14ac:dyDescent="0.25">
      <c r="A1054" t="s">
        <v>67</v>
      </c>
      <c r="B1054" t="s">
        <v>69</v>
      </c>
      <c r="C1054">
        <v>13</v>
      </c>
      <c r="D1054" t="s">
        <v>126</v>
      </c>
      <c r="E1054" t="s">
        <v>79</v>
      </c>
      <c r="F1054" t="s">
        <v>80</v>
      </c>
      <c r="G1054">
        <v>0.66710192957718595</v>
      </c>
      <c r="H1054">
        <v>2E+20</v>
      </c>
      <c r="I1054">
        <v>0.66710192957718595</v>
      </c>
      <c r="J1054">
        <v>0.66710192957718595</v>
      </c>
      <c r="K1054">
        <v>1</v>
      </c>
      <c r="L1054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compartida)UtilizacionCocinaH3ExpressionUser Specified</v>
      </c>
      <c r="M1054" s="5" cm="1">
        <f t="array" ref="M1054">MAX(IF((ProjectInfoTable[ProjectName]=DiscreteStatsTable[[#This Row],[ProjectName]]),(ProjectInfoTable[ProjectName]=DiscreteStatsTable[[#This Row],[ProjectName]])*ProjectInfoTable[NumberOfReplications]))</f>
        <v>19</v>
      </c>
      <c r="N1054" s="5" cm="1">
        <f t="array" ref="N1054">IFERROR(AVERAGE(IF((DiscreteStatsTable[GroupByKey]=DiscreteStatsTable[[#This Row],[GroupByKey]]),(DiscreteStatsTable[GroupByKey]=DiscreteStatsTable[[#This Row],[GroupByKey]])*DiscreteStatsTable[Average])),0)</f>
        <v>0.68474836505339687</v>
      </c>
      <c r="O1054" s="5" cm="1">
        <f t="array" ref="O1054">IFERROR(_xlfn.STDEV.S(IF((DiscreteStatsTable[GroupByKey]=DiscreteStatsTable[[#This Row],[GroupByKey]]),(DiscreteStatsTable[GroupByKey]=DiscreteStatsTable[[#This Row],[GroupByKey]])*DiscreteStatsTable[Average])),0)</f>
        <v>6.2272947935973065E-2</v>
      </c>
      <c r="P1054" s="5" cm="1">
        <f t="array" ref="P1054">MAX(IF((ProjectInfoTable[ProjectName]=DiscreteStatsTable[[#This Row],[ProjectName]]),(ProjectInfoTable[ProjectName]=DiscreteStatsTable[[#This Row],[ProjectName]])*ProjectInfoTable[ConfidenceInterval]))</f>
        <v>0.95</v>
      </c>
      <c r="Q1054" s="5">
        <f>IF(AND(DiscreteStatsTable[[#This Row],[RepsWithStatObserved]]=1,Y1054=0),200000000000000000000,IFERROR(_xlfn.T.INV.2T(1 -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3.0014600137344902E-2</v>
      </c>
      <c r="R1054" s="5" cm="1">
        <f t="array" ref="R1054">MIN(IF((DiscreteStatsTable[GroupByKey]=DiscreteStatsTable[[#This Row],[GroupByKey]]),(DiscreteStatsTable[GroupByKey]=DiscreteStatsTable[[#This Row],[GroupByKey]])*DiscreteStatsTable[Average]))</f>
        <v>0.59592290927233305</v>
      </c>
      <c r="S1054" s="5" cm="1">
        <f t="array" ref="S1054">MAX(IF((DiscreteStatsTable[GroupByKey]=DiscreteStatsTable[[#This Row],[GroupByKey]]),(DiscreteStatsTable[GroupByKey]=DiscreteStatsTable[[#This Row],[GroupByKey]])*DiscreteStatsTable[Average]))</f>
        <v>0.82897119936997599</v>
      </c>
      <c r="T1054" s="5" cm="1">
        <f t="array" ref="T1054">MIN(IF((DiscreteStatsTable[GroupByKey]=DiscreteStatsTable[[#This Row],[GroupByKey]]),(DiscreteStatsTable[GroupByKey]=DiscreteStatsTable[[#This Row],[GroupByKey]])*DiscreteStatsTable[Minimum]))</f>
        <v>0.59592290927233305</v>
      </c>
      <c r="U1054" s="5" cm="1">
        <f t="array" ref="U1054">MAX(IF((DiscreteStatsTable[GroupByKey]=DiscreteStatsTable[[#This Row],[GroupByKey]]),(DiscreteStatsTable[GroupByKey]=DiscreteStatsTable[[#This Row],[GroupByKey]])*DiscreteStatsTable[Maximum]))</f>
        <v>0.82897119936997599</v>
      </c>
      <c r="V1054" s="5" cm="1">
        <f t="array" ref="V1054">IFERROR(AVERAGE(IF((DiscreteStatsTable[GroupByKey]=DiscreteStatsTable[[#This Row],[GroupByKey]]),(DiscreteStatsTable[GroupByKey]=DiscreteStatsTable[[#This Row],[GroupByKey]])*DiscreteStatsTable[NumberObservations])),0)</f>
        <v>1</v>
      </c>
      <c r="W1054" s="5">
        <f>IF((DiscreteStatsTable[[#This Row],[RepsRequested]]&gt;1),DiscreteStatsTable[[#This Row],[HalfWidth]],DiscreteStatsTable[[#This Row],[BatchMeansHalfWidth]])</f>
        <v>3.0014600137344902E-2</v>
      </c>
      <c r="X1054" s="5" cm="1">
        <f t="array" ref="X1054">COUNT(IF((DiscreteStatsTable[GroupByKey]=DiscreteStatsTable[[#This Row],[GroupByKey]]),(DiscreteStatsTable[GroupByKey]=DiscreteStatsTable[[#This Row],[GroupByKey]])*DiscreteStatsTable[Replication]))</f>
        <v>19</v>
      </c>
      <c r="Y1054" s="5">
        <f>IF(DiscreteStatsTable[[#This Row],[RepsRequested]]=DiscreteStatsTable[[#This Row],[RepsWithStatObserved]],1,0)</f>
        <v>1</v>
      </c>
    </row>
    <row r="1055" spans="1:25" x14ac:dyDescent="0.25">
      <c r="A1055" t="s">
        <v>67</v>
      </c>
      <c r="B1055" t="s">
        <v>69</v>
      </c>
      <c r="C1055">
        <v>14</v>
      </c>
      <c r="D1055" t="s">
        <v>126</v>
      </c>
      <c r="E1055" t="s">
        <v>79</v>
      </c>
      <c r="F1055" t="s">
        <v>80</v>
      </c>
      <c r="G1055">
        <v>0.73992182849147503</v>
      </c>
      <c r="H1055">
        <v>2E+20</v>
      </c>
      <c r="I1055">
        <v>0.73992182849147503</v>
      </c>
      <c r="J1055">
        <v>0.73992182849147503</v>
      </c>
      <c r="K1055">
        <v>1</v>
      </c>
      <c r="L1055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compartida)UtilizacionCocinaH3ExpressionUser Specified</v>
      </c>
      <c r="M1055" s="5" cm="1">
        <f t="array" ref="M1055">MAX(IF((ProjectInfoTable[ProjectName]=DiscreteStatsTable[[#This Row],[ProjectName]]),(ProjectInfoTable[ProjectName]=DiscreteStatsTable[[#This Row],[ProjectName]])*ProjectInfoTable[NumberOfReplications]))</f>
        <v>19</v>
      </c>
      <c r="N1055" s="5" cm="1">
        <f t="array" ref="N1055">IFERROR(AVERAGE(IF((DiscreteStatsTable[GroupByKey]=DiscreteStatsTable[[#This Row],[GroupByKey]]),(DiscreteStatsTable[GroupByKey]=DiscreteStatsTable[[#This Row],[GroupByKey]])*DiscreteStatsTable[Average])),0)</f>
        <v>0.68474836505339687</v>
      </c>
      <c r="O1055" s="5" cm="1">
        <f t="array" ref="O1055">IFERROR(_xlfn.STDEV.S(IF((DiscreteStatsTable[GroupByKey]=DiscreteStatsTable[[#This Row],[GroupByKey]]),(DiscreteStatsTable[GroupByKey]=DiscreteStatsTable[[#This Row],[GroupByKey]])*DiscreteStatsTable[Average])),0)</f>
        <v>6.2272947935973065E-2</v>
      </c>
      <c r="P1055" s="5" cm="1">
        <f t="array" ref="P1055">MAX(IF((ProjectInfoTable[ProjectName]=DiscreteStatsTable[[#This Row],[ProjectName]]),(ProjectInfoTable[ProjectName]=DiscreteStatsTable[[#This Row],[ProjectName]])*ProjectInfoTable[ConfidenceInterval]))</f>
        <v>0.95</v>
      </c>
      <c r="Q1055" s="5">
        <f>IF(AND(DiscreteStatsTable[[#This Row],[RepsWithStatObserved]]=1,Y1055=0),200000000000000000000,IFERROR(_xlfn.T.INV.2T(1 -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3.0014600137344902E-2</v>
      </c>
      <c r="R1055" s="5" cm="1">
        <f t="array" ref="R1055">MIN(IF((DiscreteStatsTable[GroupByKey]=DiscreteStatsTable[[#This Row],[GroupByKey]]),(DiscreteStatsTable[GroupByKey]=DiscreteStatsTable[[#This Row],[GroupByKey]])*DiscreteStatsTable[Average]))</f>
        <v>0.59592290927233305</v>
      </c>
      <c r="S1055" s="5" cm="1">
        <f t="array" ref="S1055">MAX(IF((DiscreteStatsTable[GroupByKey]=DiscreteStatsTable[[#This Row],[GroupByKey]]),(DiscreteStatsTable[GroupByKey]=DiscreteStatsTable[[#This Row],[GroupByKey]])*DiscreteStatsTable[Average]))</f>
        <v>0.82897119936997599</v>
      </c>
      <c r="T1055" s="5" cm="1">
        <f t="array" ref="T1055">MIN(IF((DiscreteStatsTable[GroupByKey]=DiscreteStatsTable[[#This Row],[GroupByKey]]),(DiscreteStatsTable[GroupByKey]=DiscreteStatsTable[[#This Row],[GroupByKey]])*DiscreteStatsTable[Minimum]))</f>
        <v>0.59592290927233305</v>
      </c>
      <c r="U1055" s="5" cm="1">
        <f t="array" ref="U1055">MAX(IF((DiscreteStatsTable[GroupByKey]=DiscreteStatsTable[[#This Row],[GroupByKey]]),(DiscreteStatsTable[GroupByKey]=DiscreteStatsTable[[#This Row],[GroupByKey]])*DiscreteStatsTable[Maximum]))</f>
        <v>0.82897119936997599</v>
      </c>
      <c r="V1055" s="5" cm="1">
        <f t="array" ref="V1055">IFERROR(AVERAGE(IF((DiscreteStatsTable[GroupByKey]=DiscreteStatsTable[[#This Row],[GroupByKey]]),(DiscreteStatsTable[GroupByKey]=DiscreteStatsTable[[#This Row],[GroupByKey]])*DiscreteStatsTable[NumberObservations])),0)</f>
        <v>1</v>
      </c>
      <c r="W1055" s="5">
        <f>IF((DiscreteStatsTable[[#This Row],[RepsRequested]]&gt;1),DiscreteStatsTable[[#This Row],[HalfWidth]],DiscreteStatsTable[[#This Row],[BatchMeansHalfWidth]])</f>
        <v>3.0014600137344902E-2</v>
      </c>
      <c r="X1055" s="5" cm="1">
        <f t="array" ref="X1055">COUNT(IF((DiscreteStatsTable[GroupByKey]=DiscreteStatsTable[[#This Row],[GroupByKey]]),(DiscreteStatsTable[GroupByKey]=DiscreteStatsTable[[#This Row],[GroupByKey]])*DiscreteStatsTable[Replication]))</f>
        <v>19</v>
      </c>
      <c r="Y1055" s="5">
        <f>IF(DiscreteStatsTable[[#This Row],[RepsRequested]]=DiscreteStatsTable[[#This Row],[RepsWithStatObserved]],1,0)</f>
        <v>1</v>
      </c>
    </row>
    <row r="1056" spans="1:25" x14ac:dyDescent="0.25">
      <c r="A1056" t="s">
        <v>67</v>
      </c>
      <c r="B1056" t="s">
        <v>69</v>
      </c>
      <c r="C1056">
        <v>15</v>
      </c>
      <c r="D1056" t="s">
        <v>126</v>
      </c>
      <c r="E1056" t="s">
        <v>79</v>
      </c>
      <c r="F1056" t="s">
        <v>80</v>
      </c>
      <c r="G1056">
        <v>0.69703284839692703</v>
      </c>
      <c r="H1056">
        <v>2E+20</v>
      </c>
      <c r="I1056">
        <v>0.69703284839692703</v>
      </c>
      <c r="J1056">
        <v>0.69703284839692703</v>
      </c>
      <c r="K1056">
        <v>1</v>
      </c>
      <c r="L1056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compartida)UtilizacionCocinaH3ExpressionUser Specified</v>
      </c>
      <c r="M1056" s="5" cm="1">
        <f t="array" ref="M1056">MAX(IF((ProjectInfoTable[ProjectName]=DiscreteStatsTable[[#This Row],[ProjectName]]),(ProjectInfoTable[ProjectName]=DiscreteStatsTable[[#This Row],[ProjectName]])*ProjectInfoTable[NumberOfReplications]))</f>
        <v>19</v>
      </c>
      <c r="N1056" s="5" cm="1">
        <f t="array" ref="N1056">IFERROR(AVERAGE(IF((DiscreteStatsTable[GroupByKey]=DiscreteStatsTable[[#This Row],[GroupByKey]]),(DiscreteStatsTable[GroupByKey]=DiscreteStatsTable[[#This Row],[GroupByKey]])*DiscreteStatsTable[Average])),0)</f>
        <v>0.68474836505339687</v>
      </c>
      <c r="O1056" s="5" cm="1">
        <f t="array" ref="O1056">IFERROR(_xlfn.STDEV.S(IF((DiscreteStatsTable[GroupByKey]=DiscreteStatsTable[[#This Row],[GroupByKey]]),(DiscreteStatsTable[GroupByKey]=DiscreteStatsTable[[#This Row],[GroupByKey]])*DiscreteStatsTable[Average])),0)</f>
        <v>6.2272947935973065E-2</v>
      </c>
      <c r="P1056" s="5" cm="1">
        <f t="array" ref="P1056">MAX(IF((ProjectInfoTable[ProjectName]=DiscreteStatsTable[[#This Row],[ProjectName]]),(ProjectInfoTable[ProjectName]=DiscreteStatsTable[[#This Row],[ProjectName]])*ProjectInfoTable[ConfidenceInterval]))</f>
        <v>0.95</v>
      </c>
      <c r="Q1056" s="5">
        <f>IF(AND(DiscreteStatsTable[[#This Row],[RepsWithStatObserved]]=1,Y1056=0),200000000000000000000,IFERROR(_xlfn.T.INV.2T(1 -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3.0014600137344902E-2</v>
      </c>
      <c r="R1056" s="5" cm="1">
        <f t="array" ref="R1056">MIN(IF((DiscreteStatsTable[GroupByKey]=DiscreteStatsTable[[#This Row],[GroupByKey]]),(DiscreteStatsTable[GroupByKey]=DiscreteStatsTable[[#This Row],[GroupByKey]])*DiscreteStatsTable[Average]))</f>
        <v>0.59592290927233305</v>
      </c>
      <c r="S1056" s="5" cm="1">
        <f t="array" ref="S1056">MAX(IF((DiscreteStatsTable[GroupByKey]=DiscreteStatsTable[[#This Row],[GroupByKey]]),(DiscreteStatsTable[GroupByKey]=DiscreteStatsTable[[#This Row],[GroupByKey]])*DiscreteStatsTable[Average]))</f>
        <v>0.82897119936997599</v>
      </c>
      <c r="T1056" s="5" cm="1">
        <f t="array" ref="T1056">MIN(IF((DiscreteStatsTable[GroupByKey]=DiscreteStatsTable[[#This Row],[GroupByKey]]),(DiscreteStatsTable[GroupByKey]=DiscreteStatsTable[[#This Row],[GroupByKey]])*DiscreteStatsTable[Minimum]))</f>
        <v>0.59592290927233305</v>
      </c>
      <c r="U1056" s="5" cm="1">
        <f t="array" ref="U1056">MAX(IF((DiscreteStatsTable[GroupByKey]=DiscreteStatsTable[[#This Row],[GroupByKey]]),(DiscreteStatsTable[GroupByKey]=DiscreteStatsTable[[#This Row],[GroupByKey]])*DiscreteStatsTable[Maximum]))</f>
        <v>0.82897119936997599</v>
      </c>
      <c r="V1056" s="5" cm="1">
        <f t="array" ref="V1056">IFERROR(AVERAGE(IF((DiscreteStatsTable[GroupByKey]=DiscreteStatsTable[[#This Row],[GroupByKey]]),(DiscreteStatsTable[GroupByKey]=DiscreteStatsTable[[#This Row],[GroupByKey]])*DiscreteStatsTable[NumberObservations])),0)</f>
        <v>1</v>
      </c>
      <c r="W1056" s="5">
        <f>IF((DiscreteStatsTable[[#This Row],[RepsRequested]]&gt;1),DiscreteStatsTable[[#This Row],[HalfWidth]],DiscreteStatsTable[[#This Row],[BatchMeansHalfWidth]])</f>
        <v>3.0014600137344902E-2</v>
      </c>
      <c r="X1056" s="5" cm="1">
        <f t="array" ref="X1056">COUNT(IF((DiscreteStatsTable[GroupByKey]=DiscreteStatsTable[[#This Row],[GroupByKey]]),(DiscreteStatsTable[GroupByKey]=DiscreteStatsTable[[#This Row],[GroupByKey]])*DiscreteStatsTable[Replication]))</f>
        <v>19</v>
      </c>
      <c r="Y1056" s="5">
        <f>IF(DiscreteStatsTable[[#This Row],[RepsRequested]]=DiscreteStatsTable[[#This Row],[RepsWithStatObserved]],1,0)</f>
        <v>1</v>
      </c>
    </row>
    <row r="1057" spans="1:25" x14ac:dyDescent="0.25">
      <c r="A1057" t="s">
        <v>67</v>
      </c>
      <c r="B1057" t="s">
        <v>69</v>
      </c>
      <c r="C1057">
        <v>16</v>
      </c>
      <c r="D1057" t="s">
        <v>126</v>
      </c>
      <c r="E1057" t="s">
        <v>79</v>
      </c>
      <c r="F1057" t="s">
        <v>80</v>
      </c>
      <c r="G1057">
        <v>0.63961204022853202</v>
      </c>
      <c r="H1057">
        <v>2E+20</v>
      </c>
      <c r="I1057">
        <v>0.63961204022853202</v>
      </c>
      <c r="J1057">
        <v>0.63961204022853202</v>
      </c>
      <c r="K1057">
        <v>1</v>
      </c>
      <c r="L1057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compartida)UtilizacionCocinaH3ExpressionUser Specified</v>
      </c>
      <c r="M1057" s="5" cm="1">
        <f t="array" ref="M1057">MAX(IF((ProjectInfoTable[ProjectName]=DiscreteStatsTable[[#This Row],[ProjectName]]),(ProjectInfoTable[ProjectName]=DiscreteStatsTable[[#This Row],[ProjectName]])*ProjectInfoTable[NumberOfReplications]))</f>
        <v>19</v>
      </c>
      <c r="N1057" s="5" cm="1">
        <f t="array" ref="N1057">IFERROR(AVERAGE(IF((DiscreteStatsTable[GroupByKey]=DiscreteStatsTable[[#This Row],[GroupByKey]]),(DiscreteStatsTable[GroupByKey]=DiscreteStatsTable[[#This Row],[GroupByKey]])*DiscreteStatsTable[Average])),0)</f>
        <v>0.68474836505339687</v>
      </c>
      <c r="O1057" s="5" cm="1">
        <f t="array" ref="O1057">IFERROR(_xlfn.STDEV.S(IF((DiscreteStatsTable[GroupByKey]=DiscreteStatsTable[[#This Row],[GroupByKey]]),(DiscreteStatsTable[GroupByKey]=DiscreteStatsTable[[#This Row],[GroupByKey]])*DiscreteStatsTable[Average])),0)</f>
        <v>6.2272947935973065E-2</v>
      </c>
      <c r="P1057" s="5" cm="1">
        <f t="array" ref="P1057">MAX(IF((ProjectInfoTable[ProjectName]=DiscreteStatsTable[[#This Row],[ProjectName]]),(ProjectInfoTable[ProjectName]=DiscreteStatsTable[[#This Row],[ProjectName]])*ProjectInfoTable[ConfidenceInterval]))</f>
        <v>0.95</v>
      </c>
      <c r="Q1057" s="5">
        <f>IF(AND(DiscreteStatsTable[[#This Row],[RepsWithStatObserved]]=1,Y1057=0),200000000000000000000,IFERROR(_xlfn.T.INV.2T(1 -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3.0014600137344902E-2</v>
      </c>
      <c r="R1057" s="5" cm="1">
        <f t="array" ref="R1057">MIN(IF((DiscreteStatsTable[GroupByKey]=DiscreteStatsTable[[#This Row],[GroupByKey]]),(DiscreteStatsTable[GroupByKey]=DiscreteStatsTable[[#This Row],[GroupByKey]])*DiscreteStatsTable[Average]))</f>
        <v>0.59592290927233305</v>
      </c>
      <c r="S1057" s="5" cm="1">
        <f t="array" ref="S1057">MAX(IF((DiscreteStatsTable[GroupByKey]=DiscreteStatsTable[[#This Row],[GroupByKey]]),(DiscreteStatsTable[GroupByKey]=DiscreteStatsTable[[#This Row],[GroupByKey]])*DiscreteStatsTable[Average]))</f>
        <v>0.82897119936997599</v>
      </c>
      <c r="T1057" s="5" cm="1">
        <f t="array" ref="T1057">MIN(IF((DiscreteStatsTable[GroupByKey]=DiscreteStatsTable[[#This Row],[GroupByKey]]),(DiscreteStatsTable[GroupByKey]=DiscreteStatsTable[[#This Row],[GroupByKey]])*DiscreteStatsTable[Minimum]))</f>
        <v>0.59592290927233305</v>
      </c>
      <c r="U1057" s="5" cm="1">
        <f t="array" ref="U1057">MAX(IF((DiscreteStatsTable[GroupByKey]=DiscreteStatsTable[[#This Row],[GroupByKey]]),(DiscreteStatsTable[GroupByKey]=DiscreteStatsTable[[#This Row],[GroupByKey]])*DiscreteStatsTable[Maximum]))</f>
        <v>0.82897119936997599</v>
      </c>
      <c r="V1057" s="5" cm="1">
        <f t="array" ref="V1057">IFERROR(AVERAGE(IF((DiscreteStatsTable[GroupByKey]=DiscreteStatsTable[[#This Row],[GroupByKey]]),(DiscreteStatsTable[GroupByKey]=DiscreteStatsTable[[#This Row],[GroupByKey]])*DiscreteStatsTable[NumberObservations])),0)</f>
        <v>1</v>
      </c>
      <c r="W1057" s="5">
        <f>IF((DiscreteStatsTable[[#This Row],[RepsRequested]]&gt;1),DiscreteStatsTable[[#This Row],[HalfWidth]],DiscreteStatsTable[[#This Row],[BatchMeansHalfWidth]])</f>
        <v>3.0014600137344902E-2</v>
      </c>
      <c r="X1057" s="5" cm="1">
        <f t="array" ref="X1057">COUNT(IF((DiscreteStatsTable[GroupByKey]=DiscreteStatsTable[[#This Row],[GroupByKey]]),(DiscreteStatsTable[GroupByKey]=DiscreteStatsTable[[#This Row],[GroupByKey]])*DiscreteStatsTable[Replication]))</f>
        <v>19</v>
      </c>
      <c r="Y1057" s="5">
        <f>IF(DiscreteStatsTable[[#This Row],[RepsRequested]]=DiscreteStatsTable[[#This Row],[RepsWithStatObserved]],1,0)</f>
        <v>1</v>
      </c>
    </row>
    <row r="1058" spans="1:25" x14ac:dyDescent="0.25">
      <c r="A1058" t="s">
        <v>67</v>
      </c>
      <c r="B1058" t="s">
        <v>69</v>
      </c>
      <c r="C1058">
        <v>17</v>
      </c>
      <c r="D1058" t="s">
        <v>126</v>
      </c>
      <c r="E1058" t="s">
        <v>79</v>
      </c>
      <c r="F1058" t="s">
        <v>80</v>
      </c>
      <c r="G1058">
        <v>0.66962680509933803</v>
      </c>
      <c r="H1058">
        <v>2E+20</v>
      </c>
      <c r="I1058">
        <v>0.66962680509933803</v>
      </c>
      <c r="J1058">
        <v>0.66962680509933803</v>
      </c>
      <c r="K1058">
        <v>1</v>
      </c>
      <c r="L1058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compartida)UtilizacionCocinaH3ExpressionUser Specified</v>
      </c>
      <c r="M1058" s="5" cm="1">
        <f t="array" ref="M1058">MAX(IF((ProjectInfoTable[ProjectName]=DiscreteStatsTable[[#This Row],[ProjectName]]),(ProjectInfoTable[ProjectName]=DiscreteStatsTable[[#This Row],[ProjectName]])*ProjectInfoTable[NumberOfReplications]))</f>
        <v>19</v>
      </c>
      <c r="N1058" s="5" cm="1">
        <f t="array" ref="N1058">IFERROR(AVERAGE(IF((DiscreteStatsTable[GroupByKey]=DiscreteStatsTable[[#This Row],[GroupByKey]]),(DiscreteStatsTable[GroupByKey]=DiscreteStatsTable[[#This Row],[GroupByKey]])*DiscreteStatsTable[Average])),0)</f>
        <v>0.68474836505339687</v>
      </c>
      <c r="O1058" s="5" cm="1">
        <f t="array" ref="O1058">IFERROR(_xlfn.STDEV.S(IF((DiscreteStatsTable[GroupByKey]=DiscreteStatsTable[[#This Row],[GroupByKey]]),(DiscreteStatsTable[GroupByKey]=DiscreteStatsTable[[#This Row],[GroupByKey]])*DiscreteStatsTable[Average])),0)</f>
        <v>6.2272947935973065E-2</v>
      </c>
      <c r="P1058" s="5" cm="1">
        <f t="array" ref="P1058">MAX(IF((ProjectInfoTable[ProjectName]=DiscreteStatsTable[[#This Row],[ProjectName]]),(ProjectInfoTable[ProjectName]=DiscreteStatsTable[[#This Row],[ProjectName]])*ProjectInfoTable[ConfidenceInterval]))</f>
        <v>0.95</v>
      </c>
      <c r="Q1058" s="5">
        <f>IF(AND(DiscreteStatsTable[[#This Row],[RepsWithStatObserved]]=1,Y1058=0),200000000000000000000,IFERROR(_xlfn.T.INV.2T(1 -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3.0014600137344902E-2</v>
      </c>
      <c r="R1058" s="5" cm="1">
        <f t="array" ref="R1058">MIN(IF((DiscreteStatsTable[GroupByKey]=DiscreteStatsTable[[#This Row],[GroupByKey]]),(DiscreteStatsTable[GroupByKey]=DiscreteStatsTable[[#This Row],[GroupByKey]])*DiscreteStatsTable[Average]))</f>
        <v>0.59592290927233305</v>
      </c>
      <c r="S1058" s="5" cm="1">
        <f t="array" ref="S1058">MAX(IF((DiscreteStatsTable[GroupByKey]=DiscreteStatsTable[[#This Row],[GroupByKey]]),(DiscreteStatsTable[GroupByKey]=DiscreteStatsTable[[#This Row],[GroupByKey]])*DiscreteStatsTable[Average]))</f>
        <v>0.82897119936997599</v>
      </c>
      <c r="T1058" s="5" cm="1">
        <f t="array" ref="T1058">MIN(IF((DiscreteStatsTable[GroupByKey]=DiscreteStatsTable[[#This Row],[GroupByKey]]),(DiscreteStatsTable[GroupByKey]=DiscreteStatsTable[[#This Row],[GroupByKey]])*DiscreteStatsTable[Minimum]))</f>
        <v>0.59592290927233305</v>
      </c>
      <c r="U1058" s="5" cm="1">
        <f t="array" ref="U1058">MAX(IF((DiscreteStatsTable[GroupByKey]=DiscreteStatsTable[[#This Row],[GroupByKey]]),(DiscreteStatsTable[GroupByKey]=DiscreteStatsTable[[#This Row],[GroupByKey]])*DiscreteStatsTable[Maximum]))</f>
        <v>0.82897119936997599</v>
      </c>
      <c r="V1058" s="5" cm="1">
        <f t="array" ref="V1058">IFERROR(AVERAGE(IF((DiscreteStatsTable[GroupByKey]=DiscreteStatsTable[[#This Row],[GroupByKey]]),(DiscreteStatsTable[GroupByKey]=DiscreteStatsTable[[#This Row],[GroupByKey]])*DiscreteStatsTable[NumberObservations])),0)</f>
        <v>1</v>
      </c>
      <c r="W1058" s="5">
        <f>IF((DiscreteStatsTable[[#This Row],[RepsRequested]]&gt;1),DiscreteStatsTable[[#This Row],[HalfWidth]],DiscreteStatsTable[[#This Row],[BatchMeansHalfWidth]])</f>
        <v>3.0014600137344902E-2</v>
      </c>
      <c r="X1058" s="5" cm="1">
        <f t="array" ref="X1058">COUNT(IF((DiscreteStatsTable[GroupByKey]=DiscreteStatsTable[[#This Row],[GroupByKey]]),(DiscreteStatsTable[GroupByKey]=DiscreteStatsTable[[#This Row],[GroupByKey]])*DiscreteStatsTable[Replication]))</f>
        <v>19</v>
      </c>
      <c r="Y1058" s="5">
        <f>IF(DiscreteStatsTable[[#This Row],[RepsRequested]]=DiscreteStatsTable[[#This Row],[RepsWithStatObserved]],1,0)</f>
        <v>1</v>
      </c>
    </row>
    <row r="1059" spans="1:25" x14ac:dyDescent="0.25">
      <c r="A1059" t="s">
        <v>67</v>
      </c>
      <c r="B1059" t="s">
        <v>69</v>
      </c>
      <c r="C1059">
        <v>18</v>
      </c>
      <c r="D1059" t="s">
        <v>126</v>
      </c>
      <c r="E1059" t="s">
        <v>79</v>
      </c>
      <c r="F1059" t="s">
        <v>80</v>
      </c>
      <c r="G1059">
        <v>0.76092451969044494</v>
      </c>
      <c r="H1059">
        <v>2E+20</v>
      </c>
      <c r="I1059">
        <v>0.76092451969044494</v>
      </c>
      <c r="J1059">
        <v>0.76092451969044494</v>
      </c>
      <c r="K1059">
        <v>1</v>
      </c>
      <c r="L1059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compartida)UtilizacionCocinaH3ExpressionUser Specified</v>
      </c>
      <c r="M1059" s="5" cm="1">
        <f t="array" ref="M1059">MAX(IF((ProjectInfoTable[ProjectName]=DiscreteStatsTable[[#This Row],[ProjectName]]),(ProjectInfoTable[ProjectName]=DiscreteStatsTable[[#This Row],[ProjectName]])*ProjectInfoTable[NumberOfReplications]))</f>
        <v>19</v>
      </c>
      <c r="N1059" s="5" cm="1">
        <f t="array" ref="N1059">IFERROR(AVERAGE(IF((DiscreteStatsTable[GroupByKey]=DiscreteStatsTable[[#This Row],[GroupByKey]]),(DiscreteStatsTable[GroupByKey]=DiscreteStatsTable[[#This Row],[GroupByKey]])*DiscreteStatsTable[Average])),0)</f>
        <v>0.68474836505339687</v>
      </c>
      <c r="O1059" s="5" cm="1">
        <f t="array" ref="O1059">IFERROR(_xlfn.STDEV.S(IF((DiscreteStatsTable[GroupByKey]=DiscreteStatsTable[[#This Row],[GroupByKey]]),(DiscreteStatsTable[GroupByKey]=DiscreteStatsTable[[#This Row],[GroupByKey]])*DiscreteStatsTable[Average])),0)</f>
        <v>6.2272947935973065E-2</v>
      </c>
      <c r="P1059" s="5" cm="1">
        <f t="array" ref="P1059">MAX(IF((ProjectInfoTable[ProjectName]=DiscreteStatsTable[[#This Row],[ProjectName]]),(ProjectInfoTable[ProjectName]=DiscreteStatsTable[[#This Row],[ProjectName]])*ProjectInfoTable[ConfidenceInterval]))</f>
        <v>0.95</v>
      </c>
      <c r="Q1059" s="5">
        <f>IF(AND(DiscreteStatsTable[[#This Row],[RepsWithStatObserved]]=1,Y1059=0),200000000000000000000,IFERROR(_xlfn.T.INV.2T(1 -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3.0014600137344902E-2</v>
      </c>
      <c r="R1059" s="5" cm="1">
        <f t="array" ref="R1059">MIN(IF((DiscreteStatsTable[GroupByKey]=DiscreteStatsTable[[#This Row],[GroupByKey]]),(DiscreteStatsTable[GroupByKey]=DiscreteStatsTable[[#This Row],[GroupByKey]])*DiscreteStatsTable[Average]))</f>
        <v>0.59592290927233305</v>
      </c>
      <c r="S1059" s="5" cm="1">
        <f t="array" ref="S1059">MAX(IF((DiscreteStatsTable[GroupByKey]=DiscreteStatsTable[[#This Row],[GroupByKey]]),(DiscreteStatsTable[GroupByKey]=DiscreteStatsTable[[#This Row],[GroupByKey]])*DiscreteStatsTable[Average]))</f>
        <v>0.82897119936997599</v>
      </c>
      <c r="T1059" s="5" cm="1">
        <f t="array" ref="T1059">MIN(IF((DiscreteStatsTable[GroupByKey]=DiscreteStatsTable[[#This Row],[GroupByKey]]),(DiscreteStatsTable[GroupByKey]=DiscreteStatsTable[[#This Row],[GroupByKey]])*DiscreteStatsTable[Minimum]))</f>
        <v>0.59592290927233305</v>
      </c>
      <c r="U1059" s="5" cm="1">
        <f t="array" ref="U1059">MAX(IF((DiscreteStatsTable[GroupByKey]=DiscreteStatsTable[[#This Row],[GroupByKey]]),(DiscreteStatsTable[GroupByKey]=DiscreteStatsTable[[#This Row],[GroupByKey]])*DiscreteStatsTable[Maximum]))</f>
        <v>0.82897119936997599</v>
      </c>
      <c r="V1059" s="5" cm="1">
        <f t="array" ref="V1059">IFERROR(AVERAGE(IF((DiscreteStatsTable[GroupByKey]=DiscreteStatsTable[[#This Row],[GroupByKey]]),(DiscreteStatsTable[GroupByKey]=DiscreteStatsTable[[#This Row],[GroupByKey]])*DiscreteStatsTable[NumberObservations])),0)</f>
        <v>1</v>
      </c>
      <c r="W1059" s="5">
        <f>IF((DiscreteStatsTable[[#This Row],[RepsRequested]]&gt;1),DiscreteStatsTable[[#This Row],[HalfWidth]],DiscreteStatsTable[[#This Row],[BatchMeansHalfWidth]])</f>
        <v>3.0014600137344902E-2</v>
      </c>
      <c r="X1059" s="5" cm="1">
        <f t="array" ref="X1059">COUNT(IF((DiscreteStatsTable[GroupByKey]=DiscreteStatsTable[[#This Row],[GroupByKey]]),(DiscreteStatsTable[GroupByKey]=DiscreteStatsTable[[#This Row],[GroupByKey]])*DiscreteStatsTable[Replication]))</f>
        <v>19</v>
      </c>
      <c r="Y1059" s="5">
        <f>IF(DiscreteStatsTable[[#This Row],[RepsRequested]]=DiscreteStatsTable[[#This Row],[RepsWithStatObserved]],1,0)</f>
        <v>1</v>
      </c>
    </row>
    <row r="1060" spans="1:25" x14ac:dyDescent="0.25">
      <c r="A1060" t="s">
        <v>67</v>
      </c>
      <c r="B1060" t="s">
        <v>69</v>
      </c>
      <c r="C1060">
        <v>19</v>
      </c>
      <c r="D1060" t="s">
        <v>126</v>
      </c>
      <c r="E1060" t="s">
        <v>79</v>
      </c>
      <c r="F1060" t="s">
        <v>80</v>
      </c>
      <c r="G1060">
        <v>0.65224560006994103</v>
      </c>
      <c r="H1060">
        <v>2E+20</v>
      </c>
      <c r="I1060">
        <v>0.65224560006994103</v>
      </c>
      <c r="J1060">
        <v>0.65224560006994103</v>
      </c>
      <c r="K1060">
        <v>1</v>
      </c>
      <c r="L1060" s="5" t="str">
        <f>DiscreteStatsTable[[#This Row],[ProjectName]]&amp;DiscreteStatsTable[[#This Row],[Name]]&amp;DiscreteStatsTable[[#This Row],[Type]]&amp;DiscreteStatsTable[[#This Row],[Source]]</f>
        <v>Friday (Solucion: datafono, gofre, cocina y caja compartida)UtilizacionCocinaH3ExpressionUser Specified</v>
      </c>
      <c r="M1060" s="5" cm="1">
        <f t="array" ref="M1060">MAX(IF((ProjectInfoTable[ProjectName]=DiscreteStatsTable[[#This Row],[ProjectName]]),(ProjectInfoTable[ProjectName]=DiscreteStatsTable[[#This Row],[ProjectName]])*ProjectInfoTable[NumberOfReplications]))</f>
        <v>19</v>
      </c>
      <c r="N1060" s="5" cm="1">
        <f t="array" ref="N1060">IFERROR(AVERAGE(IF((DiscreteStatsTable[GroupByKey]=DiscreteStatsTable[[#This Row],[GroupByKey]]),(DiscreteStatsTable[GroupByKey]=DiscreteStatsTable[[#This Row],[GroupByKey]])*DiscreteStatsTable[Average])),0)</f>
        <v>0.68474836505339687</v>
      </c>
      <c r="O1060" s="5" cm="1">
        <f t="array" ref="O1060">IFERROR(_xlfn.STDEV.S(IF((DiscreteStatsTable[GroupByKey]=DiscreteStatsTable[[#This Row],[GroupByKey]]),(DiscreteStatsTable[GroupByKey]=DiscreteStatsTable[[#This Row],[GroupByKey]])*DiscreteStatsTable[Average])),0)</f>
        <v>6.2272947935973065E-2</v>
      </c>
      <c r="P1060" s="5" cm="1">
        <f t="array" ref="P1060">MAX(IF((ProjectInfoTable[ProjectName]=DiscreteStatsTable[[#This Row],[ProjectName]]),(ProjectInfoTable[ProjectName]=DiscreteStatsTable[[#This Row],[ProjectName]])*ProjectInfoTable[ConfidenceInterval]))</f>
        <v>0.95</v>
      </c>
      <c r="Q1060" s="5">
        <f>IF(AND(DiscreteStatsTable[[#This Row],[RepsWithStatObserved]]=1,Y1060=0),200000000000000000000,IFERROR(_xlfn.T.INV.2T(1 -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3.0014600137344902E-2</v>
      </c>
      <c r="R1060" s="5" cm="1">
        <f t="array" ref="R1060">MIN(IF((DiscreteStatsTable[GroupByKey]=DiscreteStatsTable[[#This Row],[GroupByKey]]),(DiscreteStatsTable[GroupByKey]=DiscreteStatsTable[[#This Row],[GroupByKey]])*DiscreteStatsTable[Average]))</f>
        <v>0.59592290927233305</v>
      </c>
      <c r="S1060" s="5" cm="1">
        <f t="array" ref="S1060">MAX(IF((DiscreteStatsTable[GroupByKey]=DiscreteStatsTable[[#This Row],[GroupByKey]]),(DiscreteStatsTable[GroupByKey]=DiscreteStatsTable[[#This Row],[GroupByKey]])*DiscreteStatsTable[Average]))</f>
        <v>0.82897119936997599</v>
      </c>
      <c r="T1060" s="5" cm="1">
        <f t="array" ref="T1060">MIN(IF((DiscreteStatsTable[GroupByKey]=DiscreteStatsTable[[#This Row],[GroupByKey]]),(DiscreteStatsTable[GroupByKey]=DiscreteStatsTable[[#This Row],[GroupByKey]])*DiscreteStatsTable[Minimum]))</f>
        <v>0.59592290927233305</v>
      </c>
      <c r="U1060" s="5" cm="1">
        <f t="array" ref="U1060">MAX(IF((DiscreteStatsTable[GroupByKey]=DiscreteStatsTable[[#This Row],[GroupByKey]]),(DiscreteStatsTable[GroupByKey]=DiscreteStatsTable[[#This Row],[GroupByKey]])*DiscreteStatsTable[Maximum]))</f>
        <v>0.82897119936997599</v>
      </c>
      <c r="V1060" s="5" cm="1">
        <f t="array" ref="V1060">IFERROR(AVERAGE(IF((DiscreteStatsTable[GroupByKey]=DiscreteStatsTable[[#This Row],[GroupByKey]]),(DiscreteStatsTable[GroupByKey]=DiscreteStatsTable[[#This Row],[GroupByKey]])*DiscreteStatsTable[NumberObservations])),0)</f>
        <v>1</v>
      </c>
      <c r="W1060" s="5">
        <f>IF((DiscreteStatsTable[[#This Row],[RepsRequested]]&gt;1),DiscreteStatsTable[[#This Row],[HalfWidth]],DiscreteStatsTable[[#This Row],[BatchMeansHalfWidth]])</f>
        <v>3.0014600137344902E-2</v>
      </c>
      <c r="X1060" s="5" cm="1">
        <f t="array" ref="X1060">COUNT(IF((DiscreteStatsTable[GroupByKey]=DiscreteStatsTable[[#This Row],[GroupByKey]]),(DiscreteStatsTable[GroupByKey]=DiscreteStatsTable[[#This Row],[GroupByKey]])*DiscreteStatsTable[Replication]))</f>
        <v>19</v>
      </c>
      <c r="Y1060" s="5">
        <f>IF(DiscreteStatsTable[[#This Row],[RepsRequested]]=DiscreteStatsTable[[#This Row],[RepsWithStatObserved]],1,0)</f>
        <v>1</v>
      </c>
    </row>
  </sheetData>
  <phoneticPr fontId="2" type="noConversion"/>
  <conditionalFormatting sqref="H2:H1060 Q2:Q1060">
    <cfRule type="expression" dxfId="20" priority="23">
      <formula>H2=200000000000000000000</formula>
    </cfRule>
  </conditionalFormatting>
  <conditionalFormatting sqref="H2:H1060">
    <cfRule type="expression" dxfId="19" priority="21">
      <formula>H2=300000000000000000000</formula>
    </cfRule>
  </conditionalFormatting>
  <conditionalFormatting sqref="L2:Y1060">
    <cfRule type="expression" dxfId="18" priority="19">
      <formula>MOD(ROW(),2)=0</formula>
    </cfRule>
  </conditionalFormatting>
  <conditionalFormatting sqref="Y2:Y1060">
    <cfRule type="expression" dxfId="17" priority="14">
      <formula>Y2=0</formula>
    </cfRule>
    <cfRule type="expression" dxfId="16" priority="16">
      <formula>Y2=1</formula>
    </cfRule>
  </conditionalFormatting>
  <conditionalFormatting sqref="Y3:Y1060">
    <cfRule type="expression" dxfId="15" priority="15">
      <formula>Y3=1</formula>
    </cfRule>
  </conditionalFormatting>
  <conditionalFormatting sqref="W2:W1060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060 W2:W1060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362"/>
  <sheetViews>
    <sheetView workbookViewId="0">
      <selection activeCell="A2" sqref="A2:L11"/>
    </sheetView>
  </sheetViews>
  <sheetFormatPr baseColWidth="10" defaultColWidth="9.140625" defaultRowHeight="15" x14ac:dyDescent="0.25"/>
  <cols>
    <col min="1" max="1" width="54" bestFit="1" customWidth="1"/>
    <col min="2" max="2" width="22.140625" bestFit="1" customWidth="1"/>
    <col min="3" max="3" width="13.28515625" bestFit="1" customWidth="1"/>
    <col min="4" max="4" width="21.5703125" bestFit="1" customWidth="1"/>
    <col min="5" max="5" width="23.42578125" bestFit="1" customWidth="1"/>
    <col min="6" max="6" width="13.7109375" bestFit="1" customWidth="1"/>
    <col min="7" max="7" width="12" bestFit="1" customWidth="1"/>
    <col min="8" max="8" width="23.5703125" bestFit="1" customWidth="1"/>
    <col min="9" max="9" width="12" bestFit="1" customWidth="1"/>
    <col min="10" max="10" width="12.28515625" bestFit="1" customWidth="1"/>
    <col min="11" max="11" width="20.42578125" bestFit="1" customWidth="1"/>
    <col min="12" max="12" width="12" bestFit="1" customWidth="1"/>
    <col min="13" max="13" width="81.140625" bestFit="1" customWidth="1"/>
    <col min="14" max="14" width="17.140625" bestFit="1" customWidth="1"/>
    <col min="15" max="15" width="20.140625" bestFit="1" customWidth="1"/>
    <col min="16" max="16" width="17.85546875" bestFit="1" customWidth="1"/>
    <col min="17" max="17" width="20.42578125" bestFit="1" customWidth="1"/>
    <col min="18" max="18" width="12.42578125" bestFit="1" customWidth="1"/>
    <col min="19" max="19" width="19.42578125" bestFit="1" customWidth="1"/>
    <col min="20" max="20" width="19.7109375" bestFit="1" customWidth="1"/>
    <col min="21" max="21" width="20.85546875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69</v>
      </c>
      <c r="C2">
        <v>1</v>
      </c>
      <c r="D2" t="s">
        <v>70</v>
      </c>
      <c r="E2" t="s">
        <v>129</v>
      </c>
      <c r="F2" t="s">
        <v>72</v>
      </c>
      <c r="G2">
        <v>10.9337547677616</v>
      </c>
      <c r="H2">
        <v>3E+20</v>
      </c>
      <c r="I2">
        <v>0</v>
      </c>
      <c r="J2">
        <v>28</v>
      </c>
      <c r="K2">
        <v>5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compartida)ClienteWIPEntity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19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5.695207969173218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1.5293712224665061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0.7371333335799507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3.6484308227805702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10.9337547677616</v>
      </c>
      <c r="U2">
        <f>IF((ContinuousStatsTable[[#This Row],[RepsRequested]]&gt;1),ContinuousStatsTable[[#This Row],[HalfWidth]],ContinuousStatsTable[[#This Row],[BatchMeansHalfWidth]])</f>
        <v>0.7371333335799507</v>
      </c>
    </row>
    <row r="3" spans="1:21" x14ac:dyDescent="0.25">
      <c r="A3" t="s">
        <v>67</v>
      </c>
      <c r="B3" t="s">
        <v>69</v>
      </c>
      <c r="C3">
        <v>1</v>
      </c>
      <c r="D3" t="s">
        <v>89</v>
      </c>
      <c r="E3" t="s">
        <v>130</v>
      </c>
      <c r="F3" t="s">
        <v>91</v>
      </c>
      <c r="G3">
        <v>0</v>
      </c>
      <c r="H3">
        <v>2E+20</v>
      </c>
      <c r="I3">
        <v>0</v>
      </c>
      <c r="J3">
        <v>0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compartida)Comer en Mesa.QueueNumber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19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</v>
      </c>
      <c r="U3">
        <f>IF((ContinuousStatsTable[[#This Row],[RepsRequested]]&gt;1),ContinuousStatsTable[[#This Row],[HalfWidth]],ContinuousStatsTable[[#This Row],[BatchMeansHalfWidth]])</f>
        <v>0</v>
      </c>
    </row>
    <row r="4" spans="1:21" x14ac:dyDescent="0.25">
      <c r="A4" t="s">
        <v>67</v>
      </c>
      <c r="B4" t="s">
        <v>69</v>
      </c>
      <c r="C4">
        <v>1</v>
      </c>
      <c r="D4" t="s">
        <v>92</v>
      </c>
      <c r="E4" t="s">
        <v>130</v>
      </c>
      <c r="F4" t="s">
        <v>91</v>
      </c>
      <c r="G4">
        <v>3.71511779664222</v>
      </c>
      <c r="H4">
        <v>2E+20</v>
      </c>
      <c r="I4">
        <v>0</v>
      </c>
      <c r="J4">
        <v>15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compartida)Entrega pedido.QueueNumber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19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1.4415832090470244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0.61323545266973079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0.29557002698587687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0.95119347509060603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3.71511779664222</v>
      </c>
      <c r="U4">
        <f>IF((ContinuousStatsTable[[#This Row],[RepsRequested]]&gt;1),ContinuousStatsTable[[#This Row],[HalfWidth]],ContinuousStatsTable[[#This Row],[BatchMeansHalfWidth]])</f>
        <v>0.29557002698587687</v>
      </c>
    </row>
    <row r="5" spans="1:21" x14ac:dyDescent="0.25">
      <c r="A5" t="s">
        <v>67</v>
      </c>
      <c r="B5" t="s">
        <v>69</v>
      </c>
      <c r="C5">
        <v>1</v>
      </c>
      <c r="D5" t="s">
        <v>131</v>
      </c>
      <c r="E5" t="s">
        <v>129</v>
      </c>
      <c r="F5" t="s">
        <v>72</v>
      </c>
      <c r="G5">
        <v>5.8229936047650703</v>
      </c>
      <c r="H5">
        <v>2E+20</v>
      </c>
      <c r="I5">
        <v>0</v>
      </c>
      <c r="J5">
        <v>17</v>
      </c>
      <c r="K5">
        <v>2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compartida)OrdenWIPEntity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19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3.0972744691234286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0.7960145604449721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0.38366673695655462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2.0609398302211299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5.8229936047650703</v>
      </c>
      <c r="U5">
        <f>IF((ContinuousStatsTable[[#This Row],[RepsRequested]]&gt;1),ContinuousStatsTable[[#This Row],[HalfWidth]],ContinuousStatsTable[[#This Row],[BatchMeansHalfWidth]])</f>
        <v>0.38366673695655462</v>
      </c>
    </row>
    <row r="6" spans="1:21" x14ac:dyDescent="0.25">
      <c r="A6" t="s">
        <v>67</v>
      </c>
      <c r="B6" t="s">
        <v>69</v>
      </c>
      <c r="C6">
        <v>1</v>
      </c>
      <c r="D6" t="s">
        <v>99</v>
      </c>
      <c r="E6" t="s">
        <v>130</v>
      </c>
      <c r="F6" t="s">
        <v>91</v>
      </c>
      <c r="G6">
        <v>2.4783528335268201</v>
      </c>
      <c r="H6">
        <v>2E+20</v>
      </c>
      <c r="I6">
        <v>0</v>
      </c>
      <c r="J6">
        <v>11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compartida)Pasar a Caja.QueueNumber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19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0.5234663348541454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0.51706251909874834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0.24921615679273348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0.17506464523350199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2.4783528335268201</v>
      </c>
      <c r="U6">
        <f>IF((ContinuousStatsTable[[#This Row],[RepsRequested]]&gt;1),ContinuousStatsTable[[#This Row],[HalfWidth]],ContinuousStatsTable[[#This Row],[BatchMeansHalfWidth]])</f>
        <v>0.24921615679273348</v>
      </c>
    </row>
    <row r="7" spans="1:21" x14ac:dyDescent="0.25">
      <c r="A7" t="s">
        <v>67</v>
      </c>
      <c r="B7" t="s">
        <v>69</v>
      </c>
      <c r="C7">
        <v>1</v>
      </c>
      <c r="D7" t="s">
        <v>104</v>
      </c>
      <c r="E7" t="s">
        <v>130</v>
      </c>
      <c r="F7" t="s">
        <v>91</v>
      </c>
      <c r="G7">
        <v>2.5739205922552402</v>
      </c>
      <c r="H7">
        <v>2E+20</v>
      </c>
      <c r="I7">
        <v>0</v>
      </c>
      <c r="J7">
        <v>12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compartida)Preparacion.QueueNumber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19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0.48138063122984937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0.5430727934303009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0.26175270772536113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0.13383910219346701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2.5739205922552402</v>
      </c>
      <c r="U7">
        <f>IF((ContinuousStatsTable[[#This Row],[RepsRequested]]&gt;1),ContinuousStatsTable[[#This Row],[HalfWidth]],ContinuousStatsTable[[#This Row],[BatchMeansHalfWidth]])</f>
        <v>0.26175270772536113</v>
      </c>
    </row>
    <row r="8" spans="1:21" x14ac:dyDescent="0.25">
      <c r="A8" t="s">
        <v>67</v>
      </c>
      <c r="B8" t="s">
        <v>69</v>
      </c>
      <c r="C8">
        <v>1</v>
      </c>
      <c r="D8" t="s">
        <v>132</v>
      </c>
      <c r="E8" t="s">
        <v>133</v>
      </c>
      <c r="F8" t="s">
        <v>80</v>
      </c>
      <c r="G8">
        <v>1.9709313636784001</v>
      </c>
      <c r="H8">
        <v>2E+20</v>
      </c>
      <c r="I8">
        <v>0</v>
      </c>
      <c r="J8">
        <v>5</v>
      </c>
      <c r="K8">
        <v>2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compartida)TP_MesasTime PersistentUser Specified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19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0.78103222660121896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2.2471252689993402</v>
      </c>
      <c r="U8">
        <f>IF((ContinuousStatsTable[[#This Row],[RepsRequested]]&gt;1),ContinuousStatsTable[[#This Row],[HalfWidth]],ContinuousStatsTable[[#This Row],[BatchMeansHalfWidth]])</f>
        <v>0.15082773976588459</v>
      </c>
    </row>
    <row r="9" spans="1:21" x14ac:dyDescent="0.25">
      <c r="A9" t="s">
        <v>67</v>
      </c>
      <c r="B9" t="s">
        <v>69</v>
      </c>
      <c r="C9">
        <v>1</v>
      </c>
      <c r="D9" t="s">
        <v>134</v>
      </c>
      <c r="E9" t="s">
        <v>135</v>
      </c>
      <c r="F9" t="s">
        <v>136</v>
      </c>
      <c r="G9">
        <v>0.82897119936997599</v>
      </c>
      <c r="H9">
        <v>2E+20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19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6.2272947935973086E-2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3.0014600137344912E-2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0.59592290927233305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0.82897119936997599</v>
      </c>
      <c r="U9">
        <f>IF((ContinuousStatsTable[[#This Row],[RepsRequested]]&gt;1),ContinuousStatsTable[[#This Row],[HalfWidth]],ContinuousStatsTable[[#This Row],[BatchMeansHalfWidth]])</f>
        <v>3.0014600137344912E-2</v>
      </c>
    </row>
    <row r="10" spans="1:21" x14ac:dyDescent="0.25">
      <c r="A10" t="s">
        <v>67</v>
      </c>
      <c r="B10" t="s">
        <v>69</v>
      </c>
      <c r="C10">
        <v>1</v>
      </c>
      <c r="D10" t="s">
        <v>134</v>
      </c>
      <c r="E10" t="s">
        <v>137</v>
      </c>
      <c r="F10" t="s">
        <v>136</v>
      </c>
      <c r="G10">
        <v>0.82897119936997599</v>
      </c>
      <c r="H10">
        <v>2E+20</v>
      </c>
      <c r="I10">
        <v>0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19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6.2272947935973065E-2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3.0014600137344902E-2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0.59592290927233305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0.82897119936997599</v>
      </c>
      <c r="U10">
        <f>IF((ContinuousStatsTable[[#This Row],[RepsRequested]]&gt;1),ContinuousStatsTable[[#This Row],[HalfWidth]],ContinuousStatsTable[[#This Row],[BatchMeansHalfWidth]])</f>
        <v>3.0014600137344902E-2</v>
      </c>
    </row>
    <row r="11" spans="1:21" x14ac:dyDescent="0.25">
      <c r="A11" t="s">
        <v>67</v>
      </c>
      <c r="B11" t="s">
        <v>69</v>
      </c>
      <c r="C11">
        <v>1</v>
      </c>
      <c r="D11" t="s">
        <v>134</v>
      </c>
      <c r="E11" t="s">
        <v>138</v>
      </c>
      <c r="F11" t="s">
        <v>136</v>
      </c>
      <c r="G11">
        <v>1</v>
      </c>
      <c r="H11">
        <v>2E+20</v>
      </c>
      <c r="I11">
        <v>1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19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25">
      <c r="A12" t="s">
        <v>67</v>
      </c>
      <c r="B12" t="s">
        <v>69</v>
      </c>
      <c r="C12">
        <v>1</v>
      </c>
      <c r="D12" t="s">
        <v>139</v>
      </c>
      <c r="E12" t="s">
        <v>135</v>
      </c>
      <c r="F12" t="s">
        <v>136</v>
      </c>
      <c r="G12">
        <v>0.86361037821575004</v>
      </c>
      <c r="H12">
        <v>2E+20</v>
      </c>
      <c r="I12">
        <v>0</v>
      </c>
      <c r="J12">
        <v>1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compartida)rCocinaInstantaneous UtilizationResource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19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0.60463940272025996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0.86361037821575004</v>
      </c>
      <c r="U12" s="5">
        <f>IF((ContinuousStatsTable[[#This Row],[RepsRequested]]&gt;1),ContinuousStatsTable[[#This Row],[HalfWidth]],ContinuousStatsTable[[#This Row],[BatchMeansHalfWidth]])</f>
        <v>3.4176212493127585E-2</v>
      </c>
    </row>
    <row r="13" spans="1:21" x14ac:dyDescent="0.25">
      <c r="A13" t="s">
        <v>67</v>
      </c>
      <c r="B13" t="s">
        <v>69</v>
      </c>
      <c r="C13">
        <v>1</v>
      </c>
      <c r="D13" t="s">
        <v>139</v>
      </c>
      <c r="E13" t="s">
        <v>137</v>
      </c>
      <c r="F13" t="s">
        <v>136</v>
      </c>
      <c r="G13">
        <v>0.86361037821575004</v>
      </c>
      <c r="H13">
        <v>2E+20</v>
      </c>
      <c r="I13">
        <v>0</v>
      </c>
      <c r="J13">
        <v>1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BusyResource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19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0.60463940272025996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0.86361037821575004</v>
      </c>
      <c r="U13" s="5">
        <f>IF((ContinuousStatsTable[[#This Row],[RepsRequested]]&gt;1),ContinuousStatsTable[[#This Row],[HalfWidth]],ContinuousStatsTable[[#This Row],[BatchMeansHalfWidth]])</f>
        <v>3.4176212493127585E-2</v>
      </c>
    </row>
    <row r="14" spans="1:21" x14ac:dyDescent="0.25">
      <c r="A14" t="s">
        <v>67</v>
      </c>
      <c r="B14" t="s">
        <v>69</v>
      </c>
      <c r="C14">
        <v>1</v>
      </c>
      <c r="D14" t="s">
        <v>139</v>
      </c>
      <c r="E14" t="s">
        <v>138</v>
      </c>
      <c r="F14" t="s">
        <v>136</v>
      </c>
      <c r="G14">
        <v>1</v>
      </c>
      <c r="H14">
        <v>2E+20</v>
      </c>
      <c r="I14">
        <v>1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ScheduledResource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19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1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1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1</v>
      </c>
      <c r="U14" s="5">
        <f>IF((ContinuousStatsTable[[#This Row],[RepsRequested]]&gt;1),ContinuousStatsTable[[#This Row],[HalfWidth]],ContinuousStatsTable[[#This Row],[BatchMeansHalfWidth]])</f>
        <v>0</v>
      </c>
    </row>
    <row r="15" spans="1:21" x14ac:dyDescent="0.25">
      <c r="A15" t="s">
        <v>67</v>
      </c>
      <c r="B15" t="s">
        <v>69</v>
      </c>
      <c r="C15">
        <v>1</v>
      </c>
      <c r="D15" t="s">
        <v>140</v>
      </c>
      <c r="E15" t="s">
        <v>135</v>
      </c>
      <c r="F15" t="s">
        <v>136</v>
      </c>
      <c r="G15">
        <v>0.39418627273567902</v>
      </c>
      <c r="H15">
        <v>2E+20</v>
      </c>
      <c r="I15">
        <v>0</v>
      </c>
      <c r="J15">
        <v>1</v>
      </c>
      <c r="K15">
        <v>0.4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compartida)rMesaInstantaneous UtilizationResource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19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0.30850610959128738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6.2586127702931413E-2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3.0165547953177007E-2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0.156206445320244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0.44942505379986802</v>
      </c>
      <c r="U15" s="5">
        <f>IF((ContinuousStatsTable[[#This Row],[RepsRequested]]&gt;1),ContinuousStatsTable[[#This Row],[HalfWidth]],ContinuousStatsTable[[#This Row],[BatchMeansHalfWidth]])</f>
        <v>3.0165547953177007E-2</v>
      </c>
    </row>
    <row r="16" spans="1:21" x14ac:dyDescent="0.25">
      <c r="A16" t="s">
        <v>67</v>
      </c>
      <c r="B16" t="s">
        <v>69</v>
      </c>
      <c r="C16">
        <v>1</v>
      </c>
      <c r="D16" t="s">
        <v>140</v>
      </c>
      <c r="E16" t="s">
        <v>137</v>
      </c>
      <c r="F16" t="s">
        <v>136</v>
      </c>
      <c r="G16">
        <v>1.9709313636784001</v>
      </c>
      <c r="H16">
        <v>2E+20</v>
      </c>
      <c r="I16">
        <v>0</v>
      </c>
      <c r="J16">
        <v>5</v>
      </c>
      <c r="K16">
        <v>2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BusyResource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19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0.78103222660121896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2.2471252689993402</v>
      </c>
      <c r="U16" s="5">
        <f>IF((ContinuousStatsTable[[#This Row],[RepsRequested]]&gt;1),ContinuousStatsTable[[#This Row],[HalfWidth]],ContinuousStatsTable[[#This Row],[BatchMeansHalfWidth]])</f>
        <v>0.15082773976588459</v>
      </c>
    </row>
    <row r="17" spans="1:21" x14ac:dyDescent="0.25">
      <c r="A17" t="s">
        <v>67</v>
      </c>
      <c r="B17" t="s">
        <v>69</v>
      </c>
      <c r="C17">
        <v>1</v>
      </c>
      <c r="D17" t="s">
        <v>140</v>
      </c>
      <c r="E17" t="s">
        <v>138</v>
      </c>
      <c r="F17" t="s">
        <v>136</v>
      </c>
      <c r="G17">
        <v>5</v>
      </c>
      <c r="H17">
        <v>2E+20</v>
      </c>
      <c r="I17">
        <v>5</v>
      </c>
      <c r="J17">
        <v>5</v>
      </c>
      <c r="K17">
        <v>5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ScheduledResource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19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5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5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5</v>
      </c>
      <c r="U17" s="5">
        <f>IF((ContinuousStatsTable[[#This Row],[RepsRequested]]&gt;1),ContinuousStatsTable[[#This Row],[HalfWidth]],ContinuousStatsTable[[#This Row],[BatchMeansHalfWidth]])</f>
        <v>0</v>
      </c>
    </row>
    <row r="18" spans="1:21" x14ac:dyDescent="0.25">
      <c r="A18" t="s">
        <v>67</v>
      </c>
      <c r="B18" t="s">
        <v>69</v>
      </c>
      <c r="C18">
        <v>1</v>
      </c>
      <c r="D18" t="s">
        <v>127</v>
      </c>
      <c r="E18" t="s">
        <v>129</v>
      </c>
      <c r="F18" t="s">
        <v>72</v>
      </c>
      <c r="G18">
        <v>0</v>
      </c>
      <c r="H18">
        <v>2E+20</v>
      </c>
      <c r="I18">
        <v>0</v>
      </c>
      <c r="J18">
        <v>1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compartida)relojWIPEntity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19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</v>
      </c>
      <c r="U18" s="5">
        <f>IF((ContinuousStatsTable[[#This Row],[RepsRequested]]&gt;1),ContinuousStatsTable[[#This Row],[HalfWidth]],ContinuousStatsTable[[#This Row],[BatchMeansHalfWidth]])</f>
        <v>0</v>
      </c>
    </row>
    <row r="19" spans="1:21" x14ac:dyDescent="0.25">
      <c r="A19" t="s">
        <v>67</v>
      </c>
      <c r="B19" t="s">
        <v>69</v>
      </c>
      <c r="C19">
        <v>1</v>
      </c>
      <c r="D19" t="s">
        <v>141</v>
      </c>
      <c r="E19" t="s">
        <v>142</v>
      </c>
      <c r="F19" t="s">
        <v>80</v>
      </c>
      <c r="G19">
        <v>8.8656011818609901</v>
      </c>
      <c r="H19">
        <v>2E+20</v>
      </c>
      <c r="I19">
        <v>0</v>
      </c>
      <c r="J19">
        <v>23</v>
      </c>
      <c r="K19">
        <v>3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compartida)vClientesEnSistemaVariableUser Specified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19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4.0733776306724412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1.3190004331473169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0.63573785879874822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2.7964405882205599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8.8656011818609901</v>
      </c>
      <c r="U19" s="5">
        <f>IF((ContinuousStatsTable[[#This Row],[RepsRequested]]&gt;1),ContinuousStatsTable[[#This Row],[HalfWidth]],ContinuousStatsTable[[#This Row],[BatchMeansHalfWidth]])</f>
        <v>0.63573785879874822</v>
      </c>
    </row>
    <row r="20" spans="1:21" x14ac:dyDescent="0.25">
      <c r="A20" t="s">
        <v>67</v>
      </c>
      <c r="B20" t="s">
        <v>69</v>
      </c>
      <c r="C20">
        <v>1</v>
      </c>
      <c r="D20" t="s">
        <v>143</v>
      </c>
      <c r="E20" t="s">
        <v>142</v>
      </c>
      <c r="F20" t="s">
        <v>80</v>
      </c>
      <c r="G20">
        <v>3.0290686363215999</v>
      </c>
      <c r="H20">
        <v>2E+20</v>
      </c>
      <c r="I20">
        <v>0</v>
      </c>
      <c r="J20">
        <v>5</v>
      </c>
      <c r="K20">
        <v>3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compartida)vMesasLibresVariableUser Specified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19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3.457469452043564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0.31293063851465691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0.15082773976588496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2.7528747310006598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4.2189677733987798</v>
      </c>
      <c r="U20" s="5">
        <f>IF((ContinuousStatsTable[[#This Row],[RepsRequested]]&gt;1),ContinuousStatsTable[[#This Row],[HalfWidth]],ContinuousStatsTable[[#This Row],[BatchMeansHalfWidth]])</f>
        <v>0.15082773976588496</v>
      </c>
    </row>
    <row r="21" spans="1:21" x14ac:dyDescent="0.25">
      <c r="A21" t="s">
        <v>67</v>
      </c>
      <c r="B21" t="s">
        <v>69</v>
      </c>
      <c r="C21">
        <v>2</v>
      </c>
      <c r="D21" t="s">
        <v>70</v>
      </c>
      <c r="E21" t="s">
        <v>129</v>
      </c>
      <c r="F21" t="s">
        <v>72</v>
      </c>
      <c r="G21">
        <v>3.6484308227805702</v>
      </c>
      <c r="H21">
        <v>3E+20</v>
      </c>
      <c r="I21">
        <v>0</v>
      </c>
      <c r="J21">
        <v>12</v>
      </c>
      <c r="K21">
        <v>9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compartida)ClienteWIPEntity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19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5.695207969173218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1.5293712224665061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0.7371333335799507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3.6484308227805702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10.9337547677616</v>
      </c>
      <c r="U21" s="5">
        <f>IF((ContinuousStatsTable[[#This Row],[RepsRequested]]&gt;1),ContinuousStatsTable[[#This Row],[HalfWidth]],ContinuousStatsTable[[#This Row],[BatchMeansHalfWidth]])</f>
        <v>0.7371333335799507</v>
      </c>
    </row>
    <row r="22" spans="1:21" x14ac:dyDescent="0.25">
      <c r="A22" t="s">
        <v>67</v>
      </c>
      <c r="B22" t="s">
        <v>69</v>
      </c>
      <c r="C22">
        <v>2</v>
      </c>
      <c r="D22" t="s">
        <v>89</v>
      </c>
      <c r="E22" t="s">
        <v>130</v>
      </c>
      <c r="F22" t="s">
        <v>91</v>
      </c>
      <c r="G22">
        <v>0</v>
      </c>
      <c r="H22">
        <v>2E+20</v>
      </c>
      <c r="I22">
        <v>0</v>
      </c>
      <c r="J22">
        <v>0</v>
      </c>
      <c r="K22">
        <v>0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compartida)Comer en Mesa.QueueNumber WaitingQueue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19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0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0</v>
      </c>
      <c r="U22" s="5">
        <f>IF((ContinuousStatsTable[[#This Row],[RepsRequested]]&gt;1),ContinuousStatsTable[[#This Row],[HalfWidth]],ContinuousStatsTable[[#This Row],[BatchMeansHalfWidth]])</f>
        <v>0</v>
      </c>
    </row>
    <row r="23" spans="1:21" x14ac:dyDescent="0.25">
      <c r="A23" t="s">
        <v>67</v>
      </c>
      <c r="B23" t="s">
        <v>69</v>
      </c>
      <c r="C23">
        <v>2</v>
      </c>
      <c r="D23" t="s">
        <v>92</v>
      </c>
      <c r="E23" t="s">
        <v>130</v>
      </c>
      <c r="F23" t="s">
        <v>91</v>
      </c>
      <c r="G23">
        <v>1.1781162623277801</v>
      </c>
      <c r="H23">
        <v>2E+20</v>
      </c>
      <c r="I23">
        <v>0</v>
      </c>
      <c r="J23">
        <v>9</v>
      </c>
      <c r="K23">
        <v>2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compartida)Entrega pedido.QueueNumber WaitingQueue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19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1.4415832090470244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0.61323545266973079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0.29557002698587687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0.95119347509060603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3.71511779664222</v>
      </c>
      <c r="U23" s="5">
        <f>IF((ContinuousStatsTable[[#This Row],[RepsRequested]]&gt;1),ContinuousStatsTable[[#This Row],[HalfWidth]],ContinuousStatsTable[[#This Row],[BatchMeansHalfWidth]])</f>
        <v>0.29557002698587687</v>
      </c>
    </row>
    <row r="24" spans="1:21" x14ac:dyDescent="0.25">
      <c r="A24" t="s">
        <v>67</v>
      </c>
      <c r="B24" t="s">
        <v>69</v>
      </c>
      <c r="C24">
        <v>2</v>
      </c>
      <c r="D24" t="s">
        <v>131</v>
      </c>
      <c r="E24" t="s">
        <v>129</v>
      </c>
      <c r="F24" t="s">
        <v>72</v>
      </c>
      <c r="G24">
        <v>2.0609398302211299</v>
      </c>
      <c r="H24">
        <v>2E+20</v>
      </c>
      <c r="I24">
        <v>0</v>
      </c>
      <c r="J24">
        <v>8</v>
      </c>
      <c r="K24">
        <v>5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compartida)OrdenWIPEntity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19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3.0972744691234286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0.7960145604449721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0.38366673695655462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2.0609398302211299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5.8229936047650703</v>
      </c>
      <c r="U24" s="5">
        <f>IF((ContinuousStatsTable[[#This Row],[RepsRequested]]&gt;1),ContinuousStatsTable[[#This Row],[HalfWidth]],ContinuousStatsTable[[#This Row],[BatchMeansHalfWidth]])</f>
        <v>0.38366673695655462</v>
      </c>
    </row>
    <row r="25" spans="1:21" x14ac:dyDescent="0.25">
      <c r="A25" t="s">
        <v>67</v>
      </c>
      <c r="B25" t="s">
        <v>69</v>
      </c>
      <c r="C25">
        <v>2</v>
      </c>
      <c r="D25" t="s">
        <v>99</v>
      </c>
      <c r="E25" t="s">
        <v>130</v>
      </c>
      <c r="F25" t="s">
        <v>91</v>
      </c>
      <c r="G25">
        <v>0.32334428442181501</v>
      </c>
      <c r="H25">
        <v>2E+20</v>
      </c>
      <c r="I25">
        <v>0</v>
      </c>
      <c r="J25">
        <v>6</v>
      </c>
      <c r="K25">
        <v>1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compartida)Pasar a Caja.QueueNumber WaitingQueue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19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0.5234663348541454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0.51706251909874834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0.24921615679273348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0.17506464523350199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2.4783528335268201</v>
      </c>
      <c r="U25" s="5">
        <f>IF((ContinuousStatsTable[[#This Row],[RepsRequested]]&gt;1),ContinuousStatsTable[[#This Row],[HalfWidth]],ContinuousStatsTable[[#This Row],[BatchMeansHalfWidth]])</f>
        <v>0.24921615679273348</v>
      </c>
    </row>
    <row r="26" spans="1:21" x14ac:dyDescent="0.25">
      <c r="A26" t="s">
        <v>67</v>
      </c>
      <c r="B26" t="s">
        <v>69</v>
      </c>
      <c r="C26">
        <v>2</v>
      </c>
      <c r="D26" t="s">
        <v>104</v>
      </c>
      <c r="E26" t="s">
        <v>130</v>
      </c>
      <c r="F26" t="s">
        <v>91</v>
      </c>
      <c r="G26">
        <v>0.32190791003164898</v>
      </c>
      <c r="H26">
        <v>2E+20</v>
      </c>
      <c r="I26">
        <v>0</v>
      </c>
      <c r="J26">
        <v>6</v>
      </c>
      <c r="K26">
        <v>0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compartida)Preparacion.QueueNumber WaitingQueue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19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0.48138063122984937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0.5430727934303009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0.26175270772536113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0.13383910219346701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2.5739205922552402</v>
      </c>
      <c r="U26" s="5">
        <f>IF((ContinuousStatsTable[[#This Row],[RepsRequested]]&gt;1),ContinuousStatsTable[[#This Row],[HalfWidth]],ContinuousStatsTable[[#This Row],[BatchMeansHalfWidth]])</f>
        <v>0.26175270772536113</v>
      </c>
    </row>
    <row r="27" spans="1:21" x14ac:dyDescent="0.25">
      <c r="A27" t="s">
        <v>67</v>
      </c>
      <c r="B27" t="s">
        <v>69</v>
      </c>
      <c r="C27">
        <v>2</v>
      </c>
      <c r="D27" t="s">
        <v>132</v>
      </c>
      <c r="E27" t="s">
        <v>133</v>
      </c>
      <c r="F27" t="s">
        <v>80</v>
      </c>
      <c r="G27">
        <v>0.78103222660121896</v>
      </c>
      <c r="H27">
        <v>2E+20</v>
      </c>
      <c r="I27">
        <v>0</v>
      </c>
      <c r="J27">
        <v>3</v>
      </c>
      <c r="K27">
        <v>2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compartida)TP_MesasTime PersistentUser Specified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19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0.78103222660121896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2.2471252689993402</v>
      </c>
      <c r="U27" s="5">
        <f>IF((ContinuousStatsTable[[#This Row],[RepsRequested]]&gt;1),ContinuousStatsTable[[#This Row],[HalfWidth]],ContinuousStatsTable[[#This Row],[BatchMeansHalfWidth]])</f>
        <v>0.15082773976588459</v>
      </c>
    </row>
    <row r="28" spans="1:21" x14ac:dyDescent="0.25">
      <c r="A28" t="s">
        <v>67</v>
      </c>
      <c r="B28" t="s">
        <v>69</v>
      </c>
      <c r="C28">
        <v>2</v>
      </c>
      <c r="D28" t="s">
        <v>134</v>
      </c>
      <c r="E28" t="s">
        <v>135</v>
      </c>
      <c r="F28" t="s">
        <v>136</v>
      </c>
      <c r="G28">
        <v>0.63054559860404802</v>
      </c>
      <c r="H28">
        <v>2E+20</v>
      </c>
      <c r="I28">
        <v>0</v>
      </c>
      <c r="J28">
        <v>1</v>
      </c>
      <c r="K28">
        <v>1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compartida)rCajeroInstantaneous UtilizationResource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19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6.2272947935973086E-2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3.0014600137344912E-2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0.59592290927233305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0.82897119936997599</v>
      </c>
      <c r="U28" s="5">
        <f>IF((ContinuousStatsTable[[#This Row],[RepsRequested]]&gt;1),ContinuousStatsTable[[#This Row],[HalfWidth]],ContinuousStatsTable[[#This Row],[BatchMeansHalfWidth]])</f>
        <v>3.0014600137344912E-2</v>
      </c>
    </row>
    <row r="29" spans="1:21" x14ac:dyDescent="0.25">
      <c r="A29" t="s">
        <v>67</v>
      </c>
      <c r="B29" t="s">
        <v>69</v>
      </c>
      <c r="C29">
        <v>2</v>
      </c>
      <c r="D29" t="s">
        <v>134</v>
      </c>
      <c r="E29" t="s">
        <v>137</v>
      </c>
      <c r="F29" t="s">
        <v>136</v>
      </c>
      <c r="G29">
        <v>0.63054559860404802</v>
      </c>
      <c r="H29">
        <v>2E+20</v>
      </c>
      <c r="I29">
        <v>0</v>
      </c>
      <c r="J29">
        <v>1</v>
      </c>
      <c r="K29">
        <v>1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BusyResource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19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6.2272947935973065E-2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3.0014600137344902E-2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0.59592290927233305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0.82897119936997599</v>
      </c>
      <c r="U29" s="5">
        <f>IF((ContinuousStatsTable[[#This Row],[RepsRequested]]&gt;1),ContinuousStatsTable[[#This Row],[HalfWidth]],ContinuousStatsTable[[#This Row],[BatchMeansHalfWidth]])</f>
        <v>3.0014600137344902E-2</v>
      </c>
    </row>
    <row r="30" spans="1:21" x14ac:dyDescent="0.25">
      <c r="A30" t="s">
        <v>67</v>
      </c>
      <c r="B30" t="s">
        <v>69</v>
      </c>
      <c r="C30">
        <v>2</v>
      </c>
      <c r="D30" t="s">
        <v>134</v>
      </c>
      <c r="E30" t="s">
        <v>138</v>
      </c>
      <c r="F30" t="s">
        <v>136</v>
      </c>
      <c r="G30">
        <v>1</v>
      </c>
      <c r="H30">
        <v>2E+20</v>
      </c>
      <c r="I30">
        <v>1</v>
      </c>
      <c r="J30">
        <v>1</v>
      </c>
      <c r="K30">
        <v>1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ScheduledResource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19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1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1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1</v>
      </c>
      <c r="U30" s="5">
        <f>IF((ContinuousStatsTable[[#This Row],[RepsRequested]]&gt;1),ContinuousStatsTable[[#This Row],[HalfWidth]],ContinuousStatsTable[[#This Row],[BatchMeansHalfWidth]])</f>
        <v>0</v>
      </c>
    </row>
    <row r="31" spans="1:21" x14ac:dyDescent="0.25">
      <c r="A31" t="s">
        <v>67</v>
      </c>
      <c r="B31" t="s">
        <v>69</v>
      </c>
      <c r="C31">
        <v>2</v>
      </c>
      <c r="D31" t="s">
        <v>139</v>
      </c>
      <c r="E31" t="s">
        <v>135</v>
      </c>
      <c r="F31" t="s">
        <v>136</v>
      </c>
      <c r="G31">
        <v>0.62735626430673996</v>
      </c>
      <c r="H31">
        <v>2E+20</v>
      </c>
      <c r="I31">
        <v>0</v>
      </c>
      <c r="J31">
        <v>1</v>
      </c>
      <c r="K31">
        <v>1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compartida)rCocinaInstantaneous UtilizationResource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19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0.60463940272025996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0.86361037821575004</v>
      </c>
      <c r="U31" s="5">
        <f>IF((ContinuousStatsTable[[#This Row],[RepsRequested]]&gt;1),ContinuousStatsTable[[#This Row],[HalfWidth]],ContinuousStatsTable[[#This Row],[BatchMeansHalfWidth]])</f>
        <v>3.4176212493127585E-2</v>
      </c>
    </row>
    <row r="32" spans="1:21" x14ac:dyDescent="0.25">
      <c r="A32" t="s">
        <v>67</v>
      </c>
      <c r="B32" t="s">
        <v>69</v>
      </c>
      <c r="C32">
        <v>2</v>
      </c>
      <c r="D32" t="s">
        <v>139</v>
      </c>
      <c r="E32" t="s">
        <v>137</v>
      </c>
      <c r="F32" t="s">
        <v>136</v>
      </c>
      <c r="G32">
        <v>0.62735626430673996</v>
      </c>
      <c r="H32">
        <v>2E+20</v>
      </c>
      <c r="I32">
        <v>0</v>
      </c>
      <c r="J32">
        <v>1</v>
      </c>
      <c r="K32">
        <v>1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BusyResource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19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0.60463940272025996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0.86361037821575004</v>
      </c>
      <c r="U32" s="5">
        <f>IF((ContinuousStatsTable[[#This Row],[RepsRequested]]&gt;1),ContinuousStatsTable[[#This Row],[HalfWidth]],ContinuousStatsTable[[#This Row],[BatchMeansHalfWidth]])</f>
        <v>3.4176212493127585E-2</v>
      </c>
    </row>
    <row r="33" spans="1:21" x14ac:dyDescent="0.25">
      <c r="A33" t="s">
        <v>67</v>
      </c>
      <c r="B33" t="s">
        <v>69</v>
      </c>
      <c r="C33">
        <v>2</v>
      </c>
      <c r="D33" t="s">
        <v>139</v>
      </c>
      <c r="E33" t="s">
        <v>138</v>
      </c>
      <c r="F33" t="s">
        <v>136</v>
      </c>
      <c r="G33">
        <v>1</v>
      </c>
      <c r="H33">
        <v>2E+20</v>
      </c>
      <c r="I33">
        <v>1</v>
      </c>
      <c r="J33">
        <v>1</v>
      </c>
      <c r="K33">
        <v>1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ScheduledResource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19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1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1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1</v>
      </c>
      <c r="U33" s="5">
        <f>IF((ContinuousStatsTable[[#This Row],[RepsRequested]]&gt;1),ContinuousStatsTable[[#This Row],[HalfWidth]],ContinuousStatsTable[[#This Row],[BatchMeansHalfWidth]])</f>
        <v>0</v>
      </c>
    </row>
    <row r="34" spans="1:21" x14ac:dyDescent="0.25">
      <c r="A34" t="s">
        <v>67</v>
      </c>
      <c r="B34" t="s">
        <v>69</v>
      </c>
      <c r="C34">
        <v>2</v>
      </c>
      <c r="D34" t="s">
        <v>140</v>
      </c>
      <c r="E34" t="s">
        <v>135</v>
      </c>
      <c r="F34" t="s">
        <v>136</v>
      </c>
      <c r="G34">
        <v>0.156206445320244</v>
      </c>
      <c r="H34">
        <v>2E+20</v>
      </c>
      <c r="I34">
        <v>0</v>
      </c>
      <c r="J34">
        <v>0.6</v>
      </c>
      <c r="K34">
        <v>0.4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compartida)rMesaInstantaneous UtilizationResource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19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0.30850610959128738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6.2586127702931413E-2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3.0165547953177007E-2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0.156206445320244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0.44942505379986802</v>
      </c>
      <c r="U34" s="5">
        <f>IF((ContinuousStatsTable[[#This Row],[RepsRequested]]&gt;1),ContinuousStatsTable[[#This Row],[HalfWidth]],ContinuousStatsTable[[#This Row],[BatchMeansHalfWidth]])</f>
        <v>3.0165547953177007E-2</v>
      </c>
    </row>
    <row r="35" spans="1:21" x14ac:dyDescent="0.25">
      <c r="A35" t="s">
        <v>67</v>
      </c>
      <c r="B35" t="s">
        <v>69</v>
      </c>
      <c r="C35">
        <v>2</v>
      </c>
      <c r="D35" t="s">
        <v>140</v>
      </c>
      <c r="E35" t="s">
        <v>137</v>
      </c>
      <c r="F35" t="s">
        <v>136</v>
      </c>
      <c r="G35">
        <v>0.78103222660121896</v>
      </c>
      <c r="H35">
        <v>2E+20</v>
      </c>
      <c r="I35">
        <v>0</v>
      </c>
      <c r="J35">
        <v>3</v>
      </c>
      <c r="K35">
        <v>2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BusyResource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19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0.78103222660121896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2.2471252689993402</v>
      </c>
      <c r="U35" s="5">
        <f>IF((ContinuousStatsTable[[#This Row],[RepsRequested]]&gt;1),ContinuousStatsTable[[#This Row],[HalfWidth]],ContinuousStatsTable[[#This Row],[BatchMeansHalfWidth]])</f>
        <v>0.15082773976588459</v>
      </c>
    </row>
    <row r="36" spans="1:21" x14ac:dyDescent="0.25">
      <c r="A36" t="s">
        <v>67</v>
      </c>
      <c r="B36" t="s">
        <v>69</v>
      </c>
      <c r="C36">
        <v>2</v>
      </c>
      <c r="D36" t="s">
        <v>140</v>
      </c>
      <c r="E36" t="s">
        <v>138</v>
      </c>
      <c r="F36" t="s">
        <v>136</v>
      </c>
      <c r="G36">
        <v>5</v>
      </c>
      <c r="H36">
        <v>2E+20</v>
      </c>
      <c r="I36">
        <v>5</v>
      </c>
      <c r="J36">
        <v>5</v>
      </c>
      <c r="K36">
        <v>5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ScheduledResource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19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5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5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5</v>
      </c>
      <c r="U36" s="5">
        <f>IF((ContinuousStatsTable[[#This Row],[RepsRequested]]&gt;1),ContinuousStatsTable[[#This Row],[HalfWidth]],ContinuousStatsTable[[#This Row],[BatchMeansHalfWidth]])</f>
        <v>0</v>
      </c>
    </row>
    <row r="37" spans="1:21" x14ac:dyDescent="0.25">
      <c r="A37" t="s">
        <v>67</v>
      </c>
      <c r="B37" t="s">
        <v>69</v>
      </c>
      <c r="C37">
        <v>2</v>
      </c>
      <c r="D37" t="s">
        <v>127</v>
      </c>
      <c r="E37" t="s">
        <v>129</v>
      </c>
      <c r="F37" t="s">
        <v>72</v>
      </c>
      <c r="G37">
        <v>0</v>
      </c>
      <c r="H37">
        <v>2E+20</v>
      </c>
      <c r="I37">
        <v>0</v>
      </c>
      <c r="J37">
        <v>1</v>
      </c>
      <c r="K37">
        <v>0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compartida)relojWIPEntity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19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0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0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0</v>
      </c>
      <c r="U37" s="5">
        <f>IF((ContinuousStatsTable[[#This Row],[RepsRequested]]&gt;1),ContinuousStatsTable[[#This Row],[HalfWidth]],ContinuousStatsTable[[#This Row],[BatchMeansHalfWidth]])</f>
        <v>0</v>
      </c>
    </row>
    <row r="38" spans="1:21" x14ac:dyDescent="0.25">
      <c r="A38" t="s">
        <v>67</v>
      </c>
      <c r="B38" t="s">
        <v>69</v>
      </c>
      <c r="C38">
        <v>2</v>
      </c>
      <c r="D38" t="s">
        <v>141</v>
      </c>
      <c r="E38" t="s">
        <v>142</v>
      </c>
      <c r="F38" t="s">
        <v>80</v>
      </c>
      <c r="G38">
        <v>2.7964405882205599</v>
      </c>
      <c r="H38">
        <v>2E+20</v>
      </c>
      <c r="I38">
        <v>0</v>
      </c>
      <c r="J38">
        <v>9</v>
      </c>
      <c r="K38">
        <v>6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compartida)vClientesEnSistemaVariableUser Specified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19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4.0733776306724412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1.3190004331473169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0.63573785879874822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2.7964405882205599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8.8656011818609901</v>
      </c>
      <c r="U38" s="5">
        <f>IF((ContinuousStatsTable[[#This Row],[RepsRequested]]&gt;1),ContinuousStatsTable[[#This Row],[HalfWidth]],ContinuousStatsTable[[#This Row],[BatchMeansHalfWidth]])</f>
        <v>0.63573785879874822</v>
      </c>
    </row>
    <row r="39" spans="1:21" x14ac:dyDescent="0.25">
      <c r="A39" t="s">
        <v>67</v>
      </c>
      <c r="B39" t="s">
        <v>69</v>
      </c>
      <c r="C39">
        <v>2</v>
      </c>
      <c r="D39" t="s">
        <v>143</v>
      </c>
      <c r="E39" t="s">
        <v>142</v>
      </c>
      <c r="F39" t="s">
        <v>80</v>
      </c>
      <c r="G39">
        <v>4.2189677733987798</v>
      </c>
      <c r="H39">
        <v>2E+20</v>
      </c>
      <c r="I39">
        <v>2</v>
      </c>
      <c r="J39">
        <v>5</v>
      </c>
      <c r="K39">
        <v>3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compartida)vMesasLibresVariableUser Specified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19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3.457469452043564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0.31293063851465691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0.15082773976588496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2.7528747310006598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4.2189677733987798</v>
      </c>
      <c r="U39" s="5">
        <f>IF((ContinuousStatsTable[[#This Row],[RepsRequested]]&gt;1),ContinuousStatsTable[[#This Row],[HalfWidth]],ContinuousStatsTable[[#This Row],[BatchMeansHalfWidth]])</f>
        <v>0.15082773976588496</v>
      </c>
    </row>
    <row r="40" spans="1:21" x14ac:dyDescent="0.25">
      <c r="A40" t="s">
        <v>67</v>
      </c>
      <c r="B40" t="s">
        <v>69</v>
      </c>
      <c r="C40">
        <v>3</v>
      </c>
      <c r="D40" t="s">
        <v>70</v>
      </c>
      <c r="E40" t="s">
        <v>129</v>
      </c>
      <c r="F40" t="s">
        <v>72</v>
      </c>
      <c r="G40">
        <v>6.8053882636602898</v>
      </c>
      <c r="H40">
        <v>3E+20</v>
      </c>
      <c r="I40">
        <v>0</v>
      </c>
      <c r="J40">
        <v>20</v>
      </c>
      <c r="K40">
        <v>5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compartida)ClienteWIPEntity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19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5.695207969173218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1.5293712224665061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0.7371333335799507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3.6484308227805702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10.9337547677616</v>
      </c>
      <c r="U40" s="5">
        <f>IF((ContinuousStatsTable[[#This Row],[RepsRequested]]&gt;1),ContinuousStatsTable[[#This Row],[HalfWidth]],ContinuousStatsTable[[#This Row],[BatchMeansHalfWidth]])</f>
        <v>0.7371333335799507</v>
      </c>
    </row>
    <row r="41" spans="1:21" x14ac:dyDescent="0.25">
      <c r="A41" t="s">
        <v>67</v>
      </c>
      <c r="B41" t="s">
        <v>69</v>
      </c>
      <c r="C41">
        <v>3</v>
      </c>
      <c r="D41" t="s">
        <v>89</v>
      </c>
      <c r="E41" t="s">
        <v>130</v>
      </c>
      <c r="F41" t="s">
        <v>91</v>
      </c>
      <c r="G41">
        <v>0</v>
      </c>
      <c r="H41">
        <v>2E+20</v>
      </c>
      <c r="I41">
        <v>0</v>
      </c>
      <c r="J41">
        <v>0</v>
      </c>
      <c r="K41">
        <v>0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compartida)Comer en Mesa.QueueNumber WaitingQueue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19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0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0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0</v>
      </c>
      <c r="U41" s="5">
        <f>IF((ContinuousStatsTable[[#This Row],[RepsRequested]]&gt;1),ContinuousStatsTable[[#This Row],[HalfWidth]],ContinuousStatsTable[[#This Row],[BatchMeansHalfWidth]])</f>
        <v>0</v>
      </c>
    </row>
    <row r="42" spans="1:21" x14ac:dyDescent="0.25">
      <c r="A42" t="s">
        <v>67</v>
      </c>
      <c r="B42" t="s">
        <v>69</v>
      </c>
      <c r="C42">
        <v>3</v>
      </c>
      <c r="D42" t="s">
        <v>92</v>
      </c>
      <c r="E42" t="s">
        <v>130</v>
      </c>
      <c r="F42" t="s">
        <v>91</v>
      </c>
      <c r="G42">
        <v>1.8815040202808699</v>
      </c>
      <c r="H42">
        <v>2E+20</v>
      </c>
      <c r="I42">
        <v>0</v>
      </c>
      <c r="J42">
        <v>9</v>
      </c>
      <c r="K42">
        <v>2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compartida)Entrega pedido.QueueNumber WaitingQueue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19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1.4415832090470244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0.61323545266973079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0.29557002698587687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0.95119347509060603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3.71511779664222</v>
      </c>
      <c r="U42" s="5">
        <f>IF((ContinuousStatsTable[[#This Row],[RepsRequested]]&gt;1),ContinuousStatsTable[[#This Row],[HalfWidth]],ContinuousStatsTable[[#This Row],[BatchMeansHalfWidth]])</f>
        <v>0.29557002698587687</v>
      </c>
    </row>
    <row r="43" spans="1:21" x14ac:dyDescent="0.25">
      <c r="A43" t="s">
        <v>67</v>
      </c>
      <c r="B43" t="s">
        <v>69</v>
      </c>
      <c r="C43">
        <v>3</v>
      </c>
      <c r="D43" t="s">
        <v>131</v>
      </c>
      <c r="E43" t="s">
        <v>129</v>
      </c>
      <c r="F43" t="s">
        <v>72</v>
      </c>
      <c r="G43">
        <v>3.6924009695328999</v>
      </c>
      <c r="H43">
        <v>2E+20</v>
      </c>
      <c r="I43">
        <v>0</v>
      </c>
      <c r="J43">
        <v>10</v>
      </c>
      <c r="K43">
        <v>3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compartida)OrdenWIPEntity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19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3.0972744691234286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0.7960145604449721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0.38366673695655462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2.0609398302211299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5.8229936047650703</v>
      </c>
      <c r="U43" s="5">
        <f>IF((ContinuousStatsTable[[#This Row],[RepsRequested]]&gt;1),ContinuousStatsTable[[#This Row],[HalfWidth]],ContinuousStatsTable[[#This Row],[BatchMeansHalfWidth]])</f>
        <v>0.38366673695655462</v>
      </c>
    </row>
    <row r="44" spans="1:21" x14ac:dyDescent="0.25">
      <c r="A44" t="s">
        <v>67</v>
      </c>
      <c r="B44" t="s">
        <v>69</v>
      </c>
      <c r="C44">
        <v>3</v>
      </c>
      <c r="D44" t="s">
        <v>99</v>
      </c>
      <c r="E44" t="s">
        <v>130</v>
      </c>
      <c r="F44" t="s">
        <v>91</v>
      </c>
      <c r="G44">
        <v>0.90959034832264096</v>
      </c>
      <c r="H44">
        <v>2E+20</v>
      </c>
      <c r="I44">
        <v>0</v>
      </c>
      <c r="J44">
        <v>7</v>
      </c>
      <c r="K44">
        <v>1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compartida)Pasar a Caja.QueueNumber WaitingQueue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19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0.5234663348541454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0.51706251909874834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0.24921615679273348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0.17506464523350199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2.4783528335268201</v>
      </c>
      <c r="U44" s="5">
        <f>IF((ContinuousStatsTable[[#This Row],[RepsRequested]]&gt;1),ContinuousStatsTable[[#This Row],[HalfWidth]],ContinuousStatsTable[[#This Row],[BatchMeansHalfWidth]])</f>
        <v>0.24921615679273348</v>
      </c>
    </row>
    <row r="45" spans="1:21" x14ac:dyDescent="0.25">
      <c r="A45" t="s">
        <v>67</v>
      </c>
      <c r="B45" t="s">
        <v>69</v>
      </c>
      <c r="C45">
        <v>3</v>
      </c>
      <c r="D45" t="s">
        <v>104</v>
      </c>
      <c r="E45" t="s">
        <v>130</v>
      </c>
      <c r="F45" t="s">
        <v>91</v>
      </c>
      <c r="G45">
        <v>0.82830918786511598</v>
      </c>
      <c r="H45">
        <v>2E+20</v>
      </c>
      <c r="I45">
        <v>0</v>
      </c>
      <c r="J45">
        <v>7</v>
      </c>
      <c r="K45">
        <v>0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compartida)Preparacion.QueueNumber WaitingQueue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19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0.48138063122984937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0.5430727934303009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0.26175270772536113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0.13383910219346701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2.5739205922552402</v>
      </c>
      <c r="U45" s="5">
        <f>IF((ContinuousStatsTable[[#This Row],[RepsRequested]]&gt;1),ContinuousStatsTable[[#This Row],[HalfWidth]],ContinuousStatsTable[[#This Row],[BatchMeansHalfWidth]])</f>
        <v>0.26175270772536113</v>
      </c>
    </row>
    <row r="46" spans="1:21" x14ac:dyDescent="0.25">
      <c r="A46" t="s">
        <v>67</v>
      </c>
      <c r="B46" t="s">
        <v>69</v>
      </c>
      <c r="C46">
        <v>3</v>
      </c>
      <c r="D46" t="s">
        <v>132</v>
      </c>
      <c r="E46" t="s">
        <v>133</v>
      </c>
      <c r="F46" t="s">
        <v>80</v>
      </c>
      <c r="G46">
        <v>1.70601560537249</v>
      </c>
      <c r="H46">
        <v>2E+20</v>
      </c>
      <c r="I46">
        <v>0</v>
      </c>
      <c r="J46">
        <v>5</v>
      </c>
      <c r="K46">
        <v>0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compartida)TP_MesasTime PersistentUser Specified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19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0.78103222660121896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2.2471252689993402</v>
      </c>
      <c r="U46" s="5">
        <f>IF((ContinuousStatsTable[[#This Row],[RepsRequested]]&gt;1),ContinuousStatsTable[[#This Row],[HalfWidth]],ContinuousStatsTable[[#This Row],[BatchMeansHalfWidth]])</f>
        <v>0.15082773976588459</v>
      </c>
    </row>
    <row r="47" spans="1:21" x14ac:dyDescent="0.25">
      <c r="A47" t="s">
        <v>67</v>
      </c>
      <c r="B47" t="s">
        <v>69</v>
      </c>
      <c r="C47">
        <v>3</v>
      </c>
      <c r="D47" t="s">
        <v>134</v>
      </c>
      <c r="E47" t="s">
        <v>135</v>
      </c>
      <c r="F47" t="s">
        <v>136</v>
      </c>
      <c r="G47">
        <v>0.71651890712748101</v>
      </c>
      <c r="H47">
        <v>2E+20</v>
      </c>
      <c r="I47">
        <v>0</v>
      </c>
      <c r="J47">
        <v>1</v>
      </c>
      <c r="K47">
        <v>1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compartida)rCajeroInstantaneous UtilizationResource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19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6.2272947935973086E-2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3.0014600137344912E-2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0.59592290927233305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0.82897119936997599</v>
      </c>
      <c r="U47" s="5">
        <f>IF((ContinuousStatsTable[[#This Row],[RepsRequested]]&gt;1),ContinuousStatsTable[[#This Row],[HalfWidth]],ContinuousStatsTable[[#This Row],[BatchMeansHalfWidth]])</f>
        <v>3.0014600137344912E-2</v>
      </c>
    </row>
    <row r="48" spans="1:21" x14ac:dyDescent="0.25">
      <c r="A48" t="s">
        <v>67</v>
      </c>
      <c r="B48" t="s">
        <v>69</v>
      </c>
      <c r="C48">
        <v>3</v>
      </c>
      <c r="D48" t="s">
        <v>134</v>
      </c>
      <c r="E48" t="s">
        <v>137</v>
      </c>
      <c r="F48" t="s">
        <v>136</v>
      </c>
      <c r="G48">
        <v>0.71651890712748101</v>
      </c>
      <c r="H48">
        <v>2E+20</v>
      </c>
      <c r="I48">
        <v>0</v>
      </c>
      <c r="J48">
        <v>1</v>
      </c>
      <c r="K48">
        <v>1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BusyResource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19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6.2272947935973065E-2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3.0014600137344902E-2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0.59592290927233305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0.82897119936997599</v>
      </c>
      <c r="U48" s="5">
        <f>IF((ContinuousStatsTable[[#This Row],[RepsRequested]]&gt;1),ContinuousStatsTable[[#This Row],[HalfWidth]],ContinuousStatsTable[[#This Row],[BatchMeansHalfWidth]])</f>
        <v>3.0014600137344902E-2</v>
      </c>
    </row>
    <row r="49" spans="1:21" x14ac:dyDescent="0.25">
      <c r="A49" t="s">
        <v>67</v>
      </c>
      <c r="B49" t="s">
        <v>69</v>
      </c>
      <c r="C49">
        <v>3</v>
      </c>
      <c r="D49" t="s">
        <v>134</v>
      </c>
      <c r="E49" t="s">
        <v>138</v>
      </c>
      <c r="F49" t="s">
        <v>136</v>
      </c>
      <c r="G49">
        <v>1</v>
      </c>
      <c r="H49">
        <v>2E+20</v>
      </c>
      <c r="I49">
        <v>1</v>
      </c>
      <c r="J49">
        <v>1</v>
      </c>
      <c r="K49">
        <v>1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ScheduledResource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19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1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1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1</v>
      </c>
      <c r="U49" s="5">
        <f>IF((ContinuousStatsTable[[#This Row],[RepsRequested]]&gt;1),ContinuousStatsTable[[#This Row],[HalfWidth]],ContinuousStatsTable[[#This Row],[BatchMeansHalfWidth]])</f>
        <v>0</v>
      </c>
    </row>
    <row r="50" spans="1:21" x14ac:dyDescent="0.25">
      <c r="A50" t="s">
        <v>67</v>
      </c>
      <c r="B50" t="s">
        <v>69</v>
      </c>
      <c r="C50">
        <v>3</v>
      </c>
      <c r="D50" t="s">
        <v>139</v>
      </c>
      <c r="E50" t="s">
        <v>135</v>
      </c>
      <c r="F50" t="s">
        <v>136</v>
      </c>
      <c r="G50">
        <v>0.74862036628543105</v>
      </c>
      <c r="H50">
        <v>2E+20</v>
      </c>
      <c r="I50">
        <v>0</v>
      </c>
      <c r="J50">
        <v>1</v>
      </c>
      <c r="K50">
        <v>1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compartida)rCocinaInstantaneous UtilizationResource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19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0.60463940272025996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0.86361037821575004</v>
      </c>
      <c r="U50" s="5">
        <f>IF((ContinuousStatsTable[[#This Row],[RepsRequested]]&gt;1),ContinuousStatsTable[[#This Row],[HalfWidth]],ContinuousStatsTable[[#This Row],[BatchMeansHalfWidth]])</f>
        <v>3.4176212493127585E-2</v>
      </c>
    </row>
    <row r="51" spans="1:21" x14ac:dyDescent="0.25">
      <c r="A51" t="s">
        <v>67</v>
      </c>
      <c r="B51" t="s">
        <v>69</v>
      </c>
      <c r="C51">
        <v>3</v>
      </c>
      <c r="D51" t="s">
        <v>139</v>
      </c>
      <c r="E51" t="s">
        <v>137</v>
      </c>
      <c r="F51" t="s">
        <v>136</v>
      </c>
      <c r="G51">
        <v>0.74862036628543105</v>
      </c>
      <c r="H51">
        <v>2E+20</v>
      </c>
      <c r="I51">
        <v>0</v>
      </c>
      <c r="J51">
        <v>1</v>
      </c>
      <c r="K51">
        <v>1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BusyResource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19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0.60463940272025996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0.86361037821575004</v>
      </c>
      <c r="U51" s="5">
        <f>IF((ContinuousStatsTable[[#This Row],[RepsRequested]]&gt;1),ContinuousStatsTable[[#This Row],[HalfWidth]],ContinuousStatsTable[[#This Row],[BatchMeansHalfWidth]])</f>
        <v>3.4176212493127585E-2</v>
      </c>
    </row>
    <row r="52" spans="1:21" x14ac:dyDescent="0.25">
      <c r="A52" t="s">
        <v>67</v>
      </c>
      <c r="B52" t="s">
        <v>69</v>
      </c>
      <c r="C52">
        <v>3</v>
      </c>
      <c r="D52" t="s">
        <v>139</v>
      </c>
      <c r="E52" t="s">
        <v>138</v>
      </c>
      <c r="F52" t="s">
        <v>136</v>
      </c>
      <c r="G52">
        <v>1</v>
      </c>
      <c r="H52">
        <v>2E+20</v>
      </c>
      <c r="I52">
        <v>1</v>
      </c>
      <c r="J52">
        <v>1</v>
      </c>
      <c r="K52">
        <v>1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ScheduledResource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19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1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1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1</v>
      </c>
      <c r="U52" s="5">
        <f>IF((ContinuousStatsTable[[#This Row],[RepsRequested]]&gt;1),ContinuousStatsTable[[#This Row],[HalfWidth]],ContinuousStatsTable[[#This Row],[BatchMeansHalfWidth]])</f>
        <v>0</v>
      </c>
    </row>
    <row r="53" spans="1:21" x14ac:dyDescent="0.25">
      <c r="A53" t="s">
        <v>67</v>
      </c>
      <c r="B53" t="s">
        <v>69</v>
      </c>
      <c r="C53">
        <v>3</v>
      </c>
      <c r="D53" t="s">
        <v>140</v>
      </c>
      <c r="E53" t="s">
        <v>135</v>
      </c>
      <c r="F53" t="s">
        <v>136</v>
      </c>
      <c r="G53">
        <v>0.34120312107449902</v>
      </c>
      <c r="H53">
        <v>2E+20</v>
      </c>
      <c r="I53">
        <v>0</v>
      </c>
      <c r="J53">
        <v>1</v>
      </c>
      <c r="K53">
        <v>0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compartida)rMesaInstantaneous UtilizationResource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19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0.30850610959128738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6.2586127702931413E-2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3.0165547953177007E-2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0.156206445320244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0.44942505379986802</v>
      </c>
      <c r="U53" s="5">
        <f>IF((ContinuousStatsTable[[#This Row],[RepsRequested]]&gt;1),ContinuousStatsTable[[#This Row],[HalfWidth]],ContinuousStatsTable[[#This Row],[BatchMeansHalfWidth]])</f>
        <v>3.0165547953177007E-2</v>
      </c>
    </row>
    <row r="54" spans="1:21" x14ac:dyDescent="0.25">
      <c r="A54" t="s">
        <v>67</v>
      </c>
      <c r="B54" t="s">
        <v>69</v>
      </c>
      <c r="C54">
        <v>3</v>
      </c>
      <c r="D54" t="s">
        <v>140</v>
      </c>
      <c r="E54" t="s">
        <v>137</v>
      </c>
      <c r="F54" t="s">
        <v>136</v>
      </c>
      <c r="G54">
        <v>1.70601560537249</v>
      </c>
      <c r="H54">
        <v>2E+20</v>
      </c>
      <c r="I54">
        <v>0</v>
      </c>
      <c r="J54">
        <v>5</v>
      </c>
      <c r="K54">
        <v>0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BusyResource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19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0.78103222660121896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2.2471252689993402</v>
      </c>
      <c r="U54" s="5">
        <f>IF((ContinuousStatsTable[[#This Row],[RepsRequested]]&gt;1),ContinuousStatsTable[[#This Row],[HalfWidth]],ContinuousStatsTable[[#This Row],[BatchMeansHalfWidth]])</f>
        <v>0.15082773976588459</v>
      </c>
    </row>
    <row r="55" spans="1:21" x14ac:dyDescent="0.25">
      <c r="A55" t="s">
        <v>67</v>
      </c>
      <c r="B55" t="s">
        <v>69</v>
      </c>
      <c r="C55">
        <v>3</v>
      </c>
      <c r="D55" t="s">
        <v>140</v>
      </c>
      <c r="E55" t="s">
        <v>138</v>
      </c>
      <c r="F55" t="s">
        <v>136</v>
      </c>
      <c r="G55">
        <v>5</v>
      </c>
      <c r="H55">
        <v>2E+20</v>
      </c>
      <c r="I55">
        <v>5</v>
      </c>
      <c r="J55">
        <v>5</v>
      </c>
      <c r="K55">
        <v>5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ScheduledResource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19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5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5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5</v>
      </c>
      <c r="U55" s="5">
        <f>IF((ContinuousStatsTable[[#This Row],[RepsRequested]]&gt;1),ContinuousStatsTable[[#This Row],[HalfWidth]],ContinuousStatsTable[[#This Row],[BatchMeansHalfWidth]])</f>
        <v>0</v>
      </c>
    </row>
    <row r="56" spans="1:21" x14ac:dyDescent="0.25">
      <c r="A56" t="s">
        <v>67</v>
      </c>
      <c r="B56" t="s">
        <v>69</v>
      </c>
      <c r="C56">
        <v>3</v>
      </c>
      <c r="D56" t="s">
        <v>127</v>
      </c>
      <c r="E56" t="s">
        <v>129</v>
      </c>
      <c r="F56" t="s">
        <v>72</v>
      </c>
      <c r="G56">
        <v>0</v>
      </c>
      <c r="H56">
        <v>2E+20</v>
      </c>
      <c r="I56">
        <v>0</v>
      </c>
      <c r="J56">
        <v>1</v>
      </c>
      <c r="K56">
        <v>0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compartida)relojWIPEntity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19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0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0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0</v>
      </c>
      <c r="U56" s="5">
        <f>IF((ContinuousStatsTable[[#This Row],[RepsRequested]]&gt;1),ContinuousStatsTable[[#This Row],[HalfWidth]],ContinuousStatsTable[[#This Row],[BatchMeansHalfWidth]])</f>
        <v>0</v>
      </c>
    </row>
    <row r="57" spans="1:21" x14ac:dyDescent="0.25">
      <c r="A57" t="s">
        <v>67</v>
      </c>
      <c r="B57" t="s">
        <v>69</v>
      </c>
      <c r="C57">
        <v>3</v>
      </c>
      <c r="D57" t="s">
        <v>141</v>
      </c>
      <c r="E57" t="s">
        <v>142</v>
      </c>
      <c r="F57" t="s">
        <v>80</v>
      </c>
      <c r="G57">
        <v>5.0247690921860402</v>
      </c>
      <c r="H57">
        <v>2E+20</v>
      </c>
      <c r="I57">
        <v>0</v>
      </c>
      <c r="J57">
        <v>15</v>
      </c>
      <c r="K57">
        <v>4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compartida)vClientesEnSistemaVariableUser Specified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19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4.0733776306724412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1.3190004331473169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0.63573785879874822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2.7964405882205599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8.8656011818609901</v>
      </c>
      <c r="U57" s="5">
        <f>IF((ContinuousStatsTable[[#This Row],[RepsRequested]]&gt;1),ContinuousStatsTable[[#This Row],[HalfWidth]],ContinuousStatsTable[[#This Row],[BatchMeansHalfWidth]])</f>
        <v>0.63573785879874822</v>
      </c>
    </row>
    <row r="58" spans="1:21" x14ac:dyDescent="0.25">
      <c r="A58" t="s">
        <v>67</v>
      </c>
      <c r="B58" t="s">
        <v>69</v>
      </c>
      <c r="C58">
        <v>3</v>
      </c>
      <c r="D58" t="s">
        <v>143</v>
      </c>
      <c r="E58" t="s">
        <v>142</v>
      </c>
      <c r="F58" t="s">
        <v>80</v>
      </c>
      <c r="G58">
        <v>3.2939843946275098</v>
      </c>
      <c r="H58">
        <v>2E+20</v>
      </c>
      <c r="I58">
        <v>0</v>
      </c>
      <c r="J58">
        <v>5</v>
      </c>
      <c r="K58">
        <v>5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compartida)vMesasLibresVariableUser Specified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19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3.457469452043564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0.31293063851465691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0.15082773976588496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2.7528747310006598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4.2189677733987798</v>
      </c>
      <c r="U58" s="5">
        <f>IF((ContinuousStatsTable[[#This Row],[RepsRequested]]&gt;1),ContinuousStatsTable[[#This Row],[HalfWidth]],ContinuousStatsTable[[#This Row],[BatchMeansHalfWidth]])</f>
        <v>0.15082773976588496</v>
      </c>
    </row>
    <row r="59" spans="1:21" x14ac:dyDescent="0.25">
      <c r="A59" t="s">
        <v>67</v>
      </c>
      <c r="B59" t="s">
        <v>69</v>
      </c>
      <c r="C59">
        <v>4</v>
      </c>
      <c r="D59" t="s">
        <v>70</v>
      </c>
      <c r="E59" t="s">
        <v>129</v>
      </c>
      <c r="F59" t="s">
        <v>72</v>
      </c>
      <c r="G59">
        <v>4.5782243571842596</v>
      </c>
      <c r="H59">
        <v>0.68505524765151404</v>
      </c>
      <c r="I59">
        <v>1</v>
      </c>
      <c r="J59">
        <v>11</v>
      </c>
      <c r="K59">
        <v>5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compartida)ClienteWIPEntity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19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5.695207969173218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1.5293712224665061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0.7371333335799507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3.6484308227805702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10.9337547677616</v>
      </c>
      <c r="U59" s="5">
        <f>IF((ContinuousStatsTable[[#This Row],[RepsRequested]]&gt;1),ContinuousStatsTable[[#This Row],[HalfWidth]],ContinuousStatsTable[[#This Row],[BatchMeansHalfWidth]])</f>
        <v>0.7371333335799507</v>
      </c>
    </row>
    <row r="60" spans="1:21" x14ac:dyDescent="0.25">
      <c r="A60" t="s">
        <v>67</v>
      </c>
      <c r="B60" t="s">
        <v>69</v>
      </c>
      <c r="C60">
        <v>4</v>
      </c>
      <c r="D60" t="s">
        <v>89</v>
      </c>
      <c r="E60" t="s">
        <v>130</v>
      </c>
      <c r="F60" t="s">
        <v>91</v>
      </c>
      <c r="G60">
        <v>0</v>
      </c>
      <c r="H60">
        <v>2E+20</v>
      </c>
      <c r="I60">
        <v>0</v>
      </c>
      <c r="J60">
        <v>0</v>
      </c>
      <c r="K60">
        <v>0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compartida)Comer en Mesa.QueueNumber WaitingQueue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19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0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0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0</v>
      </c>
      <c r="U60" s="5">
        <f>IF((ContinuousStatsTable[[#This Row],[RepsRequested]]&gt;1),ContinuousStatsTable[[#This Row],[HalfWidth]],ContinuousStatsTable[[#This Row],[BatchMeansHalfWidth]])</f>
        <v>0</v>
      </c>
    </row>
    <row r="61" spans="1:21" x14ac:dyDescent="0.25">
      <c r="A61" t="s">
        <v>67</v>
      </c>
      <c r="B61" t="s">
        <v>69</v>
      </c>
      <c r="C61">
        <v>4</v>
      </c>
      <c r="D61" t="s">
        <v>92</v>
      </c>
      <c r="E61" t="s">
        <v>130</v>
      </c>
      <c r="F61" t="s">
        <v>91</v>
      </c>
      <c r="G61">
        <v>1.1106432402777999</v>
      </c>
      <c r="H61">
        <v>2E+20</v>
      </c>
      <c r="I61">
        <v>0</v>
      </c>
      <c r="J61">
        <v>4</v>
      </c>
      <c r="K61">
        <v>0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compartida)Entrega pedido.QueueNumber WaitingQueue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19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1.4415832090470244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0.61323545266973079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0.29557002698587687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0.95119347509060603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3.71511779664222</v>
      </c>
      <c r="U61" s="5">
        <f>IF((ContinuousStatsTable[[#This Row],[RepsRequested]]&gt;1),ContinuousStatsTable[[#This Row],[HalfWidth]],ContinuousStatsTable[[#This Row],[BatchMeansHalfWidth]])</f>
        <v>0.29557002698587687</v>
      </c>
    </row>
    <row r="62" spans="1:21" x14ac:dyDescent="0.25">
      <c r="A62" t="s">
        <v>67</v>
      </c>
      <c r="B62" t="s">
        <v>69</v>
      </c>
      <c r="C62">
        <v>4</v>
      </c>
      <c r="D62" t="s">
        <v>131</v>
      </c>
      <c r="E62" t="s">
        <v>129</v>
      </c>
      <c r="F62" t="s">
        <v>72</v>
      </c>
      <c r="G62">
        <v>2.5332896098574902</v>
      </c>
      <c r="H62">
        <v>2E+20</v>
      </c>
      <c r="I62">
        <v>0</v>
      </c>
      <c r="J62">
        <v>6</v>
      </c>
      <c r="K62">
        <v>2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compartida)OrdenWIPEntity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19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3.0972744691234286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0.7960145604449721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0.38366673695655462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2.0609398302211299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5.8229936047650703</v>
      </c>
      <c r="U62" s="5">
        <f>IF((ContinuousStatsTable[[#This Row],[RepsRequested]]&gt;1),ContinuousStatsTable[[#This Row],[HalfWidth]],ContinuousStatsTable[[#This Row],[BatchMeansHalfWidth]])</f>
        <v>0.38366673695655462</v>
      </c>
    </row>
    <row r="63" spans="1:21" x14ac:dyDescent="0.25">
      <c r="A63" t="s">
        <v>67</v>
      </c>
      <c r="B63" t="s">
        <v>69</v>
      </c>
      <c r="C63">
        <v>4</v>
      </c>
      <c r="D63" t="s">
        <v>99</v>
      </c>
      <c r="E63" t="s">
        <v>130</v>
      </c>
      <c r="F63" t="s">
        <v>91</v>
      </c>
      <c r="G63">
        <v>0.21276707056959099</v>
      </c>
      <c r="H63">
        <v>2E+20</v>
      </c>
      <c r="I63">
        <v>0</v>
      </c>
      <c r="J63">
        <v>4</v>
      </c>
      <c r="K63">
        <v>0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compartida)Pasar a Caja.QueueNumber WaitingQueue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19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0.5234663348541454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0.51706251909874834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0.24921615679273348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0.17506464523350199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2.4783528335268201</v>
      </c>
      <c r="U63" s="5">
        <f>IF((ContinuousStatsTable[[#This Row],[RepsRequested]]&gt;1),ContinuousStatsTable[[#This Row],[HalfWidth]],ContinuousStatsTable[[#This Row],[BatchMeansHalfWidth]])</f>
        <v>0.24921615679273348</v>
      </c>
    </row>
    <row r="64" spans="1:21" x14ac:dyDescent="0.25">
      <c r="A64" t="s">
        <v>67</v>
      </c>
      <c r="B64" t="s">
        <v>69</v>
      </c>
      <c r="C64">
        <v>4</v>
      </c>
      <c r="D64" t="s">
        <v>104</v>
      </c>
      <c r="E64" t="s">
        <v>130</v>
      </c>
      <c r="F64" t="s">
        <v>91</v>
      </c>
      <c r="G64">
        <v>0.13383910219346701</v>
      </c>
      <c r="H64">
        <v>2E+20</v>
      </c>
      <c r="I64">
        <v>0</v>
      </c>
      <c r="J64">
        <v>2</v>
      </c>
      <c r="K64">
        <v>0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compartida)Preparacion.QueueNumber WaitingQueue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19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0.48138063122984937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0.5430727934303009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0.26175270772536113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0.13383910219346701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2.5739205922552402</v>
      </c>
      <c r="U64" s="5">
        <f>IF((ContinuousStatsTable[[#This Row],[RepsRequested]]&gt;1),ContinuousStatsTable[[#This Row],[HalfWidth]],ContinuousStatsTable[[#This Row],[BatchMeansHalfWidth]])</f>
        <v>0.26175270772536113</v>
      </c>
    </row>
    <row r="65" spans="1:21" x14ac:dyDescent="0.25">
      <c r="A65" t="s">
        <v>67</v>
      </c>
      <c r="B65" t="s">
        <v>69</v>
      </c>
      <c r="C65">
        <v>4</v>
      </c>
      <c r="D65" t="s">
        <v>132</v>
      </c>
      <c r="E65" t="s">
        <v>133</v>
      </c>
      <c r="F65" t="s">
        <v>80</v>
      </c>
      <c r="G65">
        <v>1.3150304418162899</v>
      </c>
      <c r="H65">
        <v>2E+20</v>
      </c>
      <c r="I65">
        <v>0</v>
      </c>
      <c r="J65">
        <v>3</v>
      </c>
      <c r="K65">
        <v>2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compartida)TP_MesasTime PersistentUser Specified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19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0.78103222660121896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2.2471252689993402</v>
      </c>
      <c r="U65" s="5">
        <f>IF((ContinuousStatsTable[[#This Row],[RepsRequested]]&gt;1),ContinuousStatsTable[[#This Row],[HalfWidth]],ContinuousStatsTable[[#This Row],[BatchMeansHalfWidth]])</f>
        <v>0.15082773976588459</v>
      </c>
    </row>
    <row r="66" spans="1:21" x14ac:dyDescent="0.25">
      <c r="A66" t="s">
        <v>67</v>
      </c>
      <c r="B66" t="s">
        <v>69</v>
      </c>
      <c r="C66">
        <v>4</v>
      </c>
      <c r="D66" t="s">
        <v>134</v>
      </c>
      <c r="E66" t="s">
        <v>135</v>
      </c>
      <c r="F66" t="s">
        <v>136</v>
      </c>
      <c r="G66">
        <v>0.65540630966095803</v>
      </c>
      <c r="H66">
        <v>2E+20</v>
      </c>
      <c r="I66">
        <v>0</v>
      </c>
      <c r="J66">
        <v>1</v>
      </c>
      <c r="K66">
        <v>1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compartida)rCajeroInstantaneous UtilizationResource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19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6.2272947935973086E-2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3.0014600137344912E-2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0.59592290927233305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0.82897119936997599</v>
      </c>
      <c r="U66" s="5">
        <f>IF((ContinuousStatsTable[[#This Row],[RepsRequested]]&gt;1),ContinuousStatsTable[[#This Row],[HalfWidth]],ContinuousStatsTable[[#This Row],[BatchMeansHalfWidth]])</f>
        <v>3.0014600137344912E-2</v>
      </c>
    </row>
    <row r="67" spans="1:21" x14ac:dyDescent="0.25">
      <c r="A67" t="s">
        <v>67</v>
      </c>
      <c r="B67" t="s">
        <v>69</v>
      </c>
      <c r="C67">
        <v>4</v>
      </c>
      <c r="D67" t="s">
        <v>134</v>
      </c>
      <c r="E67" t="s">
        <v>137</v>
      </c>
      <c r="F67" t="s">
        <v>136</v>
      </c>
      <c r="G67">
        <v>0.65540630966095803</v>
      </c>
      <c r="H67">
        <v>2E+20</v>
      </c>
      <c r="I67">
        <v>0</v>
      </c>
      <c r="J67">
        <v>1</v>
      </c>
      <c r="K67">
        <v>1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BusyResource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19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6.2272947935973065E-2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3.0014600137344902E-2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0.59592290927233305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0.82897119936997599</v>
      </c>
      <c r="U67" s="5">
        <f>IF((ContinuousStatsTable[[#This Row],[RepsRequested]]&gt;1),ContinuousStatsTable[[#This Row],[HalfWidth]],ContinuousStatsTable[[#This Row],[BatchMeansHalfWidth]])</f>
        <v>3.0014600137344902E-2</v>
      </c>
    </row>
    <row r="68" spans="1:21" x14ac:dyDescent="0.25">
      <c r="A68" t="s">
        <v>67</v>
      </c>
      <c r="B68" t="s">
        <v>69</v>
      </c>
      <c r="C68">
        <v>4</v>
      </c>
      <c r="D68" t="s">
        <v>134</v>
      </c>
      <c r="E68" t="s">
        <v>138</v>
      </c>
      <c r="F68" t="s">
        <v>136</v>
      </c>
      <c r="G68">
        <v>1</v>
      </c>
      <c r="H68">
        <v>2E+20</v>
      </c>
      <c r="I68">
        <v>1</v>
      </c>
      <c r="J68">
        <v>1</v>
      </c>
      <c r="K68">
        <v>1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ScheduledResource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19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1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1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1</v>
      </c>
      <c r="U68" s="5">
        <f>IF((ContinuousStatsTable[[#This Row],[RepsRequested]]&gt;1),ContinuousStatsTable[[#This Row],[HalfWidth]],ContinuousStatsTable[[#This Row],[BatchMeansHalfWidth]])</f>
        <v>0</v>
      </c>
    </row>
    <row r="69" spans="1:21" x14ac:dyDescent="0.25">
      <c r="A69" t="s">
        <v>67</v>
      </c>
      <c r="B69" t="s">
        <v>69</v>
      </c>
      <c r="C69">
        <v>4</v>
      </c>
      <c r="D69" t="s">
        <v>139</v>
      </c>
      <c r="E69" t="s">
        <v>135</v>
      </c>
      <c r="F69" t="s">
        <v>136</v>
      </c>
      <c r="G69">
        <v>0.75258580226755301</v>
      </c>
      <c r="H69">
        <v>2E+20</v>
      </c>
      <c r="I69">
        <v>0</v>
      </c>
      <c r="J69">
        <v>1</v>
      </c>
      <c r="K69">
        <v>0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compartida)rCocinaInstantaneous UtilizationResource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19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0.60463940272025996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0.86361037821575004</v>
      </c>
      <c r="U69" s="5">
        <f>IF((ContinuousStatsTable[[#This Row],[RepsRequested]]&gt;1),ContinuousStatsTable[[#This Row],[HalfWidth]],ContinuousStatsTable[[#This Row],[BatchMeansHalfWidth]])</f>
        <v>3.4176212493127585E-2</v>
      </c>
    </row>
    <row r="70" spans="1:21" x14ac:dyDescent="0.25">
      <c r="A70" t="s">
        <v>67</v>
      </c>
      <c r="B70" t="s">
        <v>69</v>
      </c>
      <c r="C70">
        <v>4</v>
      </c>
      <c r="D70" t="s">
        <v>139</v>
      </c>
      <c r="E70" t="s">
        <v>137</v>
      </c>
      <c r="F70" t="s">
        <v>136</v>
      </c>
      <c r="G70">
        <v>0.75258580226755301</v>
      </c>
      <c r="H70">
        <v>2E+20</v>
      </c>
      <c r="I70">
        <v>0</v>
      </c>
      <c r="J70">
        <v>1</v>
      </c>
      <c r="K70">
        <v>0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BusyResource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19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0.60463940272025996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0.86361037821575004</v>
      </c>
      <c r="U70" s="5">
        <f>IF((ContinuousStatsTable[[#This Row],[RepsRequested]]&gt;1),ContinuousStatsTable[[#This Row],[HalfWidth]],ContinuousStatsTable[[#This Row],[BatchMeansHalfWidth]])</f>
        <v>3.4176212493127585E-2</v>
      </c>
    </row>
    <row r="71" spans="1:21" x14ac:dyDescent="0.25">
      <c r="A71" t="s">
        <v>67</v>
      </c>
      <c r="B71" t="s">
        <v>69</v>
      </c>
      <c r="C71">
        <v>4</v>
      </c>
      <c r="D71" t="s">
        <v>139</v>
      </c>
      <c r="E71" t="s">
        <v>138</v>
      </c>
      <c r="F71" t="s">
        <v>136</v>
      </c>
      <c r="G71">
        <v>1</v>
      </c>
      <c r="H71">
        <v>2E+20</v>
      </c>
      <c r="I71">
        <v>1</v>
      </c>
      <c r="J71">
        <v>1</v>
      </c>
      <c r="K71">
        <v>1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ScheduledResource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19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1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1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1</v>
      </c>
      <c r="U71" s="5">
        <f>IF((ContinuousStatsTable[[#This Row],[RepsRequested]]&gt;1),ContinuousStatsTable[[#This Row],[HalfWidth]],ContinuousStatsTable[[#This Row],[BatchMeansHalfWidth]])</f>
        <v>0</v>
      </c>
    </row>
    <row r="72" spans="1:21" x14ac:dyDescent="0.25">
      <c r="A72" t="s">
        <v>67</v>
      </c>
      <c r="B72" t="s">
        <v>69</v>
      </c>
      <c r="C72">
        <v>4</v>
      </c>
      <c r="D72" t="s">
        <v>140</v>
      </c>
      <c r="E72" t="s">
        <v>135</v>
      </c>
      <c r="F72" t="s">
        <v>136</v>
      </c>
      <c r="G72">
        <v>0.26300608836325801</v>
      </c>
      <c r="H72">
        <v>2E+20</v>
      </c>
      <c r="I72">
        <v>0</v>
      </c>
      <c r="J72">
        <v>0.6</v>
      </c>
      <c r="K72">
        <v>0.4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compartida)rMesaInstantaneous UtilizationResource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19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0.30850610959128738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6.2586127702931413E-2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3.0165547953177007E-2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0.156206445320244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0.44942505379986802</v>
      </c>
      <c r="U72" s="5">
        <f>IF((ContinuousStatsTable[[#This Row],[RepsRequested]]&gt;1),ContinuousStatsTable[[#This Row],[HalfWidth]],ContinuousStatsTable[[#This Row],[BatchMeansHalfWidth]])</f>
        <v>3.0165547953177007E-2</v>
      </c>
    </row>
    <row r="73" spans="1:21" x14ac:dyDescent="0.25">
      <c r="A73" t="s">
        <v>67</v>
      </c>
      <c r="B73" t="s">
        <v>69</v>
      </c>
      <c r="C73">
        <v>4</v>
      </c>
      <c r="D73" t="s">
        <v>140</v>
      </c>
      <c r="E73" t="s">
        <v>137</v>
      </c>
      <c r="F73" t="s">
        <v>136</v>
      </c>
      <c r="G73">
        <v>1.3150304418162899</v>
      </c>
      <c r="H73">
        <v>2E+20</v>
      </c>
      <c r="I73">
        <v>0</v>
      </c>
      <c r="J73">
        <v>3</v>
      </c>
      <c r="K73">
        <v>2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BusyResource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19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0.78103222660121896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2.2471252689993402</v>
      </c>
      <c r="U73" s="5">
        <f>IF((ContinuousStatsTable[[#This Row],[RepsRequested]]&gt;1),ContinuousStatsTable[[#This Row],[HalfWidth]],ContinuousStatsTable[[#This Row],[BatchMeansHalfWidth]])</f>
        <v>0.15082773976588459</v>
      </c>
    </row>
    <row r="74" spans="1:21" x14ac:dyDescent="0.25">
      <c r="A74" t="s">
        <v>67</v>
      </c>
      <c r="B74" t="s">
        <v>69</v>
      </c>
      <c r="C74">
        <v>4</v>
      </c>
      <c r="D74" t="s">
        <v>140</v>
      </c>
      <c r="E74" t="s">
        <v>138</v>
      </c>
      <c r="F74" t="s">
        <v>136</v>
      </c>
      <c r="G74">
        <v>5</v>
      </c>
      <c r="H74">
        <v>2E+20</v>
      </c>
      <c r="I74">
        <v>5</v>
      </c>
      <c r="J74">
        <v>5</v>
      </c>
      <c r="K74">
        <v>5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ScheduledResource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19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5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5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5</v>
      </c>
      <c r="U74" s="5">
        <f>IF((ContinuousStatsTable[[#This Row],[RepsRequested]]&gt;1),ContinuousStatsTable[[#This Row],[HalfWidth]],ContinuousStatsTable[[#This Row],[BatchMeansHalfWidth]])</f>
        <v>0</v>
      </c>
    </row>
    <row r="75" spans="1:21" x14ac:dyDescent="0.25">
      <c r="A75" t="s">
        <v>67</v>
      </c>
      <c r="B75" t="s">
        <v>69</v>
      </c>
      <c r="C75">
        <v>4</v>
      </c>
      <c r="D75" t="s">
        <v>127</v>
      </c>
      <c r="E75" t="s">
        <v>129</v>
      </c>
      <c r="F75" t="s">
        <v>72</v>
      </c>
      <c r="G75">
        <v>0</v>
      </c>
      <c r="H75">
        <v>2E+20</v>
      </c>
      <c r="I75">
        <v>0</v>
      </c>
      <c r="J75">
        <v>1</v>
      </c>
      <c r="K75">
        <v>0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compartida)relojWIPEntity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19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0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0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0</v>
      </c>
      <c r="U75" s="5">
        <f>IF((ContinuousStatsTable[[#This Row],[RepsRequested]]&gt;1),ContinuousStatsTable[[#This Row],[HalfWidth]],ContinuousStatsTable[[#This Row],[BatchMeansHalfWidth]])</f>
        <v>0</v>
      </c>
    </row>
    <row r="76" spans="1:21" x14ac:dyDescent="0.25">
      <c r="A76" t="s">
        <v>67</v>
      </c>
      <c r="B76" t="s">
        <v>69</v>
      </c>
      <c r="C76">
        <v>4</v>
      </c>
      <c r="D76" t="s">
        <v>141</v>
      </c>
      <c r="E76" t="s">
        <v>142</v>
      </c>
      <c r="F76" t="s">
        <v>80</v>
      </c>
      <c r="G76">
        <v>3.1880779876045802</v>
      </c>
      <c r="H76">
        <v>2E+20</v>
      </c>
      <c r="I76">
        <v>1</v>
      </c>
      <c r="J76">
        <v>7</v>
      </c>
      <c r="K76">
        <v>3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compartida)vClientesEnSistemaVariableUser Specified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19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4.0733776306724412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1.3190004331473169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0.63573785879874822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2.7964405882205599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8.8656011818609901</v>
      </c>
      <c r="U76" s="5">
        <f>IF((ContinuousStatsTable[[#This Row],[RepsRequested]]&gt;1),ContinuousStatsTable[[#This Row],[HalfWidth]],ContinuousStatsTable[[#This Row],[BatchMeansHalfWidth]])</f>
        <v>0.63573785879874822</v>
      </c>
    </row>
    <row r="77" spans="1:21" x14ac:dyDescent="0.25">
      <c r="A77" t="s">
        <v>67</v>
      </c>
      <c r="B77" t="s">
        <v>69</v>
      </c>
      <c r="C77">
        <v>4</v>
      </c>
      <c r="D77" t="s">
        <v>143</v>
      </c>
      <c r="E77" t="s">
        <v>142</v>
      </c>
      <c r="F77" t="s">
        <v>80</v>
      </c>
      <c r="G77">
        <v>3.6849695581837101</v>
      </c>
      <c r="H77">
        <v>2E+20</v>
      </c>
      <c r="I77">
        <v>2</v>
      </c>
      <c r="J77">
        <v>5</v>
      </c>
      <c r="K77">
        <v>3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compartida)vMesasLibresVariableUser Specified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19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3.457469452043564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0.31293063851465691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0.15082773976588496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2.7528747310006598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4.2189677733987798</v>
      </c>
      <c r="U77" s="5">
        <f>IF((ContinuousStatsTable[[#This Row],[RepsRequested]]&gt;1),ContinuousStatsTable[[#This Row],[HalfWidth]],ContinuousStatsTable[[#This Row],[BatchMeansHalfWidth]])</f>
        <v>0.15082773976588496</v>
      </c>
    </row>
    <row r="78" spans="1:21" x14ac:dyDescent="0.25">
      <c r="A78" t="s">
        <v>67</v>
      </c>
      <c r="B78" t="s">
        <v>69</v>
      </c>
      <c r="C78">
        <v>5</v>
      </c>
      <c r="D78" t="s">
        <v>70</v>
      </c>
      <c r="E78" t="s">
        <v>129</v>
      </c>
      <c r="F78" t="s">
        <v>72</v>
      </c>
      <c r="G78">
        <v>5.1995377533176503</v>
      </c>
      <c r="H78">
        <v>3E+20</v>
      </c>
      <c r="I78">
        <v>0</v>
      </c>
      <c r="J78">
        <v>14</v>
      </c>
      <c r="K78">
        <v>6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compartida)ClienteWIPEntity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19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5.695207969173218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1.5293712224665061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0.7371333335799507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3.6484308227805702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10.9337547677616</v>
      </c>
      <c r="U78" s="5">
        <f>IF((ContinuousStatsTable[[#This Row],[RepsRequested]]&gt;1),ContinuousStatsTable[[#This Row],[HalfWidth]],ContinuousStatsTable[[#This Row],[BatchMeansHalfWidth]])</f>
        <v>0.7371333335799507</v>
      </c>
    </row>
    <row r="79" spans="1:21" x14ac:dyDescent="0.25">
      <c r="A79" t="s">
        <v>67</v>
      </c>
      <c r="B79" t="s">
        <v>69</v>
      </c>
      <c r="C79">
        <v>5</v>
      </c>
      <c r="D79" t="s">
        <v>89</v>
      </c>
      <c r="E79" t="s">
        <v>130</v>
      </c>
      <c r="F79" t="s">
        <v>91</v>
      </c>
      <c r="G79">
        <v>0</v>
      </c>
      <c r="H79">
        <v>2E+20</v>
      </c>
      <c r="I79">
        <v>0</v>
      </c>
      <c r="J79">
        <v>0</v>
      </c>
      <c r="K79">
        <v>0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compartida)Comer en Mesa.QueueNumber WaitingQueue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19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0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0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0</v>
      </c>
      <c r="U79" s="5">
        <f>IF((ContinuousStatsTable[[#This Row],[RepsRequested]]&gt;1),ContinuousStatsTable[[#This Row],[HalfWidth]],ContinuousStatsTable[[#This Row],[BatchMeansHalfWidth]])</f>
        <v>0</v>
      </c>
    </row>
    <row r="80" spans="1:21" x14ac:dyDescent="0.25">
      <c r="A80" t="s">
        <v>67</v>
      </c>
      <c r="B80" t="s">
        <v>69</v>
      </c>
      <c r="C80">
        <v>5</v>
      </c>
      <c r="D80" t="s">
        <v>92</v>
      </c>
      <c r="E80" t="s">
        <v>130</v>
      </c>
      <c r="F80" t="s">
        <v>91</v>
      </c>
      <c r="G80">
        <v>1.0677725519643899</v>
      </c>
      <c r="H80">
        <v>2E+20</v>
      </c>
      <c r="I80">
        <v>0</v>
      </c>
      <c r="J80">
        <v>6</v>
      </c>
      <c r="K80">
        <v>0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compartida)Entrega pedido.QueueNumber WaitingQueue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19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1.4415832090470244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0.61323545266973079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0.29557002698587687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0.95119347509060603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3.71511779664222</v>
      </c>
      <c r="U80" s="5">
        <f>IF((ContinuousStatsTable[[#This Row],[RepsRequested]]&gt;1),ContinuousStatsTable[[#This Row],[HalfWidth]],ContinuousStatsTable[[#This Row],[BatchMeansHalfWidth]])</f>
        <v>0.29557002698587687</v>
      </c>
    </row>
    <row r="81" spans="1:21" x14ac:dyDescent="0.25">
      <c r="A81" t="s">
        <v>67</v>
      </c>
      <c r="B81" t="s">
        <v>69</v>
      </c>
      <c r="C81">
        <v>5</v>
      </c>
      <c r="D81" t="s">
        <v>131</v>
      </c>
      <c r="E81" t="s">
        <v>129</v>
      </c>
      <c r="F81" t="s">
        <v>72</v>
      </c>
      <c r="G81">
        <v>2.84096127919755</v>
      </c>
      <c r="H81">
        <v>2E+20</v>
      </c>
      <c r="I81">
        <v>0</v>
      </c>
      <c r="J81">
        <v>7</v>
      </c>
      <c r="K81">
        <v>3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compartida)OrdenWIPEntity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19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3.0972744691234286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0.7960145604449721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0.38366673695655462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2.0609398302211299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5.8229936047650703</v>
      </c>
      <c r="U81" s="5">
        <f>IF((ContinuousStatsTable[[#This Row],[RepsRequested]]&gt;1),ContinuousStatsTable[[#This Row],[HalfWidth]],ContinuousStatsTable[[#This Row],[BatchMeansHalfWidth]])</f>
        <v>0.38366673695655462</v>
      </c>
    </row>
    <row r="82" spans="1:21" x14ac:dyDescent="0.25">
      <c r="A82" t="s">
        <v>67</v>
      </c>
      <c r="B82" t="s">
        <v>69</v>
      </c>
      <c r="C82">
        <v>5</v>
      </c>
      <c r="D82" t="s">
        <v>99</v>
      </c>
      <c r="E82" t="s">
        <v>130</v>
      </c>
      <c r="F82" t="s">
        <v>91</v>
      </c>
      <c r="G82">
        <v>0.19411455828372301</v>
      </c>
      <c r="H82">
        <v>2E+20</v>
      </c>
      <c r="I82">
        <v>0</v>
      </c>
      <c r="J82">
        <v>3</v>
      </c>
      <c r="K82">
        <v>0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compartida)Pasar a Caja.QueueNumber WaitingQueue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19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0.5234663348541454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0.51706251909874834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0.24921615679273348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0.17506464523350199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2.4783528335268201</v>
      </c>
      <c r="U82" s="5">
        <f>IF((ContinuousStatsTable[[#This Row],[RepsRequested]]&gt;1),ContinuousStatsTable[[#This Row],[HalfWidth]],ContinuousStatsTable[[#This Row],[BatchMeansHalfWidth]])</f>
        <v>0.24921615679273348</v>
      </c>
    </row>
    <row r="83" spans="1:21" x14ac:dyDescent="0.25">
      <c r="A83" t="s">
        <v>67</v>
      </c>
      <c r="B83" t="s">
        <v>69</v>
      </c>
      <c r="C83">
        <v>5</v>
      </c>
      <c r="D83" t="s">
        <v>104</v>
      </c>
      <c r="E83" t="s">
        <v>130</v>
      </c>
      <c r="F83" t="s">
        <v>91</v>
      </c>
      <c r="G83">
        <v>0.21443716817835801</v>
      </c>
      <c r="H83">
        <v>2E+20</v>
      </c>
      <c r="I83">
        <v>0</v>
      </c>
      <c r="J83">
        <v>3</v>
      </c>
      <c r="K83">
        <v>0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compartida)Preparacion.QueueNumber WaitingQueue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19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0.48138063122984937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0.5430727934303009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0.26175270772536113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0.13383910219346701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2.5739205922552402</v>
      </c>
      <c r="U83" s="5">
        <f>IF((ContinuousStatsTable[[#This Row],[RepsRequested]]&gt;1),ContinuousStatsTable[[#This Row],[HalfWidth]],ContinuousStatsTable[[#This Row],[BatchMeansHalfWidth]])</f>
        <v>0.26175270772536113</v>
      </c>
    </row>
    <row r="84" spans="1:21" x14ac:dyDescent="0.25">
      <c r="A84" t="s">
        <v>67</v>
      </c>
      <c r="B84" t="s">
        <v>69</v>
      </c>
      <c r="C84">
        <v>5</v>
      </c>
      <c r="D84" t="s">
        <v>132</v>
      </c>
      <c r="E84" t="s">
        <v>133</v>
      </c>
      <c r="F84" t="s">
        <v>80</v>
      </c>
      <c r="G84">
        <v>1.65291094945538</v>
      </c>
      <c r="H84">
        <v>2E+20</v>
      </c>
      <c r="I84">
        <v>0</v>
      </c>
      <c r="J84">
        <v>5</v>
      </c>
      <c r="K84">
        <v>3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compartida)TP_MesasTime PersistentUser Specified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19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0.78103222660121896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2.2471252689993402</v>
      </c>
      <c r="U84" s="5">
        <f>IF((ContinuousStatsTable[[#This Row],[RepsRequested]]&gt;1),ContinuousStatsTable[[#This Row],[HalfWidth]],ContinuousStatsTable[[#This Row],[BatchMeansHalfWidth]])</f>
        <v>0.15082773976588459</v>
      </c>
    </row>
    <row r="85" spans="1:21" x14ac:dyDescent="0.25">
      <c r="A85" t="s">
        <v>67</v>
      </c>
      <c r="B85" t="s">
        <v>69</v>
      </c>
      <c r="C85">
        <v>5</v>
      </c>
      <c r="D85" t="s">
        <v>134</v>
      </c>
      <c r="E85" t="s">
        <v>135</v>
      </c>
      <c r="F85" t="s">
        <v>136</v>
      </c>
      <c r="G85">
        <v>0.59861794843566096</v>
      </c>
      <c r="H85">
        <v>2E+20</v>
      </c>
      <c r="I85">
        <v>0</v>
      </c>
      <c r="J85">
        <v>1</v>
      </c>
      <c r="K85">
        <v>0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compartida)rCajeroInstantaneous UtilizationResource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19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6.2272947935973086E-2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3.0014600137344912E-2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0.59592290927233305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0.82897119936997599</v>
      </c>
      <c r="U85" s="5">
        <f>IF((ContinuousStatsTable[[#This Row],[RepsRequested]]&gt;1),ContinuousStatsTable[[#This Row],[HalfWidth]],ContinuousStatsTable[[#This Row],[BatchMeansHalfWidth]])</f>
        <v>3.0014600137344912E-2</v>
      </c>
    </row>
    <row r="86" spans="1:21" x14ac:dyDescent="0.25">
      <c r="A86" t="s">
        <v>67</v>
      </c>
      <c r="B86" t="s">
        <v>69</v>
      </c>
      <c r="C86">
        <v>5</v>
      </c>
      <c r="D86" t="s">
        <v>134</v>
      </c>
      <c r="E86" t="s">
        <v>137</v>
      </c>
      <c r="F86" t="s">
        <v>136</v>
      </c>
      <c r="G86">
        <v>0.59861794843566096</v>
      </c>
      <c r="H86">
        <v>2E+20</v>
      </c>
      <c r="I86">
        <v>0</v>
      </c>
      <c r="J86">
        <v>1</v>
      </c>
      <c r="K86">
        <v>0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BusyResource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19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6.2272947935973065E-2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3.0014600137344902E-2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0.59592290927233305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0.82897119936997599</v>
      </c>
      <c r="U86" s="5">
        <f>IF((ContinuousStatsTable[[#This Row],[RepsRequested]]&gt;1),ContinuousStatsTable[[#This Row],[HalfWidth]],ContinuousStatsTable[[#This Row],[BatchMeansHalfWidth]])</f>
        <v>3.0014600137344902E-2</v>
      </c>
    </row>
    <row r="87" spans="1:21" x14ac:dyDescent="0.25">
      <c r="A87" t="s">
        <v>67</v>
      </c>
      <c r="B87" t="s">
        <v>69</v>
      </c>
      <c r="C87">
        <v>5</v>
      </c>
      <c r="D87" t="s">
        <v>134</v>
      </c>
      <c r="E87" t="s">
        <v>138</v>
      </c>
      <c r="F87" t="s">
        <v>136</v>
      </c>
      <c r="G87">
        <v>1</v>
      </c>
      <c r="H87">
        <v>2E+20</v>
      </c>
      <c r="I87">
        <v>1</v>
      </c>
      <c r="J87">
        <v>1</v>
      </c>
      <c r="K87">
        <v>1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ScheduledResource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19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1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1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1</v>
      </c>
      <c r="U87" s="5">
        <f>IF((ContinuousStatsTable[[#This Row],[RepsRequested]]&gt;1),ContinuousStatsTable[[#This Row],[HalfWidth]],ContinuousStatsTable[[#This Row],[BatchMeansHalfWidth]])</f>
        <v>0</v>
      </c>
    </row>
    <row r="88" spans="1:21" x14ac:dyDescent="0.25">
      <c r="A88" t="s">
        <v>67</v>
      </c>
      <c r="B88" t="s">
        <v>69</v>
      </c>
      <c r="C88">
        <v>5</v>
      </c>
      <c r="D88" t="s">
        <v>139</v>
      </c>
      <c r="E88" t="s">
        <v>135</v>
      </c>
      <c r="F88" t="s">
        <v>136</v>
      </c>
      <c r="G88">
        <v>0.66997210543508001</v>
      </c>
      <c r="H88">
        <v>2E+20</v>
      </c>
      <c r="I88">
        <v>0</v>
      </c>
      <c r="J88">
        <v>1</v>
      </c>
      <c r="K88">
        <v>0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compartida)rCocinaInstantaneous UtilizationResource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19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0.60463940272025996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0.86361037821575004</v>
      </c>
      <c r="U88" s="5">
        <f>IF((ContinuousStatsTable[[#This Row],[RepsRequested]]&gt;1),ContinuousStatsTable[[#This Row],[HalfWidth]],ContinuousStatsTable[[#This Row],[BatchMeansHalfWidth]])</f>
        <v>3.4176212493127585E-2</v>
      </c>
    </row>
    <row r="89" spans="1:21" x14ac:dyDescent="0.25">
      <c r="A89" t="s">
        <v>67</v>
      </c>
      <c r="B89" t="s">
        <v>69</v>
      </c>
      <c r="C89">
        <v>5</v>
      </c>
      <c r="D89" t="s">
        <v>139</v>
      </c>
      <c r="E89" t="s">
        <v>137</v>
      </c>
      <c r="F89" t="s">
        <v>136</v>
      </c>
      <c r="G89">
        <v>0.66997210543508001</v>
      </c>
      <c r="H89">
        <v>2E+20</v>
      </c>
      <c r="I89">
        <v>0</v>
      </c>
      <c r="J89">
        <v>1</v>
      </c>
      <c r="K89">
        <v>0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BusyResource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19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0.60463940272025996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0.86361037821575004</v>
      </c>
      <c r="U89" s="5">
        <f>IF((ContinuousStatsTable[[#This Row],[RepsRequested]]&gt;1),ContinuousStatsTable[[#This Row],[HalfWidth]],ContinuousStatsTable[[#This Row],[BatchMeansHalfWidth]])</f>
        <v>3.4176212493127585E-2</v>
      </c>
    </row>
    <row r="90" spans="1:21" x14ac:dyDescent="0.25">
      <c r="A90" t="s">
        <v>67</v>
      </c>
      <c r="B90" t="s">
        <v>69</v>
      </c>
      <c r="C90">
        <v>5</v>
      </c>
      <c r="D90" t="s">
        <v>139</v>
      </c>
      <c r="E90" t="s">
        <v>138</v>
      </c>
      <c r="F90" t="s">
        <v>136</v>
      </c>
      <c r="G90">
        <v>1</v>
      </c>
      <c r="H90">
        <v>2E+20</v>
      </c>
      <c r="I90">
        <v>1</v>
      </c>
      <c r="J90">
        <v>1</v>
      </c>
      <c r="K90">
        <v>1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ScheduledResource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19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1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1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1</v>
      </c>
      <c r="U90" s="5">
        <f>IF((ContinuousStatsTable[[#This Row],[RepsRequested]]&gt;1),ContinuousStatsTable[[#This Row],[HalfWidth]],ContinuousStatsTable[[#This Row],[BatchMeansHalfWidth]])</f>
        <v>0</v>
      </c>
    </row>
    <row r="91" spans="1:21" x14ac:dyDescent="0.25">
      <c r="A91" t="s">
        <v>67</v>
      </c>
      <c r="B91" t="s">
        <v>69</v>
      </c>
      <c r="C91">
        <v>5</v>
      </c>
      <c r="D91" t="s">
        <v>140</v>
      </c>
      <c r="E91" t="s">
        <v>135</v>
      </c>
      <c r="F91" t="s">
        <v>136</v>
      </c>
      <c r="G91">
        <v>0.33058218989107502</v>
      </c>
      <c r="H91">
        <v>2E+20</v>
      </c>
      <c r="I91">
        <v>0</v>
      </c>
      <c r="J91">
        <v>1</v>
      </c>
      <c r="K91">
        <v>0.6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compartida)rMesaInstantaneous UtilizationResource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19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0.30850610959128738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6.2586127702931413E-2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3.0165547953177007E-2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0.156206445320244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0.44942505379986802</v>
      </c>
      <c r="U91" s="5">
        <f>IF((ContinuousStatsTable[[#This Row],[RepsRequested]]&gt;1),ContinuousStatsTable[[#This Row],[HalfWidth]],ContinuousStatsTable[[#This Row],[BatchMeansHalfWidth]])</f>
        <v>3.0165547953177007E-2</v>
      </c>
    </row>
    <row r="92" spans="1:21" x14ac:dyDescent="0.25">
      <c r="A92" t="s">
        <v>67</v>
      </c>
      <c r="B92" t="s">
        <v>69</v>
      </c>
      <c r="C92">
        <v>5</v>
      </c>
      <c r="D92" t="s">
        <v>140</v>
      </c>
      <c r="E92" t="s">
        <v>137</v>
      </c>
      <c r="F92" t="s">
        <v>136</v>
      </c>
      <c r="G92">
        <v>1.65291094945538</v>
      </c>
      <c r="H92">
        <v>2E+20</v>
      </c>
      <c r="I92">
        <v>0</v>
      </c>
      <c r="J92">
        <v>5</v>
      </c>
      <c r="K92">
        <v>3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BusyResource</v>
      </c>
      <c r="N92" s="5" cm="1">
        <f t="array" ref="N92">MAX(IF((ProjectInfoTable[ProjectName]=ContinuousStatsTable[[#This Row],[ProjectName]]),(ProjectInfoTable[ProjectName]=ContinuousStatsTable[[#This Row],[ProjectName]])*ProjectInfoTable[NumberOfReplications]))</f>
        <v>19</v>
      </c>
      <c r="O92" s="5" cm="1">
        <f t="array" ref="O92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92" s="5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92" s="5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92" s="5" cm="1">
        <f t="array" ref="S92">MIN(IF((ContinuousStatsTable[GroupByKey]=ContinuousStatsTable[[#This Row],[GroupByKey]]),(ContinuousStatsTable[GroupByKey]=ContinuousStatsTable[[#This Row],[GroupByKey]])*ContinuousStatsTable[Average]))</f>
        <v>0.78103222660121896</v>
      </c>
      <c r="T92" s="5" cm="1">
        <f t="array" ref="T92">MAX(IF((ContinuousStatsTable[GroupByKey]=ContinuousStatsTable[[#This Row],[GroupByKey]]),(ContinuousStatsTable[GroupByKey]=ContinuousStatsTable[[#This Row],[GroupByKey]])*ContinuousStatsTable[Average]))</f>
        <v>2.2471252689993402</v>
      </c>
      <c r="U92" s="5">
        <f>IF((ContinuousStatsTable[[#This Row],[RepsRequested]]&gt;1),ContinuousStatsTable[[#This Row],[HalfWidth]],ContinuousStatsTable[[#This Row],[BatchMeansHalfWidth]])</f>
        <v>0.15082773976588459</v>
      </c>
    </row>
    <row r="93" spans="1:21" x14ac:dyDescent="0.25">
      <c r="A93" t="s">
        <v>67</v>
      </c>
      <c r="B93" t="s">
        <v>69</v>
      </c>
      <c r="C93">
        <v>5</v>
      </c>
      <c r="D93" t="s">
        <v>140</v>
      </c>
      <c r="E93" t="s">
        <v>138</v>
      </c>
      <c r="F93" t="s">
        <v>136</v>
      </c>
      <c r="G93">
        <v>5</v>
      </c>
      <c r="H93">
        <v>2E+20</v>
      </c>
      <c r="I93">
        <v>5</v>
      </c>
      <c r="J93">
        <v>5</v>
      </c>
      <c r="K93">
        <v>5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ScheduledResource</v>
      </c>
      <c r="N93" s="5" cm="1">
        <f t="array" ref="N93">MAX(IF((ProjectInfoTable[ProjectName]=ContinuousStatsTable[[#This Row],[ProjectName]]),(ProjectInfoTable[ProjectName]=ContinuousStatsTable[[#This Row],[ProjectName]])*ProjectInfoTable[NumberOfReplications]))</f>
        <v>19</v>
      </c>
      <c r="O93" s="5" cm="1">
        <f t="array" ref="O93">IFERROR(AVERAGE(IF((ContinuousStatsTable[GroupByKey]=ContinuousStatsTable[[#This Row],[GroupByKey]]),(ContinuousStatsTable[GroupByKey]=ContinuousStatsTable[[#This Row],[GroupByKey]])*ContinuousStatsTable[Average])),0)</f>
        <v>5</v>
      </c>
      <c r="P93" s="5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0</v>
      </c>
      <c r="Q93" s="5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3" s="5" cm="1">
        <f t="array" ref="S93">MIN(IF((ContinuousStatsTable[GroupByKey]=ContinuousStatsTable[[#This Row],[GroupByKey]]),(ContinuousStatsTable[GroupByKey]=ContinuousStatsTable[[#This Row],[GroupByKey]])*ContinuousStatsTable[Average]))</f>
        <v>5</v>
      </c>
      <c r="T93" s="5" cm="1">
        <f t="array" ref="T93">MAX(IF((ContinuousStatsTable[GroupByKey]=ContinuousStatsTable[[#This Row],[GroupByKey]]),(ContinuousStatsTable[GroupByKey]=ContinuousStatsTable[[#This Row],[GroupByKey]])*ContinuousStatsTable[Average]))</f>
        <v>5</v>
      </c>
      <c r="U93" s="5">
        <f>IF((ContinuousStatsTable[[#This Row],[RepsRequested]]&gt;1),ContinuousStatsTable[[#This Row],[HalfWidth]],ContinuousStatsTable[[#This Row],[BatchMeansHalfWidth]])</f>
        <v>0</v>
      </c>
    </row>
    <row r="94" spans="1:21" x14ac:dyDescent="0.25">
      <c r="A94" t="s">
        <v>67</v>
      </c>
      <c r="B94" t="s">
        <v>69</v>
      </c>
      <c r="C94">
        <v>5</v>
      </c>
      <c r="D94" t="s">
        <v>127</v>
      </c>
      <c r="E94" t="s">
        <v>129</v>
      </c>
      <c r="F94" t="s">
        <v>72</v>
      </c>
      <c r="G94">
        <v>0</v>
      </c>
      <c r="H94">
        <v>2E+20</v>
      </c>
      <c r="I94">
        <v>0</v>
      </c>
      <c r="J94">
        <v>1</v>
      </c>
      <c r="K94">
        <v>0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compartida)relojWIPEntity</v>
      </c>
      <c r="N94" s="5" cm="1">
        <f t="array" ref="N94">MAX(IF((ProjectInfoTable[ProjectName]=ContinuousStatsTable[[#This Row],[ProjectName]]),(ProjectInfoTable[ProjectName]=ContinuousStatsTable[[#This Row],[ProjectName]])*ProjectInfoTable[NumberOfReplications]))</f>
        <v>19</v>
      </c>
      <c r="O94" s="5" cm="1">
        <f t="array" ref="O94">IFERROR(AVERAGE(IF((ContinuousStatsTable[GroupByKey]=ContinuousStatsTable[[#This Row],[GroupByKey]]),(ContinuousStatsTable[GroupByKey]=ContinuousStatsTable[[#This Row],[GroupByKey]])*ContinuousStatsTable[Average])),0)</f>
        <v>0</v>
      </c>
      <c r="P94" s="5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</v>
      </c>
      <c r="Q94" s="5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4" s="5" cm="1">
        <f t="array" ref="S94">MIN(IF((ContinuousStatsTable[GroupByKey]=ContinuousStatsTable[[#This Row],[GroupByKey]]),(ContinuousStatsTable[GroupByKey]=ContinuousStatsTable[[#This Row],[GroupByKey]])*ContinuousStatsTable[Average]))</f>
        <v>0</v>
      </c>
      <c r="T94" s="5" cm="1">
        <f t="array" ref="T94">MAX(IF((ContinuousStatsTable[GroupByKey]=ContinuousStatsTable[[#This Row],[GroupByKey]]),(ContinuousStatsTable[GroupByKey]=ContinuousStatsTable[[#This Row],[GroupByKey]])*ContinuousStatsTable[Average]))</f>
        <v>0</v>
      </c>
      <c r="U94" s="5">
        <f>IF((ContinuousStatsTable[[#This Row],[RepsRequested]]&gt;1),ContinuousStatsTable[[#This Row],[HalfWidth]],ContinuousStatsTable[[#This Row],[BatchMeansHalfWidth]])</f>
        <v>0</v>
      </c>
    </row>
    <row r="95" spans="1:21" x14ac:dyDescent="0.25">
      <c r="A95" t="s">
        <v>67</v>
      </c>
      <c r="B95" t="s">
        <v>69</v>
      </c>
      <c r="C95">
        <v>5</v>
      </c>
      <c r="D95" t="s">
        <v>141</v>
      </c>
      <c r="E95" t="s">
        <v>142</v>
      </c>
      <c r="F95" t="s">
        <v>80</v>
      </c>
      <c r="G95">
        <v>3.4626453223807898</v>
      </c>
      <c r="H95">
        <v>2E+20</v>
      </c>
      <c r="I95">
        <v>0</v>
      </c>
      <c r="J95">
        <v>8</v>
      </c>
      <c r="K95">
        <v>3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compartida)vClientesEnSistemaVariableUser Specified</v>
      </c>
      <c r="N95" s="5" cm="1">
        <f t="array" ref="N95">MAX(IF((ProjectInfoTable[ProjectName]=ContinuousStatsTable[[#This Row],[ProjectName]]),(ProjectInfoTable[ProjectName]=ContinuousStatsTable[[#This Row],[ProjectName]])*ProjectInfoTable[NumberOfReplications]))</f>
        <v>19</v>
      </c>
      <c r="O95" s="5" cm="1">
        <f t="array" ref="O95">IFERROR(AVERAGE(IF((ContinuousStatsTable[GroupByKey]=ContinuousStatsTable[[#This Row],[GroupByKey]]),(ContinuousStatsTable[GroupByKey]=ContinuousStatsTable[[#This Row],[GroupByKey]])*ContinuousStatsTable[Average])),0)</f>
        <v>4.0733776306724412</v>
      </c>
      <c r="P95" s="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1.3190004331473169</v>
      </c>
      <c r="Q95" s="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0.63573785879874822</v>
      </c>
      <c r="S95" s="5" cm="1">
        <f t="array" ref="S95">MIN(IF((ContinuousStatsTable[GroupByKey]=ContinuousStatsTable[[#This Row],[GroupByKey]]),(ContinuousStatsTable[GroupByKey]=ContinuousStatsTable[[#This Row],[GroupByKey]])*ContinuousStatsTable[Average]))</f>
        <v>2.7964405882205599</v>
      </c>
      <c r="T95" s="5" cm="1">
        <f t="array" ref="T95">MAX(IF((ContinuousStatsTable[GroupByKey]=ContinuousStatsTable[[#This Row],[GroupByKey]]),(ContinuousStatsTable[GroupByKey]=ContinuousStatsTable[[#This Row],[GroupByKey]])*ContinuousStatsTable[Average]))</f>
        <v>8.8656011818609901</v>
      </c>
      <c r="U95" s="5">
        <f>IF((ContinuousStatsTable[[#This Row],[RepsRequested]]&gt;1),ContinuousStatsTable[[#This Row],[HalfWidth]],ContinuousStatsTable[[#This Row],[BatchMeansHalfWidth]])</f>
        <v>0.63573785879874822</v>
      </c>
    </row>
    <row r="96" spans="1:21" x14ac:dyDescent="0.25">
      <c r="A96" t="s">
        <v>67</v>
      </c>
      <c r="B96" t="s">
        <v>69</v>
      </c>
      <c r="C96">
        <v>5</v>
      </c>
      <c r="D96" t="s">
        <v>143</v>
      </c>
      <c r="E96" t="s">
        <v>142</v>
      </c>
      <c r="F96" t="s">
        <v>80</v>
      </c>
      <c r="G96">
        <v>3.3470890505446298</v>
      </c>
      <c r="H96">
        <v>2E+20</v>
      </c>
      <c r="I96">
        <v>0</v>
      </c>
      <c r="J96">
        <v>5</v>
      </c>
      <c r="K96">
        <v>2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compartida)vMesasLibresVariableUser Specified</v>
      </c>
      <c r="N96" s="5" cm="1">
        <f t="array" ref="N96">MAX(IF((ProjectInfoTable[ProjectName]=ContinuousStatsTable[[#This Row],[ProjectName]]),(ProjectInfoTable[ProjectName]=ContinuousStatsTable[[#This Row],[ProjectName]])*ProjectInfoTable[NumberOfReplications]))</f>
        <v>19</v>
      </c>
      <c r="O96" s="5" cm="1">
        <f t="array" ref="O96">IFERROR(AVERAGE(IF((ContinuousStatsTable[GroupByKey]=ContinuousStatsTable[[#This Row],[GroupByKey]]),(ContinuousStatsTable[GroupByKey]=ContinuousStatsTable[[#This Row],[GroupByKey]])*ContinuousStatsTable[Average])),0)</f>
        <v>3.457469452043564</v>
      </c>
      <c r="P96" s="5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0.31293063851465691</v>
      </c>
      <c r="Q96" s="5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0.15082773976588496</v>
      </c>
      <c r="S96" s="5" cm="1">
        <f t="array" ref="S96">MIN(IF((ContinuousStatsTable[GroupByKey]=ContinuousStatsTable[[#This Row],[GroupByKey]]),(ContinuousStatsTable[GroupByKey]=ContinuousStatsTable[[#This Row],[GroupByKey]])*ContinuousStatsTable[Average]))</f>
        <v>2.7528747310006598</v>
      </c>
      <c r="T96" s="5" cm="1">
        <f t="array" ref="T96">MAX(IF((ContinuousStatsTable[GroupByKey]=ContinuousStatsTable[[#This Row],[GroupByKey]]),(ContinuousStatsTable[GroupByKey]=ContinuousStatsTable[[#This Row],[GroupByKey]])*ContinuousStatsTable[Average]))</f>
        <v>4.2189677733987798</v>
      </c>
      <c r="U96" s="5">
        <f>IF((ContinuousStatsTable[[#This Row],[RepsRequested]]&gt;1),ContinuousStatsTable[[#This Row],[HalfWidth]],ContinuousStatsTable[[#This Row],[BatchMeansHalfWidth]])</f>
        <v>0.15082773976588496</v>
      </c>
    </row>
    <row r="97" spans="1:21" x14ac:dyDescent="0.25">
      <c r="A97" t="s">
        <v>67</v>
      </c>
      <c r="B97" t="s">
        <v>69</v>
      </c>
      <c r="C97">
        <v>6</v>
      </c>
      <c r="D97" t="s">
        <v>70</v>
      </c>
      <c r="E97" t="s">
        <v>129</v>
      </c>
      <c r="F97" t="s">
        <v>72</v>
      </c>
      <c r="G97">
        <v>4.67451965766453</v>
      </c>
      <c r="H97">
        <v>3E+20</v>
      </c>
      <c r="I97">
        <v>0</v>
      </c>
      <c r="J97">
        <v>13</v>
      </c>
      <c r="K97">
        <v>8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compartida)ClienteWIPEntity</v>
      </c>
      <c r="N97" s="5" cm="1">
        <f t="array" ref="N97">MAX(IF((ProjectInfoTable[ProjectName]=ContinuousStatsTable[[#This Row],[ProjectName]]),(ProjectInfoTable[ProjectName]=ContinuousStatsTable[[#This Row],[ProjectName]])*ProjectInfoTable[NumberOfReplications]))</f>
        <v>19</v>
      </c>
      <c r="O97" s="5" cm="1">
        <f t="array" ref="O97">IFERROR(AVERAGE(IF((ContinuousStatsTable[GroupByKey]=ContinuousStatsTable[[#This Row],[GroupByKey]]),(ContinuousStatsTable[GroupByKey]=ContinuousStatsTable[[#This Row],[GroupByKey]])*ContinuousStatsTable[Average])),0)</f>
        <v>5.695207969173218</v>
      </c>
      <c r="P97" s="5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1.5293712224665061</v>
      </c>
      <c r="Q97" s="5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0.7371333335799507</v>
      </c>
      <c r="S97" s="5" cm="1">
        <f t="array" ref="S97">MIN(IF((ContinuousStatsTable[GroupByKey]=ContinuousStatsTable[[#This Row],[GroupByKey]]),(ContinuousStatsTable[GroupByKey]=ContinuousStatsTable[[#This Row],[GroupByKey]])*ContinuousStatsTable[Average]))</f>
        <v>3.6484308227805702</v>
      </c>
      <c r="T97" s="5" cm="1">
        <f t="array" ref="T97">MAX(IF((ContinuousStatsTable[GroupByKey]=ContinuousStatsTable[[#This Row],[GroupByKey]]),(ContinuousStatsTable[GroupByKey]=ContinuousStatsTable[[#This Row],[GroupByKey]])*ContinuousStatsTable[Average]))</f>
        <v>10.9337547677616</v>
      </c>
      <c r="U97" s="5">
        <f>IF((ContinuousStatsTable[[#This Row],[RepsRequested]]&gt;1),ContinuousStatsTable[[#This Row],[HalfWidth]],ContinuousStatsTable[[#This Row],[BatchMeansHalfWidth]])</f>
        <v>0.7371333335799507</v>
      </c>
    </row>
    <row r="98" spans="1:21" x14ac:dyDescent="0.25">
      <c r="A98" t="s">
        <v>67</v>
      </c>
      <c r="B98" t="s">
        <v>69</v>
      </c>
      <c r="C98">
        <v>6</v>
      </c>
      <c r="D98" t="s">
        <v>89</v>
      </c>
      <c r="E98" t="s">
        <v>130</v>
      </c>
      <c r="F98" t="s">
        <v>91</v>
      </c>
      <c r="G98">
        <v>0</v>
      </c>
      <c r="H98">
        <v>2E+20</v>
      </c>
      <c r="I98">
        <v>0</v>
      </c>
      <c r="J98">
        <v>0</v>
      </c>
      <c r="K98">
        <v>0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compartida)Comer en Mesa.QueueNumber WaitingQueue</v>
      </c>
      <c r="N98" s="5" cm="1">
        <f t="array" ref="N98">MAX(IF((ProjectInfoTable[ProjectName]=ContinuousStatsTable[[#This Row],[ProjectName]]),(ProjectInfoTable[ProjectName]=ContinuousStatsTable[[#This Row],[ProjectName]])*ProjectInfoTable[NumberOfReplications]))</f>
        <v>19</v>
      </c>
      <c r="O98" s="5" cm="1">
        <f t="array" ref="O98">IFERROR(AVERAGE(IF((ContinuousStatsTable[GroupByKey]=ContinuousStatsTable[[#This Row],[GroupByKey]]),(ContinuousStatsTable[GroupByKey]=ContinuousStatsTable[[#This Row],[GroupByKey]])*ContinuousStatsTable[Average])),0)</f>
        <v>0</v>
      </c>
      <c r="P98" s="5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</v>
      </c>
      <c r="Q98" s="5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8" s="5" cm="1">
        <f t="array" ref="S98">MIN(IF((ContinuousStatsTable[GroupByKey]=ContinuousStatsTable[[#This Row],[GroupByKey]]),(ContinuousStatsTable[GroupByKey]=ContinuousStatsTable[[#This Row],[GroupByKey]])*ContinuousStatsTable[Average]))</f>
        <v>0</v>
      </c>
      <c r="T98" s="5" cm="1">
        <f t="array" ref="T98">MAX(IF((ContinuousStatsTable[GroupByKey]=ContinuousStatsTable[[#This Row],[GroupByKey]]),(ContinuousStatsTable[GroupByKey]=ContinuousStatsTable[[#This Row],[GroupByKey]])*ContinuousStatsTable[Average]))</f>
        <v>0</v>
      </c>
      <c r="U98" s="5">
        <f>IF((ContinuousStatsTable[[#This Row],[RepsRequested]]&gt;1),ContinuousStatsTable[[#This Row],[HalfWidth]],ContinuousStatsTable[[#This Row],[BatchMeansHalfWidth]])</f>
        <v>0</v>
      </c>
    </row>
    <row r="99" spans="1:21" x14ac:dyDescent="0.25">
      <c r="A99" t="s">
        <v>67</v>
      </c>
      <c r="B99" t="s">
        <v>69</v>
      </c>
      <c r="C99">
        <v>6</v>
      </c>
      <c r="D99" t="s">
        <v>92</v>
      </c>
      <c r="E99" t="s">
        <v>130</v>
      </c>
      <c r="F99" t="s">
        <v>91</v>
      </c>
      <c r="G99">
        <v>0.95119347509060603</v>
      </c>
      <c r="H99">
        <v>2E+20</v>
      </c>
      <c r="I99">
        <v>0</v>
      </c>
      <c r="J99">
        <v>5</v>
      </c>
      <c r="K99">
        <v>4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compartida)Entrega pedido.QueueNumber WaitingQueue</v>
      </c>
      <c r="N99" s="5" cm="1">
        <f t="array" ref="N99">MAX(IF((ProjectInfoTable[ProjectName]=ContinuousStatsTable[[#This Row],[ProjectName]]),(ProjectInfoTable[ProjectName]=ContinuousStatsTable[[#This Row],[ProjectName]])*ProjectInfoTable[NumberOfReplications]))</f>
        <v>19</v>
      </c>
      <c r="O99" s="5" cm="1">
        <f t="array" ref="O99">IFERROR(AVERAGE(IF((ContinuousStatsTable[GroupByKey]=ContinuousStatsTable[[#This Row],[GroupByKey]]),(ContinuousStatsTable[GroupByKey]=ContinuousStatsTable[[#This Row],[GroupByKey]])*ContinuousStatsTable[Average])),0)</f>
        <v>1.4415832090470244</v>
      </c>
      <c r="P99" s="5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0.61323545266973079</v>
      </c>
      <c r="Q99" s="5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0.29557002698587687</v>
      </c>
      <c r="S99" s="5" cm="1">
        <f t="array" ref="S99">MIN(IF((ContinuousStatsTable[GroupByKey]=ContinuousStatsTable[[#This Row],[GroupByKey]]),(ContinuousStatsTable[GroupByKey]=ContinuousStatsTable[[#This Row],[GroupByKey]])*ContinuousStatsTable[Average]))</f>
        <v>0.95119347509060603</v>
      </c>
      <c r="T99" s="5" cm="1">
        <f t="array" ref="T99">MAX(IF((ContinuousStatsTable[GroupByKey]=ContinuousStatsTable[[#This Row],[GroupByKey]]),(ContinuousStatsTable[GroupByKey]=ContinuousStatsTable[[#This Row],[GroupByKey]])*ContinuousStatsTable[Average]))</f>
        <v>3.71511779664222</v>
      </c>
      <c r="U99" s="5">
        <f>IF((ContinuousStatsTable[[#This Row],[RepsRequested]]&gt;1),ContinuousStatsTable[[#This Row],[HalfWidth]],ContinuousStatsTable[[#This Row],[BatchMeansHalfWidth]])</f>
        <v>0.29557002698587687</v>
      </c>
    </row>
    <row r="100" spans="1:21" x14ac:dyDescent="0.25">
      <c r="A100" t="s">
        <v>67</v>
      </c>
      <c r="B100" t="s">
        <v>69</v>
      </c>
      <c r="C100">
        <v>6</v>
      </c>
      <c r="D100" t="s">
        <v>131</v>
      </c>
      <c r="E100" t="s">
        <v>129</v>
      </c>
      <c r="F100" t="s">
        <v>72</v>
      </c>
      <c r="G100">
        <v>2.5154029762991899</v>
      </c>
      <c r="H100">
        <v>2E+20</v>
      </c>
      <c r="I100">
        <v>0</v>
      </c>
      <c r="J100">
        <v>7</v>
      </c>
      <c r="K100">
        <v>5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compartida)OrdenWIPEntity</v>
      </c>
      <c r="N100" s="5" cm="1">
        <f t="array" ref="N100">MAX(IF((ProjectInfoTable[ProjectName]=ContinuousStatsTable[[#This Row],[ProjectName]]),(ProjectInfoTable[ProjectName]=ContinuousStatsTable[[#This Row],[ProjectName]])*ProjectInfoTable[NumberOfReplications]))</f>
        <v>19</v>
      </c>
      <c r="O100" s="5" cm="1">
        <f t="array" ref="O100">IFERROR(AVERAGE(IF((ContinuousStatsTable[GroupByKey]=ContinuousStatsTable[[#This Row],[GroupByKey]]),(ContinuousStatsTable[GroupByKey]=ContinuousStatsTable[[#This Row],[GroupByKey]])*ContinuousStatsTable[Average])),0)</f>
        <v>3.0972744691234286</v>
      </c>
      <c r="P100" s="5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0.7960145604449721</v>
      </c>
      <c r="Q100" s="5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0.38366673695655462</v>
      </c>
      <c r="S100" s="5" cm="1">
        <f t="array" ref="S100">MIN(IF((ContinuousStatsTable[GroupByKey]=ContinuousStatsTable[[#This Row],[GroupByKey]]),(ContinuousStatsTable[GroupByKey]=ContinuousStatsTable[[#This Row],[GroupByKey]])*ContinuousStatsTable[Average]))</f>
        <v>2.0609398302211299</v>
      </c>
      <c r="T100" s="5" cm="1">
        <f t="array" ref="T100">MAX(IF((ContinuousStatsTable[GroupByKey]=ContinuousStatsTable[[#This Row],[GroupByKey]]),(ContinuousStatsTable[GroupByKey]=ContinuousStatsTable[[#This Row],[GroupByKey]])*ContinuousStatsTable[Average]))</f>
        <v>5.8229936047650703</v>
      </c>
      <c r="U100" s="5">
        <f>IF((ContinuousStatsTable[[#This Row],[RepsRequested]]&gt;1),ContinuousStatsTable[[#This Row],[HalfWidth]],ContinuousStatsTable[[#This Row],[BatchMeansHalfWidth]])</f>
        <v>0.38366673695655462</v>
      </c>
    </row>
    <row r="101" spans="1:21" x14ac:dyDescent="0.25">
      <c r="A101" t="s">
        <v>67</v>
      </c>
      <c r="B101" t="s">
        <v>69</v>
      </c>
      <c r="C101">
        <v>6</v>
      </c>
      <c r="D101" t="s">
        <v>99</v>
      </c>
      <c r="E101" t="s">
        <v>130</v>
      </c>
      <c r="F101" t="s">
        <v>91</v>
      </c>
      <c r="G101">
        <v>0.17506464523350199</v>
      </c>
      <c r="H101">
        <v>2E+20</v>
      </c>
      <c r="I101">
        <v>0</v>
      </c>
      <c r="J101">
        <v>3</v>
      </c>
      <c r="K101">
        <v>2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compartida)Pasar a Caja.QueueNumber WaitingQueue</v>
      </c>
      <c r="N101" s="5" cm="1">
        <f t="array" ref="N101">MAX(IF((ProjectInfoTable[ProjectName]=ContinuousStatsTable[[#This Row],[ProjectName]]),(ProjectInfoTable[ProjectName]=ContinuousStatsTable[[#This Row],[ProjectName]])*ProjectInfoTable[NumberOfReplications]))</f>
        <v>19</v>
      </c>
      <c r="O101" s="5" cm="1">
        <f t="array" ref="O101">IFERROR(AVERAGE(IF((ContinuousStatsTable[GroupByKey]=ContinuousStatsTable[[#This Row],[GroupByKey]]),(ContinuousStatsTable[GroupByKey]=ContinuousStatsTable[[#This Row],[GroupByKey]])*ContinuousStatsTable[Average])),0)</f>
        <v>0.5234663348541454</v>
      </c>
      <c r="P101" s="5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0.51706251909874834</v>
      </c>
      <c r="Q101" s="5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0.24921615679273348</v>
      </c>
      <c r="S101" s="5" cm="1">
        <f t="array" ref="S101">MIN(IF((ContinuousStatsTable[GroupByKey]=ContinuousStatsTable[[#This Row],[GroupByKey]]),(ContinuousStatsTable[GroupByKey]=ContinuousStatsTable[[#This Row],[GroupByKey]])*ContinuousStatsTable[Average]))</f>
        <v>0.17506464523350199</v>
      </c>
      <c r="T101" s="5" cm="1">
        <f t="array" ref="T101">MAX(IF((ContinuousStatsTable[GroupByKey]=ContinuousStatsTable[[#This Row],[GroupByKey]]),(ContinuousStatsTable[GroupByKey]=ContinuousStatsTable[[#This Row],[GroupByKey]])*ContinuousStatsTable[Average]))</f>
        <v>2.4783528335268201</v>
      </c>
      <c r="U101" s="5">
        <f>IF((ContinuousStatsTable[[#This Row],[RepsRequested]]&gt;1),ContinuousStatsTable[[#This Row],[HalfWidth]],ContinuousStatsTable[[#This Row],[BatchMeansHalfWidth]])</f>
        <v>0.24921615679273348</v>
      </c>
    </row>
    <row r="102" spans="1:21" x14ac:dyDescent="0.25">
      <c r="A102" t="s">
        <v>67</v>
      </c>
      <c r="B102" t="s">
        <v>69</v>
      </c>
      <c r="C102">
        <v>6</v>
      </c>
      <c r="D102" t="s">
        <v>104</v>
      </c>
      <c r="E102" t="s">
        <v>130</v>
      </c>
      <c r="F102" t="s">
        <v>91</v>
      </c>
      <c r="G102">
        <v>0.136407028572338</v>
      </c>
      <c r="H102">
        <v>2E+20</v>
      </c>
      <c r="I102">
        <v>0</v>
      </c>
      <c r="J102">
        <v>2</v>
      </c>
      <c r="K102">
        <v>2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compartida)Preparacion.QueueNumber WaitingQueue</v>
      </c>
      <c r="N102" s="5" cm="1">
        <f t="array" ref="N102">MAX(IF((ProjectInfoTable[ProjectName]=ContinuousStatsTable[[#This Row],[ProjectName]]),(ProjectInfoTable[ProjectName]=ContinuousStatsTable[[#This Row],[ProjectName]])*ProjectInfoTable[NumberOfReplications]))</f>
        <v>19</v>
      </c>
      <c r="O102" s="5" cm="1">
        <f t="array" ref="O102">IFERROR(AVERAGE(IF((ContinuousStatsTable[GroupByKey]=ContinuousStatsTable[[#This Row],[GroupByKey]]),(ContinuousStatsTable[GroupByKey]=ContinuousStatsTable[[#This Row],[GroupByKey]])*ContinuousStatsTable[Average])),0)</f>
        <v>0.48138063122984937</v>
      </c>
      <c r="P102" s="5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0.5430727934303009</v>
      </c>
      <c r="Q102" s="5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0.26175270772536113</v>
      </c>
      <c r="S102" s="5" cm="1">
        <f t="array" ref="S102">MIN(IF((ContinuousStatsTable[GroupByKey]=ContinuousStatsTable[[#This Row],[GroupByKey]]),(ContinuousStatsTable[GroupByKey]=ContinuousStatsTable[[#This Row],[GroupByKey]])*ContinuousStatsTable[Average]))</f>
        <v>0.13383910219346701</v>
      </c>
      <c r="T102" s="5" cm="1">
        <f t="array" ref="T102">MAX(IF((ContinuousStatsTable[GroupByKey]=ContinuousStatsTable[[#This Row],[GroupByKey]]),(ContinuousStatsTable[GroupByKey]=ContinuousStatsTable[[#This Row],[GroupByKey]])*ContinuousStatsTable[Average]))</f>
        <v>2.5739205922552402</v>
      </c>
      <c r="U102" s="5">
        <f>IF((ContinuousStatsTable[[#This Row],[RepsRequested]]&gt;1),ContinuousStatsTable[[#This Row],[HalfWidth]],ContinuousStatsTable[[#This Row],[BatchMeansHalfWidth]])</f>
        <v>0.26175270772536113</v>
      </c>
    </row>
    <row r="103" spans="1:21" x14ac:dyDescent="0.25">
      <c r="A103" t="s">
        <v>67</v>
      </c>
      <c r="B103" t="s">
        <v>69</v>
      </c>
      <c r="C103">
        <v>6</v>
      </c>
      <c r="D103" t="s">
        <v>132</v>
      </c>
      <c r="E103" t="s">
        <v>133</v>
      </c>
      <c r="F103" t="s">
        <v>80</v>
      </c>
      <c r="G103">
        <v>1.45596876046784</v>
      </c>
      <c r="H103">
        <v>2E+20</v>
      </c>
      <c r="I103">
        <v>0</v>
      </c>
      <c r="J103">
        <v>4</v>
      </c>
      <c r="K103">
        <v>1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compartida)TP_MesasTime PersistentUser Specified</v>
      </c>
      <c r="N103" s="5" cm="1">
        <f t="array" ref="N103">MAX(IF((ProjectInfoTable[ProjectName]=ContinuousStatsTable[[#This Row],[ProjectName]]),(ProjectInfoTable[ProjectName]=ContinuousStatsTable[[#This Row],[ProjectName]])*ProjectInfoTable[NumberOfReplications]))</f>
        <v>19</v>
      </c>
      <c r="O103" s="5" cm="1">
        <f t="array" ref="O103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103" s="5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103" s="5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103" s="5" cm="1">
        <f t="array" ref="S103">MIN(IF((ContinuousStatsTable[GroupByKey]=ContinuousStatsTable[[#This Row],[GroupByKey]]),(ContinuousStatsTable[GroupByKey]=ContinuousStatsTable[[#This Row],[GroupByKey]])*ContinuousStatsTable[Average]))</f>
        <v>0.78103222660121896</v>
      </c>
      <c r="T103" s="5" cm="1">
        <f t="array" ref="T103">MAX(IF((ContinuousStatsTable[GroupByKey]=ContinuousStatsTable[[#This Row],[GroupByKey]]),(ContinuousStatsTable[GroupByKey]=ContinuousStatsTable[[#This Row],[GroupByKey]])*ContinuousStatsTable[Average]))</f>
        <v>2.2471252689993402</v>
      </c>
      <c r="U103" s="5">
        <f>IF((ContinuousStatsTable[[#This Row],[RepsRequested]]&gt;1),ContinuousStatsTable[[#This Row],[HalfWidth]],ContinuousStatsTable[[#This Row],[BatchMeansHalfWidth]])</f>
        <v>0.15082773976588459</v>
      </c>
    </row>
    <row r="104" spans="1:21" x14ac:dyDescent="0.25">
      <c r="A104" t="s">
        <v>67</v>
      </c>
      <c r="B104" t="s">
        <v>69</v>
      </c>
      <c r="C104">
        <v>6</v>
      </c>
      <c r="D104" t="s">
        <v>134</v>
      </c>
      <c r="E104" t="s">
        <v>135</v>
      </c>
      <c r="F104" t="s">
        <v>136</v>
      </c>
      <c r="G104">
        <v>0.64480330756614701</v>
      </c>
      <c r="H104">
        <v>2E+20</v>
      </c>
      <c r="I104">
        <v>0</v>
      </c>
      <c r="J104">
        <v>1</v>
      </c>
      <c r="K104">
        <v>1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compartida)rCajeroInstantaneous UtilizationResource</v>
      </c>
      <c r="N104" s="5" cm="1">
        <f t="array" ref="N104">MAX(IF((ProjectInfoTable[ProjectName]=ContinuousStatsTable[[#This Row],[ProjectName]]),(ProjectInfoTable[ProjectName]=ContinuousStatsTable[[#This Row],[ProjectName]])*ProjectInfoTable[NumberOfReplications]))</f>
        <v>19</v>
      </c>
      <c r="O104" s="5" cm="1">
        <f t="array" ref="O104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104" s="5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6.2272947935973086E-2</v>
      </c>
      <c r="Q104" s="5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3.0014600137344912E-2</v>
      </c>
      <c r="S104" s="5" cm="1">
        <f t="array" ref="S104">MIN(IF((ContinuousStatsTable[GroupByKey]=ContinuousStatsTable[[#This Row],[GroupByKey]]),(ContinuousStatsTable[GroupByKey]=ContinuousStatsTable[[#This Row],[GroupByKey]])*ContinuousStatsTable[Average]))</f>
        <v>0.59592290927233305</v>
      </c>
      <c r="T104" s="5" cm="1">
        <f t="array" ref="T104">MAX(IF((ContinuousStatsTable[GroupByKey]=ContinuousStatsTable[[#This Row],[GroupByKey]]),(ContinuousStatsTable[GroupByKey]=ContinuousStatsTable[[#This Row],[GroupByKey]])*ContinuousStatsTable[Average]))</f>
        <v>0.82897119936997599</v>
      </c>
      <c r="U104" s="5">
        <f>IF((ContinuousStatsTable[[#This Row],[RepsRequested]]&gt;1),ContinuousStatsTable[[#This Row],[HalfWidth]],ContinuousStatsTable[[#This Row],[BatchMeansHalfWidth]])</f>
        <v>3.0014600137344912E-2</v>
      </c>
    </row>
    <row r="105" spans="1:21" x14ac:dyDescent="0.25">
      <c r="A105" t="s">
        <v>67</v>
      </c>
      <c r="B105" t="s">
        <v>69</v>
      </c>
      <c r="C105">
        <v>6</v>
      </c>
      <c r="D105" t="s">
        <v>134</v>
      </c>
      <c r="E105" t="s">
        <v>137</v>
      </c>
      <c r="F105" t="s">
        <v>136</v>
      </c>
      <c r="G105">
        <v>0.64480330756614701</v>
      </c>
      <c r="H105">
        <v>2E+20</v>
      </c>
      <c r="I105">
        <v>0</v>
      </c>
      <c r="J105">
        <v>1</v>
      </c>
      <c r="K105">
        <v>1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BusyResource</v>
      </c>
      <c r="N105" s="5" cm="1">
        <f t="array" ref="N105">MAX(IF((ProjectInfoTable[ProjectName]=ContinuousStatsTable[[#This Row],[ProjectName]]),(ProjectInfoTable[ProjectName]=ContinuousStatsTable[[#This Row],[ProjectName]])*ProjectInfoTable[NumberOfReplications]))</f>
        <v>19</v>
      </c>
      <c r="O105" s="5" cm="1">
        <f t="array" ref="O105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105" s="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6.2272947935973065E-2</v>
      </c>
      <c r="Q105" s="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3.0014600137344902E-2</v>
      </c>
      <c r="S105" s="5" cm="1">
        <f t="array" ref="S105">MIN(IF((ContinuousStatsTable[GroupByKey]=ContinuousStatsTable[[#This Row],[GroupByKey]]),(ContinuousStatsTable[GroupByKey]=ContinuousStatsTable[[#This Row],[GroupByKey]])*ContinuousStatsTable[Average]))</f>
        <v>0.59592290927233305</v>
      </c>
      <c r="T105" s="5" cm="1">
        <f t="array" ref="T105">MAX(IF((ContinuousStatsTable[GroupByKey]=ContinuousStatsTable[[#This Row],[GroupByKey]]),(ContinuousStatsTable[GroupByKey]=ContinuousStatsTable[[#This Row],[GroupByKey]])*ContinuousStatsTable[Average]))</f>
        <v>0.82897119936997599</v>
      </c>
      <c r="U105" s="5">
        <f>IF((ContinuousStatsTable[[#This Row],[RepsRequested]]&gt;1),ContinuousStatsTable[[#This Row],[HalfWidth]],ContinuousStatsTable[[#This Row],[BatchMeansHalfWidth]])</f>
        <v>3.0014600137344902E-2</v>
      </c>
    </row>
    <row r="106" spans="1:21" x14ac:dyDescent="0.25">
      <c r="A106" t="s">
        <v>67</v>
      </c>
      <c r="B106" t="s">
        <v>69</v>
      </c>
      <c r="C106">
        <v>6</v>
      </c>
      <c r="D106" t="s">
        <v>134</v>
      </c>
      <c r="E106" t="s">
        <v>138</v>
      </c>
      <c r="F106" t="s">
        <v>136</v>
      </c>
      <c r="G106">
        <v>1</v>
      </c>
      <c r="H106">
        <v>2E+20</v>
      </c>
      <c r="I106">
        <v>1</v>
      </c>
      <c r="J106">
        <v>1</v>
      </c>
      <c r="K106">
        <v>1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ScheduledResource</v>
      </c>
      <c r="N106" s="5" cm="1">
        <f t="array" ref="N106">MAX(IF((ProjectInfoTable[ProjectName]=ContinuousStatsTable[[#This Row],[ProjectName]]),(ProjectInfoTable[ProjectName]=ContinuousStatsTable[[#This Row],[ProjectName]])*ProjectInfoTable[NumberOfReplications]))</f>
        <v>19</v>
      </c>
      <c r="O106" s="5" cm="1">
        <f t="array" ref="O106">IFERROR(AVERAGE(IF((ContinuousStatsTable[GroupByKey]=ContinuousStatsTable[[#This Row],[GroupByKey]]),(ContinuousStatsTable[GroupByKey]=ContinuousStatsTable[[#This Row],[GroupByKey]])*ContinuousStatsTable[Average])),0)</f>
        <v>1</v>
      </c>
      <c r="P106" s="5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</v>
      </c>
      <c r="Q106" s="5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" s="5" cm="1">
        <f t="array" ref="S106">MIN(IF((ContinuousStatsTable[GroupByKey]=ContinuousStatsTable[[#This Row],[GroupByKey]]),(ContinuousStatsTable[GroupByKey]=ContinuousStatsTable[[#This Row],[GroupByKey]])*ContinuousStatsTable[Average]))</f>
        <v>1</v>
      </c>
      <c r="T106" s="5" cm="1">
        <f t="array" ref="T106">MAX(IF((ContinuousStatsTable[GroupByKey]=ContinuousStatsTable[[#This Row],[GroupByKey]]),(ContinuousStatsTable[GroupByKey]=ContinuousStatsTable[[#This Row],[GroupByKey]])*ContinuousStatsTable[Average]))</f>
        <v>1</v>
      </c>
      <c r="U106" s="5">
        <f>IF((ContinuousStatsTable[[#This Row],[RepsRequested]]&gt;1),ContinuousStatsTable[[#This Row],[HalfWidth]],ContinuousStatsTable[[#This Row],[BatchMeansHalfWidth]])</f>
        <v>0</v>
      </c>
    </row>
    <row r="107" spans="1:21" x14ac:dyDescent="0.25">
      <c r="A107" t="s">
        <v>67</v>
      </c>
      <c r="B107" t="s">
        <v>69</v>
      </c>
      <c r="C107">
        <v>6</v>
      </c>
      <c r="D107" t="s">
        <v>139</v>
      </c>
      <c r="E107" t="s">
        <v>135</v>
      </c>
      <c r="F107" t="s">
        <v>136</v>
      </c>
      <c r="G107">
        <v>0.61204789609759702</v>
      </c>
      <c r="H107">
        <v>2E+20</v>
      </c>
      <c r="I107">
        <v>0</v>
      </c>
      <c r="J107">
        <v>1</v>
      </c>
      <c r="K107">
        <v>1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compartida)rCocinaInstantaneous UtilizationResource</v>
      </c>
      <c r="N107" s="5" cm="1">
        <f t="array" ref="N107">MAX(IF((ProjectInfoTable[ProjectName]=ContinuousStatsTable[[#This Row],[ProjectName]]),(ProjectInfoTable[ProjectName]=ContinuousStatsTable[[#This Row],[ProjectName]])*ProjectInfoTable[NumberOfReplications]))</f>
        <v>19</v>
      </c>
      <c r="O107" s="5" cm="1">
        <f t="array" ref="O107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107" s="5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107" s="5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107" s="5" cm="1">
        <f t="array" ref="S107">MIN(IF((ContinuousStatsTable[GroupByKey]=ContinuousStatsTable[[#This Row],[GroupByKey]]),(ContinuousStatsTable[GroupByKey]=ContinuousStatsTable[[#This Row],[GroupByKey]])*ContinuousStatsTable[Average]))</f>
        <v>0.60463940272025996</v>
      </c>
      <c r="T107" s="5" cm="1">
        <f t="array" ref="T107">MAX(IF((ContinuousStatsTable[GroupByKey]=ContinuousStatsTable[[#This Row],[GroupByKey]]),(ContinuousStatsTable[GroupByKey]=ContinuousStatsTable[[#This Row],[GroupByKey]])*ContinuousStatsTable[Average]))</f>
        <v>0.86361037821575004</v>
      </c>
      <c r="U107" s="5">
        <f>IF((ContinuousStatsTable[[#This Row],[RepsRequested]]&gt;1),ContinuousStatsTable[[#This Row],[HalfWidth]],ContinuousStatsTable[[#This Row],[BatchMeansHalfWidth]])</f>
        <v>3.4176212493127585E-2</v>
      </c>
    </row>
    <row r="108" spans="1:21" x14ac:dyDescent="0.25">
      <c r="A108" t="s">
        <v>67</v>
      </c>
      <c r="B108" t="s">
        <v>69</v>
      </c>
      <c r="C108">
        <v>6</v>
      </c>
      <c r="D108" t="s">
        <v>139</v>
      </c>
      <c r="E108" t="s">
        <v>137</v>
      </c>
      <c r="F108" t="s">
        <v>136</v>
      </c>
      <c r="G108">
        <v>0.61204789609759702</v>
      </c>
      <c r="H108">
        <v>2E+20</v>
      </c>
      <c r="I108">
        <v>0</v>
      </c>
      <c r="J108">
        <v>1</v>
      </c>
      <c r="K108">
        <v>1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BusyResource</v>
      </c>
      <c r="N108" s="5" cm="1">
        <f t="array" ref="N108">MAX(IF((ProjectInfoTable[ProjectName]=ContinuousStatsTable[[#This Row],[ProjectName]]),(ProjectInfoTable[ProjectName]=ContinuousStatsTable[[#This Row],[ProjectName]])*ProjectInfoTable[NumberOfReplications]))</f>
        <v>19</v>
      </c>
      <c r="O108" s="5" cm="1">
        <f t="array" ref="O108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108" s="5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108" s="5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108" s="5" cm="1">
        <f t="array" ref="S108">MIN(IF((ContinuousStatsTable[GroupByKey]=ContinuousStatsTable[[#This Row],[GroupByKey]]),(ContinuousStatsTable[GroupByKey]=ContinuousStatsTable[[#This Row],[GroupByKey]])*ContinuousStatsTable[Average]))</f>
        <v>0.60463940272025996</v>
      </c>
      <c r="T108" s="5" cm="1">
        <f t="array" ref="T108">MAX(IF((ContinuousStatsTable[GroupByKey]=ContinuousStatsTable[[#This Row],[GroupByKey]]),(ContinuousStatsTable[GroupByKey]=ContinuousStatsTable[[#This Row],[GroupByKey]])*ContinuousStatsTable[Average]))</f>
        <v>0.86361037821575004</v>
      </c>
      <c r="U108" s="5">
        <f>IF((ContinuousStatsTable[[#This Row],[RepsRequested]]&gt;1),ContinuousStatsTable[[#This Row],[HalfWidth]],ContinuousStatsTable[[#This Row],[BatchMeansHalfWidth]])</f>
        <v>3.4176212493127585E-2</v>
      </c>
    </row>
    <row r="109" spans="1:21" x14ac:dyDescent="0.25">
      <c r="A109" t="s">
        <v>67</v>
      </c>
      <c r="B109" t="s">
        <v>69</v>
      </c>
      <c r="C109">
        <v>6</v>
      </c>
      <c r="D109" t="s">
        <v>139</v>
      </c>
      <c r="E109" t="s">
        <v>138</v>
      </c>
      <c r="F109" t="s">
        <v>136</v>
      </c>
      <c r="G109">
        <v>1</v>
      </c>
      <c r="H109">
        <v>2E+20</v>
      </c>
      <c r="I109">
        <v>1</v>
      </c>
      <c r="J109">
        <v>1</v>
      </c>
      <c r="K109">
        <v>1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ScheduledResource</v>
      </c>
      <c r="N109" s="5" cm="1">
        <f t="array" ref="N109">MAX(IF((ProjectInfoTable[ProjectName]=ContinuousStatsTable[[#This Row],[ProjectName]]),(ProjectInfoTable[ProjectName]=ContinuousStatsTable[[#This Row],[ProjectName]])*ProjectInfoTable[NumberOfReplications]))</f>
        <v>19</v>
      </c>
      <c r="O109" s="5" cm="1">
        <f t="array" ref="O109">IFERROR(AVERAGE(IF((ContinuousStatsTable[GroupByKey]=ContinuousStatsTable[[#This Row],[GroupByKey]]),(ContinuousStatsTable[GroupByKey]=ContinuousStatsTable[[#This Row],[GroupByKey]])*ContinuousStatsTable[Average])),0)</f>
        <v>1</v>
      </c>
      <c r="P109" s="5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</v>
      </c>
      <c r="Q109" s="5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" s="5" cm="1">
        <f t="array" ref="S109">MIN(IF((ContinuousStatsTable[GroupByKey]=ContinuousStatsTable[[#This Row],[GroupByKey]]),(ContinuousStatsTable[GroupByKey]=ContinuousStatsTable[[#This Row],[GroupByKey]])*ContinuousStatsTable[Average]))</f>
        <v>1</v>
      </c>
      <c r="T109" s="5" cm="1">
        <f t="array" ref="T109">MAX(IF((ContinuousStatsTable[GroupByKey]=ContinuousStatsTable[[#This Row],[GroupByKey]]),(ContinuousStatsTable[GroupByKey]=ContinuousStatsTable[[#This Row],[GroupByKey]])*ContinuousStatsTable[Average]))</f>
        <v>1</v>
      </c>
      <c r="U109" s="5">
        <f>IF((ContinuousStatsTable[[#This Row],[RepsRequested]]&gt;1),ContinuousStatsTable[[#This Row],[HalfWidth]],ContinuousStatsTable[[#This Row],[BatchMeansHalfWidth]])</f>
        <v>0</v>
      </c>
    </row>
    <row r="110" spans="1:21" x14ac:dyDescent="0.25">
      <c r="A110" t="s">
        <v>67</v>
      </c>
      <c r="B110" t="s">
        <v>69</v>
      </c>
      <c r="C110">
        <v>6</v>
      </c>
      <c r="D110" t="s">
        <v>140</v>
      </c>
      <c r="E110" t="s">
        <v>135</v>
      </c>
      <c r="F110" t="s">
        <v>136</v>
      </c>
      <c r="G110">
        <v>0.29119375209356801</v>
      </c>
      <c r="H110">
        <v>2E+20</v>
      </c>
      <c r="I110">
        <v>0</v>
      </c>
      <c r="J110">
        <v>0.8</v>
      </c>
      <c r="K110">
        <v>0.2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compartida)rMesaInstantaneous UtilizationResource</v>
      </c>
      <c r="N110" s="5" cm="1">
        <f t="array" ref="N110">MAX(IF((ProjectInfoTable[ProjectName]=ContinuousStatsTable[[#This Row],[ProjectName]]),(ProjectInfoTable[ProjectName]=ContinuousStatsTable[[#This Row],[ProjectName]])*ProjectInfoTable[NumberOfReplications]))</f>
        <v>19</v>
      </c>
      <c r="O110" s="5" cm="1">
        <f t="array" ref="O110">IFERROR(AVERAGE(IF((ContinuousStatsTable[GroupByKey]=ContinuousStatsTable[[#This Row],[GroupByKey]]),(ContinuousStatsTable[GroupByKey]=ContinuousStatsTable[[#This Row],[GroupByKey]])*ContinuousStatsTable[Average])),0)</f>
        <v>0.30850610959128738</v>
      </c>
      <c r="P110" s="5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6.2586127702931413E-2</v>
      </c>
      <c r="Q110" s="5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3.0165547953177007E-2</v>
      </c>
      <c r="S110" s="5" cm="1">
        <f t="array" ref="S110">MIN(IF((ContinuousStatsTable[GroupByKey]=ContinuousStatsTable[[#This Row],[GroupByKey]]),(ContinuousStatsTable[GroupByKey]=ContinuousStatsTable[[#This Row],[GroupByKey]])*ContinuousStatsTable[Average]))</f>
        <v>0.156206445320244</v>
      </c>
      <c r="T110" s="5" cm="1">
        <f t="array" ref="T110">MAX(IF((ContinuousStatsTable[GroupByKey]=ContinuousStatsTable[[#This Row],[GroupByKey]]),(ContinuousStatsTable[GroupByKey]=ContinuousStatsTable[[#This Row],[GroupByKey]])*ContinuousStatsTable[Average]))</f>
        <v>0.44942505379986802</v>
      </c>
      <c r="U110" s="5">
        <f>IF((ContinuousStatsTable[[#This Row],[RepsRequested]]&gt;1),ContinuousStatsTable[[#This Row],[HalfWidth]],ContinuousStatsTable[[#This Row],[BatchMeansHalfWidth]])</f>
        <v>3.0165547953177007E-2</v>
      </c>
    </row>
    <row r="111" spans="1:21" x14ac:dyDescent="0.25">
      <c r="A111" t="s">
        <v>67</v>
      </c>
      <c r="B111" t="s">
        <v>69</v>
      </c>
      <c r="C111">
        <v>6</v>
      </c>
      <c r="D111" t="s">
        <v>140</v>
      </c>
      <c r="E111" t="s">
        <v>137</v>
      </c>
      <c r="F111" t="s">
        <v>136</v>
      </c>
      <c r="G111">
        <v>1.45596876046784</v>
      </c>
      <c r="H111">
        <v>2E+20</v>
      </c>
      <c r="I111">
        <v>0</v>
      </c>
      <c r="J111">
        <v>4</v>
      </c>
      <c r="K111">
        <v>1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BusyResource</v>
      </c>
      <c r="N111" s="5" cm="1">
        <f t="array" ref="N111">MAX(IF((ProjectInfoTable[ProjectName]=ContinuousStatsTable[[#This Row],[ProjectName]]),(ProjectInfoTable[ProjectName]=ContinuousStatsTable[[#This Row],[ProjectName]])*ProjectInfoTable[NumberOfReplications]))</f>
        <v>19</v>
      </c>
      <c r="O111" s="5" cm="1">
        <f t="array" ref="O111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111" s="5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111" s="5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111" s="5" cm="1">
        <f t="array" ref="S111">MIN(IF((ContinuousStatsTable[GroupByKey]=ContinuousStatsTable[[#This Row],[GroupByKey]]),(ContinuousStatsTable[GroupByKey]=ContinuousStatsTable[[#This Row],[GroupByKey]])*ContinuousStatsTable[Average]))</f>
        <v>0.78103222660121896</v>
      </c>
      <c r="T111" s="5" cm="1">
        <f t="array" ref="T111">MAX(IF((ContinuousStatsTable[GroupByKey]=ContinuousStatsTable[[#This Row],[GroupByKey]]),(ContinuousStatsTable[GroupByKey]=ContinuousStatsTable[[#This Row],[GroupByKey]])*ContinuousStatsTable[Average]))</f>
        <v>2.2471252689993402</v>
      </c>
      <c r="U111" s="5">
        <f>IF((ContinuousStatsTable[[#This Row],[RepsRequested]]&gt;1),ContinuousStatsTable[[#This Row],[HalfWidth]],ContinuousStatsTable[[#This Row],[BatchMeansHalfWidth]])</f>
        <v>0.15082773976588459</v>
      </c>
    </row>
    <row r="112" spans="1:21" x14ac:dyDescent="0.25">
      <c r="A112" t="s">
        <v>67</v>
      </c>
      <c r="B112" t="s">
        <v>69</v>
      </c>
      <c r="C112">
        <v>6</v>
      </c>
      <c r="D112" t="s">
        <v>140</v>
      </c>
      <c r="E112" t="s">
        <v>138</v>
      </c>
      <c r="F112" t="s">
        <v>136</v>
      </c>
      <c r="G112">
        <v>5</v>
      </c>
      <c r="H112">
        <v>2E+20</v>
      </c>
      <c r="I112">
        <v>5</v>
      </c>
      <c r="J112">
        <v>5</v>
      </c>
      <c r="K112">
        <v>5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ScheduledResource</v>
      </c>
      <c r="N112" s="5" cm="1">
        <f t="array" ref="N112">MAX(IF((ProjectInfoTable[ProjectName]=ContinuousStatsTable[[#This Row],[ProjectName]]),(ProjectInfoTable[ProjectName]=ContinuousStatsTable[[#This Row],[ProjectName]])*ProjectInfoTable[NumberOfReplications]))</f>
        <v>19</v>
      </c>
      <c r="O112" s="5" cm="1">
        <f t="array" ref="O112">IFERROR(AVERAGE(IF((ContinuousStatsTable[GroupByKey]=ContinuousStatsTable[[#This Row],[GroupByKey]]),(ContinuousStatsTable[GroupByKey]=ContinuousStatsTable[[#This Row],[GroupByKey]])*ContinuousStatsTable[Average])),0)</f>
        <v>5</v>
      </c>
      <c r="P112" s="5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</v>
      </c>
      <c r="Q112" s="5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2" s="5" cm="1">
        <f t="array" ref="S112">MIN(IF((ContinuousStatsTable[GroupByKey]=ContinuousStatsTable[[#This Row],[GroupByKey]]),(ContinuousStatsTable[GroupByKey]=ContinuousStatsTable[[#This Row],[GroupByKey]])*ContinuousStatsTable[Average]))</f>
        <v>5</v>
      </c>
      <c r="T112" s="5" cm="1">
        <f t="array" ref="T112">MAX(IF((ContinuousStatsTable[GroupByKey]=ContinuousStatsTable[[#This Row],[GroupByKey]]),(ContinuousStatsTable[GroupByKey]=ContinuousStatsTable[[#This Row],[GroupByKey]])*ContinuousStatsTable[Average]))</f>
        <v>5</v>
      </c>
      <c r="U112" s="5">
        <f>IF((ContinuousStatsTable[[#This Row],[RepsRequested]]&gt;1),ContinuousStatsTable[[#This Row],[HalfWidth]],ContinuousStatsTable[[#This Row],[BatchMeansHalfWidth]])</f>
        <v>0</v>
      </c>
    </row>
    <row r="113" spans="1:21" x14ac:dyDescent="0.25">
      <c r="A113" t="s">
        <v>67</v>
      </c>
      <c r="B113" t="s">
        <v>69</v>
      </c>
      <c r="C113">
        <v>6</v>
      </c>
      <c r="D113" t="s">
        <v>127</v>
      </c>
      <c r="E113" t="s">
        <v>129</v>
      </c>
      <c r="F113" t="s">
        <v>72</v>
      </c>
      <c r="G113">
        <v>0</v>
      </c>
      <c r="H113">
        <v>2E+20</v>
      </c>
      <c r="I113">
        <v>0</v>
      </c>
      <c r="J113">
        <v>1</v>
      </c>
      <c r="K113">
        <v>0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compartida)relojWIPEntity</v>
      </c>
      <c r="N113" s="5" cm="1">
        <f t="array" ref="N113">MAX(IF((ProjectInfoTable[ProjectName]=ContinuousStatsTable[[#This Row],[ProjectName]]),(ProjectInfoTable[ProjectName]=ContinuousStatsTable[[#This Row],[ProjectName]])*ProjectInfoTable[NumberOfReplications]))</f>
        <v>19</v>
      </c>
      <c r="O113" s="5" cm="1">
        <f t="array" ref="O113">IFERROR(AVERAGE(IF((ContinuousStatsTable[GroupByKey]=ContinuousStatsTable[[#This Row],[GroupByKey]]),(ContinuousStatsTable[GroupByKey]=ContinuousStatsTable[[#This Row],[GroupByKey]])*ContinuousStatsTable[Average])),0)</f>
        <v>0</v>
      </c>
      <c r="P113" s="5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0</v>
      </c>
      <c r="Q113" s="5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3" s="5" cm="1">
        <f t="array" ref="S113">MIN(IF((ContinuousStatsTable[GroupByKey]=ContinuousStatsTable[[#This Row],[GroupByKey]]),(ContinuousStatsTable[GroupByKey]=ContinuousStatsTable[[#This Row],[GroupByKey]])*ContinuousStatsTable[Average]))</f>
        <v>0</v>
      </c>
      <c r="T113" s="5" cm="1">
        <f t="array" ref="T113">MAX(IF((ContinuousStatsTable[GroupByKey]=ContinuousStatsTable[[#This Row],[GroupByKey]]),(ContinuousStatsTable[GroupByKey]=ContinuousStatsTable[[#This Row],[GroupByKey]])*ContinuousStatsTable[Average]))</f>
        <v>0</v>
      </c>
      <c r="U113" s="5">
        <f>IF((ContinuousStatsTable[[#This Row],[RepsRequested]]&gt;1),ContinuousStatsTable[[#This Row],[HalfWidth]],ContinuousStatsTable[[#This Row],[BatchMeansHalfWidth]])</f>
        <v>0</v>
      </c>
    </row>
    <row r="114" spans="1:21" x14ac:dyDescent="0.25">
      <c r="A114" t="s">
        <v>67</v>
      </c>
      <c r="B114" t="s">
        <v>69</v>
      </c>
      <c r="C114">
        <v>6</v>
      </c>
      <c r="D114" t="s">
        <v>141</v>
      </c>
      <c r="E114" t="s">
        <v>142</v>
      </c>
      <c r="F114" t="s">
        <v>80</v>
      </c>
      <c r="G114">
        <v>3.1430879342337201</v>
      </c>
      <c r="H114">
        <v>2E+20</v>
      </c>
      <c r="I114">
        <v>0</v>
      </c>
      <c r="J114">
        <v>8</v>
      </c>
      <c r="K114">
        <v>7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compartida)vClientesEnSistemaVariableUser Specified</v>
      </c>
      <c r="N114" s="5" cm="1">
        <f t="array" ref="N114">MAX(IF((ProjectInfoTable[ProjectName]=ContinuousStatsTable[[#This Row],[ProjectName]]),(ProjectInfoTable[ProjectName]=ContinuousStatsTable[[#This Row],[ProjectName]])*ProjectInfoTable[NumberOfReplications]))</f>
        <v>19</v>
      </c>
      <c r="O114" s="5" cm="1">
        <f t="array" ref="O114">IFERROR(AVERAGE(IF((ContinuousStatsTable[GroupByKey]=ContinuousStatsTable[[#This Row],[GroupByKey]]),(ContinuousStatsTable[GroupByKey]=ContinuousStatsTable[[#This Row],[GroupByKey]])*ContinuousStatsTable[Average])),0)</f>
        <v>4.0733776306724412</v>
      </c>
      <c r="P114" s="5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1.3190004331473169</v>
      </c>
      <c r="Q114" s="5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0.63573785879874822</v>
      </c>
      <c r="S114" s="5" cm="1">
        <f t="array" ref="S114">MIN(IF((ContinuousStatsTable[GroupByKey]=ContinuousStatsTable[[#This Row],[GroupByKey]]),(ContinuousStatsTable[GroupByKey]=ContinuousStatsTable[[#This Row],[GroupByKey]])*ContinuousStatsTable[Average]))</f>
        <v>2.7964405882205599</v>
      </c>
      <c r="T114" s="5" cm="1">
        <f t="array" ref="T114">MAX(IF((ContinuousStatsTable[GroupByKey]=ContinuousStatsTable[[#This Row],[GroupByKey]]),(ContinuousStatsTable[GroupByKey]=ContinuousStatsTable[[#This Row],[GroupByKey]])*ContinuousStatsTable[Average]))</f>
        <v>8.8656011818609901</v>
      </c>
      <c r="U114" s="5">
        <f>IF((ContinuousStatsTable[[#This Row],[RepsRequested]]&gt;1),ContinuousStatsTable[[#This Row],[HalfWidth]],ContinuousStatsTable[[#This Row],[BatchMeansHalfWidth]])</f>
        <v>0.63573785879874822</v>
      </c>
    </row>
    <row r="115" spans="1:21" x14ac:dyDescent="0.25">
      <c r="A115" t="s">
        <v>67</v>
      </c>
      <c r="B115" t="s">
        <v>69</v>
      </c>
      <c r="C115">
        <v>6</v>
      </c>
      <c r="D115" t="s">
        <v>143</v>
      </c>
      <c r="E115" t="s">
        <v>142</v>
      </c>
      <c r="F115" t="s">
        <v>80</v>
      </c>
      <c r="G115">
        <v>3.5440312395321598</v>
      </c>
      <c r="H115">
        <v>2E+20</v>
      </c>
      <c r="I115">
        <v>1</v>
      </c>
      <c r="J115">
        <v>5</v>
      </c>
      <c r="K115">
        <v>4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compartida)vMesasLibresVariableUser Specified</v>
      </c>
      <c r="N115" s="5" cm="1">
        <f t="array" ref="N115">MAX(IF((ProjectInfoTable[ProjectName]=ContinuousStatsTable[[#This Row],[ProjectName]]),(ProjectInfoTable[ProjectName]=ContinuousStatsTable[[#This Row],[ProjectName]])*ProjectInfoTable[NumberOfReplications]))</f>
        <v>19</v>
      </c>
      <c r="O115" s="5" cm="1">
        <f t="array" ref="O115">IFERROR(AVERAGE(IF((ContinuousStatsTable[GroupByKey]=ContinuousStatsTable[[#This Row],[GroupByKey]]),(ContinuousStatsTable[GroupByKey]=ContinuousStatsTable[[#This Row],[GroupByKey]])*ContinuousStatsTable[Average])),0)</f>
        <v>3.457469452043564</v>
      </c>
      <c r="P115" s="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0.31293063851465691</v>
      </c>
      <c r="Q115" s="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0.15082773976588496</v>
      </c>
      <c r="S115" s="5" cm="1">
        <f t="array" ref="S115">MIN(IF((ContinuousStatsTable[GroupByKey]=ContinuousStatsTable[[#This Row],[GroupByKey]]),(ContinuousStatsTable[GroupByKey]=ContinuousStatsTable[[#This Row],[GroupByKey]])*ContinuousStatsTable[Average]))</f>
        <v>2.7528747310006598</v>
      </c>
      <c r="T115" s="5" cm="1">
        <f t="array" ref="T115">MAX(IF((ContinuousStatsTable[GroupByKey]=ContinuousStatsTable[[#This Row],[GroupByKey]]),(ContinuousStatsTable[GroupByKey]=ContinuousStatsTable[[#This Row],[GroupByKey]])*ContinuousStatsTable[Average]))</f>
        <v>4.2189677733987798</v>
      </c>
      <c r="U115" s="5">
        <f>IF((ContinuousStatsTable[[#This Row],[RepsRequested]]&gt;1),ContinuousStatsTable[[#This Row],[HalfWidth]],ContinuousStatsTable[[#This Row],[BatchMeansHalfWidth]])</f>
        <v>0.15082773976588496</v>
      </c>
    </row>
    <row r="116" spans="1:21" x14ac:dyDescent="0.25">
      <c r="A116" t="s">
        <v>67</v>
      </c>
      <c r="B116" t="s">
        <v>69</v>
      </c>
      <c r="C116">
        <v>7</v>
      </c>
      <c r="D116" t="s">
        <v>70</v>
      </c>
      <c r="E116" t="s">
        <v>129</v>
      </c>
      <c r="F116" t="s">
        <v>72</v>
      </c>
      <c r="G116">
        <v>5.1495799239991404</v>
      </c>
      <c r="H116">
        <v>3E+20</v>
      </c>
      <c r="I116">
        <v>0</v>
      </c>
      <c r="J116">
        <v>12</v>
      </c>
      <c r="K116">
        <v>6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compartida)ClienteWIPEntity</v>
      </c>
      <c r="N116" s="5" cm="1">
        <f t="array" ref="N116">MAX(IF((ProjectInfoTable[ProjectName]=ContinuousStatsTable[[#This Row],[ProjectName]]),(ProjectInfoTable[ProjectName]=ContinuousStatsTable[[#This Row],[ProjectName]])*ProjectInfoTable[NumberOfReplications]))</f>
        <v>19</v>
      </c>
      <c r="O116" s="5" cm="1">
        <f t="array" ref="O116">IFERROR(AVERAGE(IF((ContinuousStatsTable[GroupByKey]=ContinuousStatsTable[[#This Row],[GroupByKey]]),(ContinuousStatsTable[GroupByKey]=ContinuousStatsTable[[#This Row],[GroupByKey]])*ContinuousStatsTable[Average])),0)</f>
        <v>5.695207969173218</v>
      </c>
      <c r="P116" s="5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1.5293712224665061</v>
      </c>
      <c r="Q116" s="5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0.7371333335799507</v>
      </c>
      <c r="S116" s="5" cm="1">
        <f t="array" ref="S116">MIN(IF((ContinuousStatsTable[GroupByKey]=ContinuousStatsTable[[#This Row],[GroupByKey]]),(ContinuousStatsTable[GroupByKey]=ContinuousStatsTable[[#This Row],[GroupByKey]])*ContinuousStatsTable[Average]))</f>
        <v>3.6484308227805702</v>
      </c>
      <c r="T116" s="5" cm="1">
        <f t="array" ref="T116">MAX(IF((ContinuousStatsTable[GroupByKey]=ContinuousStatsTable[[#This Row],[GroupByKey]]),(ContinuousStatsTable[GroupByKey]=ContinuousStatsTable[[#This Row],[GroupByKey]])*ContinuousStatsTable[Average]))</f>
        <v>10.9337547677616</v>
      </c>
      <c r="U116" s="5">
        <f>IF((ContinuousStatsTable[[#This Row],[RepsRequested]]&gt;1),ContinuousStatsTable[[#This Row],[HalfWidth]],ContinuousStatsTable[[#This Row],[BatchMeansHalfWidth]])</f>
        <v>0.7371333335799507</v>
      </c>
    </row>
    <row r="117" spans="1:21" x14ac:dyDescent="0.25">
      <c r="A117" t="s">
        <v>67</v>
      </c>
      <c r="B117" t="s">
        <v>69</v>
      </c>
      <c r="C117">
        <v>7</v>
      </c>
      <c r="D117" t="s">
        <v>89</v>
      </c>
      <c r="E117" t="s">
        <v>130</v>
      </c>
      <c r="F117" t="s">
        <v>91</v>
      </c>
      <c r="G117">
        <v>0</v>
      </c>
      <c r="H117">
        <v>2E+20</v>
      </c>
      <c r="I117">
        <v>0</v>
      </c>
      <c r="J117">
        <v>0</v>
      </c>
      <c r="K117">
        <v>0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compartida)Comer en Mesa.QueueNumber WaitingQueue</v>
      </c>
      <c r="N117" s="5" cm="1">
        <f t="array" ref="N117">MAX(IF((ProjectInfoTable[ProjectName]=ContinuousStatsTable[[#This Row],[ProjectName]]),(ProjectInfoTable[ProjectName]=ContinuousStatsTable[[#This Row],[ProjectName]])*ProjectInfoTable[NumberOfReplications]))</f>
        <v>19</v>
      </c>
      <c r="O117" s="5" cm="1">
        <f t="array" ref="O117">IFERROR(AVERAGE(IF((ContinuousStatsTable[GroupByKey]=ContinuousStatsTable[[#This Row],[GroupByKey]]),(ContinuousStatsTable[GroupByKey]=ContinuousStatsTable[[#This Row],[GroupByKey]])*ContinuousStatsTable[Average])),0)</f>
        <v>0</v>
      </c>
      <c r="P117" s="5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</v>
      </c>
      <c r="Q117" s="5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7" s="5" cm="1">
        <f t="array" ref="S117">MIN(IF((ContinuousStatsTable[GroupByKey]=ContinuousStatsTable[[#This Row],[GroupByKey]]),(ContinuousStatsTable[GroupByKey]=ContinuousStatsTable[[#This Row],[GroupByKey]])*ContinuousStatsTable[Average]))</f>
        <v>0</v>
      </c>
      <c r="T117" s="5" cm="1">
        <f t="array" ref="T117">MAX(IF((ContinuousStatsTable[GroupByKey]=ContinuousStatsTable[[#This Row],[GroupByKey]]),(ContinuousStatsTable[GroupByKey]=ContinuousStatsTable[[#This Row],[GroupByKey]])*ContinuousStatsTable[Average]))</f>
        <v>0</v>
      </c>
      <c r="U117" s="5">
        <f>IF((ContinuousStatsTable[[#This Row],[RepsRequested]]&gt;1),ContinuousStatsTable[[#This Row],[HalfWidth]],ContinuousStatsTable[[#This Row],[BatchMeansHalfWidth]])</f>
        <v>0</v>
      </c>
    </row>
    <row r="118" spans="1:21" x14ac:dyDescent="0.25">
      <c r="A118" t="s">
        <v>67</v>
      </c>
      <c r="B118" t="s">
        <v>69</v>
      </c>
      <c r="C118">
        <v>7</v>
      </c>
      <c r="D118" t="s">
        <v>92</v>
      </c>
      <c r="E118" t="s">
        <v>130</v>
      </c>
      <c r="F118" t="s">
        <v>91</v>
      </c>
      <c r="G118">
        <v>0.988761420447273</v>
      </c>
      <c r="H118">
        <v>2E+20</v>
      </c>
      <c r="I118">
        <v>0</v>
      </c>
      <c r="J118">
        <v>8</v>
      </c>
      <c r="K118">
        <v>0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compartida)Entrega pedido.QueueNumber WaitingQueue</v>
      </c>
      <c r="N118" s="5" cm="1">
        <f t="array" ref="N118">MAX(IF((ProjectInfoTable[ProjectName]=ContinuousStatsTable[[#This Row],[ProjectName]]),(ProjectInfoTable[ProjectName]=ContinuousStatsTable[[#This Row],[ProjectName]])*ProjectInfoTable[NumberOfReplications]))</f>
        <v>19</v>
      </c>
      <c r="O118" s="5" cm="1">
        <f t="array" ref="O118">IFERROR(AVERAGE(IF((ContinuousStatsTable[GroupByKey]=ContinuousStatsTable[[#This Row],[GroupByKey]]),(ContinuousStatsTable[GroupByKey]=ContinuousStatsTable[[#This Row],[GroupByKey]])*ContinuousStatsTable[Average])),0)</f>
        <v>1.4415832090470244</v>
      </c>
      <c r="P118" s="5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0.61323545266973079</v>
      </c>
      <c r="Q118" s="5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0.29557002698587687</v>
      </c>
      <c r="S118" s="5" cm="1">
        <f t="array" ref="S118">MIN(IF((ContinuousStatsTable[GroupByKey]=ContinuousStatsTable[[#This Row],[GroupByKey]]),(ContinuousStatsTable[GroupByKey]=ContinuousStatsTable[[#This Row],[GroupByKey]])*ContinuousStatsTable[Average]))</f>
        <v>0.95119347509060603</v>
      </c>
      <c r="T118" s="5" cm="1">
        <f t="array" ref="T118">MAX(IF((ContinuousStatsTable[GroupByKey]=ContinuousStatsTable[[#This Row],[GroupByKey]]),(ContinuousStatsTable[GroupByKey]=ContinuousStatsTable[[#This Row],[GroupByKey]])*ContinuousStatsTable[Average]))</f>
        <v>3.71511779664222</v>
      </c>
      <c r="U118" s="5">
        <f>IF((ContinuousStatsTable[[#This Row],[RepsRequested]]&gt;1),ContinuousStatsTable[[#This Row],[HalfWidth]],ContinuousStatsTable[[#This Row],[BatchMeansHalfWidth]])</f>
        <v>0.29557002698587687</v>
      </c>
    </row>
    <row r="119" spans="1:21" x14ac:dyDescent="0.25">
      <c r="A119" t="s">
        <v>67</v>
      </c>
      <c r="B119" t="s">
        <v>69</v>
      </c>
      <c r="C119">
        <v>7</v>
      </c>
      <c r="D119" t="s">
        <v>131</v>
      </c>
      <c r="E119" t="s">
        <v>129</v>
      </c>
      <c r="F119" t="s">
        <v>72</v>
      </c>
      <c r="G119">
        <v>2.70892822037837</v>
      </c>
      <c r="H119">
        <v>2E+20</v>
      </c>
      <c r="I119">
        <v>0</v>
      </c>
      <c r="J119">
        <v>8</v>
      </c>
      <c r="K119">
        <v>3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compartida)OrdenWIPEntity</v>
      </c>
      <c r="N119" s="5" cm="1">
        <f t="array" ref="N119">MAX(IF((ProjectInfoTable[ProjectName]=ContinuousStatsTable[[#This Row],[ProjectName]]),(ProjectInfoTable[ProjectName]=ContinuousStatsTable[[#This Row],[ProjectName]])*ProjectInfoTable[NumberOfReplications]))</f>
        <v>19</v>
      </c>
      <c r="O119" s="5" cm="1">
        <f t="array" ref="O119">IFERROR(AVERAGE(IF((ContinuousStatsTable[GroupByKey]=ContinuousStatsTable[[#This Row],[GroupByKey]]),(ContinuousStatsTable[GroupByKey]=ContinuousStatsTable[[#This Row],[GroupByKey]])*ContinuousStatsTable[Average])),0)</f>
        <v>3.0972744691234286</v>
      </c>
      <c r="P119" s="5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0.7960145604449721</v>
      </c>
      <c r="Q119" s="5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0.38366673695655462</v>
      </c>
      <c r="S119" s="5" cm="1">
        <f t="array" ref="S119">MIN(IF((ContinuousStatsTable[GroupByKey]=ContinuousStatsTable[[#This Row],[GroupByKey]]),(ContinuousStatsTable[GroupByKey]=ContinuousStatsTable[[#This Row],[GroupByKey]])*ContinuousStatsTable[Average]))</f>
        <v>2.0609398302211299</v>
      </c>
      <c r="T119" s="5" cm="1">
        <f t="array" ref="T119">MAX(IF((ContinuousStatsTable[GroupByKey]=ContinuousStatsTable[[#This Row],[GroupByKey]]),(ContinuousStatsTable[GroupByKey]=ContinuousStatsTable[[#This Row],[GroupByKey]])*ContinuousStatsTable[Average]))</f>
        <v>5.8229936047650703</v>
      </c>
      <c r="U119" s="5">
        <f>IF((ContinuousStatsTable[[#This Row],[RepsRequested]]&gt;1),ContinuousStatsTable[[#This Row],[HalfWidth]],ContinuousStatsTable[[#This Row],[BatchMeansHalfWidth]])</f>
        <v>0.38366673695655462</v>
      </c>
    </row>
    <row r="120" spans="1:21" x14ac:dyDescent="0.25">
      <c r="A120" t="s">
        <v>67</v>
      </c>
      <c r="B120" t="s">
        <v>69</v>
      </c>
      <c r="C120">
        <v>7</v>
      </c>
      <c r="D120" t="s">
        <v>99</v>
      </c>
      <c r="E120" t="s">
        <v>130</v>
      </c>
      <c r="F120" t="s">
        <v>91</v>
      </c>
      <c r="G120">
        <v>0.29387257128290001</v>
      </c>
      <c r="H120">
        <v>2E+20</v>
      </c>
      <c r="I120">
        <v>0</v>
      </c>
      <c r="J120">
        <v>5</v>
      </c>
      <c r="K120">
        <v>0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compartida)Pasar a Caja.QueueNumber WaitingQueue</v>
      </c>
      <c r="N120" s="5" cm="1">
        <f t="array" ref="N120">MAX(IF((ProjectInfoTable[ProjectName]=ContinuousStatsTable[[#This Row],[ProjectName]]),(ProjectInfoTable[ProjectName]=ContinuousStatsTable[[#This Row],[ProjectName]])*ProjectInfoTable[NumberOfReplications]))</f>
        <v>19</v>
      </c>
      <c r="O120" s="5" cm="1">
        <f t="array" ref="O120">IFERROR(AVERAGE(IF((ContinuousStatsTable[GroupByKey]=ContinuousStatsTable[[#This Row],[GroupByKey]]),(ContinuousStatsTable[GroupByKey]=ContinuousStatsTable[[#This Row],[GroupByKey]])*ContinuousStatsTable[Average])),0)</f>
        <v>0.5234663348541454</v>
      </c>
      <c r="P120" s="5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0.51706251909874834</v>
      </c>
      <c r="Q120" s="5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0.24921615679273348</v>
      </c>
      <c r="S120" s="5" cm="1">
        <f t="array" ref="S120">MIN(IF((ContinuousStatsTable[GroupByKey]=ContinuousStatsTable[[#This Row],[GroupByKey]]),(ContinuousStatsTable[GroupByKey]=ContinuousStatsTable[[#This Row],[GroupByKey]])*ContinuousStatsTable[Average]))</f>
        <v>0.17506464523350199</v>
      </c>
      <c r="T120" s="5" cm="1">
        <f t="array" ref="T120">MAX(IF((ContinuousStatsTable[GroupByKey]=ContinuousStatsTable[[#This Row],[GroupByKey]]),(ContinuousStatsTable[GroupByKey]=ContinuousStatsTable[[#This Row],[GroupByKey]])*ContinuousStatsTable[Average]))</f>
        <v>2.4783528335268201</v>
      </c>
      <c r="U120" s="5">
        <f>IF((ContinuousStatsTable[[#This Row],[RepsRequested]]&gt;1),ContinuousStatsTable[[#This Row],[HalfWidth]],ContinuousStatsTable[[#This Row],[BatchMeansHalfWidth]])</f>
        <v>0.24921615679273348</v>
      </c>
    </row>
    <row r="121" spans="1:21" x14ac:dyDescent="0.25">
      <c r="A121" t="s">
        <v>67</v>
      </c>
      <c r="B121" t="s">
        <v>69</v>
      </c>
      <c r="C121">
        <v>7</v>
      </c>
      <c r="D121" t="s">
        <v>104</v>
      </c>
      <c r="E121" t="s">
        <v>130</v>
      </c>
      <c r="F121" t="s">
        <v>91</v>
      </c>
      <c r="G121">
        <v>0.23481144086147299</v>
      </c>
      <c r="H121">
        <v>2E+20</v>
      </c>
      <c r="I121">
        <v>0</v>
      </c>
      <c r="J121">
        <v>5</v>
      </c>
      <c r="K121">
        <v>0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compartida)Preparacion.QueueNumber WaitingQueue</v>
      </c>
      <c r="N121" s="5" cm="1">
        <f t="array" ref="N121">MAX(IF((ProjectInfoTable[ProjectName]=ContinuousStatsTable[[#This Row],[ProjectName]]),(ProjectInfoTable[ProjectName]=ContinuousStatsTable[[#This Row],[ProjectName]])*ProjectInfoTable[NumberOfReplications]))</f>
        <v>19</v>
      </c>
      <c r="O121" s="5" cm="1">
        <f t="array" ref="O121">IFERROR(AVERAGE(IF((ContinuousStatsTable[GroupByKey]=ContinuousStatsTable[[#This Row],[GroupByKey]]),(ContinuousStatsTable[GroupByKey]=ContinuousStatsTable[[#This Row],[GroupByKey]])*ContinuousStatsTable[Average])),0)</f>
        <v>0.48138063122984937</v>
      </c>
      <c r="P121" s="5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0.5430727934303009</v>
      </c>
      <c r="Q121" s="5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0.26175270772536113</v>
      </c>
      <c r="S121" s="5" cm="1">
        <f t="array" ref="S121">MIN(IF((ContinuousStatsTable[GroupByKey]=ContinuousStatsTable[[#This Row],[GroupByKey]]),(ContinuousStatsTable[GroupByKey]=ContinuousStatsTable[[#This Row],[GroupByKey]])*ContinuousStatsTable[Average]))</f>
        <v>0.13383910219346701</v>
      </c>
      <c r="T121" s="5" cm="1">
        <f t="array" ref="T121">MAX(IF((ContinuousStatsTable[GroupByKey]=ContinuousStatsTable[[#This Row],[GroupByKey]]),(ContinuousStatsTable[GroupByKey]=ContinuousStatsTable[[#This Row],[GroupByKey]])*ContinuousStatsTable[Average]))</f>
        <v>2.5739205922552402</v>
      </c>
      <c r="U121" s="5">
        <f>IF((ContinuousStatsTable[[#This Row],[RepsRequested]]&gt;1),ContinuousStatsTable[[#This Row],[HalfWidth]],ContinuousStatsTable[[#This Row],[BatchMeansHalfWidth]])</f>
        <v>0.26175270772536113</v>
      </c>
    </row>
    <row r="122" spans="1:21" x14ac:dyDescent="0.25">
      <c r="A122" t="s">
        <v>67</v>
      </c>
      <c r="B122" t="s">
        <v>69</v>
      </c>
      <c r="C122">
        <v>7</v>
      </c>
      <c r="D122" t="s">
        <v>132</v>
      </c>
      <c r="E122" t="s">
        <v>133</v>
      </c>
      <c r="F122" t="s">
        <v>80</v>
      </c>
      <c r="G122">
        <v>1.61637050363479</v>
      </c>
      <c r="H122">
        <v>2E+20</v>
      </c>
      <c r="I122">
        <v>0</v>
      </c>
      <c r="J122">
        <v>4</v>
      </c>
      <c r="K122">
        <v>3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compartida)TP_MesasTime PersistentUser Specified</v>
      </c>
      <c r="N122" s="5" cm="1">
        <f t="array" ref="N122">MAX(IF((ProjectInfoTable[ProjectName]=ContinuousStatsTable[[#This Row],[ProjectName]]),(ProjectInfoTable[ProjectName]=ContinuousStatsTable[[#This Row],[ProjectName]])*ProjectInfoTable[NumberOfReplications]))</f>
        <v>19</v>
      </c>
      <c r="O122" s="5" cm="1">
        <f t="array" ref="O122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122" s="5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122" s="5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122" s="5" cm="1">
        <f t="array" ref="S122">MIN(IF((ContinuousStatsTable[GroupByKey]=ContinuousStatsTable[[#This Row],[GroupByKey]]),(ContinuousStatsTable[GroupByKey]=ContinuousStatsTable[[#This Row],[GroupByKey]])*ContinuousStatsTable[Average]))</f>
        <v>0.78103222660121896</v>
      </c>
      <c r="T122" s="5" cm="1">
        <f t="array" ref="T122">MAX(IF((ContinuousStatsTable[GroupByKey]=ContinuousStatsTable[[#This Row],[GroupByKey]]),(ContinuousStatsTable[GroupByKey]=ContinuousStatsTable[[#This Row],[GroupByKey]])*ContinuousStatsTable[Average]))</f>
        <v>2.2471252689993402</v>
      </c>
      <c r="U122" s="5">
        <f>IF((ContinuousStatsTable[[#This Row],[RepsRequested]]&gt;1),ContinuousStatsTable[[#This Row],[HalfWidth]],ContinuousStatsTable[[#This Row],[BatchMeansHalfWidth]])</f>
        <v>0.15082773976588459</v>
      </c>
    </row>
    <row r="123" spans="1:21" x14ac:dyDescent="0.25">
      <c r="A123" t="s">
        <v>67</v>
      </c>
      <c r="B123" t="s">
        <v>69</v>
      </c>
      <c r="C123">
        <v>7</v>
      </c>
      <c r="D123" t="s">
        <v>134</v>
      </c>
      <c r="E123" t="s">
        <v>135</v>
      </c>
      <c r="F123" t="s">
        <v>136</v>
      </c>
      <c r="G123">
        <v>0.59592290927233305</v>
      </c>
      <c r="H123">
        <v>2E+20</v>
      </c>
      <c r="I123">
        <v>0</v>
      </c>
      <c r="J123">
        <v>1</v>
      </c>
      <c r="K123">
        <v>0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compartida)rCajeroInstantaneous UtilizationResource</v>
      </c>
      <c r="N123" s="5" cm="1">
        <f t="array" ref="N123">MAX(IF((ProjectInfoTable[ProjectName]=ContinuousStatsTable[[#This Row],[ProjectName]]),(ProjectInfoTable[ProjectName]=ContinuousStatsTable[[#This Row],[ProjectName]])*ProjectInfoTable[NumberOfReplications]))</f>
        <v>19</v>
      </c>
      <c r="O123" s="5" cm="1">
        <f t="array" ref="O123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123" s="5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6.2272947935973086E-2</v>
      </c>
      <c r="Q123" s="5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3.0014600137344912E-2</v>
      </c>
      <c r="S123" s="5" cm="1">
        <f t="array" ref="S123">MIN(IF((ContinuousStatsTable[GroupByKey]=ContinuousStatsTable[[#This Row],[GroupByKey]]),(ContinuousStatsTable[GroupByKey]=ContinuousStatsTable[[#This Row],[GroupByKey]])*ContinuousStatsTable[Average]))</f>
        <v>0.59592290927233305</v>
      </c>
      <c r="T123" s="5" cm="1">
        <f t="array" ref="T123">MAX(IF((ContinuousStatsTable[GroupByKey]=ContinuousStatsTable[[#This Row],[GroupByKey]]),(ContinuousStatsTable[GroupByKey]=ContinuousStatsTable[[#This Row],[GroupByKey]])*ContinuousStatsTable[Average]))</f>
        <v>0.82897119936997599</v>
      </c>
      <c r="U123" s="5">
        <f>IF((ContinuousStatsTable[[#This Row],[RepsRequested]]&gt;1),ContinuousStatsTable[[#This Row],[HalfWidth]],ContinuousStatsTable[[#This Row],[BatchMeansHalfWidth]])</f>
        <v>3.0014600137344912E-2</v>
      </c>
    </row>
    <row r="124" spans="1:21" x14ac:dyDescent="0.25">
      <c r="A124" t="s">
        <v>67</v>
      </c>
      <c r="B124" t="s">
        <v>69</v>
      </c>
      <c r="C124">
        <v>7</v>
      </c>
      <c r="D124" t="s">
        <v>134</v>
      </c>
      <c r="E124" t="s">
        <v>137</v>
      </c>
      <c r="F124" t="s">
        <v>136</v>
      </c>
      <c r="G124">
        <v>0.59592290927233305</v>
      </c>
      <c r="H124">
        <v>2E+20</v>
      </c>
      <c r="I124">
        <v>0</v>
      </c>
      <c r="J124">
        <v>1</v>
      </c>
      <c r="K124">
        <v>0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BusyResource</v>
      </c>
      <c r="N124" s="5" cm="1">
        <f t="array" ref="N124">MAX(IF((ProjectInfoTable[ProjectName]=ContinuousStatsTable[[#This Row],[ProjectName]]),(ProjectInfoTable[ProjectName]=ContinuousStatsTable[[#This Row],[ProjectName]])*ProjectInfoTable[NumberOfReplications]))</f>
        <v>19</v>
      </c>
      <c r="O124" s="5" cm="1">
        <f t="array" ref="O124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124" s="5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6.2272947935973065E-2</v>
      </c>
      <c r="Q124" s="5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3.0014600137344902E-2</v>
      </c>
      <c r="S124" s="5" cm="1">
        <f t="array" ref="S124">MIN(IF((ContinuousStatsTable[GroupByKey]=ContinuousStatsTable[[#This Row],[GroupByKey]]),(ContinuousStatsTable[GroupByKey]=ContinuousStatsTable[[#This Row],[GroupByKey]])*ContinuousStatsTable[Average]))</f>
        <v>0.59592290927233305</v>
      </c>
      <c r="T124" s="5" cm="1">
        <f t="array" ref="T124">MAX(IF((ContinuousStatsTable[GroupByKey]=ContinuousStatsTable[[#This Row],[GroupByKey]]),(ContinuousStatsTable[GroupByKey]=ContinuousStatsTable[[#This Row],[GroupByKey]])*ContinuousStatsTable[Average]))</f>
        <v>0.82897119936997599</v>
      </c>
      <c r="U124" s="5">
        <f>IF((ContinuousStatsTable[[#This Row],[RepsRequested]]&gt;1),ContinuousStatsTable[[#This Row],[HalfWidth]],ContinuousStatsTable[[#This Row],[BatchMeansHalfWidth]])</f>
        <v>3.0014600137344902E-2</v>
      </c>
    </row>
    <row r="125" spans="1:21" x14ac:dyDescent="0.25">
      <c r="A125" t="s">
        <v>67</v>
      </c>
      <c r="B125" t="s">
        <v>69</v>
      </c>
      <c r="C125">
        <v>7</v>
      </c>
      <c r="D125" t="s">
        <v>134</v>
      </c>
      <c r="E125" t="s">
        <v>138</v>
      </c>
      <c r="F125" t="s">
        <v>136</v>
      </c>
      <c r="G125">
        <v>1</v>
      </c>
      <c r="H125">
        <v>2E+20</v>
      </c>
      <c r="I125">
        <v>1</v>
      </c>
      <c r="J125">
        <v>1</v>
      </c>
      <c r="K125">
        <v>1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ScheduledResource</v>
      </c>
      <c r="N125" s="5" cm="1">
        <f t="array" ref="N125">MAX(IF((ProjectInfoTable[ProjectName]=ContinuousStatsTable[[#This Row],[ProjectName]]),(ProjectInfoTable[ProjectName]=ContinuousStatsTable[[#This Row],[ProjectName]])*ProjectInfoTable[NumberOfReplications]))</f>
        <v>19</v>
      </c>
      <c r="O125" s="5" cm="1">
        <f t="array" ref="O125">IFERROR(AVERAGE(IF((ContinuousStatsTable[GroupByKey]=ContinuousStatsTable[[#This Row],[GroupByKey]]),(ContinuousStatsTable[GroupByKey]=ContinuousStatsTable[[#This Row],[GroupByKey]])*ContinuousStatsTable[Average])),0)</f>
        <v>1</v>
      </c>
      <c r="P125" s="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s="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s="5" cm="1">
        <f t="array" ref="S125">MIN(IF((ContinuousStatsTable[GroupByKey]=ContinuousStatsTable[[#This Row],[GroupByKey]]),(ContinuousStatsTable[GroupByKey]=ContinuousStatsTable[[#This Row],[GroupByKey]])*ContinuousStatsTable[Average]))</f>
        <v>1</v>
      </c>
      <c r="T125" s="5" cm="1">
        <f t="array" ref="T125">MAX(IF((ContinuousStatsTable[GroupByKey]=ContinuousStatsTable[[#This Row],[GroupByKey]]),(ContinuousStatsTable[GroupByKey]=ContinuousStatsTable[[#This Row],[GroupByKey]])*ContinuousStatsTable[Average]))</f>
        <v>1</v>
      </c>
      <c r="U125" s="5">
        <f>IF((ContinuousStatsTable[[#This Row],[RepsRequested]]&gt;1),ContinuousStatsTable[[#This Row],[HalfWidth]],ContinuousStatsTable[[#This Row],[BatchMeansHalfWidth]])</f>
        <v>0</v>
      </c>
    </row>
    <row r="126" spans="1:21" x14ac:dyDescent="0.25">
      <c r="A126" t="s">
        <v>67</v>
      </c>
      <c r="B126" t="s">
        <v>69</v>
      </c>
      <c r="C126">
        <v>7</v>
      </c>
      <c r="D126" t="s">
        <v>139</v>
      </c>
      <c r="E126" t="s">
        <v>135</v>
      </c>
      <c r="F126" t="s">
        <v>136</v>
      </c>
      <c r="G126">
        <v>0.60463940272025996</v>
      </c>
      <c r="H126">
        <v>2E+20</v>
      </c>
      <c r="I126">
        <v>0</v>
      </c>
      <c r="J126">
        <v>1</v>
      </c>
      <c r="K126">
        <v>0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compartida)rCocinaInstantaneous UtilizationResource</v>
      </c>
      <c r="N126" s="5" cm="1">
        <f t="array" ref="N126">MAX(IF((ProjectInfoTable[ProjectName]=ContinuousStatsTable[[#This Row],[ProjectName]]),(ProjectInfoTable[ProjectName]=ContinuousStatsTable[[#This Row],[ProjectName]])*ProjectInfoTable[NumberOfReplications]))</f>
        <v>19</v>
      </c>
      <c r="O126" s="5" cm="1">
        <f t="array" ref="O126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126" s="5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126" s="5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126" s="5" cm="1">
        <f t="array" ref="S126">MIN(IF((ContinuousStatsTable[GroupByKey]=ContinuousStatsTable[[#This Row],[GroupByKey]]),(ContinuousStatsTable[GroupByKey]=ContinuousStatsTable[[#This Row],[GroupByKey]])*ContinuousStatsTable[Average]))</f>
        <v>0.60463940272025996</v>
      </c>
      <c r="T126" s="5" cm="1">
        <f t="array" ref="T126">MAX(IF((ContinuousStatsTable[GroupByKey]=ContinuousStatsTable[[#This Row],[GroupByKey]]),(ContinuousStatsTable[GroupByKey]=ContinuousStatsTable[[#This Row],[GroupByKey]])*ContinuousStatsTable[Average]))</f>
        <v>0.86361037821575004</v>
      </c>
      <c r="U126" s="5">
        <f>IF((ContinuousStatsTable[[#This Row],[RepsRequested]]&gt;1),ContinuousStatsTable[[#This Row],[HalfWidth]],ContinuousStatsTable[[#This Row],[BatchMeansHalfWidth]])</f>
        <v>3.4176212493127585E-2</v>
      </c>
    </row>
    <row r="127" spans="1:21" x14ac:dyDescent="0.25">
      <c r="A127" t="s">
        <v>67</v>
      </c>
      <c r="B127" t="s">
        <v>69</v>
      </c>
      <c r="C127">
        <v>7</v>
      </c>
      <c r="D127" t="s">
        <v>139</v>
      </c>
      <c r="E127" t="s">
        <v>137</v>
      </c>
      <c r="F127" t="s">
        <v>136</v>
      </c>
      <c r="G127">
        <v>0.60463940272025996</v>
      </c>
      <c r="H127">
        <v>2E+20</v>
      </c>
      <c r="I127">
        <v>0</v>
      </c>
      <c r="J127">
        <v>1</v>
      </c>
      <c r="K127">
        <v>0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BusyResource</v>
      </c>
      <c r="N127" s="5" cm="1">
        <f t="array" ref="N127">MAX(IF((ProjectInfoTable[ProjectName]=ContinuousStatsTable[[#This Row],[ProjectName]]),(ProjectInfoTable[ProjectName]=ContinuousStatsTable[[#This Row],[ProjectName]])*ProjectInfoTable[NumberOfReplications]))</f>
        <v>19</v>
      </c>
      <c r="O127" s="5" cm="1">
        <f t="array" ref="O127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127" s="5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127" s="5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127" s="5" cm="1">
        <f t="array" ref="S127">MIN(IF((ContinuousStatsTable[GroupByKey]=ContinuousStatsTable[[#This Row],[GroupByKey]]),(ContinuousStatsTable[GroupByKey]=ContinuousStatsTable[[#This Row],[GroupByKey]])*ContinuousStatsTable[Average]))</f>
        <v>0.60463940272025996</v>
      </c>
      <c r="T127" s="5" cm="1">
        <f t="array" ref="T127">MAX(IF((ContinuousStatsTable[GroupByKey]=ContinuousStatsTable[[#This Row],[GroupByKey]]),(ContinuousStatsTable[GroupByKey]=ContinuousStatsTable[[#This Row],[GroupByKey]])*ContinuousStatsTable[Average]))</f>
        <v>0.86361037821575004</v>
      </c>
      <c r="U127" s="5">
        <f>IF((ContinuousStatsTable[[#This Row],[RepsRequested]]&gt;1),ContinuousStatsTable[[#This Row],[HalfWidth]],ContinuousStatsTable[[#This Row],[BatchMeansHalfWidth]])</f>
        <v>3.4176212493127585E-2</v>
      </c>
    </row>
    <row r="128" spans="1:21" x14ac:dyDescent="0.25">
      <c r="A128" t="s">
        <v>67</v>
      </c>
      <c r="B128" t="s">
        <v>69</v>
      </c>
      <c r="C128">
        <v>7</v>
      </c>
      <c r="D128" t="s">
        <v>139</v>
      </c>
      <c r="E128" t="s">
        <v>138</v>
      </c>
      <c r="F128" t="s">
        <v>136</v>
      </c>
      <c r="G128">
        <v>1</v>
      </c>
      <c r="H128">
        <v>2E+20</v>
      </c>
      <c r="I128">
        <v>1</v>
      </c>
      <c r="J128">
        <v>1</v>
      </c>
      <c r="K128">
        <v>1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ScheduledResource</v>
      </c>
      <c r="N128" s="5" cm="1">
        <f t="array" ref="N128">MAX(IF((ProjectInfoTable[ProjectName]=ContinuousStatsTable[[#This Row],[ProjectName]]),(ProjectInfoTable[ProjectName]=ContinuousStatsTable[[#This Row],[ProjectName]])*ProjectInfoTable[NumberOfReplications]))</f>
        <v>19</v>
      </c>
      <c r="O128" s="5" cm="1">
        <f t="array" ref="O128">IFERROR(AVERAGE(IF((ContinuousStatsTable[GroupByKey]=ContinuousStatsTable[[#This Row],[GroupByKey]]),(ContinuousStatsTable[GroupByKey]=ContinuousStatsTable[[#This Row],[GroupByKey]])*ContinuousStatsTable[Average])),0)</f>
        <v>1</v>
      </c>
      <c r="P128" s="5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</v>
      </c>
      <c r="Q128" s="5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8" s="5" cm="1">
        <f t="array" ref="S128">MIN(IF((ContinuousStatsTable[GroupByKey]=ContinuousStatsTable[[#This Row],[GroupByKey]]),(ContinuousStatsTable[GroupByKey]=ContinuousStatsTable[[#This Row],[GroupByKey]])*ContinuousStatsTable[Average]))</f>
        <v>1</v>
      </c>
      <c r="T128" s="5" cm="1">
        <f t="array" ref="T128">MAX(IF((ContinuousStatsTable[GroupByKey]=ContinuousStatsTable[[#This Row],[GroupByKey]]),(ContinuousStatsTable[GroupByKey]=ContinuousStatsTable[[#This Row],[GroupByKey]])*ContinuousStatsTable[Average]))</f>
        <v>1</v>
      </c>
      <c r="U128" s="5">
        <f>IF((ContinuousStatsTable[[#This Row],[RepsRequested]]&gt;1),ContinuousStatsTable[[#This Row],[HalfWidth]],ContinuousStatsTable[[#This Row],[BatchMeansHalfWidth]])</f>
        <v>0</v>
      </c>
    </row>
    <row r="129" spans="1:21" x14ac:dyDescent="0.25">
      <c r="A129" t="s">
        <v>67</v>
      </c>
      <c r="B129" t="s">
        <v>69</v>
      </c>
      <c r="C129">
        <v>7</v>
      </c>
      <c r="D129" t="s">
        <v>140</v>
      </c>
      <c r="E129" t="s">
        <v>135</v>
      </c>
      <c r="F129" t="s">
        <v>136</v>
      </c>
      <c r="G129">
        <v>0.323274100726959</v>
      </c>
      <c r="H129">
        <v>2E+20</v>
      </c>
      <c r="I129">
        <v>0</v>
      </c>
      <c r="J129">
        <v>0.8</v>
      </c>
      <c r="K129">
        <v>0.6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compartida)rMesaInstantaneous UtilizationResource</v>
      </c>
      <c r="N129" s="5" cm="1">
        <f t="array" ref="N129">MAX(IF((ProjectInfoTable[ProjectName]=ContinuousStatsTable[[#This Row],[ProjectName]]),(ProjectInfoTable[ProjectName]=ContinuousStatsTable[[#This Row],[ProjectName]])*ProjectInfoTable[NumberOfReplications]))</f>
        <v>19</v>
      </c>
      <c r="O129" s="5" cm="1">
        <f t="array" ref="O129">IFERROR(AVERAGE(IF((ContinuousStatsTable[GroupByKey]=ContinuousStatsTable[[#This Row],[GroupByKey]]),(ContinuousStatsTable[GroupByKey]=ContinuousStatsTable[[#This Row],[GroupByKey]])*ContinuousStatsTable[Average])),0)</f>
        <v>0.30850610959128738</v>
      </c>
      <c r="P129" s="5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6.2586127702931413E-2</v>
      </c>
      <c r="Q129" s="5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3.0165547953177007E-2</v>
      </c>
      <c r="S129" s="5" cm="1">
        <f t="array" ref="S129">MIN(IF((ContinuousStatsTable[GroupByKey]=ContinuousStatsTable[[#This Row],[GroupByKey]]),(ContinuousStatsTable[GroupByKey]=ContinuousStatsTable[[#This Row],[GroupByKey]])*ContinuousStatsTable[Average]))</f>
        <v>0.156206445320244</v>
      </c>
      <c r="T129" s="5" cm="1">
        <f t="array" ref="T129">MAX(IF((ContinuousStatsTable[GroupByKey]=ContinuousStatsTable[[#This Row],[GroupByKey]]),(ContinuousStatsTable[GroupByKey]=ContinuousStatsTable[[#This Row],[GroupByKey]])*ContinuousStatsTable[Average]))</f>
        <v>0.44942505379986802</v>
      </c>
      <c r="U129" s="5">
        <f>IF((ContinuousStatsTable[[#This Row],[RepsRequested]]&gt;1),ContinuousStatsTable[[#This Row],[HalfWidth]],ContinuousStatsTable[[#This Row],[BatchMeansHalfWidth]])</f>
        <v>3.0165547953177007E-2</v>
      </c>
    </row>
    <row r="130" spans="1:21" x14ac:dyDescent="0.25">
      <c r="A130" t="s">
        <v>67</v>
      </c>
      <c r="B130" t="s">
        <v>69</v>
      </c>
      <c r="C130">
        <v>7</v>
      </c>
      <c r="D130" t="s">
        <v>140</v>
      </c>
      <c r="E130" t="s">
        <v>137</v>
      </c>
      <c r="F130" t="s">
        <v>136</v>
      </c>
      <c r="G130">
        <v>1.61637050363479</v>
      </c>
      <c r="H130">
        <v>2E+20</v>
      </c>
      <c r="I130">
        <v>0</v>
      </c>
      <c r="J130">
        <v>4</v>
      </c>
      <c r="K130">
        <v>3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BusyResource</v>
      </c>
      <c r="N130" s="5" cm="1">
        <f t="array" ref="N130">MAX(IF((ProjectInfoTable[ProjectName]=ContinuousStatsTable[[#This Row],[ProjectName]]),(ProjectInfoTable[ProjectName]=ContinuousStatsTable[[#This Row],[ProjectName]])*ProjectInfoTable[NumberOfReplications]))</f>
        <v>19</v>
      </c>
      <c r="O130" s="5" cm="1">
        <f t="array" ref="O130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130" s="5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130" s="5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130" s="5" cm="1">
        <f t="array" ref="S130">MIN(IF((ContinuousStatsTable[GroupByKey]=ContinuousStatsTable[[#This Row],[GroupByKey]]),(ContinuousStatsTable[GroupByKey]=ContinuousStatsTable[[#This Row],[GroupByKey]])*ContinuousStatsTable[Average]))</f>
        <v>0.78103222660121896</v>
      </c>
      <c r="T130" s="5" cm="1">
        <f t="array" ref="T130">MAX(IF((ContinuousStatsTable[GroupByKey]=ContinuousStatsTable[[#This Row],[GroupByKey]]),(ContinuousStatsTable[GroupByKey]=ContinuousStatsTable[[#This Row],[GroupByKey]])*ContinuousStatsTable[Average]))</f>
        <v>2.2471252689993402</v>
      </c>
      <c r="U130" s="5">
        <f>IF((ContinuousStatsTable[[#This Row],[RepsRequested]]&gt;1),ContinuousStatsTable[[#This Row],[HalfWidth]],ContinuousStatsTable[[#This Row],[BatchMeansHalfWidth]])</f>
        <v>0.15082773976588459</v>
      </c>
    </row>
    <row r="131" spans="1:21" x14ac:dyDescent="0.25">
      <c r="A131" t="s">
        <v>67</v>
      </c>
      <c r="B131" t="s">
        <v>69</v>
      </c>
      <c r="C131">
        <v>7</v>
      </c>
      <c r="D131" t="s">
        <v>140</v>
      </c>
      <c r="E131" t="s">
        <v>138</v>
      </c>
      <c r="F131" t="s">
        <v>136</v>
      </c>
      <c r="G131">
        <v>5</v>
      </c>
      <c r="H131">
        <v>2E+20</v>
      </c>
      <c r="I131">
        <v>5</v>
      </c>
      <c r="J131">
        <v>5</v>
      </c>
      <c r="K131">
        <v>5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ScheduledResource</v>
      </c>
      <c r="N131" s="5" cm="1">
        <f t="array" ref="N131">MAX(IF((ProjectInfoTable[ProjectName]=ContinuousStatsTable[[#This Row],[ProjectName]]),(ProjectInfoTable[ProjectName]=ContinuousStatsTable[[#This Row],[ProjectName]])*ProjectInfoTable[NumberOfReplications]))</f>
        <v>19</v>
      </c>
      <c r="O131" s="5" cm="1">
        <f t="array" ref="O131">IFERROR(AVERAGE(IF((ContinuousStatsTable[GroupByKey]=ContinuousStatsTable[[#This Row],[GroupByKey]]),(ContinuousStatsTable[GroupByKey]=ContinuousStatsTable[[#This Row],[GroupByKey]])*ContinuousStatsTable[Average])),0)</f>
        <v>5</v>
      </c>
      <c r="P131" s="5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</v>
      </c>
      <c r="Q131" s="5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1" s="5" cm="1">
        <f t="array" ref="S131">MIN(IF((ContinuousStatsTable[GroupByKey]=ContinuousStatsTable[[#This Row],[GroupByKey]]),(ContinuousStatsTable[GroupByKey]=ContinuousStatsTable[[#This Row],[GroupByKey]])*ContinuousStatsTable[Average]))</f>
        <v>5</v>
      </c>
      <c r="T131" s="5" cm="1">
        <f t="array" ref="T131">MAX(IF((ContinuousStatsTable[GroupByKey]=ContinuousStatsTable[[#This Row],[GroupByKey]]),(ContinuousStatsTable[GroupByKey]=ContinuousStatsTable[[#This Row],[GroupByKey]])*ContinuousStatsTable[Average]))</f>
        <v>5</v>
      </c>
      <c r="U131" s="5">
        <f>IF((ContinuousStatsTable[[#This Row],[RepsRequested]]&gt;1),ContinuousStatsTable[[#This Row],[HalfWidth]],ContinuousStatsTable[[#This Row],[BatchMeansHalfWidth]])</f>
        <v>0</v>
      </c>
    </row>
    <row r="132" spans="1:21" x14ac:dyDescent="0.25">
      <c r="A132" t="s">
        <v>67</v>
      </c>
      <c r="B132" t="s">
        <v>69</v>
      </c>
      <c r="C132">
        <v>7</v>
      </c>
      <c r="D132" t="s">
        <v>127</v>
      </c>
      <c r="E132" t="s">
        <v>129</v>
      </c>
      <c r="F132" t="s">
        <v>72</v>
      </c>
      <c r="G132">
        <v>0</v>
      </c>
      <c r="H132">
        <v>2E+20</v>
      </c>
      <c r="I132">
        <v>0</v>
      </c>
      <c r="J132">
        <v>1</v>
      </c>
      <c r="K132">
        <v>0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compartida)relojWIPEntity</v>
      </c>
      <c r="N132" s="5" cm="1">
        <f t="array" ref="N132">MAX(IF((ProjectInfoTable[ProjectName]=ContinuousStatsTable[[#This Row],[ProjectName]]),(ProjectInfoTable[ProjectName]=ContinuousStatsTable[[#This Row],[ProjectName]])*ProjectInfoTable[NumberOfReplications]))</f>
        <v>19</v>
      </c>
      <c r="O132" s="5" cm="1">
        <f t="array" ref="O132">IFERROR(AVERAGE(IF((ContinuousStatsTable[GroupByKey]=ContinuousStatsTable[[#This Row],[GroupByKey]]),(ContinuousStatsTable[GroupByKey]=ContinuousStatsTable[[#This Row],[GroupByKey]])*ContinuousStatsTable[Average])),0)</f>
        <v>0</v>
      </c>
      <c r="P132" s="5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</v>
      </c>
      <c r="Q132" s="5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2" s="5" cm="1">
        <f t="array" ref="S132">MIN(IF((ContinuousStatsTable[GroupByKey]=ContinuousStatsTable[[#This Row],[GroupByKey]]),(ContinuousStatsTable[GroupByKey]=ContinuousStatsTable[[#This Row],[GroupByKey]])*ContinuousStatsTable[Average]))</f>
        <v>0</v>
      </c>
      <c r="T132" s="5" cm="1">
        <f t="array" ref="T132">MAX(IF((ContinuousStatsTable[GroupByKey]=ContinuousStatsTable[[#This Row],[GroupByKey]]),(ContinuousStatsTable[GroupByKey]=ContinuousStatsTable[[#This Row],[GroupByKey]])*ContinuousStatsTable[Average]))</f>
        <v>0</v>
      </c>
      <c r="U132" s="5">
        <f>IF((ContinuousStatsTable[[#This Row],[RepsRequested]]&gt;1),ContinuousStatsTable[[#This Row],[HalfWidth]],ContinuousStatsTable[[#This Row],[BatchMeansHalfWidth]])</f>
        <v>0</v>
      </c>
    </row>
    <row r="133" spans="1:21" x14ac:dyDescent="0.25">
      <c r="A133" t="s">
        <v>67</v>
      </c>
      <c r="B133" t="s">
        <v>69</v>
      </c>
      <c r="C133">
        <v>7</v>
      </c>
      <c r="D133" t="s">
        <v>141</v>
      </c>
      <c r="E133" t="s">
        <v>142</v>
      </c>
      <c r="F133" t="s">
        <v>80</v>
      </c>
      <c r="G133">
        <v>3.4602464574013898</v>
      </c>
      <c r="H133">
        <v>2E+20</v>
      </c>
      <c r="I133">
        <v>0</v>
      </c>
      <c r="J133">
        <v>9</v>
      </c>
      <c r="K133">
        <v>3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compartida)vClientesEnSistemaVariableUser Specified</v>
      </c>
      <c r="N133" s="5" cm="1">
        <f t="array" ref="N133">MAX(IF((ProjectInfoTable[ProjectName]=ContinuousStatsTable[[#This Row],[ProjectName]]),(ProjectInfoTable[ProjectName]=ContinuousStatsTable[[#This Row],[ProjectName]])*ProjectInfoTable[NumberOfReplications]))</f>
        <v>19</v>
      </c>
      <c r="O133" s="5" cm="1">
        <f t="array" ref="O133">IFERROR(AVERAGE(IF((ContinuousStatsTable[GroupByKey]=ContinuousStatsTable[[#This Row],[GroupByKey]]),(ContinuousStatsTable[GroupByKey]=ContinuousStatsTable[[#This Row],[GroupByKey]])*ContinuousStatsTable[Average])),0)</f>
        <v>4.0733776306724412</v>
      </c>
      <c r="P133" s="5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1.3190004331473169</v>
      </c>
      <c r="Q133" s="5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0.63573785879874822</v>
      </c>
      <c r="S133" s="5" cm="1">
        <f t="array" ref="S133">MIN(IF((ContinuousStatsTable[GroupByKey]=ContinuousStatsTable[[#This Row],[GroupByKey]]),(ContinuousStatsTable[GroupByKey]=ContinuousStatsTable[[#This Row],[GroupByKey]])*ContinuousStatsTable[Average]))</f>
        <v>2.7964405882205599</v>
      </c>
      <c r="T133" s="5" cm="1">
        <f t="array" ref="T133">MAX(IF((ContinuousStatsTable[GroupByKey]=ContinuousStatsTable[[#This Row],[GroupByKey]]),(ContinuousStatsTable[GroupByKey]=ContinuousStatsTable[[#This Row],[GroupByKey]])*ContinuousStatsTable[Average]))</f>
        <v>8.8656011818609901</v>
      </c>
      <c r="U133" s="5">
        <f>IF((ContinuousStatsTable[[#This Row],[RepsRequested]]&gt;1),ContinuousStatsTable[[#This Row],[HalfWidth]],ContinuousStatsTable[[#This Row],[BatchMeansHalfWidth]])</f>
        <v>0.63573785879874822</v>
      </c>
    </row>
    <row r="134" spans="1:21" x14ac:dyDescent="0.25">
      <c r="A134" t="s">
        <v>67</v>
      </c>
      <c r="B134" t="s">
        <v>69</v>
      </c>
      <c r="C134">
        <v>7</v>
      </c>
      <c r="D134" t="s">
        <v>143</v>
      </c>
      <c r="E134" t="s">
        <v>142</v>
      </c>
      <c r="F134" t="s">
        <v>80</v>
      </c>
      <c r="G134">
        <v>3.3836294963652098</v>
      </c>
      <c r="H134">
        <v>2E+20</v>
      </c>
      <c r="I134">
        <v>1</v>
      </c>
      <c r="J134">
        <v>5</v>
      </c>
      <c r="K134">
        <v>2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compartida)vMesasLibresVariableUser Specified</v>
      </c>
      <c r="N134" s="5" cm="1">
        <f t="array" ref="N134">MAX(IF((ProjectInfoTable[ProjectName]=ContinuousStatsTable[[#This Row],[ProjectName]]),(ProjectInfoTable[ProjectName]=ContinuousStatsTable[[#This Row],[ProjectName]])*ProjectInfoTable[NumberOfReplications]))</f>
        <v>19</v>
      </c>
      <c r="O134" s="5" cm="1">
        <f t="array" ref="O134">IFERROR(AVERAGE(IF((ContinuousStatsTable[GroupByKey]=ContinuousStatsTable[[#This Row],[GroupByKey]]),(ContinuousStatsTable[GroupByKey]=ContinuousStatsTable[[#This Row],[GroupByKey]])*ContinuousStatsTable[Average])),0)</f>
        <v>3.457469452043564</v>
      </c>
      <c r="P134" s="5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0.31293063851465691</v>
      </c>
      <c r="Q134" s="5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0.15082773976588496</v>
      </c>
      <c r="S134" s="5" cm="1">
        <f t="array" ref="S134">MIN(IF((ContinuousStatsTable[GroupByKey]=ContinuousStatsTable[[#This Row],[GroupByKey]]),(ContinuousStatsTable[GroupByKey]=ContinuousStatsTable[[#This Row],[GroupByKey]])*ContinuousStatsTable[Average]))</f>
        <v>2.7528747310006598</v>
      </c>
      <c r="T134" s="5" cm="1">
        <f t="array" ref="T134">MAX(IF((ContinuousStatsTable[GroupByKey]=ContinuousStatsTable[[#This Row],[GroupByKey]]),(ContinuousStatsTable[GroupByKey]=ContinuousStatsTable[[#This Row],[GroupByKey]])*ContinuousStatsTable[Average]))</f>
        <v>4.2189677733987798</v>
      </c>
      <c r="U134" s="5">
        <f>IF((ContinuousStatsTable[[#This Row],[RepsRequested]]&gt;1),ContinuousStatsTable[[#This Row],[HalfWidth]],ContinuousStatsTable[[#This Row],[BatchMeansHalfWidth]])</f>
        <v>0.15082773976588496</v>
      </c>
    </row>
    <row r="135" spans="1:21" x14ac:dyDescent="0.25">
      <c r="A135" t="s">
        <v>67</v>
      </c>
      <c r="B135" t="s">
        <v>69</v>
      </c>
      <c r="C135">
        <v>8</v>
      </c>
      <c r="D135" t="s">
        <v>70</v>
      </c>
      <c r="E135" t="s">
        <v>129</v>
      </c>
      <c r="F135" t="s">
        <v>72</v>
      </c>
      <c r="G135">
        <v>6.0775200252130901</v>
      </c>
      <c r="H135">
        <v>3E+20</v>
      </c>
      <c r="I135">
        <v>0</v>
      </c>
      <c r="J135">
        <v>16</v>
      </c>
      <c r="K135">
        <v>8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compartida)ClienteWIPEntity</v>
      </c>
      <c r="N135" s="5" cm="1">
        <f t="array" ref="N135">MAX(IF((ProjectInfoTable[ProjectName]=ContinuousStatsTable[[#This Row],[ProjectName]]),(ProjectInfoTable[ProjectName]=ContinuousStatsTable[[#This Row],[ProjectName]])*ProjectInfoTable[NumberOfReplications]))</f>
        <v>19</v>
      </c>
      <c r="O135" s="5" cm="1">
        <f t="array" ref="O135">IFERROR(AVERAGE(IF((ContinuousStatsTable[GroupByKey]=ContinuousStatsTable[[#This Row],[GroupByKey]]),(ContinuousStatsTable[GroupByKey]=ContinuousStatsTable[[#This Row],[GroupByKey]])*ContinuousStatsTable[Average])),0)</f>
        <v>5.695207969173218</v>
      </c>
      <c r="P135" s="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1.5293712224665061</v>
      </c>
      <c r="Q135" s="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0.7371333335799507</v>
      </c>
      <c r="S135" s="5" cm="1">
        <f t="array" ref="S135">MIN(IF((ContinuousStatsTable[GroupByKey]=ContinuousStatsTable[[#This Row],[GroupByKey]]),(ContinuousStatsTable[GroupByKey]=ContinuousStatsTable[[#This Row],[GroupByKey]])*ContinuousStatsTable[Average]))</f>
        <v>3.6484308227805702</v>
      </c>
      <c r="T135" s="5" cm="1">
        <f t="array" ref="T135">MAX(IF((ContinuousStatsTable[GroupByKey]=ContinuousStatsTable[[#This Row],[GroupByKey]]),(ContinuousStatsTable[GroupByKey]=ContinuousStatsTable[[#This Row],[GroupByKey]])*ContinuousStatsTable[Average]))</f>
        <v>10.9337547677616</v>
      </c>
      <c r="U135" s="5">
        <f>IF((ContinuousStatsTable[[#This Row],[RepsRequested]]&gt;1),ContinuousStatsTable[[#This Row],[HalfWidth]],ContinuousStatsTable[[#This Row],[BatchMeansHalfWidth]])</f>
        <v>0.7371333335799507</v>
      </c>
    </row>
    <row r="136" spans="1:21" x14ac:dyDescent="0.25">
      <c r="A136" t="s">
        <v>67</v>
      </c>
      <c r="B136" t="s">
        <v>69</v>
      </c>
      <c r="C136">
        <v>8</v>
      </c>
      <c r="D136" t="s">
        <v>89</v>
      </c>
      <c r="E136" t="s">
        <v>130</v>
      </c>
      <c r="F136" t="s">
        <v>91</v>
      </c>
      <c r="G136">
        <v>0</v>
      </c>
      <c r="H136">
        <v>2E+20</v>
      </c>
      <c r="I136">
        <v>0</v>
      </c>
      <c r="J136">
        <v>0</v>
      </c>
      <c r="K136">
        <v>0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compartida)Comer en Mesa.QueueNumber WaitingQueue</v>
      </c>
      <c r="N136" s="5" cm="1">
        <f t="array" ref="N136">MAX(IF((ProjectInfoTable[ProjectName]=ContinuousStatsTable[[#This Row],[ProjectName]]),(ProjectInfoTable[ProjectName]=ContinuousStatsTable[[#This Row],[ProjectName]])*ProjectInfoTable[NumberOfReplications]))</f>
        <v>19</v>
      </c>
      <c r="O136" s="5" cm="1">
        <f t="array" ref="O136">IFERROR(AVERAGE(IF((ContinuousStatsTable[GroupByKey]=ContinuousStatsTable[[#This Row],[GroupByKey]]),(ContinuousStatsTable[GroupByKey]=ContinuousStatsTable[[#This Row],[GroupByKey]])*ContinuousStatsTable[Average])),0)</f>
        <v>0</v>
      </c>
      <c r="P136" s="5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</v>
      </c>
      <c r="Q136" s="5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6" s="5" cm="1">
        <f t="array" ref="S136">MIN(IF((ContinuousStatsTable[GroupByKey]=ContinuousStatsTable[[#This Row],[GroupByKey]]),(ContinuousStatsTable[GroupByKey]=ContinuousStatsTable[[#This Row],[GroupByKey]])*ContinuousStatsTable[Average]))</f>
        <v>0</v>
      </c>
      <c r="T136" s="5" cm="1">
        <f t="array" ref="T136">MAX(IF((ContinuousStatsTable[GroupByKey]=ContinuousStatsTable[[#This Row],[GroupByKey]]),(ContinuousStatsTable[GroupByKey]=ContinuousStatsTable[[#This Row],[GroupByKey]])*ContinuousStatsTable[Average]))</f>
        <v>0</v>
      </c>
      <c r="U136" s="5">
        <f>IF((ContinuousStatsTable[[#This Row],[RepsRequested]]&gt;1),ContinuousStatsTable[[#This Row],[HalfWidth]],ContinuousStatsTable[[#This Row],[BatchMeansHalfWidth]])</f>
        <v>0</v>
      </c>
    </row>
    <row r="137" spans="1:21" x14ac:dyDescent="0.25">
      <c r="A137" t="s">
        <v>67</v>
      </c>
      <c r="B137" t="s">
        <v>69</v>
      </c>
      <c r="C137">
        <v>8</v>
      </c>
      <c r="D137" t="s">
        <v>92</v>
      </c>
      <c r="E137" t="s">
        <v>130</v>
      </c>
      <c r="F137" t="s">
        <v>91</v>
      </c>
      <c r="G137">
        <v>1.5925865491849001</v>
      </c>
      <c r="H137">
        <v>2E+20</v>
      </c>
      <c r="I137">
        <v>0</v>
      </c>
      <c r="J137">
        <v>7</v>
      </c>
      <c r="K137">
        <v>1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compartida)Entrega pedido.QueueNumber WaitingQueue</v>
      </c>
      <c r="N137" s="5" cm="1">
        <f t="array" ref="N137">MAX(IF((ProjectInfoTable[ProjectName]=ContinuousStatsTable[[#This Row],[ProjectName]]),(ProjectInfoTable[ProjectName]=ContinuousStatsTable[[#This Row],[ProjectName]])*ProjectInfoTable[NumberOfReplications]))</f>
        <v>19</v>
      </c>
      <c r="O137" s="5" cm="1">
        <f t="array" ref="O137">IFERROR(AVERAGE(IF((ContinuousStatsTable[GroupByKey]=ContinuousStatsTable[[#This Row],[GroupByKey]]),(ContinuousStatsTable[GroupByKey]=ContinuousStatsTable[[#This Row],[GroupByKey]])*ContinuousStatsTable[Average])),0)</f>
        <v>1.4415832090470244</v>
      </c>
      <c r="P137" s="5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0.61323545266973079</v>
      </c>
      <c r="Q137" s="5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0.29557002698587687</v>
      </c>
      <c r="S137" s="5" cm="1">
        <f t="array" ref="S137">MIN(IF((ContinuousStatsTable[GroupByKey]=ContinuousStatsTable[[#This Row],[GroupByKey]]),(ContinuousStatsTable[GroupByKey]=ContinuousStatsTable[[#This Row],[GroupByKey]])*ContinuousStatsTable[Average]))</f>
        <v>0.95119347509060603</v>
      </c>
      <c r="T137" s="5" cm="1">
        <f t="array" ref="T137">MAX(IF((ContinuousStatsTable[GroupByKey]=ContinuousStatsTable[[#This Row],[GroupByKey]]),(ContinuousStatsTable[GroupByKey]=ContinuousStatsTable[[#This Row],[GroupByKey]])*ContinuousStatsTable[Average]))</f>
        <v>3.71511779664222</v>
      </c>
      <c r="U137" s="5">
        <f>IF((ContinuousStatsTable[[#This Row],[RepsRequested]]&gt;1),ContinuousStatsTable[[#This Row],[HalfWidth]],ContinuousStatsTable[[#This Row],[BatchMeansHalfWidth]])</f>
        <v>0.29557002698587687</v>
      </c>
    </row>
    <row r="138" spans="1:21" x14ac:dyDescent="0.25">
      <c r="A138" t="s">
        <v>67</v>
      </c>
      <c r="B138" t="s">
        <v>69</v>
      </c>
      <c r="C138">
        <v>8</v>
      </c>
      <c r="D138" t="s">
        <v>131</v>
      </c>
      <c r="E138" t="s">
        <v>129</v>
      </c>
      <c r="F138" t="s">
        <v>72</v>
      </c>
      <c r="G138">
        <v>3.3008593213869801</v>
      </c>
      <c r="H138">
        <v>2E+20</v>
      </c>
      <c r="I138">
        <v>0</v>
      </c>
      <c r="J138">
        <v>9</v>
      </c>
      <c r="K138">
        <v>4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compartida)OrdenWIPEntity</v>
      </c>
      <c r="N138" s="5" cm="1">
        <f t="array" ref="N138">MAX(IF((ProjectInfoTable[ProjectName]=ContinuousStatsTable[[#This Row],[ProjectName]]),(ProjectInfoTable[ProjectName]=ContinuousStatsTable[[#This Row],[ProjectName]])*ProjectInfoTable[NumberOfReplications]))</f>
        <v>19</v>
      </c>
      <c r="O138" s="5" cm="1">
        <f t="array" ref="O138">IFERROR(AVERAGE(IF((ContinuousStatsTable[GroupByKey]=ContinuousStatsTable[[#This Row],[GroupByKey]]),(ContinuousStatsTable[GroupByKey]=ContinuousStatsTable[[#This Row],[GroupByKey]])*ContinuousStatsTable[Average])),0)</f>
        <v>3.0972744691234286</v>
      </c>
      <c r="P138" s="5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0.7960145604449721</v>
      </c>
      <c r="Q138" s="5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0.38366673695655462</v>
      </c>
      <c r="S138" s="5" cm="1">
        <f t="array" ref="S138">MIN(IF((ContinuousStatsTable[GroupByKey]=ContinuousStatsTable[[#This Row],[GroupByKey]]),(ContinuousStatsTable[GroupByKey]=ContinuousStatsTable[[#This Row],[GroupByKey]])*ContinuousStatsTable[Average]))</f>
        <v>2.0609398302211299</v>
      </c>
      <c r="T138" s="5" cm="1">
        <f t="array" ref="T138">MAX(IF((ContinuousStatsTable[GroupByKey]=ContinuousStatsTable[[#This Row],[GroupByKey]]),(ContinuousStatsTable[GroupByKey]=ContinuousStatsTable[[#This Row],[GroupByKey]])*ContinuousStatsTable[Average]))</f>
        <v>5.8229936047650703</v>
      </c>
      <c r="U138" s="5">
        <f>IF((ContinuousStatsTable[[#This Row],[RepsRequested]]&gt;1),ContinuousStatsTable[[#This Row],[HalfWidth]],ContinuousStatsTable[[#This Row],[BatchMeansHalfWidth]])</f>
        <v>0.38366673695655462</v>
      </c>
    </row>
    <row r="139" spans="1:21" x14ac:dyDescent="0.25">
      <c r="A139" t="s">
        <v>67</v>
      </c>
      <c r="B139" t="s">
        <v>69</v>
      </c>
      <c r="C139">
        <v>8</v>
      </c>
      <c r="D139" t="s">
        <v>99</v>
      </c>
      <c r="E139" t="s">
        <v>130</v>
      </c>
      <c r="F139" t="s">
        <v>91</v>
      </c>
      <c r="G139">
        <v>0.57182680148313003</v>
      </c>
      <c r="H139">
        <v>2E+20</v>
      </c>
      <c r="I139">
        <v>0</v>
      </c>
      <c r="J139">
        <v>4</v>
      </c>
      <c r="K139">
        <v>0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compartida)Pasar a Caja.QueueNumber WaitingQueue</v>
      </c>
      <c r="N139" s="5" cm="1">
        <f t="array" ref="N139">MAX(IF((ProjectInfoTable[ProjectName]=ContinuousStatsTable[[#This Row],[ProjectName]]),(ProjectInfoTable[ProjectName]=ContinuousStatsTable[[#This Row],[ProjectName]])*ProjectInfoTable[NumberOfReplications]))</f>
        <v>19</v>
      </c>
      <c r="O139" s="5" cm="1">
        <f t="array" ref="O139">IFERROR(AVERAGE(IF((ContinuousStatsTable[GroupByKey]=ContinuousStatsTable[[#This Row],[GroupByKey]]),(ContinuousStatsTable[GroupByKey]=ContinuousStatsTable[[#This Row],[GroupByKey]])*ContinuousStatsTable[Average])),0)</f>
        <v>0.5234663348541454</v>
      </c>
      <c r="P139" s="5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0.51706251909874834</v>
      </c>
      <c r="Q139" s="5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0.24921615679273348</v>
      </c>
      <c r="S139" s="5" cm="1">
        <f t="array" ref="S139">MIN(IF((ContinuousStatsTable[GroupByKey]=ContinuousStatsTable[[#This Row],[GroupByKey]]),(ContinuousStatsTable[GroupByKey]=ContinuousStatsTable[[#This Row],[GroupByKey]])*ContinuousStatsTable[Average]))</f>
        <v>0.17506464523350199</v>
      </c>
      <c r="T139" s="5" cm="1">
        <f t="array" ref="T139">MAX(IF((ContinuousStatsTable[GroupByKey]=ContinuousStatsTable[[#This Row],[GroupByKey]]),(ContinuousStatsTable[GroupByKey]=ContinuousStatsTable[[#This Row],[GroupByKey]])*ContinuousStatsTable[Average]))</f>
        <v>2.4783528335268201</v>
      </c>
      <c r="U139" s="5">
        <f>IF((ContinuousStatsTable[[#This Row],[RepsRequested]]&gt;1),ContinuousStatsTable[[#This Row],[HalfWidth]],ContinuousStatsTable[[#This Row],[BatchMeansHalfWidth]])</f>
        <v>0.24921615679273348</v>
      </c>
    </row>
    <row r="140" spans="1:21" x14ac:dyDescent="0.25">
      <c r="A140" t="s">
        <v>67</v>
      </c>
      <c r="B140" t="s">
        <v>69</v>
      </c>
      <c r="C140">
        <v>8</v>
      </c>
      <c r="D140" t="s">
        <v>104</v>
      </c>
      <c r="E140" t="s">
        <v>130</v>
      </c>
      <c r="F140" t="s">
        <v>91</v>
      </c>
      <c r="G140">
        <v>0.51158757877485095</v>
      </c>
      <c r="H140">
        <v>2E+20</v>
      </c>
      <c r="I140">
        <v>0</v>
      </c>
      <c r="J140">
        <v>4</v>
      </c>
      <c r="K140">
        <v>0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compartida)Preparacion.QueueNumber WaitingQueue</v>
      </c>
      <c r="N140" s="5" cm="1">
        <f t="array" ref="N140">MAX(IF((ProjectInfoTable[ProjectName]=ContinuousStatsTable[[#This Row],[ProjectName]]),(ProjectInfoTable[ProjectName]=ContinuousStatsTable[[#This Row],[ProjectName]])*ProjectInfoTable[NumberOfReplications]))</f>
        <v>19</v>
      </c>
      <c r="O140" s="5" cm="1">
        <f t="array" ref="O140">IFERROR(AVERAGE(IF((ContinuousStatsTable[GroupByKey]=ContinuousStatsTable[[#This Row],[GroupByKey]]),(ContinuousStatsTable[GroupByKey]=ContinuousStatsTable[[#This Row],[GroupByKey]])*ContinuousStatsTable[Average])),0)</f>
        <v>0.48138063122984937</v>
      </c>
      <c r="P140" s="5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0.5430727934303009</v>
      </c>
      <c r="Q140" s="5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0.26175270772536113</v>
      </c>
      <c r="S140" s="5" cm="1">
        <f t="array" ref="S140">MIN(IF((ContinuousStatsTable[GroupByKey]=ContinuousStatsTable[[#This Row],[GroupByKey]]),(ContinuousStatsTable[GroupByKey]=ContinuousStatsTable[[#This Row],[GroupByKey]])*ContinuousStatsTable[Average]))</f>
        <v>0.13383910219346701</v>
      </c>
      <c r="T140" s="5" cm="1">
        <f t="array" ref="T140">MAX(IF((ContinuousStatsTable[GroupByKey]=ContinuousStatsTable[[#This Row],[GroupByKey]]),(ContinuousStatsTable[GroupByKey]=ContinuousStatsTable[[#This Row],[GroupByKey]])*ContinuousStatsTable[Average]))</f>
        <v>2.5739205922552402</v>
      </c>
      <c r="U140" s="5">
        <f>IF((ContinuousStatsTable[[#This Row],[RepsRequested]]&gt;1),ContinuousStatsTable[[#This Row],[HalfWidth]],ContinuousStatsTable[[#This Row],[BatchMeansHalfWidth]])</f>
        <v>0.26175270772536113</v>
      </c>
    </row>
    <row r="141" spans="1:21" x14ac:dyDescent="0.25">
      <c r="A141" t="s">
        <v>67</v>
      </c>
      <c r="B141" t="s">
        <v>69</v>
      </c>
      <c r="C141">
        <v>8</v>
      </c>
      <c r="D141" t="s">
        <v>132</v>
      </c>
      <c r="E141" t="s">
        <v>133</v>
      </c>
      <c r="F141" t="s">
        <v>80</v>
      </c>
      <c r="G141">
        <v>1.5828098092391101</v>
      </c>
      <c r="H141">
        <v>2E+20</v>
      </c>
      <c r="I141">
        <v>0</v>
      </c>
      <c r="J141">
        <v>5</v>
      </c>
      <c r="K141">
        <v>3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compartida)TP_MesasTime PersistentUser Specified</v>
      </c>
      <c r="N141" s="5" cm="1">
        <f t="array" ref="N141">MAX(IF((ProjectInfoTable[ProjectName]=ContinuousStatsTable[[#This Row],[ProjectName]]),(ProjectInfoTable[ProjectName]=ContinuousStatsTable[[#This Row],[ProjectName]])*ProjectInfoTable[NumberOfReplications]))</f>
        <v>19</v>
      </c>
      <c r="O141" s="5" cm="1">
        <f t="array" ref="O141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141" s="5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141" s="5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141" s="5" cm="1">
        <f t="array" ref="S141">MIN(IF((ContinuousStatsTable[GroupByKey]=ContinuousStatsTable[[#This Row],[GroupByKey]]),(ContinuousStatsTable[GroupByKey]=ContinuousStatsTable[[#This Row],[GroupByKey]])*ContinuousStatsTable[Average]))</f>
        <v>0.78103222660121896</v>
      </c>
      <c r="T141" s="5" cm="1">
        <f t="array" ref="T141">MAX(IF((ContinuousStatsTable[GroupByKey]=ContinuousStatsTable[[#This Row],[GroupByKey]]),(ContinuousStatsTable[GroupByKey]=ContinuousStatsTable[[#This Row],[GroupByKey]])*ContinuousStatsTable[Average]))</f>
        <v>2.2471252689993402</v>
      </c>
      <c r="U141" s="5">
        <f>IF((ContinuousStatsTable[[#This Row],[RepsRequested]]&gt;1),ContinuousStatsTable[[#This Row],[HalfWidth]],ContinuousStatsTable[[#This Row],[BatchMeansHalfWidth]])</f>
        <v>0.15082773976588459</v>
      </c>
    </row>
    <row r="142" spans="1:21" x14ac:dyDescent="0.25">
      <c r="A142" t="s">
        <v>67</v>
      </c>
      <c r="B142" t="s">
        <v>69</v>
      </c>
      <c r="C142">
        <v>8</v>
      </c>
      <c r="D142" t="s">
        <v>134</v>
      </c>
      <c r="E142" t="s">
        <v>135</v>
      </c>
      <c r="F142" t="s">
        <v>136</v>
      </c>
      <c r="G142">
        <v>0.77465536357210296</v>
      </c>
      <c r="H142">
        <v>2E+20</v>
      </c>
      <c r="I142">
        <v>0</v>
      </c>
      <c r="J142">
        <v>1</v>
      </c>
      <c r="K142">
        <v>1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compartida)rCajeroInstantaneous UtilizationResource</v>
      </c>
      <c r="N142" s="5" cm="1">
        <f t="array" ref="N142">MAX(IF((ProjectInfoTable[ProjectName]=ContinuousStatsTable[[#This Row],[ProjectName]]),(ProjectInfoTable[ProjectName]=ContinuousStatsTable[[#This Row],[ProjectName]])*ProjectInfoTable[NumberOfReplications]))</f>
        <v>19</v>
      </c>
      <c r="O142" s="5" cm="1">
        <f t="array" ref="O142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142" s="5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6.2272947935973086E-2</v>
      </c>
      <c r="Q142" s="5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3.0014600137344912E-2</v>
      </c>
      <c r="S142" s="5" cm="1">
        <f t="array" ref="S142">MIN(IF((ContinuousStatsTable[GroupByKey]=ContinuousStatsTable[[#This Row],[GroupByKey]]),(ContinuousStatsTable[GroupByKey]=ContinuousStatsTable[[#This Row],[GroupByKey]])*ContinuousStatsTable[Average]))</f>
        <v>0.59592290927233305</v>
      </c>
      <c r="T142" s="5" cm="1">
        <f t="array" ref="T142">MAX(IF((ContinuousStatsTable[GroupByKey]=ContinuousStatsTable[[#This Row],[GroupByKey]]),(ContinuousStatsTable[GroupByKey]=ContinuousStatsTable[[#This Row],[GroupByKey]])*ContinuousStatsTable[Average]))</f>
        <v>0.82897119936997599</v>
      </c>
      <c r="U142" s="5">
        <f>IF((ContinuousStatsTable[[#This Row],[RepsRequested]]&gt;1),ContinuousStatsTable[[#This Row],[HalfWidth]],ContinuousStatsTable[[#This Row],[BatchMeansHalfWidth]])</f>
        <v>3.0014600137344912E-2</v>
      </c>
    </row>
    <row r="143" spans="1:21" x14ac:dyDescent="0.25">
      <c r="A143" t="s">
        <v>67</v>
      </c>
      <c r="B143" t="s">
        <v>69</v>
      </c>
      <c r="C143">
        <v>8</v>
      </c>
      <c r="D143" t="s">
        <v>134</v>
      </c>
      <c r="E143" t="s">
        <v>137</v>
      </c>
      <c r="F143" t="s">
        <v>136</v>
      </c>
      <c r="G143">
        <v>0.77465536357210296</v>
      </c>
      <c r="H143">
        <v>2E+20</v>
      </c>
      <c r="I143">
        <v>0</v>
      </c>
      <c r="J143">
        <v>1</v>
      </c>
      <c r="K143">
        <v>1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BusyResource</v>
      </c>
      <c r="N143" s="5" cm="1">
        <f t="array" ref="N143">MAX(IF((ProjectInfoTable[ProjectName]=ContinuousStatsTable[[#This Row],[ProjectName]]),(ProjectInfoTable[ProjectName]=ContinuousStatsTable[[#This Row],[ProjectName]])*ProjectInfoTable[NumberOfReplications]))</f>
        <v>19</v>
      </c>
      <c r="O143" s="5" cm="1">
        <f t="array" ref="O143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143" s="5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6.2272947935973065E-2</v>
      </c>
      <c r="Q143" s="5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3.0014600137344902E-2</v>
      </c>
      <c r="S143" s="5" cm="1">
        <f t="array" ref="S143">MIN(IF((ContinuousStatsTable[GroupByKey]=ContinuousStatsTable[[#This Row],[GroupByKey]]),(ContinuousStatsTable[GroupByKey]=ContinuousStatsTable[[#This Row],[GroupByKey]])*ContinuousStatsTable[Average]))</f>
        <v>0.59592290927233305</v>
      </c>
      <c r="T143" s="5" cm="1">
        <f t="array" ref="T143">MAX(IF((ContinuousStatsTable[GroupByKey]=ContinuousStatsTable[[#This Row],[GroupByKey]]),(ContinuousStatsTable[GroupByKey]=ContinuousStatsTable[[#This Row],[GroupByKey]])*ContinuousStatsTable[Average]))</f>
        <v>0.82897119936997599</v>
      </c>
      <c r="U143" s="5">
        <f>IF((ContinuousStatsTable[[#This Row],[RepsRequested]]&gt;1),ContinuousStatsTable[[#This Row],[HalfWidth]],ContinuousStatsTable[[#This Row],[BatchMeansHalfWidth]])</f>
        <v>3.0014600137344902E-2</v>
      </c>
    </row>
    <row r="144" spans="1:21" x14ac:dyDescent="0.25">
      <c r="A144" t="s">
        <v>67</v>
      </c>
      <c r="B144" t="s">
        <v>69</v>
      </c>
      <c r="C144">
        <v>8</v>
      </c>
      <c r="D144" t="s">
        <v>134</v>
      </c>
      <c r="E144" t="s">
        <v>138</v>
      </c>
      <c r="F144" t="s">
        <v>136</v>
      </c>
      <c r="G144">
        <v>1</v>
      </c>
      <c r="H144">
        <v>2E+20</v>
      </c>
      <c r="I144">
        <v>1</v>
      </c>
      <c r="J144">
        <v>1</v>
      </c>
      <c r="K144">
        <v>1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ScheduledResource</v>
      </c>
      <c r="N144" s="5" cm="1">
        <f t="array" ref="N144">MAX(IF((ProjectInfoTable[ProjectName]=ContinuousStatsTable[[#This Row],[ProjectName]]),(ProjectInfoTable[ProjectName]=ContinuousStatsTable[[#This Row],[ProjectName]])*ProjectInfoTable[NumberOfReplications]))</f>
        <v>19</v>
      </c>
      <c r="O144" s="5" cm="1">
        <f t="array" ref="O144">IFERROR(AVERAGE(IF((ContinuousStatsTable[GroupByKey]=ContinuousStatsTable[[#This Row],[GroupByKey]]),(ContinuousStatsTable[GroupByKey]=ContinuousStatsTable[[#This Row],[GroupByKey]])*ContinuousStatsTable[Average])),0)</f>
        <v>1</v>
      </c>
      <c r="P144" s="5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</v>
      </c>
      <c r="Q144" s="5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4" s="5" cm="1">
        <f t="array" ref="S144">MIN(IF((ContinuousStatsTable[GroupByKey]=ContinuousStatsTable[[#This Row],[GroupByKey]]),(ContinuousStatsTable[GroupByKey]=ContinuousStatsTable[[#This Row],[GroupByKey]])*ContinuousStatsTable[Average]))</f>
        <v>1</v>
      </c>
      <c r="T144" s="5" cm="1">
        <f t="array" ref="T144">MAX(IF((ContinuousStatsTable[GroupByKey]=ContinuousStatsTable[[#This Row],[GroupByKey]]),(ContinuousStatsTable[GroupByKey]=ContinuousStatsTable[[#This Row],[GroupByKey]])*ContinuousStatsTable[Average]))</f>
        <v>1</v>
      </c>
      <c r="U144" s="5">
        <f>IF((ContinuousStatsTable[[#This Row],[RepsRequested]]&gt;1),ContinuousStatsTable[[#This Row],[HalfWidth]],ContinuousStatsTable[[#This Row],[BatchMeansHalfWidth]])</f>
        <v>0</v>
      </c>
    </row>
    <row r="145" spans="1:21" x14ac:dyDescent="0.25">
      <c r="A145" t="s">
        <v>67</v>
      </c>
      <c r="B145" t="s">
        <v>69</v>
      </c>
      <c r="C145">
        <v>8</v>
      </c>
      <c r="D145" t="s">
        <v>139</v>
      </c>
      <c r="E145" t="s">
        <v>135</v>
      </c>
      <c r="F145" t="s">
        <v>136</v>
      </c>
      <c r="G145">
        <v>0.82790473697885303</v>
      </c>
      <c r="H145">
        <v>2E+20</v>
      </c>
      <c r="I145">
        <v>0</v>
      </c>
      <c r="J145">
        <v>1</v>
      </c>
      <c r="K145">
        <v>1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compartida)rCocinaInstantaneous UtilizationResource</v>
      </c>
      <c r="N145" s="5" cm="1">
        <f t="array" ref="N145">MAX(IF((ProjectInfoTable[ProjectName]=ContinuousStatsTable[[#This Row],[ProjectName]]),(ProjectInfoTable[ProjectName]=ContinuousStatsTable[[#This Row],[ProjectName]])*ProjectInfoTable[NumberOfReplications]))</f>
        <v>19</v>
      </c>
      <c r="O145" s="5" cm="1">
        <f t="array" ref="O145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145" s="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145" s="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145" s="5" cm="1">
        <f t="array" ref="S145">MIN(IF((ContinuousStatsTable[GroupByKey]=ContinuousStatsTable[[#This Row],[GroupByKey]]),(ContinuousStatsTable[GroupByKey]=ContinuousStatsTable[[#This Row],[GroupByKey]])*ContinuousStatsTable[Average]))</f>
        <v>0.60463940272025996</v>
      </c>
      <c r="T145" s="5" cm="1">
        <f t="array" ref="T145">MAX(IF((ContinuousStatsTable[GroupByKey]=ContinuousStatsTable[[#This Row],[GroupByKey]]),(ContinuousStatsTable[GroupByKey]=ContinuousStatsTable[[#This Row],[GroupByKey]])*ContinuousStatsTable[Average]))</f>
        <v>0.86361037821575004</v>
      </c>
      <c r="U145" s="5">
        <f>IF((ContinuousStatsTable[[#This Row],[RepsRequested]]&gt;1),ContinuousStatsTable[[#This Row],[HalfWidth]],ContinuousStatsTable[[#This Row],[BatchMeansHalfWidth]])</f>
        <v>3.4176212493127585E-2</v>
      </c>
    </row>
    <row r="146" spans="1:21" x14ac:dyDescent="0.25">
      <c r="A146" t="s">
        <v>67</v>
      </c>
      <c r="B146" t="s">
        <v>69</v>
      </c>
      <c r="C146">
        <v>8</v>
      </c>
      <c r="D146" t="s">
        <v>139</v>
      </c>
      <c r="E146" t="s">
        <v>137</v>
      </c>
      <c r="F146" t="s">
        <v>136</v>
      </c>
      <c r="G146">
        <v>0.82790473697885303</v>
      </c>
      <c r="H146">
        <v>2E+20</v>
      </c>
      <c r="I146">
        <v>0</v>
      </c>
      <c r="J146">
        <v>1</v>
      </c>
      <c r="K146">
        <v>1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BusyResource</v>
      </c>
      <c r="N146" s="5" cm="1">
        <f t="array" ref="N146">MAX(IF((ProjectInfoTable[ProjectName]=ContinuousStatsTable[[#This Row],[ProjectName]]),(ProjectInfoTable[ProjectName]=ContinuousStatsTable[[#This Row],[ProjectName]])*ProjectInfoTable[NumberOfReplications]))</f>
        <v>19</v>
      </c>
      <c r="O146" s="5" cm="1">
        <f t="array" ref="O146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146" s="5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146" s="5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146" s="5" cm="1">
        <f t="array" ref="S146">MIN(IF((ContinuousStatsTable[GroupByKey]=ContinuousStatsTable[[#This Row],[GroupByKey]]),(ContinuousStatsTable[GroupByKey]=ContinuousStatsTable[[#This Row],[GroupByKey]])*ContinuousStatsTable[Average]))</f>
        <v>0.60463940272025996</v>
      </c>
      <c r="T146" s="5" cm="1">
        <f t="array" ref="T146">MAX(IF((ContinuousStatsTable[GroupByKey]=ContinuousStatsTable[[#This Row],[GroupByKey]]),(ContinuousStatsTable[GroupByKey]=ContinuousStatsTable[[#This Row],[GroupByKey]])*ContinuousStatsTable[Average]))</f>
        <v>0.86361037821575004</v>
      </c>
      <c r="U146" s="5">
        <f>IF((ContinuousStatsTable[[#This Row],[RepsRequested]]&gt;1),ContinuousStatsTable[[#This Row],[HalfWidth]],ContinuousStatsTable[[#This Row],[BatchMeansHalfWidth]])</f>
        <v>3.4176212493127585E-2</v>
      </c>
    </row>
    <row r="147" spans="1:21" x14ac:dyDescent="0.25">
      <c r="A147" t="s">
        <v>67</v>
      </c>
      <c r="B147" t="s">
        <v>69</v>
      </c>
      <c r="C147">
        <v>8</v>
      </c>
      <c r="D147" t="s">
        <v>139</v>
      </c>
      <c r="E147" t="s">
        <v>138</v>
      </c>
      <c r="F147" t="s">
        <v>136</v>
      </c>
      <c r="G147">
        <v>1</v>
      </c>
      <c r="H147">
        <v>2E+20</v>
      </c>
      <c r="I147">
        <v>1</v>
      </c>
      <c r="J147">
        <v>1</v>
      </c>
      <c r="K147">
        <v>1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ScheduledResource</v>
      </c>
      <c r="N147" s="5" cm="1">
        <f t="array" ref="N147">MAX(IF((ProjectInfoTable[ProjectName]=ContinuousStatsTable[[#This Row],[ProjectName]]),(ProjectInfoTable[ProjectName]=ContinuousStatsTable[[#This Row],[ProjectName]])*ProjectInfoTable[NumberOfReplications]))</f>
        <v>19</v>
      </c>
      <c r="O147" s="5" cm="1">
        <f t="array" ref="O147">IFERROR(AVERAGE(IF((ContinuousStatsTable[GroupByKey]=ContinuousStatsTable[[#This Row],[GroupByKey]]),(ContinuousStatsTable[GroupByKey]=ContinuousStatsTable[[#This Row],[GroupByKey]])*ContinuousStatsTable[Average])),0)</f>
        <v>1</v>
      </c>
      <c r="P147" s="5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</v>
      </c>
      <c r="Q147" s="5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7" s="5" cm="1">
        <f t="array" ref="S147">MIN(IF((ContinuousStatsTable[GroupByKey]=ContinuousStatsTable[[#This Row],[GroupByKey]]),(ContinuousStatsTable[GroupByKey]=ContinuousStatsTable[[#This Row],[GroupByKey]])*ContinuousStatsTable[Average]))</f>
        <v>1</v>
      </c>
      <c r="T147" s="5" cm="1">
        <f t="array" ref="T147">MAX(IF((ContinuousStatsTable[GroupByKey]=ContinuousStatsTable[[#This Row],[GroupByKey]]),(ContinuousStatsTable[GroupByKey]=ContinuousStatsTable[[#This Row],[GroupByKey]])*ContinuousStatsTable[Average]))</f>
        <v>1</v>
      </c>
      <c r="U147" s="5">
        <f>IF((ContinuousStatsTable[[#This Row],[RepsRequested]]&gt;1),ContinuousStatsTable[[#This Row],[HalfWidth]],ContinuousStatsTable[[#This Row],[BatchMeansHalfWidth]])</f>
        <v>0</v>
      </c>
    </row>
    <row r="148" spans="1:21" x14ac:dyDescent="0.25">
      <c r="A148" t="s">
        <v>67</v>
      </c>
      <c r="B148" t="s">
        <v>69</v>
      </c>
      <c r="C148">
        <v>8</v>
      </c>
      <c r="D148" t="s">
        <v>140</v>
      </c>
      <c r="E148" t="s">
        <v>135</v>
      </c>
      <c r="F148" t="s">
        <v>136</v>
      </c>
      <c r="G148">
        <v>0.31656196184782198</v>
      </c>
      <c r="H148">
        <v>2E+20</v>
      </c>
      <c r="I148">
        <v>0</v>
      </c>
      <c r="J148">
        <v>1</v>
      </c>
      <c r="K148">
        <v>0.6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compartida)rMesaInstantaneous UtilizationResource</v>
      </c>
      <c r="N148" s="5" cm="1">
        <f t="array" ref="N148">MAX(IF((ProjectInfoTable[ProjectName]=ContinuousStatsTable[[#This Row],[ProjectName]]),(ProjectInfoTable[ProjectName]=ContinuousStatsTable[[#This Row],[ProjectName]])*ProjectInfoTable[NumberOfReplications]))</f>
        <v>19</v>
      </c>
      <c r="O148" s="5" cm="1">
        <f t="array" ref="O148">IFERROR(AVERAGE(IF((ContinuousStatsTable[GroupByKey]=ContinuousStatsTable[[#This Row],[GroupByKey]]),(ContinuousStatsTable[GroupByKey]=ContinuousStatsTable[[#This Row],[GroupByKey]])*ContinuousStatsTable[Average])),0)</f>
        <v>0.30850610959128738</v>
      </c>
      <c r="P148" s="5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6.2586127702931413E-2</v>
      </c>
      <c r="Q148" s="5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3.0165547953177007E-2</v>
      </c>
      <c r="S148" s="5" cm="1">
        <f t="array" ref="S148">MIN(IF((ContinuousStatsTable[GroupByKey]=ContinuousStatsTable[[#This Row],[GroupByKey]]),(ContinuousStatsTable[GroupByKey]=ContinuousStatsTable[[#This Row],[GroupByKey]])*ContinuousStatsTable[Average]))</f>
        <v>0.156206445320244</v>
      </c>
      <c r="T148" s="5" cm="1">
        <f t="array" ref="T148">MAX(IF((ContinuousStatsTable[GroupByKey]=ContinuousStatsTable[[#This Row],[GroupByKey]]),(ContinuousStatsTable[GroupByKey]=ContinuousStatsTable[[#This Row],[GroupByKey]])*ContinuousStatsTable[Average]))</f>
        <v>0.44942505379986802</v>
      </c>
      <c r="U148" s="5">
        <f>IF((ContinuousStatsTable[[#This Row],[RepsRequested]]&gt;1),ContinuousStatsTable[[#This Row],[HalfWidth]],ContinuousStatsTable[[#This Row],[BatchMeansHalfWidth]])</f>
        <v>3.0165547953177007E-2</v>
      </c>
    </row>
    <row r="149" spans="1:21" x14ac:dyDescent="0.25">
      <c r="A149" t="s">
        <v>67</v>
      </c>
      <c r="B149" t="s">
        <v>69</v>
      </c>
      <c r="C149">
        <v>8</v>
      </c>
      <c r="D149" t="s">
        <v>140</v>
      </c>
      <c r="E149" t="s">
        <v>137</v>
      </c>
      <c r="F149" t="s">
        <v>136</v>
      </c>
      <c r="G149">
        <v>1.5828098092391101</v>
      </c>
      <c r="H149">
        <v>2E+20</v>
      </c>
      <c r="I149">
        <v>0</v>
      </c>
      <c r="J149">
        <v>5</v>
      </c>
      <c r="K149">
        <v>3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BusyResource</v>
      </c>
      <c r="N149" s="5" cm="1">
        <f t="array" ref="N149">MAX(IF((ProjectInfoTable[ProjectName]=ContinuousStatsTable[[#This Row],[ProjectName]]),(ProjectInfoTable[ProjectName]=ContinuousStatsTable[[#This Row],[ProjectName]])*ProjectInfoTable[NumberOfReplications]))</f>
        <v>19</v>
      </c>
      <c r="O149" s="5" cm="1">
        <f t="array" ref="O149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149" s="5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149" s="5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149" s="5" cm="1">
        <f t="array" ref="S149">MIN(IF((ContinuousStatsTable[GroupByKey]=ContinuousStatsTable[[#This Row],[GroupByKey]]),(ContinuousStatsTable[GroupByKey]=ContinuousStatsTable[[#This Row],[GroupByKey]])*ContinuousStatsTable[Average]))</f>
        <v>0.78103222660121896</v>
      </c>
      <c r="T149" s="5" cm="1">
        <f t="array" ref="T149">MAX(IF((ContinuousStatsTable[GroupByKey]=ContinuousStatsTable[[#This Row],[GroupByKey]]),(ContinuousStatsTable[GroupByKey]=ContinuousStatsTable[[#This Row],[GroupByKey]])*ContinuousStatsTable[Average]))</f>
        <v>2.2471252689993402</v>
      </c>
      <c r="U149" s="5">
        <f>IF((ContinuousStatsTable[[#This Row],[RepsRequested]]&gt;1),ContinuousStatsTable[[#This Row],[HalfWidth]],ContinuousStatsTable[[#This Row],[BatchMeansHalfWidth]])</f>
        <v>0.15082773976588459</v>
      </c>
    </row>
    <row r="150" spans="1:21" x14ac:dyDescent="0.25">
      <c r="A150" t="s">
        <v>67</v>
      </c>
      <c r="B150" t="s">
        <v>69</v>
      </c>
      <c r="C150">
        <v>8</v>
      </c>
      <c r="D150" t="s">
        <v>140</v>
      </c>
      <c r="E150" t="s">
        <v>138</v>
      </c>
      <c r="F150" t="s">
        <v>136</v>
      </c>
      <c r="G150">
        <v>5</v>
      </c>
      <c r="H150">
        <v>2E+20</v>
      </c>
      <c r="I150">
        <v>5</v>
      </c>
      <c r="J150">
        <v>5</v>
      </c>
      <c r="K150">
        <v>5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ScheduledResource</v>
      </c>
      <c r="N150" s="5" cm="1">
        <f t="array" ref="N150">MAX(IF((ProjectInfoTable[ProjectName]=ContinuousStatsTable[[#This Row],[ProjectName]]),(ProjectInfoTable[ProjectName]=ContinuousStatsTable[[#This Row],[ProjectName]])*ProjectInfoTable[NumberOfReplications]))</f>
        <v>19</v>
      </c>
      <c r="O150" s="5" cm="1">
        <f t="array" ref="O150">IFERROR(AVERAGE(IF((ContinuousStatsTable[GroupByKey]=ContinuousStatsTable[[#This Row],[GroupByKey]]),(ContinuousStatsTable[GroupByKey]=ContinuousStatsTable[[#This Row],[GroupByKey]])*ContinuousStatsTable[Average])),0)</f>
        <v>5</v>
      </c>
      <c r="P150" s="5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s="5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s="5" cm="1">
        <f t="array" ref="S150">MIN(IF((ContinuousStatsTable[GroupByKey]=ContinuousStatsTable[[#This Row],[GroupByKey]]),(ContinuousStatsTable[GroupByKey]=ContinuousStatsTable[[#This Row],[GroupByKey]])*ContinuousStatsTable[Average]))</f>
        <v>5</v>
      </c>
      <c r="T150" s="5" cm="1">
        <f t="array" ref="T150">MAX(IF((ContinuousStatsTable[GroupByKey]=ContinuousStatsTable[[#This Row],[GroupByKey]]),(ContinuousStatsTable[GroupByKey]=ContinuousStatsTable[[#This Row],[GroupByKey]])*ContinuousStatsTable[Average]))</f>
        <v>5</v>
      </c>
      <c r="U150" s="5">
        <f>IF((ContinuousStatsTable[[#This Row],[RepsRequested]]&gt;1),ContinuousStatsTable[[#This Row],[HalfWidth]],ContinuousStatsTable[[#This Row],[BatchMeansHalfWidth]])</f>
        <v>0</v>
      </c>
    </row>
    <row r="151" spans="1:21" x14ac:dyDescent="0.25">
      <c r="A151" t="s">
        <v>67</v>
      </c>
      <c r="B151" t="s">
        <v>69</v>
      </c>
      <c r="C151">
        <v>8</v>
      </c>
      <c r="D151" t="s">
        <v>127</v>
      </c>
      <c r="E151" t="s">
        <v>129</v>
      </c>
      <c r="F151" t="s">
        <v>72</v>
      </c>
      <c r="G151">
        <v>0</v>
      </c>
      <c r="H151">
        <v>2E+20</v>
      </c>
      <c r="I151">
        <v>0</v>
      </c>
      <c r="J151">
        <v>1</v>
      </c>
      <c r="K151">
        <v>0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compartida)relojWIPEntity</v>
      </c>
      <c r="N151" s="5" cm="1">
        <f t="array" ref="N151">MAX(IF((ProjectInfoTable[ProjectName]=ContinuousStatsTable[[#This Row],[ProjectName]]),(ProjectInfoTable[ProjectName]=ContinuousStatsTable[[#This Row],[ProjectName]])*ProjectInfoTable[NumberOfReplications]))</f>
        <v>19</v>
      </c>
      <c r="O151" s="5" cm="1">
        <f t="array" ref="O151">IFERROR(AVERAGE(IF((ContinuousStatsTable[GroupByKey]=ContinuousStatsTable[[#This Row],[GroupByKey]]),(ContinuousStatsTable[GroupByKey]=ContinuousStatsTable[[#This Row],[GroupByKey]])*ContinuousStatsTable[Average])),0)</f>
        <v>0</v>
      </c>
      <c r="P151" s="5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</v>
      </c>
      <c r="Q151" s="5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1" s="5" cm="1">
        <f t="array" ref="S151">MIN(IF((ContinuousStatsTable[GroupByKey]=ContinuousStatsTable[[#This Row],[GroupByKey]]),(ContinuousStatsTable[GroupByKey]=ContinuousStatsTable[[#This Row],[GroupByKey]])*ContinuousStatsTable[Average]))</f>
        <v>0</v>
      </c>
      <c r="T151" s="5" cm="1">
        <f t="array" ref="T151">MAX(IF((ContinuousStatsTable[GroupByKey]=ContinuousStatsTable[[#This Row],[GroupByKey]]),(ContinuousStatsTable[GroupByKey]=ContinuousStatsTable[[#This Row],[GroupByKey]])*ContinuousStatsTable[Average]))</f>
        <v>0</v>
      </c>
      <c r="U151" s="5">
        <f>IF((ContinuousStatsTable[[#This Row],[RepsRequested]]&gt;1),ContinuousStatsTable[[#This Row],[HalfWidth]],ContinuousStatsTable[[#This Row],[BatchMeansHalfWidth]])</f>
        <v>0</v>
      </c>
    </row>
    <row r="152" spans="1:21" x14ac:dyDescent="0.25">
      <c r="A152" t="s">
        <v>67</v>
      </c>
      <c r="B152" t="s">
        <v>69</v>
      </c>
      <c r="C152">
        <v>8</v>
      </c>
      <c r="D152" t="s">
        <v>141</v>
      </c>
      <c r="E152" t="s">
        <v>142</v>
      </c>
      <c r="F152" t="s">
        <v>80</v>
      </c>
      <c r="G152">
        <v>4.4070250307887902</v>
      </c>
      <c r="H152">
        <v>2E+20</v>
      </c>
      <c r="I152">
        <v>0</v>
      </c>
      <c r="J152">
        <v>11</v>
      </c>
      <c r="K152">
        <v>5</v>
      </c>
      <c r="L152">
        <v>0</v>
      </c>
      <c r="M15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compartida)vClientesEnSistemaVariableUser Specified</v>
      </c>
      <c r="N152" s="5" cm="1">
        <f t="array" ref="N152">MAX(IF((ProjectInfoTable[ProjectName]=ContinuousStatsTable[[#This Row],[ProjectName]]),(ProjectInfoTable[ProjectName]=ContinuousStatsTable[[#This Row],[ProjectName]])*ProjectInfoTable[NumberOfReplications]))</f>
        <v>19</v>
      </c>
      <c r="O152" s="5" cm="1">
        <f t="array" ref="O152">IFERROR(AVERAGE(IF((ContinuousStatsTable[GroupByKey]=ContinuousStatsTable[[#This Row],[GroupByKey]]),(ContinuousStatsTable[GroupByKey]=ContinuousStatsTable[[#This Row],[GroupByKey]])*ContinuousStatsTable[Average])),0)</f>
        <v>4.0733776306724412</v>
      </c>
      <c r="P152" s="5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1.3190004331473169</v>
      </c>
      <c r="Q152" s="5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0.63573785879874822</v>
      </c>
      <c r="S152" s="5" cm="1">
        <f t="array" ref="S152">MIN(IF((ContinuousStatsTable[GroupByKey]=ContinuousStatsTable[[#This Row],[GroupByKey]]),(ContinuousStatsTable[GroupByKey]=ContinuousStatsTable[[#This Row],[GroupByKey]])*ContinuousStatsTable[Average]))</f>
        <v>2.7964405882205599</v>
      </c>
      <c r="T152" s="5" cm="1">
        <f t="array" ref="T152">MAX(IF((ContinuousStatsTable[GroupByKey]=ContinuousStatsTable[[#This Row],[GroupByKey]]),(ContinuousStatsTable[GroupByKey]=ContinuousStatsTable[[#This Row],[GroupByKey]])*ContinuousStatsTable[Average]))</f>
        <v>8.8656011818609901</v>
      </c>
      <c r="U152" s="5">
        <f>IF((ContinuousStatsTable[[#This Row],[RepsRequested]]&gt;1),ContinuousStatsTable[[#This Row],[HalfWidth]],ContinuousStatsTable[[#This Row],[BatchMeansHalfWidth]])</f>
        <v>0.63573785879874822</v>
      </c>
    </row>
    <row r="153" spans="1:21" x14ac:dyDescent="0.25">
      <c r="A153" t="s">
        <v>67</v>
      </c>
      <c r="B153" t="s">
        <v>69</v>
      </c>
      <c r="C153">
        <v>8</v>
      </c>
      <c r="D153" t="s">
        <v>143</v>
      </c>
      <c r="E153" t="s">
        <v>142</v>
      </c>
      <c r="F153" t="s">
        <v>80</v>
      </c>
      <c r="G153">
        <v>3.4171901907608899</v>
      </c>
      <c r="H153">
        <v>2E+20</v>
      </c>
      <c r="I153">
        <v>0</v>
      </c>
      <c r="J153">
        <v>5</v>
      </c>
      <c r="K153">
        <v>2</v>
      </c>
      <c r="L153">
        <v>0</v>
      </c>
      <c r="M15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compartida)vMesasLibresVariableUser Specified</v>
      </c>
      <c r="N153" s="5" cm="1">
        <f t="array" ref="N153">MAX(IF((ProjectInfoTable[ProjectName]=ContinuousStatsTable[[#This Row],[ProjectName]]),(ProjectInfoTable[ProjectName]=ContinuousStatsTable[[#This Row],[ProjectName]])*ProjectInfoTable[NumberOfReplications]))</f>
        <v>19</v>
      </c>
      <c r="O153" s="5" cm="1">
        <f t="array" ref="O153">IFERROR(AVERAGE(IF((ContinuousStatsTable[GroupByKey]=ContinuousStatsTable[[#This Row],[GroupByKey]]),(ContinuousStatsTable[GroupByKey]=ContinuousStatsTable[[#This Row],[GroupByKey]])*ContinuousStatsTable[Average])),0)</f>
        <v>3.457469452043564</v>
      </c>
      <c r="P153" s="5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0.31293063851465691</v>
      </c>
      <c r="Q153" s="5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0.15082773976588496</v>
      </c>
      <c r="S153" s="5" cm="1">
        <f t="array" ref="S153">MIN(IF((ContinuousStatsTable[GroupByKey]=ContinuousStatsTable[[#This Row],[GroupByKey]]),(ContinuousStatsTable[GroupByKey]=ContinuousStatsTable[[#This Row],[GroupByKey]])*ContinuousStatsTable[Average]))</f>
        <v>2.7528747310006598</v>
      </c>
      <c r="T153" s="5" cm="1">
        <f t="array" ref="T153">MAX(IF((ContinuousStatsTable[GroupByKey]=ContinuousStatsTable[[#This Row],[GroupByKey]]),(ContinuousStatsTable[GroupByKey]=ContinuousStatsTable[[#This Row],[GroupByKey]])*ContinuousStatsTable[Average]))</f>
        <v>4.2189677733987798</v>
      </c>
      <c r="U153" s="5">
        <f>IF((ContinuousStatsTable[[#This Row],[RepsRequested]]&gt;1),ContinuousStatsTable[[#This Row],[HalfWidth]],ContinuousStatsTable[[#This Row],[BatchMeansHalfWidth]])</f>
        <v>0.15082773976588496</v>
      </c>
    </row>
    <row r="154" spans="1:21" x14ac:dyDescent="0.25">
      <c r="A154" t="s">
        <v>67</v>
      </c>
      <c r="B154" t="s">
        <v>69</v>
      </c>
      <c r="C154">
        <v>9</v>
      </c>
      <c r="D154" t="s">
        <v>70</v>
      </c>
      <c r="E154" t="s">
        <v>129</v>
      </c>
      <c r="F154" t="s">
        <v>72</v>
      </c>
      <c r="G154">
        <v>5.0024209494055603</v>
      </c>
      <c r="H154">
        <v>3E+20</v>
      </c>
      <c r="I154">
        <v>0</v>
      </c>
      <c r="J154">
        <v>13</v>
      </c>
      <c r="K154">
        <v>6</v>
      </c>
      <c r="L154">
        <v>0</v>
      </c>
      <c r="M15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compartida)ClienteWIPEntity</v>
      </c>
      <c r="N154" s="5" cm="1">
        <f t="array" ref="N154">MAX(IF((ProjectInfoTable[ProjectName]=ContinuousStatsTable[[#This Row],[ProjectName]]),(ProjectInfoTable[ProjectName]=ContinuousStatsTable[[#This Row],[ProjectName]])*ProjectInfoTable[NumberOfReplications]))</f>
        <v>19</v>
      </c>
      <c r="O154" s="5" cm="1">
        <f t="array" ref="O154">IFERROR(AVERAGE(IF((ContinuousStatsTable[GroupByKey]=ContinuousStatsTable[[#This Row],[GroupByKey]]),(ContinuousStatsTable[GroupByKey]=ContinuousStatsTable[[#This Row],[GroupByKey]])*ContinuousStatsTable[Average])),0)</f>
        <v>5.695207969173218</v>
      </c>
      <c r="P154" s="5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1.5293712224665061</v>
      </c>
      <c r="Q154" s="5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0.7371333335799507</v>
      </c>
      <c r="S154" s="5" cm="1">
        <f t="array" ref="S154">MIN(IF((ContinuousStatsTable[GroupByKey]=ContinuousStatsTable[[#This Row],[GroupByKey]]),(ContinuousStatsTable[GroupByKey]=ContinuousStatsTable[[#This Row],[GroupByKey]])*ContinuousStatsTable[Average]))</f>
        <v>3.6484308227805702</v>
      </c>
      <c r="T154" s="5" cm="1">
        <f t="array" ref="T154">MAX(IF((ContinuousStatsTable[GroupByKey]=ContinuousStatsTable[[#This Row],[GroupByKey]]),(ContinuousStatsTable[GroupByKey]=ContinuousStatsTable[[#This Row],[GroupByKey]])*ContinuousStatsTable[Average]))</f>
        <v>10.9337547677616</v>
      </c>
      <c r="U154" s="5">
        <f>IF((ContinuousStatsTable[[#This Row],[RepsRequested]]&gt;1),ContinuousStatsTable[[#This Row],[HalfWidth]],ContinuousStatsTable[[#This Row],[BatchMeansHalfWidth]])</f>
        <v>0.7371333335799507</v>
      </c>
    </row>
    <row r="155" spans="1:21" x14ac:dyDescent="0.25">
      <c r="A155" t="s">
        <v>67</v>
      </c>
      <c r="B155" t="s">
        <v>69</v>
      </c>
      <c r="C155">
        <v>9</v>
      </c>
      <c r="D155" t="s">
        <v>89</v>
      </c>
      <c r="E155" t="s">
        <v>130</v>
      </c>
      <c r="F155" t="s">
        <v>91</v>
      </c>
      <c r="G155">
        <v>0</v>
      </c>
      <c r="H155">
        <v>2E+20</v>
      </c>
      <c r="I155">
        <v>0</v>
      </c>
      <c r="J155">
        <v>0</v>
      </c>
      <c r="K155">
        <v>0</v>
      </c>
      <c r="L155">
        <v>0</v>
      </c>
      <c r="M15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compartida)Comer en Mesa.QueueNumber WaitingQueue</v>
      </c>
      <c r="N155" s="5" cm="1">
        <f t="array" ref="N155">MAX(IF((ProjectInfoTable[ProjectName]=ContinuousStatsTable[[#This Row],[ProjectName]]),(ProjectInfoTable[ProjectName]=ContinuousStatsTable[[#This Row],[ProjectName]])*ProjectInfoTable[NumberOfReplications]))</f>
        <v>19</v>
      </c>
      <c r="O155" s="5" cm="1">
        <f t="array" ref="O155">IFERROR(AVERAGE(IF((ContinuousStatsTable[GroupByKey]=ContinuousStatsTable[[#This Row],[GroupByKey]]),(ContinuousStatsTable[GroupByKey]=ContinuousStatsTable[[#This Row],[GroupByKey]])*ContinuousStatsTable[Average])),0)</f>
        <v>0</v>
      </c>
      <c r="P155" s="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0</v>
      </c>
      <c r="Q155" s="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5" s="5" cm="1">
        <f t="array" ref="S155">MIN(IF((ContinuousStatsTable[GroupByKey]=ContinuousStatsTable[[#This Row],[GroupByKey]]),(ContinuousStatsTable[GroupByKey]=ContinuousStatsTable[[#This Row],[GroupByKey]])*ContinuousStatsTable[Average]))</f>
        <v>0</v>
      </c>
      <c r="T155" s="5" cm="1">
        <f t="array" ref="T155">MAX(IF((ContinuousStatsTable[GroupByKey]=ContinuousStatsTable[[#This Row],[GroupByKey]]),(ContinuousStatsTable[GroupByKey]=ContinuousStatsTable[[#This Row],[GroupByKey]])*ContinuousStatsTable[Average]))</f>
        <v>0</v>
      </c>
      <c r="U155" s="5">
        <f>IF((ContinuousStatsTable[[#This Row],[RepsRequested]]&gt;1),ContinuousStatsTable[[#This Row],[HalfWidth]],ContinuousStatsTable[[#This Row],[BatchMeansHalfWidth]])</f>
        <v>0</v>
      </c>
    </row>
    <row r="156" spans="1:21" x14ac:dyDescent="0.25">
      <c r="A156" t="s">
        <v>67</v>
      </c>
      <c r="B156" t="s">
        <v>69</v>
      </c>
      <c r="C156">
        <v>9</v>
      </c>
      <c r="D156" t="s">
        <v>92</v>
      </c>
      <c r="E156" t="s">
        <v>130</v>
      </c>
      <c r="F156" t="s">
        <v>91</v>
      </c>
      <c r="G156">
        <v>1.2727120102503</v>
      </c>
      <c r="H156">
        <v>2E+20</v>
      </c>
      <c r="I156">
        <v>0</v>
      </c>
      <c r="J156">
        <v>6</v>
      </c>
      <c r="K156">
        <v>2</v>
      </c>
      <c r="L156">
        <v>0</v>
      </c>
      <c r="M15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compartida)Entrega pedido.QueueNumber WaitingQueue</v>
      </c>
      <c r="N156" s="5" cm="1">
        <f t="array" ref="N156">MAX(IF((ProjectInfoTable[ProjectName]=ContinuousStatsTable[[#This Row],[ProjectName]]),(ProjectInfoTable[ProjectName]=ContinuousStatsTable[[#This Row],[ProjectName]])*ProjectInfoTable[NumberOfReplications]))</f>
        <v>19</v>
      </c>
      <c r="O156" s="5" cm="1">
        <f t="array" ref="O156">IFERROR(AVERAGE(IF((ContinuousStatsTable[GroupByKey]=ContinuousStatsTable[[#This Row],[GroupByKey]]),(ContinuousStatsTable[GroupByKey]=ContinuousStatsTable[[#This Row],[GroupByKey]])*ContinuousStatsTable[Average])),0)</f>
        <v>1.4415832090470244</v>
      </c>
      <c r="P156" s="5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0.61323545266973079</v>
      </c>
      <c r="Q156" s="5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0.29557002698587687</v>
      </c>
      <c r="S156" s="5" cm="1">
        <f t="array" ref="S156">MIN(IF((ContinuousStatsTable[GroupByKey]=ContinuousStatsTable[[#This Row],[GroupByKey]]),(ContinuousStatsTable[GroupByKey]=ContinuousStatsTable[[#This Row],[GroupByKey]])*ContinuousStatsTable[Average]))</f>
        <v>0.95119347509060603</v>
      </c>
      <c r="T156" s="5" cm="1">
        <f t="array" ref="T156">MAX(IF((ContinuousStatsTable[GroupByKey]=ContinuousStatsTable[[#This Row],[GroupByKey]]),(ContinuousStatsTable[GroupByKey]=ContinuousStatsTable[[#This Row],[GroupByKey]])*ContinuousStatsTable[Average]))</f>
        <v>3.71511779664222</v>
      </c>
      <c r="U156" s="5">
        <f>IF((ContinuousStatsTable[[#This Row],[RepsRequested]]&gt;1),ContinuousStatsTable[[#This Row],[HalfWidth]],ContinuousStatsTable[[#This Row],[BatchMeansHalfWidth]])</f>
        <v>0.29557002698587687</v>
      </c>
    </row>
    <row r="157" spans="1:21" x14ac:dyDescent="0.25">
      <c r="A157" t="s">
        <v>67</v>
      </c>
      <c r="B157" t="s">
        <v>69</v>
      </c>
      <c r="C157">
        <v>9</v>
      </c>
      <c r="D157" t="s">
        <v>131</v>
      </c>
      <c r="E157" t="s">
        <v>129</v>
      </c>
      <c r="F157" t="s">
        <v>72</v>
      </c>
      <c r="G157">
        <v>2.8248903672596701</v>
      </c>
      <c r="H157">
        <v>2E+20</v>
      </c>
      <c r="I157">
        <v>0</v>
      </c>
      <c r="J157">
        <v>7</v>
      </c>
      <c r="K157">
        <v>3</v>
      </c>
      <c r="L157">
        <v>0</v>
      </c>
      <c r="M15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compartida)OrdenWIPEntity</v>
      </c>
      <c r="N157" s="5" cm="1">
        <f t="array" ref="N157">MAX(IF((ProjectInfoTable[ProjectName]=ContinuousStatsTable[[#This Row],[ProjectName]]),(ProjectInfoTable[ProjectName]=ContinuousStatsTable[[#This Row],[ProjectName]])*ProjectInfoTable[NumberOfReplications]))</f>
        <v>19</v>
      </c>
      <c r="O157" s="5" cm="1">
        <f t="array" ref="O157">IFERROR(AVERAGE(IF((ContinuousStatsTable[GroupByKey]=ContinuousStatsTable[[#This Row],[GroupByKey]]),(ContinuousStatsTable[GroupByKey]=ContinuousStatsTable[[#This Row],[GroupByKey]])*ContinuousStatsTable[Average])),0)</f>
        <v>3.0972744691234286</v>
      </c>
      <c r="P157" s="5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0.7960145604449721</v>
      </c>
      <c r="Q157" s="5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0.38366673695655462</v>
      </c>
      <c r="S157" s="5" cm="1">
        <f t="array" ref="S157">MIN(IF((ContinuousStatsTable[GroupByKey]=ContinuousStatsTable[[#This Row],[GroupByKey]]),(ContinuousStatsTable[GroupByKey]=ContinuousStatsTable[[#This Row],[GroupByKey]])*ContinuousStatsTable[Average]))</f>
        <v>2.0609398302211299</v>
      </c>
      <c r="T157" s="5" cm="1">
        <f t="array" ref="T157">MAX(IF((ContinuousStatsTable[GroupByKey]=ContinuousStatsTable[[#This Row],[GroupByKey]]),(ContinuousStatsTable[GroupByKey]=ContinuousStatsTable[[#This Row],[GroupByKey]])*ContinuousStatsTable[Average]))</f>
        <v>5.8229936047650703</v>
      </c>
      <c r="U157" s="5">
        <f>IF((ContinuousStatsTable[[#This Row],[RepsRequested]]&gt;1),ContinuousStatsTable[[#This Row],[HalfWidth]],ContinuousStatsTable[[#This Row],[BatchMeansHalfWidth]])</f>
        <v>0.38366673695655462</v>
      </c>
    </row>
    <row r="158" spans="1:21" x14ac:dyDescent="0.25">
      <c r="A158" t="s">
        <v>67</v>
      </c>
      <c r="B158" t="s">
        <v>69</v>
      </c>
      <c r="C158">
        <v>9</v>
      </c>
      <c r="D158" t="s">
        <v>99</v>
      </c>
      <c r="E158" t="s">
        <v>130</v>
      </c>
      <c r="F158" t="s">
        <v>91</v>
      </c>
      <c r="G158">
        <v>0.24718724173151799</v>
      </c>
      <c r="H158">
        <v>2E+20</v>
      </c>
      <c r="I158">
        <v>0</v>
      </c>
      <c r="J158">
        <v>4</v>
      </c>
      <c r="K158">
        <v>2</v>
      </c>
      <c r="L158">
        <v>0</v>
      </c>
      <c r="M15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compartida)Pasar a Caja.QueueNumber WaitingQueue</v>
      </c>
      <c r="N158" s="5" cm="1">
        <f t="array" ref="N158">MAX(IF((ProjectInfoTable[ProjectName]=ContinuousStatsTable[[#This Row],[ProjectName]]),(ProjectInfoTable[ProjectName]=ContinuousStatsTable[[#This Row],[ProjectName]])*ProjectInfoTable[NumberOfReplications]))</f>
        <v>19</v>
      </c>
      <c r="O158" s="5" cm="1">
        <f t="array" ref="O158">IFERROR(AVERAGE(IF((ContinuousStatsTable[GroupByKey]=ContinuousStatsTable[[#This Row],[GroupByKey]]),(ContinuousStatsTable[GroupByKey]=ContinuousStatsTable[[#This Row],[GroupByKey]])*ContinuousStatsTable[Average])),0)</f>
        <v>0.5234663348541454</v>
      </c>
      <c r="P158" s="5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0.51706251909874834</v>
      </c>
      <c r="Q158" s="5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0.24921615679273348</v>
      </c>
      <c r="S158" s="5" cm="1">
        <f t="array" ref="S158">MIN(IF((ContinuousStatsTable[GroupByKey]=ContinuousStatsTable[[#This Row],[GroupByKey]]),(ContinuousStatsTable[GroupByKey]=ContinuousStatsTable[[#This Row],[GroupByKey]])*ContinuousStatsTable[Average]))</f>
        <v>0.17506464523350199</v>
      </c>
      <c r="T158" s="5" cm="1">
        <f t="array" ref="T158">MAX(IF((ContinuousStatsTable[GroupByKey]=ContinuousStatsTable[[#This Row],[GroupByKey]]),(ContinuousStatsTable[GroupByKey]=ContinuousStatsTable[[#This Row],[GroupByKey]])*ContinuousStatsTable[Average]))</f>
        <v>2.4783528335268201</v>
      </c>
      <c r="U158" s="5">
        <f>IF((ContinuousStatsTable[[#This Row],[RepsRequested]]&gt;1),ContinuousStatsTable[[#This Row],[HalfWidth]],ContinuousStatsTable[[#This Row],[BatchMeansHalfWidth]])</f>
        <v>0.24921615679273348</v>
      </c>
    </row>
    <row r="159" spans="1:21" x14ac:dyDescent="0.25">
      <c r="A159" t="s">
        <v>67</v>
      </c>
      <c r="B159" t="s">
        <v>69</v>
      </c>
      <c r="C159">
        <v>9</v>
      </c>
      <c r="D159" t="s">
        <v>104</v>
      </c>
      <c r="E159" t="s">
        <v>130</v>
      </c>
      <c r="F159" t="s">
        <v>91</v>
      </c>
      <c r="G159">
        <v>0.23829937072263499</v>
      </c>
      <c r="H159">
        <v>2E+20</v>
      </c>
      <c r="I159">
        <v>0</v>
      </c>
      <c r="J159">
        <v>3</v>
      </c>
      <c r="K159">
        <v>0</v>
      </c>
      <c r="L159">
        <v>0</v>
      </c>
      <c r="M15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compartida)Preparacion.QueueNumber WaitingQueue</v>
      </c>
      <c r="N159" s="5" cm="1">
        <f t="array" ref="N159">MAX(IF((ProjectInfoTable[ProjectName]=ContinuousStatsTable[[#This Row],[ProjectName]]),(ProjectInfoTable[ProjectName]=ContinuousStatsTable[[#This Row],[ProjectName]])*ProjectInfoTable[NumberOfReplications]))</f>
        <v>19</v>
      </c>
      <c r="O159" s="5" cm="1">
        <f t="array" ref="O159">IFERROR(AVERAGE(IF((ContinuousStatsTable[GroupByKey]=ContinuousStatsTable[[#This Row],[GroupByKey]]),(ContinuousStatsTable[GroupByKey]=ContinuousStatsTable[[#This Row],[GroupByKey]])*ContinuousStatsTable[Average])),0)</f>
        <v>0.48138063122984937</v>
      </c>
      <c r="P159" s="5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0.5430727934303009</v>
      </c>
      <c r="Q159" s="5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0.26175270772536113</v>
      </c>
      <c r="S159" s="5" cm="1">
        <f t="array" ref="S159">MIN(IF((ContinuousStatsTable[GroupByKey]=ContinuousStatsTable[[#This Row],[GroupByKey]]),(ContinuousStatsTable[GroupByKey]=ContinuousStatsTable[[#This Row],[GroupByKey]])*ContinuousStatsTable[Average]))</f>
        <v>0.13383910219346701</v>
      </c>
      <c r="T159" s="5" cm="1">
        <f t="array" ref="T159">MAX(IF((ContinuousStatsTable[GroupByKey]=ContinuousStatsTable[[#This Row],[GroupByKey]]),(ContinuousStatsTable[GroupByKey]=ContinuousStatsTable[[#This Row],[GroupByKey]])*ContinuousStatsTable[Average]))</f>
        <v>2.5739205922552402</v>
      </c>
      <c r="U159" s="5">
        <f>IF((ContinuousStatsTable[[#This Row],[RepsRequested]]&gt;1),ContinuousStatsTable[[#This Row],[HalfWidth]],ContinuousStatsTable[[#This Row],[BatchMeansHalfWidth]])</f>
        <v>0.26175270772536113</v>
      </c>
    </row>
    <row r="160" spans="1:21" x14ac:dyDescent="0.25">
      <c r="A160" t="s">
        <v>67</v>
      </c>
      <c r="B160" t="s">
        <v>69</v>
      </c>
      <c r="C160">
        <v>9</v>
      </c>
      <c r="D160" t="s">
        <v>132</v>
      </c>
      <c r="E160" t="s">
        <v>133</v>
      </c>
      <c r="F160" t="s">
        <v>80</v>
      </c>
      <c r="G160">
        <v>1.44745613478714</v>
      </c>
      <c r="H160">
        <v>2E+20</v>
      </c>
      <c r="I160">
        <v>0</v>
      </c>
      <c r="J160">
        <v>5</v>
      </c>
      <c r="K160">
        <v>1</v>
      </c>
      <c r="L160">
        <v>0</v>
      </c>
      <c r="M16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compartida)TP_MesasTime PersistentUser Specified</v>
      </c>
      <c r="N160" s="5" cm="1">
        <f t="array" ref="N160">MAX(IF((ProjectInfoTable[ProjectName]=ContinuousStatsTable[[#This Row],[ProjectName]]),(ProjectInfoTable[ProjectName]=ContinuousStatsTable[[#This Row],[ProjectName]])*ProjectInfoTable[NumberOfReplications]))</f>
        <v>19</v>
      </c>
      <c r="O160" s="5" cm="1">
        <f t="array" ref="O160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160" s="5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160" s="5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160" s="5" cm="1">
        <f t="array" ref="S160">MIN(IF((ContinuousStatsTable[GroupByKey]=ContinuousStatsTable[[#This Row],[GroupByKey]]),(ContinuousStatsTable[GroupByKey]=ContinuousStatsTable[[#This Row],[GroupByKey]])*ContinuousStatsTable[Average]))</f>
        <v>0.78103222660121896</v>
      </c>
      <c r="T160" s="5" cm="1">
        <f t="array" ref="T160">MAX(IF((ContinuousStatsTable[GroupByKey]=ContinuousStatsTable[[#This Row],[GroupByKey]]),(ContinuousStatsTable[GroupByKey]=ContinuousStatsTable[[#This Row],[GroupByKey]])*ContinuousStatsTable[Average]))</f>
        <v>2.2471252689993402</v>
      </c>
      <c r="U160" s="5">
        <f>IF((ContinuousStatsTable[[#This Row],[RepsRequested]]&gt;1),ContinuousStatsTable[[#This Row],[HalfWidth]],ContinuousStatsTable[[#This Row],[BatchMeansHalfWidth]])</f>
        <v>0.15082773976588459</v>
      </c>
    </row>
    <row r="161" spans="1:21" x14ac:dyDescent="0.25">
      <c r="A161" t="s">
        <v>67</v>
      </c>
      <c r="B161" t="s">
        <v>69</v>
      </c>
      <c r="C161">
        <v>9</v>
      </c>
      <c r="D161" t="s">
        <v>134</v>
      </c>
      <c r="E161" t="s">
        <v>135</v>
      </c>
      <c r="F161" t="s">
        <v>136</v>
      </c>
      <c r="G161">
        <v>0.70138866139721001</v>
      </c>
      <c r="H161">
        <v>2E+20</v>
      </c>
      <c r="I161">
        <v>0</v>
      </c>
      <c r="J161">
        <v>1</v>
      </c>
      <c r="K161">
        <v>1</v>
      </c>
      <c r="L161">
        <v>0</v>
      </c>
      <c r="M16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compartida)rCajeroInstantaneous UtilizationResource</v>
      </c>
      <c r="N161" s="5" cm="1">
        <f t="array" ref="N161">MAX(IF((ProjectInfoTable[ProjectName]=ContinuousStatsTable[[#This Row],[ProjectName]]),(ProjectInfoTable[ProjectName]=ContinuousStatsTable[[#This Row],[ProjectName]])*ProjectInfoTable[NumberOfReplications]))</f>
        <v>19</v>
      </c>
      <c r="O161" s="5" cm="1">
        <f t="array" ref="O161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161" s="5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6.2272947935973086E-2</v>
      </c>
      <c r="Q161" s="5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3.0014600137344912E-2</v>
      </c>
      <c r="S161" s="5" cm="1">
        <f t="array" ref="S161">MIN(IF((ContinuousStatsTable[GroupByKey]=ContinuousStatsTable[[#This Row],[GroupByKey]]),(ContinuousStatsTable[GroupByKey]=ContinuousStatsTable[[#This Row],[GroupByKey]])*ContinuousStatsTable[Average]))</f>
        <v>0.59592290927233305</v>
      </c>
      <c r="T161" s="5" cm="1">
        <f t="array" ref="T161">MAX(IF((ContinuousStatsTable[GroupByKey]=ContinuousStatsTable[[#This Row],[GroupByKey]]),(ContinuousStatsTable[GroupByKey]=ContinuousStatsTable[[#This Row],[GroupByKey]])*ContinuousStatsTable[Average]))</f>
        <v>0.82897119936997599</v>
      </c>
      <c r="U161" s="5">
        <f>IF((ContinuousStatsTable[[#This Row],[RepsRequested]]&gt;1),ContinuousStatsTable[[#This Row],[HalfWidth]],ContinuousStatsTable[[#This Row],[BatchMeansHalfWidth]])</f>
        <v>3.0014600137344912E-2</v>
      </c>
    </row>
    <row r="162" spans="1:21" x14ac:dyDescent="0.25">
      <c r="A162" t="s">
        <v>67</v>
      </c>
      <c r="B162" t="s">
        <v>69</v>
      </c>
      <c r="C162">
        <v>9</v>
      </c>
      <c r="D162" t="s">
        <v>134</v>
      </c>
      <c r="E162" t="s">
        <v>137</v>
      </c>
      <c r="F162" t="s">
        <v>136</v>
      </c>
      <c r="G162">
        <v>0.70138866139720901</v>
      </c>
      <c r="H162">
        <v>2E+20</v>
      </c>
      <c r="I162">
        <v>0</v>
      </c>
      <c r="J162">
        <v>1</v>
      </c>
      <c r="K162">
        <v>1</v>
      </c>
      <c r="L162">
        <v>0</v>
      </c>
      <c r="M16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BusyResource</v>
      </c>
      <c r="N162" s="5" cm="1">
        <f t="array" ref="N162">MAX(IF((ProjectInfoTable[ProjectName]=ContinuousStatsTable[[#This Row],[ProjectName]]),(ProjectInfoTable[ProjectName]=ContinuousStatsTable[[#This Row],[ProjectName]])*ProjectInfoTable[NumberOfReplications]))</f>
        <v>19</v>
      </c>
      <c r="O162" s="5" cm="1">
        <f t="array" ref="O162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162" s="5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6.2272947935973065E-2</v>
      </c>
      <c r="Q162" s="5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3.0014600137344902E-2</v>
      </c>
      <c r="S162" s="5" cm="1">
        <f t="array" ref="S162">MIN(IF((ContinuousStatsTable[GroupByKey]=ContinuousStatsTable[[#This Row],[GroupByKey]]),(ContinuousStatsTable[GroupByKey]=ContinuousStatsTable[[#This Row],[GroupByKey]])*ContinuousStatsTable[Average]))</f>
        <v>0.59592290927233305</v>
      </c>
      <c r="T162" s="5" cm="1">
        <f t="array" ref="T162">MAX(IF((ContinuousStatsTable[GroupByKey]=ContinuousStatsTable[[#This Row],[GroupByKey]]),(ContinuousStatsTable[GroupByKey]=ContinuousStatsTable[[#This Row],[GroupByKey]])*ContinuousStatsTable[Average]))</f>
        <v>0.82897119936997599</v>
      </c>
      <c r="U162" s="5">
        <f>IF((ContinuousStatsTable[[#This Row],[RepsRequested]]&gt;1),ContinuousStatsTable[[#This Row],[HalfWidth]],ContinuousStatsTable[[#This Row],[BatchMeansHalfWidth]])</f>
        <v>3.0014600137344902E-2</v>
      </c>
    </row>
    <row r="163" spans="1:21" x14ac:dyDescent="0.25">
      <c r="A163" t="s">
        <v>67</v>
      </c>
      <c r="B163" t="s">
        <v>69</v>
      </c>
      <c r="C163">
        <v>9</v>
      </c>
      <c r="D163" t="s">
        <v>134</v>
      </c>
      <c r="E163" t="s">
        <v>138</v>
      </c>
      <c r="F163" t="s">
        <v>136</v>
      </c>
      <c r="G163">
        <v>1</v>
      </c>
      <c r="H163">
        <v>2E+20</v>
      </c>
      <c r="I163">
        <v>1</v>
      </c>
      <c r="J163">
        <v>1</v>
      </c>
      <c r="K163">
        <v>1</v>
      </c>
      <c r="L163">
        <v>0</v>
      </c>
      <c r="M16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ScheduledResource</v>
      </c>
      <c r="N163" s="5" cm="1">
        <f t="array" ref="N163">MAX(IF((ProjectInfoTable[ProjectName]=ContinuousStatsTable[[#This Row],[ProjectName]]),(ProjectInfoTable[ProjectName]=ContinuousStatsTable[[#This Row],[ProjectName]])*ProjectInfoTable[NumberOfReplications]))</f>
        <v>19</v>
      </c>
      <c r="O163" s="5" cm="1">
        <f t="array" ref="O163">IFERROR(AVERAGE(IF((ContinuousStatsTable[GroupByKey]=ContinuousStatsTable[[#This Row],[GroupByKey]]),(ContinuousStatsTable[GroupByKey]=ContinuousStatsTable[[#This Row],[GroupByKey]])*ContinuousStatsTable[Average])),0)</f>
        <v>1</v>
      </c>
      <c r="P163" s="5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0</v>
      </c>
      <c r="Q163" s="5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" s="5" cm="1">
        <f t="array" ref="S163">MIN(IF((ContinuousStatsTable[GroupByKey]=ContinuousStatsTable[[#This Row],[GroupByKey]]),(ContinuousStatsTable[GroupByKey]=ContinuousStatsTable[[#This Row],[GroupByKey]])*ContinuousStatsTable[Average]))</f>
        <v>1</v>
      </c>
      <c r="T163" s="5" cm="1">
        <f t="array" ref="T163">MAX(IF((ContinuousStatsTable[GroupByKey]=ContinuousStatsTable[[#This Row],[GroupByKey]]),(ContinuousStatsTable[GroupByKey]=ContinuousStatsTable[[#This Row],[GroupByKey]])*ContinuousStatsTable[Average]))</f>
        <v>1</v>
      </c>
      <c r="U163" s="5">
        <f>IF((ContinuousStatsTable[[#This Row],[RepsRequested]]&gt;1),ContinuousStatsTable[[#This Row],[HalfWidth]],ContinuousStatsTable[[#This Row],[BatchMeansHalfWidth]])</f>
        <v>0</v>
      </c>
    </row>
    <row r="164" spans="1:21" x14ac:dyDescent="0.25">
      <c r="A164" t="s">
        <v>67</v>
      </c>
      <c r="B164" t="s">
        <v>69</v>
      </c>
      <c r="C164">
        <v>9</v>
      </c>
      <c r="D164" t="s">
        <v>139</v>
      </c>
      <c r="E164" t="s">
        <v>135</v>
      </c>
      <c r="F164" t="s">
        <v>136</v>
      </c>
      <c r="G164">
        <v>0.73211488746139697</v>
      </c>
      <c r="H164">
        <v>2E+20</v>
      </c>
      <c r="I164">
        <v>0</v>
      </c>
      <c r="J164">
        <v>1</v>
      </c>
      <c r="K164">
        <v>1</v>
      </c>
      <c r="L164">
        <v>0</v>
      </c>
      <c r="M16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compartida)rCocinaInstantaneous UtilizationResource</v>
      </c>
      <c r="N164" s="5" cm="1">
        <f t="array" ref="N164">MAX(IF((ProjectInfoTable[ProjectName]=ContinuousStatsTable[[#This Row],[ProjectName]]),(ProjectInfoTable[ProjectName]=ContinuousStatsTable[[#This Row],[ProjectName]])*ProjectInfoTable[NumberOfReplications]))</f>
        <v>19</v>
      </c>
      <c r="O164" s="5" cm="1">
        <f t="array" ref="O164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164" s="5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164" s="5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164" s="5" cm="1">
        <f t="array" ref="S164">MIN(IF((ContinuousStatsTable[GroupByKey]=ContinuousStatsTable[[#This Row],[GroupByKey]]),(ContinuousStatsTable[GroupByKey]=ContinuousStatsTable[[#This Row],[GroupByKey]])*ContinuousStatsTable[Average]))</f>
        <v>0.60463940272025996</v>
      </c>
      <c r="T164" s="5" cm="1">
        <f t="array" ref="T164">MAX(IF((ContinuousStatsTable[GroupByKey]=ContinuousStatsTable[[#This Row],[GroupByKey]]),(ContinuousStatsTable[GroupByKey]=ContinuousStatsTable[[#This Row],[GroupByKey]])*ContinuousStatsTable[Average]))</f>
        <v>0.86361037821575004</v>
      </c>
      <c r="U164" s="5">
        <f>IF((ContinuousStatsTable[[#This Row],[RepsRequested]]&gt;1),ContinuousStatsTable[[#This Row],[HalfWidth]],ContinuousStatsTable[[#This Row],[BatchMeansHalfWidth]])</f>
        <v>3.4176212493127585E-2</v>
      </c>
    </row>
    <row r="165" spans="1:21" x14ac:dyDescent="0.25">
      <c r="A165" t="s">
        <v>67</v>
      </c>
      <c r="B165" t="s">
        <v>69</v>
      </c>
      <c r="C165">
        <v>9</v>
      </c>
      <c r="D165" t="s">
        <v>139</v>
      </c>
      <c r="E165" t="s">
        <v>137</v>
      </c>
      <c r="F165" t="s">
        <v>136</v>
      </c>
      <c r="G165">
        <v>0.73211488746139697</v>
      </c>
      <c r="H165">
        <v>2E+20</v>
      </c>
      <c r="I165">
        <v>0</v>
      </c>
      <c r="J165">
        <v>1</v>
      </c>
      <c r="K165">
        <v>1</v>
      </c>
      <c r="L165">
        <v>0</v>
      </c>
      <c r="M16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BusyResource</v>
      </c>
      <c r="N165" s="5" cm="1">
        <f t="array" ref="N165">MAX(IF((ProjectInfoTable[ProjectName]=ContinuousStatsTable[[#This Row],[ProjectName]]),(ProjectInfoTable[ProjectName]=ContinuousStatsTable[[#This Row],[ProjectName]])*ProjectInfoTable[NumberOfReplications]))</f>
        <v>19</v>
      </c>
      <c r="O165" s="5" cm="1">
        <f t="array" ref="O165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165" s="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165" s="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165" s="5" cm="1">
        <f t="array" ref="S165">MIN(IF((ContinuousStatsTable[GroupByKey]=ContinuousStatsTable[[#This Row],[GroupByKey]]),(ContinuousStatsTable[GroupByKey]=ContinuousStatsTable[[#This Row],[GroupByKey]])*ContinuousStatsTable[Average]))</f>
        <v>0.60463940272025996</v>
      </c>
      <c r="T165" s="5" cm="1">
        <f t="array" ref="T165">MAX(IF((ContinuousStatsTable[GroupByKey]=ContinuousStatsTable[[#This Row],[GroupByKey]]),(ContinuousStatsTable[GroupByKey]=ContinuousStatsTable[[#This Row],[GroupByKey]])*ContinuousStatsTable[Average]))</f>
        <v>0.86361037821575004</v>
      </c>
      <c r="U165" s="5">
        <f>IF((ContinuousStatsTable[[#This Row],[RepsRequested]]&gt;1),ContinuousStatsTable[[#This Row],[HalfWidth]],ContinuousStatsTable[[#This Row],[BatchMeansHalfWidth]])</f>
        <v>3.4176212493127585E-2</v>
      </c>
    </row>
    <row r="166" spans="1:21" x14ac:dyDescent="0.25">
      <c r="A166" t="s">
        <v>67</v>
      </c>
      <c r="B166" t="s">
        <v>69</v>
      </c>
      <c r="C166">
        <v>9</v>
      </c>
      <c r="D166" t="s">
        <v>139</v>
      </c>
      <c r="E166" t="s">
        <v>138</v>
      </c>
      <c r="F166" t="s">
        <v>136</v>
      </c>
      <c r="G166">
        <v>1</v>
      </c>
      <c r="H166">
        <v>2E+20</v>
      </c>
      <c r="I166">
        <v>1</v>
      </c>
      <c r="J166">
        <v>1</v>
      </c>
      <c r="K166">
        <v>1</v>
      </c>
      <c r="L166">
        <v>0</v>
      </c>
      <c r="M16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ScheduledResource</v>
      </c>
      <c r="N166" s="5" cm="1">
        <f t="array" ref="N166">MAX(IF((ProjectInfoTable[ProjectName]=ContinuousStatsTable[[#This Row],[ProjectName]]),(ProjectInfoTable[ProjectName]=ContinuousStatsTable[[#This Row],[ProjectName]])*ProjectInfoTable[NumberOfReplications]))</f>
        <v>19</v>
      </c>
      <c r="O166" s="5" cm="1">
        <f t="array" ref="O166">IFERROR(AVERAGE(IF((ContinuousStatsTable[GroupByKey]=ContinuousStatsTable[[#This Row],[GroupByKey]]),(ContinuousStatsTable[GroupByKey]=ContinuousStatsTable[[#This Row],[GroupByKey]])*ContinuousStatsTable[Average])),0)</f>
        <v>1</v>
      </c>
      <c r="P166" s="5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s="5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s="5" cm="1">
        <f t="array" ref="S166">MIN(IF((ContinuousStatsTable[GroupByKey]=ContinuousStatsTable[[#This Row],[GroupByKey]]),(ContinuousStatsTable[GroupByKey]=ContinuousStatsTable[[#This Row],[GroupByKey]])*ContinuousStatsTable[Average]))</f>
        <v>1</v>
      </c>
      <c r="T166" s="5" cm="1">
        <f t="array" ref="T166">MAX(IF((ContinuousStatsTable[GroupByKey]=ContinuousStatsTable[[#This Row],[GroupByKey]]),(ContinuousStatsTable[GroupByKey]=ContinuousStatsTable[[#This Row],[GroupByKey]])*ContinuousStatsTable[Average]))</f>
        <v>1</v>
      </c>
      <c r="U166" s="5">
        <f>IF((ContinuousStatsTable[[#This Row],[RepsRequested]]&gt;1),ContinuousStatsTable[[#This Row],[HalfWidth]],ContinuousStatsTable[[#This Row],[BatchMeansHalfWidth]])</f>
        <v>0</v>
      </c>
    </row>
    <row r="167" spans="1:21" x14ac:dyDescent="0.25">
      <c r="A167" t="s">
        <v>67</v>
      </c>
      <c r="B167" t="s">
        <v>69</v>
      </c>
      <c r="C167">
        <v>9</v>
      </c>
      <c r="D167" t="s">
        <v>140</v>
      </c>
      <c r="E167" t="s">
        <v>135</v>
      </c>
      <c r="F167" t="s">
        <v>136</v>
      </c>
      <c r="G167">
        <v>0.28949122695742902</v>
      </c>
      <c r="H167">
        <v>2E+20</v>
      </c>
      <c r="I167">
        <v>0</v>
      </c>
      <c r="J167">
        <v>1</v>
      </c>
      <c r="K167">
        <v>0.2</v>
      </c>
      <c r="L167">
        <v>0</v>
      </c>
      <c r="M16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compartida)rMesaInstantaneous UtilizationResource</v>
      </c>
      <c r="N167" s="5" cm="1">
        <f t="array" ref="N167">MAX(IF((ProjectInfoTable[ProjectName]=ContinuousStatsTable[[#This Row],[ProjectName]]),(ProjectInfoTable[ProjectName]=ContinuousStatsTable[[#This Row],[ProjectName]])*ProjectInfoTable[NumberOfReplications]))</f>
        <v>19</v>
      </c>
      <c r="O167" s="5" cm="1">
        <f t="array" ref="O167">IFERROR(AVERAGE(IF((ContinuousStatsTable[GroupByKey]=ContinuousStatsTable[[#This Row],[GroupByKey]]),(ContinuousStatsTable[GroupByKey]=ContinuousStatsTable[[#This Row],[GroupByKey]])*ContinuousStatsTable[Average])),0)</f>
        <v>0.30850610959128738</v>
      </c>
      <c r="P167" s="5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6.2586127702931413E-2</v>
      </c>
      <c r="Q167" s="5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3.0165547953177007E-2</v>
      </c>
      <c r="S167" s="5" cm="1">
        <f t="array" ref="S167">MIN(IF((ContinuousStatsTable[GroupByKey]=ContinuousStatsTable[[#This Row],[GroupByKey]]),(ContinuousStatsTable[GroupByKey]=ContinuousStatsTable[[#This Row],[GroupByKey]])*ContinuousStatsTable[Average]))</f>
        <v>0.156206445320244</v>
      </c>
      <c r="T167" s="5" cm="1">
        <f t="array" ref="T167">MAX(IF((ContinuousStatsTable[GroupByKey]=ContinuousStatsTable[[#This Row],[GroupByKey]]),(ContinuousStatsTable[GroupByKey]=ContinuousStatsTable[[#This Row],[GroupByKey]])*ContinuousStatsTable[Average]))</f>
        <v>0.44942505379986802</v>
      </c>
      <c r="U167" s="5">
        <f>IF((ContinuousStatsTable[[#This Row],[RepsRequested]]&gt;1),ContinuousStatsTable[[#This Row],[HalfWidth]],ContinuousStatsTable[[#This Row],[BatchMeansHalfWidth]])</f>
        <v>3.0165547953177007E-2</v>
      </c>
    </row>
    <row r="168" spans="1:21" x14ac:dyDescent="0.25">
      <c r="A168" t="s">
        <v>67</v>
      </c>
      <c r="B168" t="s">
        <v>69</v>
      </c>
      <c r="C168">
        <v>9</v>
      </c>
      <c r="D168" t="s">
        <v>140</v>
      </c>
      <c r="E168" t="s">
        <v>137</v>
      </c>
      <c r="F168" t="s">
        <v>136</v>
      </c>
      <c r="G168">
        <v>1.44745613478714</v>
      </c>
      <c r="H168">
        <v>2E+20</v>
      </c>
      <c r="I168">
        <v>0</v>
      </c>
      <c r="J168">
        <v>5</v>
      </c>
      <c r="K168">
        <v>1</v>
      </c>
      <c r="L168">
        <v>0</v>
      </c>
      <c r="M16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BusyResource</v>
      </c>
      <c r="N168" s="5" cm="1">
        <f t="array" ref="N168">MAX(IF((ProjectInfoTable[ProjectName]=ContinuousStatsTable[[#This Row],[ProjectName]]),(ProjectInfoTable[ProjectName]=ContinuousStatsTable[[#This Row],[ProjectName]])*ProjectInfoTable[NumberOfReplications]))</f>
        <v>19</v>
      </c>
      <c r="O168" s="5" cm="1">
        <f t="array" ref="O168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168" s="5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168" s="5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168" s="5" cm="1">
        <f t="array" ref="S168">MIN(IF((ContinuousStatsTable[GroupByKey]=ContinuousStatsTable[[#This Row],[GroupByKey]]),(ContinuousStatsTable[GroupByKey]=ContinuousStatsTable[[#This Row],[GroupByKey]])*ContinuousStatsTable[Average]))</f>
        <v>0.78103222660121896</v>
      </c>
      <c r="T168" s="5" cm="1">
        <f t="array" ref="T168">MAX(IF((ContinuousStatsTable[GroupByKey]=ContinuousStatsTable[[#This Row],[GroupByKey]]),(ContinuousStatsTable[GroupByKey]=ContinuousStatsTable[[#This Row],[GroupByKey]])*ContinuousStatsTable[Average]))</f>
        <v>2.2471252689993402</v>
      </c>
      <c r="U168" s="5">
        <f>IF((ContinuousStatsTable[[#This Row],[RepsRequested]]&gt;1),ContinuousStatsTable[[#This Row],[HalfWidth]],ContinuousStatsTable[[#This Row],[BatchMeansHalfWidth]])</f>
        <v>0.15082773976588459</v>
      </c>
    </row>
    <row r="169" spans="1:21" x14ac:dyDescent="0.25">
      <c r="A169" t="s">
        <v>67</v>
      </c>
      <c r="B169" t="s">
        <v>69</v>
      </c>
      <c r="C169">
        <v>9</v>
      </c>
      <c r="D169" t="s">
        <v>140</v>
      </c>
      <c r="E169" t="s">
        <v>138</v>
      </c>
      <c r="F169" t="s">
        <v>136</v>
      </c>
      <c r="G169">
        <v>5</v>
      </c>
      <c r="H169">
        <v>2E+20</v>
      </c>
      <c r="I169">
        <v>5</v>
      </c>
      <c r="J169">
        <v>5</v>
      </c>
      <c r="K169">
        <v>5</v>
      </c>
      <c r="L169">
        <v>0</v>
      </c>
      <c r="M16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ScheduledResource</v>
      </c>
      <c r="N169" s="5" cm="1">
        <f t="array" ref="N169">MAX(IF((ProjectInfoTable[ProjectName]=ContinuousStatsTable[[#This Row],[ProjectName]]),(ProjectInfoTable[ProjectName]=ContinuousStatsTable[[#This Row],[ProjectName]])*ProjectInfoTable[NumberOfReplications]))</f>
        <v>19</v>
      </c>
      <c r="O169" s="5" cm="1">
        <f t="array" ref="O169">IFERROR(AVERAGE(IF((ContinuousStatsTable[GroupByKey]=ContinuousStatsTable[[#This Row],[GroupByKey]]),(ContinuousStatsTable[GroupByKey]=ContinuousStatsTable[[#This Row],[GroupByKey]])*ContinuousStatsTable[Average])),0)</f>
        <v>5</v>
      </c>
      <c r="P169" s="5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0</v>
      </c>
      <c r="Q169" s="5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9" s="5" cm="1">
        <f t="array" ref="S169">MIN(IF((ContinuousStatsTable[GroupByKey]=ContinuousStatsTable[[#This Row],[GroupByKey]]),(ContinuousStatsTable[GroupByKey]=ContinuousStatsTable[[#This Row],[GroupByKey]])*ContinuousStatsTable[Average]))</f>
        <v>5</v>
      </c>
      <c r="T169" s="5" cm="1">
        <f t="array" ref="T169">MAX(IF((ContinuousStatsTable[GroupByKey]=ContinuousStatsTable[[#This Row],[GroupByKey]]),(ContinuousStatsTable[GroupByKey]=ContinuousStatsTable[[#This Row],[GroupByKey]])*ContinuousStatsTable[Average]))</f>
        <v>5</v>
      </c>
      <c r="U169" s="5">
        <f>IF((ContinuousStatsTable[[#This Row],[RepsRequested]]&gt;1),ContinuousStatsTable[[#This Row],[HalfWidth]],ContinuousStatsTable[[#This Row],[BatchMeansHalfWidth]])</f>
        <v>0</v>
      </c>
    </row>
    <row r="170" spans="1:21" x14ac:dyDescent="0.25">
      <c r="A170" t="s">
        <v>67</v>
      </c>
      <c r="B170" t="s">
        <v>69</v>
      </c>
      <c r="C170">
        <v>9</v>
      </c>
      <c r="D170" t="s">
        <v>127</v>
      </c>
      <c r="E170" t="s">
        <v>129</v>
      </c>
      <c r="F170" t="s">
        <v>72</v>
      </c>
      <c r="G170">
        <v>0</v>
      </c>
      <c r="H170">
        <v>2E+20</v>
      </c>
      <c r="I170">
        <v>0</v>
      </c>
      <c r="J170">
        <v>1</v>
      </c>
      <c r="K170">
        <v>0</v>
      </c>
      <c r="L170">
        <v>0</v>
      </c>
      <c r="M17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compartida)relojWIPEntity</v>
      </c>
      <c r="N170" s="5" cm="1">
        <f t="array" ref="N170">MAX(IF((ProjectInfoTable[ProjectName]=ContinuousStatsTable[[#This Row],[ProjectName]]),(ProjectInfoTable[ProjectName]=ContinuousStatsTable[[#This Row],[ProjectName]])*ProjectInfoTable[NumberOfReplications]))</f>
        <v>19</v>
      </c>
      <c r="O170" s="5" cm="1">
        <f t="array" ref="O170">IFERROR(AVERAGE(IF((ContinuousStatsTable[GroupByKey]=ContinuousStatsTable[[#This Row],[GroupByKey]]),(ContinuousStatsTable[GroupByKey]=ContinuousStatsTable[[#This Row],[GroupByKey]])*ContinuousStatsTable[Average])),0)</f>
        <v>0</v>
      </c>
      <c r="P170" s="5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0</v>
      </c>
      <c r="Q170" s="5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0" s="5" cm="1">
        <f t="array" ref="S170">MIN(IF((ContinuousStatsTable[GroupByKey]=ContinuousStatsTable[[#This Row],[GroupByKey]]),(ContinuousStatsTable[GroupByKey]=ContinuousStatsTable[[#This Row],[GroupByKey]])*ContinuousStatsTable[Average]))</f>
        <v>0</v>
      </c>
      <c r="T170" s="5" cm="1">
        <f t="array" ref="T170">MAX(IF((ContinuousStatsTable[GroupByKey]=ContinuousStatsTable[[#This Row],[GroupByKey]]),(ContinuousStatsTable[GroupByKey]=ContinuousStatsTable[[#This Row],[GroupByKey]])*ContinuousStatsTable[Average]))</f>
        <v>0</v>
      </c>
      <c r="U170" s="5">
        <f>IF((ContinuousStatsTable[[#This Row],[RepsRequested]]&gt;1),ContinuousStatsTable[[#This Row],[HalfWidth]],ContinuousStatsTable[[#This Row],[BatchMeansHalfWidth]])</f>
        <v>0</v>
      </c>
    </row>
    <row r="171" spans="1:21" x14ac:dyDescent="0.25">
      <c r="A171" t="s">
        <v>67</v>
      </c>
      <c r="B171" t="s">
        <v>69</v>
      </c>
      <c r="C171">
        <v>9</v>
      </c>
      <c r="D171" t="s">
        <v>141</v>
      </c>
      <c r="E171" t="s">
        <v>142</v>
      </c>
      <c r="F171" t="s">
        <v>80</v>
      </c>
      <c r="G171">
        <v>3.4816314812850901</v>
      </c>
      <c r="H171">
        <v>2E+20</v>
      </c>
      <c r="I171">
        <v>0</v>
      </c>
      <c r="J171">
        <v>8</v>
      </c>
      <c r="K171">
        <v>5</v>
      </c>
      <c r="L171">
        <v>0</v>
      </c>
      <c r="M17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compartida)vClientesEnSistemaVariableUser Specified</v>
      </c>
      <c r="N171" s="5" cm="1">
        <f t="array" ref="N171">MAX(IF((ProjectInfoTable[ProjectName]=ContinuousStatsTable[[#This Row],[ProjectName]]),(ProjectInfoTable[ProjectName]=ContinuousStatsTable[[#This Row],[ProjectName]])*ProjectInfoTable[NumberOfReplications]))</f>
        <v>19</v>
      </c>
      <c r="O171" s="5" cm="1">
        <f t="array" ref="O171">IFERROR(AVERAGE(IF((ContinuousStatsTable[GroupByKey]=ContinuousStatsTable[[#This Row],[GroupByKey]]),(ContinuousStatsTable[GroupByKey]=ContinuousStatsTable[[#This Row],[GroupByKey]])*ContinuousStatsTable[Average])),0)</f>
        <v>4.0733776306724412</v>
      </c>
      <c r="P171" s="5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1.3190004331473169</v>
      </c>
      <c r="Q171" s="5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0.63573785879874822</v>
      </c>
      <c r="S171" s="5" cm="1">
        <f t="array" ref="S171">MIN(IF((ContinuousStatsTable[GroupByKey]=ContinuousStatsTable[[#This Row],[GroupByKey]]),(ContinuousStatsTable[GroupByKey]=ContinuousStatsTable[[#This Row],[GroupByKey]])*ContinuousStatsTable[Average]))</f>
        <v>2.7964405882205599</v>
      </c>
      <c r="T171" s="5" cm="1">
        <f t="array" ref="T171">MAX(IF((ContinuousStatsTable[GroupByKey]=ContinuousStatsTable[[#This Row],[GroupByKey]]),(ContinuousStatsTable[GroupByKey]=ContinuousStatsTable[[#This Row],[GroupByKey]])*ContinuousStatsTable[Average]))</f>
        <v>8.8656011818609901</v>
      </c>
      <c r="U171" s="5">
        <f>IF((ContinuousStatsTable[[#This Row],[RepsRequested]]&gt;1),ContinuousStatsTable[[#This Row],[HalfWidth]],ContinuousStatsTable[[#This Row],[BatchMeansHalfWidth]])</f>
        <v>0.63573785879874822</v>
      </c>
    </row>
    <row r="172" spans="1:21" x14ac:dyDescent="0.25">
      <c r="A172" t="s">
        <v>67</v>
      </c>
      <c r="B172" t="s">
        <v>69</v>
      </c>
      <c r="C172">
        <v>9</v>
      </c>
      <c r="D172" t="s">
        <v>143</v>
      </c>
      <c r="E172" t="s">
        <v>142</v>
      </c>
      <c r="F172" t="s">
        <v>80</v>
      </c>
      <c r="G172">
        <v>3.55254386521286</v>
      </c>
      <c r="H172">
        <v>2E+20</v>
      </c>
      <c r="I172">
        <v>0</v>
      </c>
      <c r="J172">
        <v>5</v>
      </c>
      <c r="K172">
        <v>4</v>
      </c>
      <c r="L172">
        <v>0</v>
      </c>
      <c r="M17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compartida)vMesasLibresVariableUser Specified</v>
      </c>
      <c r="N172" s="5" cm="1">
        <f t="array" ref="N172">MAX(IF((ProjectInfoTable[ProjectName]=ContinuousStatsTable[[#This Row],[ProjectName]]),(ProjectInfoTable[ProjectName]=ContinuousStatsTable[[#This Row],[ProjectName]])*ProjectInfoTable[NumberOfReplications]))</f>
        <v>19</v>
      </c>
      <c r="O172" s="5" cm="1">
        <f t="array" ref="O172">IFERROR(AVERAGE(IF((ContinuousStatsTable[GroupByKey]=ContinuousStatsTable[[#This Row],[GroupByKey]]),(ContinuousStatsTable[GroupByKey]=ContinuousStatsTable[[#This Row],[GroupByKey]])*ContinuousStatsTable[Average])),0)</f>
        <v>3.457469452043564</v>
      </c>
      <c r="P172" s="5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0.31293063851465691</v>
      </c>
      <c r="Q172" s="5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0.15082773976588496</v>
      </c>
      <c r="S172" s="5" cm="1">
        <f t="array" ref="S172">MIN(IF((ContinuousStatsTable[GroupByKey]=ContinuousStatsTable[[#This Row],[GroupByKey]]),(ContinuousStatsTable[GroupByKey]=ContinuousStatsTable[[#This Row],[GroupByKey]])*ContinuousStatsTable[Average]))</f>
        <v>2.7528747310006598</v>
      </c>
      <c r="T172" s="5" cm="1">
        <f t="array" ref="T172">MAX(IF((ContinuousStatsTable[GroupByKey]=ContinuousStatsTable[[#This Row],[GroupByKey]]),(ContinuousStatsTable[GroupByKey]=ContinuousStatsTable[[#This Row],[GroupByKey]])*ContinuousStatsTable[Average]))</f>
        <v>4.2189677733987798</v>
      </c>
      <c r="U172" s="5">
        <f>IF((ContinuousStatsTable[[#This Row],[RepsRequested]]&gt;1),ContinuousStatsTable[[#This Row],[HalfWidth]],ContinuousStatsTable[[#This Row],[BatchMeansHalfWidth]])</f>
        <v>0.15082773976588496</v>
      </c>
    </row>
    <row r="173" spans="1:21" x14ac:dyDescent="0.25">
      <c r="A173" t="s">
        <v>67</v>
      </c>
      <c r="B173" t="s">
        <v>69</v>
      </c>
      <c r="C173">
        <v>10</v>
      </c>
      <c r="D173" t="s">
        <v>70</v>
      </c>
      <c r="E173" t="s">
        <v>129</v>
      </c>
      <c r="F173" t="s">
        <v>72</v>
      </c>
      <c r="G173">
        <v>7.4275005144937198</v>
      </c>
      <c r="H173">
        <v>3E+20</v>
      </c>
      <c r="I173">
        <v>0</v>
      </c>
      <c r="J173">
        <v>18</v>
      </c>
      <c r="K173">
        <v>4</v>
      </c>
      <c r="L173">
        <v>0</v>
      </c>
      <c r="M17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compartida)ClienteWIPEntity</v>
      </c>
      <c r="N173" s="5" cm="1">
        <f t="array" ref="N173">MAX(IF((ProjectInfoTable[ProjectName]=ContinuousStatsTable[[#This Row],[ProjectName]]),(ProjectInfoTable[ProjectName]=ContinuousStatsTable[[#This Row],[ProjectName]])*ProjectInfoTable[NumberOfReplications]))</f>
        <v>19</v>
      </c>
      <c r="O173" s="5" cm="1">
        <f t="array" ref="O173">IFERROR(AVERAGE(IF((ContinuousStatsTable[GroupByKey]=ContinuousStatsTable[[#This Row],[GroupByKey]]),(ContinuousStatsTable[GroupByKey]=ContinuousStatsTable[[#This Row],[GroupByKey]])*ContinuousStatsTable[Average])),0)</f>
        <v>5.695207969173218</v>
      </c>
      <c r="P173" s="5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1.5293712224665061</v>
      </c>
      <c r="Q173" s="5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0.7371333335799507</v>
      </c>
      <c r="S173" s="5" cm="1">
        <f t="array" ref="S173">MIN(IF((ContinuousStatsTable[GroupByKey]=ContinuousStatsTable[[#This Row],[GroupByKey]]),(ContinuousStatsTable[GroupByKey]=ContinuousStatsTable[[#This Row],[GroupByKey]])*ContinuousStatsTable[Average]))</f>
        <v>3.6484308227805702</v>
      </c>
      <c r="T173" s="5" cm="1">
        <f t="array" ref="T173">MAX(IF((ContinuousStatsTable[GroupByKey]=ContinuousStatsTable[[#This Row],[GroupByKey]]),(ContinuousStatsTable[GroupByKey]=ContinuousStatsTable[[#This Row],[GroupByKey]])*ContinuousStatsTable[Average]))</f>
        <v>10.9337547677616</v>
      </c>
      <c r="U173" s="5">
        <f>IF((ContinuousStatsTable[[#This Row],[RepsRequested]]&gt;1),ContinuousStatsTable[[#This Row],[HalfWidth]],ContinuousStatsTable[[#This Row],[BatchMeansHalfWidth]])</f>
        <v>0.7371333335799507</v>
      </c>
    </row>
    <row r="174" spans="1:21" x14ac:dyDescent="0.25">
      <c r="A174" t="s">
        <v>67</v>
      </c>
      <c r="B174" t="s">
        <v>69</v>
      </c>
      <c r="C174">
        <v>10</v>
      </c>
      <c r="D174" t="s">
        <v>89</v>
      </c>
      <c r="E174" t="s">
        <v>130</v>
      </c>
      <c r="F174" t="s">
        <v>91</v>
      </c>
      <c r="G174">
        <v>0</v>
      </c>
      <c r="H174">
        <v>2E+20</v>
      </c>
      <c r="I174">
        <v>0</v>
      </c>
      <c r="J174">
        <v>0</v>
      </c>
      <c r="K174">
        <v>0</v>
      </c>
      <c r="L174">
        <v>0</v>
      </c>
      <c r="M17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compartida)Comer en Mesa.QueueNumber WaitingQueue</v>
      </c>
      <c r="N174" s="5" cm="1">
        <f t="array" ref="N174">MAX(IF((ProjectInfoTable[ProjectName]=ContinuousStatsTable[[#This Row],[ProjectName]]),(ProjectInfoTable[ProjectName]=ContinuousStatsTable[[#This Row],[ProjectName]])*ProjectInfoTable[NumberOfReplications]))</f>
        <v>19</v>
      </c>
      <c r="O174" s="5" cm="1">
        <f t="array" ref="O174">IFERROR(AVERAGE(IF((ContinuousStatsTable[GroupByKey]=ContinuousStatsTable[[#This Row],[GroupByKey]]),(ContinuousStatsTable[GroupByKey]=ContinuousStatsTable[[#This Row],[GroupByKey]])*ContinuousStatsTable[Average])),0)</f>
        <v>0</v>
      </c>
      <c r="P174" s="5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0</v>
      </c>
      <c r="Q174" s="5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" s="5" cm="1">
        <f t="array" ref="S174">MIN(IF((ContinuousStatsTable[GroupByKey]=ContinuousStatsTable[[#This Row],[GroupByKey]]),(ContinuousStatsTable[GroupByKey]=ContinuousStatsTable[[#This Row],[GroupByKey]])*ContinuousStatsTable[Average]))</f>
        <v>0</v>
      </c>
      <c r="T174" s="5" cm="1">
        <f t="array" ref="T174">MAX(IF((ContinuousStatsTable[GroupByKey]=ContinuousStatsTable[[#This Row],[GroupByKey]]),(ContinuousStatsTable[GroupByKey]=ContinuousStatsTable[[#This Row],[GroupByKey]])*ContinuousStatsTable[Average]))</f>
        <v>0</v>
      </c>
      <c r="U174" s="5">
        <f>IF((ContinuousStatsTable[[#This Row],[RepsRequested]]&gt;1),ContinuousStatsTable[[#This Row],[HalfWidth]],ContinuousStatsTable[[#This Row],[BatchMeansHalfWidth]])</f>
        <v>0</v>
      </c>
    </row>
    <row r="175" spans="1:21" x14ac:dyDescent="0.25">
      <c r="A175" t="s">
        <v>67</v>
      </c>
      <c r="B175" t="s">
        <v>69</v>
      </c>
      <c r="C175">
        <v>10</v>
      </c>
      <c r="D175" t="s">
        <v>92</v>
      </c>
      <c r="E175" t="s">
        <v>130</v>
      </c>
      <c r="F175" t="s">
        <v>91</v>
      </c>
      <c r="G175">
        <v>1.61393838334592</v>
      </c>
      <c r="H175">
        <v>2E+20</v>
      </c>
      <c r="I175">
        <v>0</v>
      </c>
      <c r="J175">
        <v>8</v>
      </c>
      <c r="K175">
        <v>0</v>
      </c>
      <c r="L175">
        <v>0</v>
      </c>
      <c r="M17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compartida)Entrega pedido.QueueNumber WaitingQueue</v>
      </c>
      <c r="N175" s="5" cm="1">
        <f t="array" ref="N175">MAX(IF((ProjectInfoTable[ProjectName]=ContinuousStatsTable[[#This Row],[ProjectName]]),(ProjectInfoTable[ProjectName]=ContinuousStatsTable[[#This Row],[ProjectName]])*ProjectInfoTable[NumberOfReplications]))</f>
        <v>19</v>
      </c>
      <c r="O175" s="5" cm="1">
        <f t="array" ref="O175">IFERROR(AVERAGE(IF((ContinuousStatsTable[GroupByKey]=ContinuousStatsTable[[#This Row],[GroupByKey]]),(ContinuousStatsTable[GroupByKey]=ContinuousStatsTable[[#This Row],[GroupByKey]])*ContinuousStatsTable[Average])),0)</f>
        <v>1.4415832090470244</v>
      </c>
      <c r="P175" s="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0.61323545266973079</v>
      </c>
      <c r="Q175" s="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0.29557002698587687</v>
      </c>
      <c r="S175" s="5" cm="1">
        <f t="array" ref="S175">MIN(IF((ContinuousStatsTable[GroupByKey]=ContinuousStatsTable[[#This Row],[GroupByKey]]),(ContinuousStatsTable[GroupByKey]=ContinuousStatsTable[[#This Row],[GroupByKey]])*ContinuousStatsTable[Average]))</f>
        <v>0.95119347509060603</v>
      </c>
      <c r="T175" s="5" cm="1">
        <f t="array" ref="T175">MAX(IF((ContinuousStatsTable[GroupByKey]=ContinuousStatsTable[[#This Row],[GroupByKey]]),(ContinuousStatsTable[GroupByKey]=ContinuousStatsTable[[#This Row],[GroupByKey]])*ContinuousStatsTable[Average]))</f>
        <v>3.71511779664222</v>
      </c>
      <c r="U175" s="5">
        <f>IF((ContinuousStatsTable[[#This Row],[RepsRequested]]&gt;1),ContinuousStatsTable[[#This Row],[HalfWidth]],ContinuousStatsTable[[#This Row],[BatchMeansHalfWidth]])</f>
        <v>0.29557002698587687</v>
      </c>
    </row>
    <row r="176" spans="1:21" x14ac:dyDescent="0.25">
      <c r="A176" t="s">
        <v>67</v>
      </c>
      <c r="B176" t="s">
        <v>69</v>
      </c>
      <c r="C176">
        <v>10</v>
      </c>
      <c r="D176" t="s">
        <v>131</v>
      </c>
      <c r="E176" t="s">
        <v>129</v>
      </c>
      <c r="F176" t="s">
        <v>72</v>
      </c>
      <c r="G176">
        <v>3.9693969856786002</v>
      </c>
      <c r="H176">
        <v>2E+20</v>
      </c>
      <c r="I176">
        <v>0</v>
      </c>
      <c r="J176">
        <v>11</v>
      </c>
      <c r="K176">
        <v>2</v>
      </c>
      <c r="L176">
        <v>0</v>
      </c>
      <c r="M17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compartida)OrdenWIPEntity</v>
      </c>
      <c r="N176" s="5" cm="1">
        <f t="array" ref="N176">MAX(IF((ProjectInfoTable[ProjectName]=ContinuousStatsTable[[#This Row],[ProjectName]]),(ProjectInfoTable[ProjectName]=ContinuousStatsTable[[#This Row],[ProjectName]])*ProjectInfoTable[NumberOfReplications]))</f>
        <v>19</v>
      </c>
      <c r="O176" s="5" cm="1">
        <f t="array" ref="O176">IFERROR(AVERAGE(IF((ContinuousStatsTable[GroupByKey]=ContinuousStatsTable[[#This Row],[GroupByKey]]),(ContinuousStatsTable[GroupByKey]=ContinuousStatsTable[[#This Row],[GroupByKey]])*ContinuousStatsTable[Average])),0)</f>
        <v>3.0972744691234286</v>
      </c>
      <c r="P176" s="5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0.7960145604449721</v>
      </c>
      <c r="Q176" s="5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0.38366673695655462</v>
      </c>
      <c r="S176" s="5" cm="1">
        <f t="array" ref="S176">MIN(IF((ContinuousStatsTable[GroupByKey]=ContinuousStatsTable[[#This Row],[GroupByKey]]),(ContinuousStatsTable[GroupByKey]=ContinuousStatsTable[[#This Row],[GroupByKey]])*ContinuousStatsTable[Average]))</f>
        <v>2.0609398302211299</v>
      </c>
      <c r="T176" s="5" cm="1">
        <f t="array" ref="T176">MAX(IF((ContinuousStatsTable[GroupByKey]=ContinuousStatsTable[[#This Row],[GroupByKey]]),(ContinuousStatsTable[GroupByKey]=ContinuousStatsTable[[#This Row],[GroupByKey]])*ContinuousStatsTable[Average]))</f>
        <v>5.8229936047650703</v>
      </c>
      <c r="U176" s="5">
        <f>IF((ContinuousStatsTable[[#This Row],[RepsRequested]]&gt;1),ContinuousStatsTable[[#This Row],[HalfWidth]],ContinuousStatsTable[[#This Row],[BatchMeansHalfWidth]])</f>
        <v>0.38366673695655462</v>
      </c>
    </row>
    <row r="177" spans="1:21" x14ac:dyDescent="0.25">
      <c r="A177" t="s">
        <v>67</v>
      </c>
      <c r="B177" t="s">
        <v>69</v>
      </c>
      <c r="C177">
        <v>10</v>
      </c>
      <c r="D177" t="s">
        <v>99</v>
      </c>
      <c r="E177" t="s">
        <v>130</v>
      </c>
      <c r="F177" t="s">
        <v>91</v>
      </c>
      <c r="G177">
        <v>0.66807779026997405</v>
      </c>
      <c r="H177">
        <v>2E+20</v>
      </c>
      <c r="I177">
        <v>0</v>
      </c>
      <c r="J177">
        <v>5</v>
      </c>
      <c r="K177">
        <v>0</v>
      </c>
      <c r="L177">
        <v>0</v>
      </c>
      <c r="M17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compartida)Pasar a Caja.QueueNumber WaitingQueue</v>
      </c>
      <c r="N177" s="5" cm="1">
        <f t="array" ref="N177">MAX(IF((ProjectInfoTable[ProjectName]=ContinuousStatsTable[[#This Row],[ProjectName]]),(ProjectInfoTable[ProjectName]=ContinuousStatsTable[[#This Row],[ProjectName]])*ProjectInfoTable[NumberOfReplications]))</f>
        <v>19</v>
      </c>
      <c r="O177" s="5" cm="1">
        <f t="array" ref="O177">IFERROR(AVERAGE(IF((ContinuousStatsTable[GroupByKey]=ContinuousStatsTable[[#This Row],[GroupByKey]]),(ContinuousStatsTable[GroupByKey]=ContinuousStatsTable[[#This Row],[GroupByKey]])*ContinuousStatsTable[Average])),0)</f>
        <v>0.5234663348541454</v>
      </c>
      <c r="P177" s="5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0.51706251909874834</v>
      </c>
      <c r="Q177" s="5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0.24921615679273348</v>
      </c>
      <c r="S177" s="5" cm="1">
        <f t="array" ref="S177">MIN(IF((ContinuousStatsTable[GroupByKey]=ContinuousStatsTable[[#This Row],[GroupByKey]]),(ContinuousStatsTable[GroupByKey]=ContinuousStatsTable[[#This Row],[GroupByKey]])*ContinuousStatsTable[Average]))</f>
        <v>0.17506464523350199</v>
      </c>
      <c r="T177" s="5" cm="1">
        <f t="array" ref="T177">MAX(IF((ContinuousStatsTable[GroupByKey]=ContinuousStatsTable[[#This Row],[GroupByKey]]),(ContinuousStatsTable[GroupByKey]=ContinuousStatsTable[[#This Row],[GroupByKey]])*ContinuousStatsTable[Average]))</f>
        <v>2.4783528335268201</v>
      </c>
      <c r="U177" s="5">
        <f>IF((ContinuousStatsTable[[#This Row],[RepsRequested]]&gt;1),ContinuousStatsTable[[#This Row],[HalfWidth]],ContinuousStatsTable[[#This Row],[BatchMeansHalfWidth]])</f>
        <v>0.24921615679273348</v>
      </c>
    </row>
    <row r="178" spans="1:21" x14ac:dyDescent="0.25">
      <c r="A178" t="s">
        <v>67</v>
      </c>
      <c r="B178" t="s">
        <v>69</v>
      </c>
      <c r="C178">
        <v>10</v>
      </c>
      <c r="D178" t="s">
        <v>104</v>
      </c>
      <c r="E178" t="s">
        <v>130</v>
      </c>
      <c r="F178" t="s">
        <v>91</v>
      </c>
      <c r="G178">
        <v>0.60120325146819698</v>
      </c>
      <c r="H178">
        <v>2E+20</v>
      </c>
      <c r="I178">
        <v>0</v>
      </c>
      <c r="J178">
        <v>5</v>
      </c>
      <c r="K178">
        <v>0</v>
      </c>
      <c r="L178">
        <v>0</v>
      </c>
      <c r="M17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compartida)Preparacion.QueueNumber WaitingQueue</v>
      </c>
      <c r="N178" s="5" cm="1">
        <f t="array" ref="N178">MAX(IF((ProjectInfoTable[ProjectName]=ContinuousStatsTable[[#This Row],[ProjectName]]),(ProjectInfoTable[ProjectName]=ContinuousStatsTable[[#This Row],[ProjectName]])*ProjectInfoTable[NumberOfReplications]))</f>
        <v>19</v>
      </c>
      <c r="O178" s="5" cm="1">
        <f t="array" ref="O178">IFERROR(AVERAGE(IF((ContinuousStatsTable[GroupByKey]=ContinuousStatsTable[[#This Row],[GroupByKey]]),(ContinuousStatsTable[GroupByKey]=ContinuousStatsTable[[#This Row],[GroupByKey]])*ContinuousStatsTable[Average])),0)</f>
        <v>0.48138063122984937</v>
      </c>
      <c r="P178" s="5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0.5430727934303009</v>
      </c>
      <c r="Q178" s="5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0.26175270772536113</v>
      </c>
      <c r="S178" s="5" cm="1">
        <f t="array" ref="S178">MIN(IF((ContinuousStatsTable[GroupByKey]=ContinuousStatsTable[[#This Row],[GroupByKey]]),(ContinuousStatsTable[GroupByKey]=ContinuousStatsTable[[#This Row],[GroupByKey]])*ContinuousStatsTable[Average]))</f>
        <v>0.13383910219346701</v>
      </c>
      <c r="T178" s="5" cm="1">
        <f t="array" ref="T178">MAX(IF((ContinuousStatsTable[GroupByKey]=ContinuousStatsTable[[#This Row],[GroupByKey]]),(ContinuousStatsTable[GroupByKey]=ContinuousStatsTable[[#This Row],[GroupByKey]])*ContinuousStatsTable[Average]))</f>
        <v>2.5739205922552402</v>
      </c>
      <c r="U178" s="5">
        <f>IF((ContinuousStatsTable[[#This Row],[RepsRequested]]&gt;1),ContinuousStatsTable[[#This Row],[HalfWidth]],ContinuousStatsTable[[#This Row],[BatchMeansHalfWidth]])</f>
        <v>0.26175270772536113</v>
      </c>
    </row>
    <row r="179" spans="1:21" x14ac:dyDescent="0.25">
      <c r="A179" t="s">
        <v>67</v>
      </c>
      <c r="B179" t="s">
        <v>69</v>
      </c>
      <c r="C179">
        <v>10</v>
      </c>
      <c r="D179" t="s">
        <v>132</v>
      </c>
      <c r="E179" t="s">
        <v>133</v>
      </c>
      <c r="F179" t="s">
        <v>80</v>
      </c>
      <c r="G179">
        <v>2.2471252689993402</v>
      </c>
      <c r="H179">
        <v>2E+20</v>
      </c>
      <c r="I179">
        <v>0</v>
      </c>
      <c r="J179">
        <v>5</v>
      </c>
      <c r="K179">
        <v>2</v>
      </c>
      <c r="L179">
        <v>0</v>
      </c>
      <c r="M17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compartida)TP_MesasTime PersistentUser Specified</v>
      </c>
      <c r="N179" s="5" cm="1">
        <f t="array" ref="N179">MAX(IF((ProjectInfoTable[ProjectName]=ContinuousStatsTable[[#This Row],[ProjectName]]),(ProjectInfoTable[ProjectName]=ContinuousStatsTable[[#This Row],[ProjectName]])*ProjectInfoTable[NumberOfReplications]))</f>
        <v>19</v>
      </c>
      <c r="O179" s="5" cm="1">
        <f t="array" ref="O179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179" s="5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179" s="5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179" s="5" cm="1">
        <f t="array" ref="S179">MIN(IF((ContinuousStatsTable[GroupByKey]=ContinuousStatsTable[[#This Row],[GroupByKey]]),(ContinuousStatsTable[GroupByKey]=ContinuousStatsTable[[#This Row],[GroupByKey]])*ContinuousStatsTable[Average]))</f>
        <v>0.78103222660121896</v>
      </c>
      <c r="T179" s="5" cm="1">
        <f t="array" ref="T179">MAX(IF((ContinuousStatsTable[GroupByKey]=ContinuousStatsTable[[#This Row],[GroupByKey]]),(ContinuousStatsTable[GroupByKey]=ContinuousStatsTable[[#This Row],[GroupByKey]])*ContinuousStatsTable[Average]))</f>
        <v>2.2471252689993402</v>
      </c>
      <c r="U179" s="5">
        <f>IF((ContinuousStatsTable[[#This Row],[RepsRequested]]&gt;1),ContinuousStatsTable[[#This Row],[HalfWidth]],ContinuousStatsTable[[#This Row],[BatchMeansHalfWidth]])</f>
        <v>0.15082773976588459</v>
      </c>
    </row>
    <row r="180" spans="1:21" x14ac:dyDescent="0.25">
      <c r="A180" t="s">
        <v>67</v>
      </c>
      <c r="B180" t="s">
        <v>69</v>
      </c>
      <c r="C180">
        <v>10</v>
      </c>
      <c r="D180" t="s">
        <v>134</v>
      </c>
      <c r="E180" t="s">
        <v>135</v>
      </c>
      <c r="F180" t="s">
        <v>136</v>
      </c>
      <c r="G180">
        <v>0.73240339248557995</v>
      </c>
      <c r="H180">
        <v>2E+20</v>
      </c>
      <c r="I180">
        <v>0</v>
      </c>
      <c r="J180">
        <v>1</v>
      </c>
      <c r="K180">
        <v>0</v>
      </c>
      <c r="L180">
        <v>0</v>
      </c>
      <c r="M18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compartida)rCajeroInstantaneous UtilizationResource</v>
      </c>
      <c r="N180" s="5" cm="1">
        <f t="array" ref="N180">MAX(IF((ProjectInfoTable[ProjectName]=ContinuousStatsTable[[#This Row],[ProjectName]]),(ProjectInfoTable[ProjectName]=ContinuousStatsTable[[#This Row],[ProjectName]])*ProjectInfoTable[NumberOfReplications]))</f>
        <v>19</v>
      </c>
      <c r="O180" s="5" cm="1">
        <f t="array" ref="O180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180" s="5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6.2272947935973086E-2</v>
      </c>
      <c r="Q180" s="5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3.0014600137344912E-2</v>
      </c>
      <c r="S180" s="5" cm="1">
        <f t="array" ref="S180">MIN(IF((ContinuousStatsTable[GroupByKey]=ContinuousStatsTable[[#This Row],[GroupByKey]]),(ContinuousStatsTable[GroupByKey]=ContinuousStatsTable[[#This Row],[GroupByKey]])*ContinuousStatsTable[Average]))</f>
        <v>0.59592290927233305</v>
      </c>
      <c r="T180" s="5" cm="1">
        <f t="array" ref="T180">MAX(IF((ContinuousStatsTable[GroupByKey]=ContinuousStatsTable[[#This Row],[GroupByKey]]),(ContinuousStatsTable[GroupByKey]=ContinuousStatsTable[[#This Row],[GroupByKey]])*ContinuousStatsTable[Average]))</f>
        <v>0.82897119936997599</v>
      </c>
      <c r="U180" s="5">
        <f>IF((ContinuousStatsTable[[#This Row],[RepsRequested]]&gt;1),ContinuousStatsTable[[#This Row],[HalfWidth]],ContinuousStatsTable[[#This Row],[BatchMeansHalfWidth]])</f>
        <v>3.0014600137344912E-2</v>
      </c>
    </row>
    <row r="181" spans="1:21" x14ac:dyDescent="0.25">
      <c r="A181" t="s">
        <v>67</v>
      </c>
      <c r="B181" t="s">
        <v>69</v>
      </c>
      <c r="C181">
        <v>10</v>
      </c>
      <c r="D181" t="s">
        <v>134</v>
      </c>
      <c r="E181" t="s">
        <v>137</v>
      </c>
      <c r="F181" t="s">
        <v>136</v>
      </c>
      <c r="G181">
        <v>0.73240339248557995</v>
      </c>
      <c r="H181">
        <v>2E+20</v>
      </c>
      <c r="I181">
        <v>0</v>
      </c>
      <c r="J181">
        <v>1</v>
      </c>
      <c r="K181">
        <v>0</v>
      </c>
      <c r="L181">
        <v>0</v>
      </c>
      <c r="M18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BusyResource</v>
      </c>
      <c r="N181" s="5" cm="1">
        <f t="array" ref="N181">MAX(IF((ProjectInfoTable[ProjectName]=ContinuousStatsTable[[#This Row],[ProjectName]]),(ProjectInfoTable[ProjectName]=ContinuousStatsTable[[#This Row],[ProjectName]])*ProjectInfoTable[NumberOfReplications]))</f>
        <v>19</v>
      </c>
      <c r="O181" s="5" cm="1">
        <f t="array" ref="O181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181" s="5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6.2272947935973065E-2</v>
      </c>
      <c r="Q181" s="5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3.0014600137344902E-2</v>
      </c>
      <c r="S181" s="5" cm="1">
        <f t="array" ref="S181">MIN(IF((ContinuousStatsTable[GroupByKey]=ContinuousStatsTable[[#This Row],[GroupByKey]]),(ContinuousStatsTable[GroupByKey]=ContinuousStatsTable[[#This Row],[GroupByKey]])*ContinuousStatsTable[Average]))</f>
        <v>0.59592290927233305</v>
      </c>
      <c r="T181" s="5" cm="1">
        <f t="array" ref="T181">MAX(IF((ContinuousStatsTable[GroupByKey]=ContinuousStatsTable[[#This Row],[GroupByKey]]),(ContinuousStatsTable[GroupByKey]=ContinuousStatsTable[[#This Row],[GroupByKey]])*ContinuousStatsTable[Average]))</f>
        <v>0.82897119936997599</v>
      </c>
      <c r="U181" s="5">
        <f>IF((ContinuousStatsTable[[#This Row],[RepsRequested]]&gt;1),ContinuousStatsTable[[#This Row],[HalfWidth]],ContinuousStatsTable[[#This Row],[BatchMeansHalfWidth]])</f>
        <v>3.0014600137344902E-2</v>
      </c>
    </row>
    <row r="182" spans="1:21" x14ac:dyDescent="0.25">
      <c r="A182" t="s">
        <v>67</v>
      </c>
      <c r="B182" t="s">
        <v>69</v>
      </c>
      <c r="C182">
        <v>10</v>
      </c>
      <c r="D182" t="s">
        <v>134</v>
      </c>
      <c r="E182" t="s">
        <v>138</v>
      </c>
      <c r="F182" t="s">
        <v>136</v>
      </c>
      <c r="G182">
        <v>1</v>
      </c>
      <c r="H182">
        <v>2E+20</v>
      </c>
      <c r="I182">
        <v>1</v>
      </c>
      <c r="J182">
        <v>1</v>
      </c>
      <c r="K182">
        <v>1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ScheduledResource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19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1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0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1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1</v>
      </c>
      <c r="U182" s="5">
        <f>IF((ContinuousStatsTable[[#This Row],[RepsRequested]]&gt;1),ContinuousStatsTable[[#This Row],[HalfWidth]],ContinuousStatsTable[[#This Row],[BatchMeansHalfWidth]])</f>
        <v>0</v>
      </c>
    </row>
    <row r="183" spans="1:21" x14ac:dyDescent="0.25">
      <c r="A183" t="s">
        <v>67</v>
      </c>
      <c r="B183" t="s">
        <v>69</v>
      </c>
      <c r="C183">
        <v>10</v>
      </c>
      <c r="D183" t="s">
        <v>139</v>
      </c>
      <c r="E183" t="s">
        <v>135</v>
      </c>
      <c r="F183" t="s">
        <v>136</v>
      </c>
      <c r="G183">
        <v>0.73693591264165603</v>
      </c>
      <c r="H183">
        <v>2E+20</v>
      </c>
      <c r="I183">
        <v>0</v>
      </c>
      <c r="J183">
        <v>1</v>
      </c>
      <c r="K183">
        <v>0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compartida)rCocinaInstantaneous UtilizationResource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19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0.60463940272025996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0.86361037821575004</v>
      </c>
      <c r="U183" s="5">
        <f>IF((ContinuousStatsTable[[#This Row],[RepsRequested]]&gt;1),ContinuousStatsTable[[#This Row],[HalfWidth]],ContinuousStatsTable[[#This Row],[BatchMeansHalfWidth]])</f>
        <v>3.4176212493127585E-2</v>
      </c>
    </row>
    <row r="184" spans="1:21" x14ac:dyDescent="0.25">
      <c r="A184" t="s">
        <v>67</v>
      </c>
      <c r="B184" t="s">
        <v>69</v>
      </c>
      <c r="C184">
        <v>10</v>
      </c>
      <c r="D184" t="s">
        <v>139</v>
      </c>
      <c r="E184" t="s">
        <v>137</v>
      </c>
      <c r="F184" t="s">
        <v>136</v>
      </c>
      <c r="G184">
        <v>0.73693591264165603</v>
      </c>
      <c r="H184">
        <v>2E+20</v>
      </c>
      <c r="I184">
        <v>0</v>
      </c>
      <c r="J184">
        <v>1</v>
      </c>
      <c r="K184">
        <v>0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BusyResource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19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0.60463940272025996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0.86361037821575004</v>
      </c>
      <c r="U184" s="5">
        <f>IF((ContinuousStatsTable[[#This Row],[RepsRequested]]&gt;1),ContinuousStatsTable[[#This Row],[HalfWidth]],ContinuousStatsTable[[#This Row],[BatchMeansHalfWidth]])</f>
        <v>3.4176212493127585E-2</v>
      </c>
    </row>
    <row r="185" spans="1:21" x14ac:dyDescent="0.25">
      <c r="A185" t="s">
        <v>67</v>
      </c>
      <c r="B185" t="s">
        <v>69</v>
      </c>
      <c r="C185">
        <v>10</v>
      </c>
      <c r="D185" t="s">
        <v>139</v>
      </c>
      <c r="E185" t="s">
        <v>138</v>
      </c>
      <c r="F185" t="s">
        <v>136</v>
      </c>
      <c r="G185">
        <v>1</v>
      </c>
      <c r="H185">
        <v>2E+20</v>
      </c>
      <c r="I185">
        <v>1</v>
      </c>
      <c r="J185">
        <v>1</v>
      </c>
      <c r="K185">
        <v>1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ScheduledResource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19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1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0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1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1</v>
      </c>
      <c r="U185" s="5">
        <f>IF((ContinuousStatsTable[[#This Row],[RepsRequested]]&gt;1),ContinuousStatsTable[[#This Row],[HalfWidth]],ContinuousStatsTable[[#This Row],[BatchMeansHalfWidth]])</f>
        <v>0</v>
      </c>
    </row>
    <row r="186" spans="1:21" x14ac:dyDescent="0.25">
      <c r="A186" t="s">
        <v>67</v>
      </c>
      <c r="B186" t="s">
        <v>69</v>
      </c>
      <c r="C186">
        <v>10</v>
      </c>
      <c r="D186" t="s">
        <v>140</v>
      </c>
      <c r="E186" t="s">
        <v>135</v>
      </c>
      <c r="F186" t="s">
        <v>136</v>
      </c>
      <c r="G186">
        <v>0.44942505379986802</v>
      </c>
      <c r="H186">
        <v>2E+20</v>
      </c>
      <c r="I186">
        <v>0</v>
      </c>
      <c r="J186">
        <v>1</v>
      </c>
      <c r="K186">
        <v>0.4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compartida)rMesaInstantaneous UtilizationResource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19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0.30850610959128738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6.2586127702931413E-2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3.0165547953177007E-2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0.156206445320244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0.44942505379986802</v>
      </c>
      <c r="U186" s="5">
        <f>IF((ContinuousStatsTable[[#This Row],[RepsRequested]]&gt;1),ContinuousStatsTable[[#This Row],[HalfWidth]],ContinuousStatsTable[[#This Row],[BatchMeansHalfWidth]])</f>
        <v>3.0165547953177007E-2</v>
      </c>
    </row>
    <row r="187" spans="1:21" x14ac:dyDescent="0.25">
      <c r="A187" t="s">
        <v>67</v>
      </c>
      <c r="B187" t="s">
        <v>69</v>
      </c>
      <c r="C187">
        <v>10</v>
      </c>
      <c r="D187" t="s">
        <v>140</v>
      </c>
      <c r="E187" t="s">
        <v>137</v>
      </c>
      <c r="F187" t="s">
        <v>136</v>
      </c>
      <c r="G187">
        <v>2.2471252689993402</v>
      </c>
      <c r="H187">
        <v>2E+20</v>
      </c>
      <c r="I187">
        <v>0</v>
      </c>
      <c r="J187">
        <v>5</v>
      </c>
      <c r="K187">
        <v>2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BusyResource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19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0.78103222660121896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2.2471252689993402</v>
      </c>
      <c r="U187" s="5">
        <f>IF((ContinuousStatsTable[[#This Row],[RepsRequested]]&gt;1),ContinuousStatsTable[[#This Row],[HalfWidth]],ContinuousStatsTable[[#This Row],[BatchMeansHalfWidth]])</f>
        <v>0.15082773976588459</v>
      </c>
    </row>
    <row r="188" spans="1:21" x14ac:dyDescent="0.25">
      <c r="A188" t="s">
        <v>67</v>
      </c>
      <c r="B188" t="s">
        <v>69</v>
      </c>
      <c r="C188">
        <v>10</v>
      </c>
      <c r="D188" t="s">
        <v>140</v>
      </c>
      <c r="E188" t="s">
        <v>138</v>
      </c>
      <c r="F188" t="s">
        <v>136</v>
      </c>
      <c r="G188">
        <v>5</v>
      </c>
      <c r="H188">
        <v>2E+20</v>
      </c>
      <c r="I188">
        <v>5</v>
      </c>
      <c r="J188">
        <v>5</v>
      </c>
      <c r="K188">
        <v>5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ScheduledResource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19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5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0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5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5</v>
      </c>
      <c r="U188" s="5">
        <f>IF((ContinuousStatsTable[[#This Row],[RepsRequested]]&gt;1),ContinuousStatsTable[[#This Row],[HalfWidth]],ContinuousStatsTable[[#This Row],[BatchMeansHalfWidth]])</f>
        <v>0</v>
      </c>
    </row>
    <row r="189" spans="1:21" x14ac:dyDescent="0.25">
      <c r="A189" t="s">
        <v>67</v>
      </c>
      <c r="B189" t="s">
        <v>69</v>
      </c>
      <c r="C189">
        <v>10</v>
      </c>
      <c r="D189" t="s">
        <v>127</v>
      </c>
      <c r="E189" t="s">
        <v>129</v>
      </c>
      <c r="F189" t="s">
        <v>72</v>
      </c>
      <c r="G189">
        <v>0</v>
      </c>
      <c r="H189">
        <v>2E+20</v>
      </c>
      <c r="I189">
        <v>0</v>
      </c>
      <c r="J189">
        <v>1</v>
      </c>
      <c r="K189">
        <v>0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compartida)relojWIPEntity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19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0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0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0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0</v>
      </c>
      <c r="U189" s="5">
        <f>IF((ContinuousStatsTable[[#This Row],[RepsRequested]]&gt;1),ContinuousStatsTable[[#This Row],[HalfWidth]],ContinuousStatsTable[[#This Row],[BatchMeansHalfWidth]])</f>
        <v>0</v>
      </c>
    </row>
    <row r="190" spans="1:21" x14ac:dyDescent="0.25">
      <c r="A190" t="s">
        <v>67</v>
      </c>
      <c r="B190" t="s">
        <v>69</v>
      </c>
      <c r="C190">
        <v>10</v>
      </c>
      <c r="D190" t="s">
        <v>141</v>
      </c>
      <c r="E190" t="s">
        <v>142</v>
      </c>
      <c r="F190" t="s">
        <v>80</v>
      </c>
      <c r="G190">
        <v>5.1048196899388198</v>
      </c>
      <c r="H190">
        <v>2E+20</v>
      </c>
      <c r="I190">
        <v>0</v>
      </c>
      <c r="J190">
        <v>13</v>
      </c>
      <c r="K190">
        <v>2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compartida)vClientesEnSistemaVariableUser Specified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19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4.0733776306724412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1.3190004331473169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0.63573785879874822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2.7964405882205599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8.8656011818609901</v>
      </c>
      <c r="U190" s="5">
        <f>IF((ContinuousStatsTable[[#This Row],[RepsRequested]]&gt;1),ContinuousStatsTable[[#This Row],[HalfWidth]],ContinuousStatsTable[[#This Row],[BatchMeansHalfWidth]])</f>
        <v>0.63573785879874822</v>
      </c>
    </row>
    <row r="191" spans="1:21" x14ac:dyDescent="0.25">
      <c r="A191" t="s">
        <v>67</v>
      </c>
      <c r="B191" t="s">
        <v>69</v>
      </c>
      <c r="C191">
        <v>10</v>
      </c>
      <c r="D191" t="s">
        <v>143</v>
      </c>
      <c r="E191" t="s">
        <v>142</v>
      </c>
      <c r="F191" t="s">
        <v>80</v>
      </c>
      <c r="G191">
        <v>2.7528747310006598</v>
      </c>
      <c r="H191">
        <v>2E+20</v>
      </c>
      <c r="I191">
        <v>0</v>
      </c>
      <c r="J191">
        <v>5</v>
      </c>
      <c r="K191">
        <v>3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compartida)vMesasLibresVariableUser Specified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19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3.457469452043564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0.31293063851465691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0.15082773976588496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2.7528747310006598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4.2189677733987798</v>
      </c>
      <c r="U191" s="5">
        <f>IF((ContinuousStatsTable[[#This Row],[RepsRequested]]&gt;1),ContinuousStatsTable[[#This Row],[HalfWidth]],ContinuousStatsTable[[#This Row],[BatchMeansHalfWidth]])</f>
        <v>0.15082773976588496</v>
      </c>
    </row>
    <row r="192" spans="1:21" x14ac:dyDescent="0.25">
      <c r="A192" t="s">
        <v>67</v>
      </c>
      <c r="B192" t="s">
        <v>69</v>
      </c>
      <c r="C192">
        <v>11</v>
      </c>
      <c r="D192" t="s">
        <v>70</v>
      </c>
      <c r="E192" t="s">
        <v>129</v>
      </c>
      <c r="F192" t="s">
        <v>72</v>
      </c>
      <c r="G192">
        <v>5.3630085907680698</v>
      </c>
      <c r="H192">
        <v>3E+20</v>
      </c>
      <c r="I192">
        <v>0</v>
      </c>
      <c r="J192">
        <v>17</v>
      </c>
      <c r="K192">
        <v>6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compartida)ClienteWIPEntity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19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5.695207969173218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1.5293712224665061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0.7371333335799507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3.6484308227805702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10.9337547677616</v>
      </c>
      <c r="U192" s="5">
        <f>IF((ContinuousStatsTable[[#This Row],[RepsRequested]]&gt;1),ContinuousStatsTable[[#This Row],[HalfWidth]],ContinuousStatsTable[[#This Row],[BatchMeansHalfWidth]])</f>
        <v>0.7371333335799507</v>
      </c>
    </row>
    <row r="193" spans="1:21" x14ac:dyDescent="0.25">
      <c r="A193" t="s">
        <v>67</v>
      </c>
      <c r="B193" t="s">
        <v>69</v>
      </c>
      <c r="C193">
        <v>11</v>
      </c>
      <c r="D193" t="s">
        <v>89</v>
      </c>
      <c r="E193" t="s">
        <v>130</v>
      </c>
      <c r="F193" t="s">
        <v>91</v>
      </c>
      <c r="G193">
        <v>0</v>
      </c>
      <c r="H193">
        <v>2E+20</v>
      </c>
      <c r="I193">
        <v>0</v>
      </c>
      <c r="J193">
        <v>0</v>
      </c>
      <c r="K193">
        <v>0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compartida)Comer en Mesa.QueueNumber WaitingQueue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19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0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0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0</v>
      </c>
      <c r="U193" s="5">
        <f>IF((ContinuousStatsTable[[#This Row],[RepsRequested]]&gt;1),ContinuousStatsTable[[#This Row],[HalfWidth]],ContinuousStatsTable[[#This Row],[BatchMeansHalfWidth]])</f>
        <v>0</v>
      </c>
    </row>
    <row r="194" spans="1:21" x14ac:dyDescent="0.25">
      <c r="A194" t="s">
        <v>67</v>
      </c>
      <c r="B194" t="s">
        <v>69</v>
      </c>
      <c r="C194">
        <v>11</v>
      </c>
      <c r="D194" t="s">
        <v>92</v>
      </c>
      <c r="E194" t="s">
        <v>130</v>
      </c>
      <c r="F194" t="s">
        <v>91</v>
      </c>
      <c r="G194">
        <v>1.27567076584159</v>
      </c>
      <c r="H194">
        <v>2E+20</v>
      </c>
      <c r="I194">
        <v>0</v>
      </c>
      <c r="J194">
        <v>9</v>
      </c>
      <c r="K194">
        <v>0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compartida)Entrega pedido.QueueNumber WaitingQueue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19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1.4415832090470244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0.61323545266973079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0.29557002698587687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0.95119347509060603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3.71511779664222</v>
      </c>
      <c r="U194" s="5">
        <f>IF((ContinuousStatsTable[[#This Row],[RepsRequested]]&gt;1),ContinuousStatsTable[[#This Row],[HalfWidth]],ContinuousStatsTable[[#This Row],[BatchMeansHalfWidth]])</f>
        <v>0.29557002698587687</v>
      </c>
    </row>
    <row r="195" spans="1:21" x14ac:dyDescent="0.25">
      <c r="A195" t="s">
        <v>67</v>
      </c>
      <c r="B195" t="s">
        <v>69</v>
      </c>
      <c r="C195">
        <v>11</v>
      </c>
      <c r="D195" t="s">
        <v>131</v>
      </c>
      <c r="E195" t="s">
        <v>129</v>
      </c>
      <c r="F195" t="s">
        <v>72</v>
      </c>
      <c r="G195">
        <v>2.9135616928468</v>
      </c>
      <c r="H195">
        <v>2E+20</v>
      </c>
      <c r="I195">
        <v>0</v>
      </c>
      <c r="J195">
        <v>10</v>
      </c>
      <c r="K195">
        <v>2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compartida)OrdenWIPEntity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19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3.0972744691234286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0.7960145604449721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0.38366673695655462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2.0609398302211299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5.8229936047650703</v>
      </c>
      <c r="U195" s="5">
        <f>IF((ContinuousStatsTable[[#This Row],[RepsRequested]]&gt;1),ContinuousStatsTable[[#This Row],[HalfWidth]],ContinuousStatsTable[[#This Row],[BatchMeansHalfWidth]])</f>
        <v>0.38366673695655462</v>
      </c>
    </row>
    <row r="196" spans="1:21" x14ac:dyDescent="0.25">
      <c r="A196" t="s">
        <v>67</v>
      </c>
      <c r="B196" t="s">
        <v>69</v>
      </c>
      <c r="C196">
        <v>11</v>
      </c>
      <c r="D196" t="s">
        <v>99</v>
      </c>
      <c r="E196" t="s">
        <v>130</v>
      </c>
      <c r="F196" t="s">
        <v>91</v>
      </c>
      <c r="G196">
        <v>0.41857871093183302</v>
      </c>
      <c r="H196">
        <v>2E+20</v>
      </c>
      <c r="I196">
        <v>0</v>
      </c>
      <c r="J196">
        <v>6</v>
      </c>
      <c r="K196">
        <v>0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compartida)Pasar a Caja.QueueNumber WaitingQueue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19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0.5234663348541454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0.51706251909874834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0.24921615679273348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0.17506464523350199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2.4783528335268201</v>
      </c>
      <c r="U196" s="5">
        <f>IF((ContinuousStatsTable[[#This Row],[RepsRequested]]&gt;1),ContinuousStatsTable[[#This Row],[HalfWidth]],ContinuousStatsTable[[#This Row],[BatchMeansHalfWidth]])</f>
        <v>0.24921615679273348</v>
      </c>
    </row>
    <row r="197" spans="1:21" x14ac:dyDescent="0.25">
      <c r="A197" t="s">
        <v>67</v>
      </c>
      <c r="B197" t="s">
        <v>69</v>
      </c>
      <c r="C197">
        <v>11</v>
      </c>
      <c r="D197" t="s">
        <v>104</v>
      </c>
      <c r="E197" t="s">
        <v>130</v>
      </c>
      <c r="F197" t="s">
        <v>91</v>
      </c>
      <c r="G197">
        <v>0.38816297146526502</v>
      </c>
      <c r="H197">
        <v>2E+20</v>
      </c>
      <c r="I197">
        <v>0</v>
      </c>
      <c r="J197">
        <v>6</v>
      </c>
      <c r="K197">
        <v>0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compartida)Preparacion.QueueNumber WaitingQueue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19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0.48138063122984937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0.5430727934303009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0.26175270772536113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0.13383910219346701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2.5739205922552402</v>
      </c>
      <c r="U197" s="5">
        <f>IF((ContinuousStatsTable[[#This Row],[RepsRequested]]&gt;1),ContinuousStatsTable[[#This Row],[HalfWidth]],ContinuousStatsTable[[#This Row],[BatchMeansHalfWidth]])</f>
        <v>0.26175270772536113</v>
      </c>
    </row>
    <row r="198" spans="1:21" x14ac:dyDescent="0.25">
      <c r="A198" t="s">
        <v>67</v>
      </c>
      <c r="B198" t="s">
        <v>69</v>
      </c>
      <c r="C198">
        <v>11</v>
      </c>
      <c r="D198" t="s">
        <v>132</v>
      </c>
      <c r="E198" t="s">
        <v>133</v>
      </c>
      <c r="F198" t="s">
        <v>80</v>
      </c>
      <c r="G198">
        <v>1.53150203811631</v>
      </c>
      <c r="H198">
        <v>2E+20</v>
      </c>
      <c r="I198">
        <v>0</v>
      </c>
      <c r="J198">
        <v>5</v>
      </c>
      <c r="K198">
        <v>2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compartida)TP_MesasTime PersistentUser Specified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19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0.78103222660121896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2.2471252689993402</v>
      </c>
      <c r="U198" s="5">
        <f>IF((ContinuousStatsTable[[#This Row],[RepsRequested]]&gt;1),ContinuousStatsTable[[#This Row],[HalfWidth]],ContinuousStatsTable[[#This Row],[BatchMeansHalfWidth]])</f>
        <v>0.15082773976588459</v>
      </c>
    </row>
    <row r="199" spans="1:21" x14ac:dyDescent="0.25">
      <c r="A199" t="s">
        <v>67</v>
      </c>
      <c r="B199" t="s">
        <v>69</v>
      </c>
      <c r="C199">
        <v>11</v>
      </c>
      <c r="D199" t="s">
        <v>134</v>
      </c>
      <c r="E199" t="s">
        <v>135</v>
      </c>
      <c r="F199" t="s">
        <v>136</v>
      </c>
      <c r="G199">
        <v>0.62130605304115805</v>
      </c>
      <c r="H199">
        <v>2E+20</v>
      </c>
      <c r="I199">
        <v>0</v>
      </c>
      <c r="J199">
        <v>1</v>
      </c>
      <c r="K199">
        <v>1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compartida)rCajeroInstantaneous UtilizationResource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19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6.2272947935973086E-2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3.0014600137344912E-2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0.59592290927233305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0.82897119936997599</v>
      </c>
      <c r="U199" s="5">
        <f>IF((ContinuousStatsTable[[#This Row],[RepsRequested]]&gt;1),ContinuousStatsTable[[#This Row],[HalfWidth]],ContinuousStatsTable[[#This Row],[BatchMeansHalfWidth]])</f>
        <v>3.0014600137344912E-2</v>
      </c>
    </row>
    <row r="200" spans="1:21" x14ac:dyDescent="0.25">
      <c r="A200" t="s">
        <v>67</v>
      </c>
      <c r="B200" t="s">
        <v>69</v>
      </c>
      <c r="C200">
        <v>11</v>
      </c>
      <c r="D200" t="s">
        <v>134</v>
      </c>
      <c r="E200" t="s">
        <v>137</v>
      </c>
      <c r="F200" t="s">
        <v>136</v>
      </c>
      <c r="G200">
        <v>0.62130605304115805</v>
      </c>
      <c r="H200">
        <v>2E+20</v>
      </c>
      <c r="I200">
        <v>0</v>
      </c>
      <c r="J200">
        <v>1</v>
      </c>
      <c r="K200">
        <v>1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BusyResource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19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6.2272947935973065E-2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3.0014600137344902E-2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0.59592290927233305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0.82897119936997599</v>
      </c>
      <c r="U200" s="5">
        <f>IF((ContinuousStatsTable[[#This Row],[RepsRequested]]&gt;1),ContinuousStatsTable[[#This Row],[HalfWidth]],ContinuousStatsTable[[#This Row],[BatchMeansHalfWidth]])</f>
        <v>3.0014600137344902E-2</v>
      </c>
    </row>
    <row r="201" spans="1:21" x14ac:dyDescent="0.25">
      <c r="A201" t="s">
        <v>67</v>
      </c>
      <c r="B201" t="s">
        <v>69</v>
      </c>
      <c r="C201">
        <v>11</v>
      </c>
      <c r="D201" t="s">
        <v>134</v>
      </c>
      <c r="E201" t="s">
        <v>138</v>
      </c>
      <c r="F201" t="s">
        <v>136</v>
      </c>
      <c r="G201">
        <v>1</v>
      </c>
      <c r="H201">
        <v>2E+20</v>
      </c>
      <c r="I201">
        <v>1</v>
      </c>
      <c r="J201">
        <v>1</v>
      </c>
      <c r="K201">
        <v>1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ScheduledResource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19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1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0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1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1</v>
      </c>
      <c r="U201" s="5">
        <f>IF((ContinuousStatsTable[[#This Row],[RepsRequested]]&gt;1),ContinuousStatsTable[[#This Row],[HalfWidth]],ContinuousStatsTable[[#This Row],[BatchMeansHalfWidth]])</f>
        <v>0</v>
      </c>
    </row>
    <row r="202" spans="1:21" x14ac:dyDescent="0.25">
      <c r="A202" t="s">
        <v>67</v>
      </c>
      <c r="B202" t="s">
        <v>69</v>
      </c>
      <c r="C202">
        <v>11</v>
      </c>
      <c r="D202" t="s">
        <v>139</v>
      </c>
      <c r="E202" t="s">
        <v>135</v>
      </c>
      <c r="F202" t="s">
        <v>136</v>
      </c>
      <c r="G202">
        <v>0.67954937168977902</v>
      </c>
      <c r="H202">
        <v>2E+20</v>
      </c>
      <c r="I202">
        <v>0</v>
      </c>
      <c r="J202">
        <v>1</v>
      </c>
      <c r="K202">
        <v>1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compartida)rCocinaInstantaneous UtilizationResource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19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0.60463940272025996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0.86361037821575004</v>
      </c>
      <c r="U202" s="5">
        <f>IF((ContinuousStatsTable[[#This Row],[RepsRequested]]&gt;1),ContinuousStatsTable[[#This Row],[HalfWidth]],ContinuousStatsTable[[#This Row],[BatchMeansHalfWidth]])</f>
        <v>3.4176212493127585E-2</v>
      </c>
    </row>
    <row r="203" spans="1:21" x14ac:dyDescent="0.25">
      <c r="A203" t="s">
        <v>67</v>
      </c>
      <c r="B203" t="s">
        <v>69</v>
      </c>
      <c r="C203">
        <v>11</v>
      </c>
      <c r="D203" t="s">
        <v>139</v>
      </c>
      <c r="E203" t="s">
        <v>137</v>
      </c>
      <c r="F203" t="s">
        <v>136</v>
      </c>
      <c r="G203">
        <v>0.67954937168977902</v>
      </c>
      <c r="H203">
        <v>2E+20</v>
      </c>
      <c r="I203">
        <v>0</v>
      </c>
      <c r="J203">
        <v>1</v>
      </c>
      <c r="K203">
        <v>1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BusyResource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19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0.60463940272025996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0.86361037821575004</v>
      </c>
      <c r="U203" s="5">
        <f>IF((ContinuousStatsTable[[#This Row],[RepsRequested]]&gt;1),ContinuousStatsTable[[#This Row],[HalfWidth]],ContinuousStatsTable[[#This Row],[BatchMeansHalfWidth]])</f>
        <v>3.4176212493127585E-2</v>
      </c>
    </row>
    <row r="204" spans="1:21" x14ac:dyDescent="0.25">
      <c r="A204" t="s">
        <v>67</v>
      </c>
      <c r="B204" t="s">
        <v>69</v>
      </c>
      <c r="C204">
        <v>11</v>
      </c>
      <c r="D204" t="s">
        <v>139</v>
      </c>
      <c r="E204" t="s">
        <v>138</v>
      </c>
      <c r="F204" t="s">
        <v>136</v>
      </c>
      <c r="G204">
        <v>1</v>
      </c>
      <c r="H204">
        <v>2E+20</v>
      </c>
      <c r="I204">
        <v>1</v>
      </c>
      <c r="J204">
        <v>1</v>
      </c>
      <c r="K204">
        <v>1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ScheduledResource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19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1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0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1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1</v>
      </c>
      <c r="U204" s="5">
        <f>IF((ContinuousStatsTable[[#This Row],[RepsRequested]]&gt;1),ContinuousStatsTable[[#This Row],[HalfWidth]],ContinuousStatsTable[[#This Row],[BatchMeansHalfWidth]])</f>
        <v>0</v>
      </c>
    </row>
    <row r="205" spans="1:21" x14ac:dyDescent="0.25">
      <c r="A205" t="s">
        <v>67</v>
      </c>
      <c r="B205" t="s">
        <v>69</v>
      </c>
      <c r="C205">
        <v>11</v>
      </c>
      <c r="D205" t="s">
        <v>140</v>
      </c>
      <c r="E205" t="s">
        <v>135</v>
      </c>
      <c r="F205" t="s">
        <v>136</v>
      </c>
      <c r="G205">
        <v>0.30630040762326299</v>
      </c>
      <c r="H205">
        <v>2E+20</v>
      </c>
      <c r="I205">
        <v>0</v>
      </c>
      <c r="J205">
        <v>1</v>
      </c>
      <c r="K205">
        <v>0.4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compartida)rMesaInstantaneous UtilizationResource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19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0.30850610959128738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6.2586127702931413E-2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3.0165547953177007E-2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0.156206445320244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0.44942505379986802</v>
      </c>
      <c r="U205" s="5">
        <f>IF((ContinuousStatsTable[[#This Row],[RepsRequested]]&gt;1),ContinuousStatsTable[[#This Row],[HalfWidth]],ContinuousStatsTable[[#This Row],[BatchMeansHalfWidth]])</f>
        <v>3.0165547953177007E-2</v>
      </c>
    </row>
    <row r="206" spans="1:21" x14ac:dyDescent="0.25">
      <c r="A206" t="s">
        <v>67</v>
      </c>
      <c r="B206" t="s">
        <v>69</v>
      </c>
      <c r="C206">
        <v>11</v>
      </c>
      <c r="D206" t="s">
        <v>140</v>
      </c>
      <c r="E206" t="s">
        <v>137</v>
      </c>
      <c r="F206" t="s">
        <v>136</v>
      </c>
      <c r="G206">
        <v>1.53150203811631</v>
      </c>
      <c r="H206">
        <v>2E+20</v>
      </c>
      <c r="I206">
        <v>0</v>
      </c>
      <c r="J206">
        <v>5</v>
      </c>
      <c r="K206">
        <v>2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BusyResource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19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0.78103222660121896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2.2471252689993402</v>
      </c>
      <c r="U206" s="5">
        <f>IF((ContinuousStatsTable[[#This Row],[RepsRequested]]&gt;1),ContinuousStatsTable[[#This Row],[HalfWidth]],ContinuousStatsTable[[#This Row],[BatchMeansHalfWidth]])</f>
        <v>0.15082773976588459</v>
      </c>
    </row>
    <row r="207" spans="1:21" x14ac:dyDescent="0.25">
      <c r="A207" t="s">
        <v>67</v>
      </c>
      <c r="B207" t="s">
        <v>69</v>
      </c>
      <c r="C207">
        <v>11</v>
      </c>
      <c r="D207" t="s">
        <v>140</v>
      </c>
      <c r="E207" t="s">
        <v>138</v>
      </c>
      <c r="F207" t="s">
        <v>136</v>
      </c>
      <c r="G207">
        <v>5</v>
      </c>
      <c r="H207">
        <v>2E+20</v>
      </c>
      <c r="I207">
        <v>5</v>
      </c>
      <c r="J207">
        <v>5</v>
      </c>
      <c r="K207">
        <v>5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ScheduledResource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19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5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0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5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5</v>
      </c>
      <c r="U207" s="5">
        <f>IF((ContinuousStatsTable[[#This Row],[RepsRequested]]&gt;1),ContinuousStatsTable[[#This Row],[HalfWidth]],ContinuousStatsTable[[#This Row],[BatchMeansHalfWidth]])</f>
        <v>0</v>
      </c>
    </row>
    <row r="208" spans="1:21" x14ac:dyDescent="0.25">
      <c r="A208" t="s">
        <v>67</v>
      </c>
      <c r="B208" t="s">
        <v>69</v>
      </c>
      <c r="C208">
        <v>11</v>
      </c>
      <c r="D208" t="s">
        <v>127</v>
      </c>
      <c r="E208" t="s">
        <v>129</v>
      </c>
      <c r="F208" t="s">
        <v>72</v>
      </c>
      <c r="G208">
        <v>0</v>
      </c>
      <c r="H208">
        <v>2E+20</v>
      </c>
      <c r="I208">
        <v>0</v>
      </c>
      <c r="J208">
        <v>1</v>
      </c>
      <c r="K208">
        <v>0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compartida)relojWIPEntity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19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0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0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0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0</v>
      </c>
      <c r="U208" s="5">
        <f>IF((ContinuousStatsTable[[#This Row],[RepsRequested]]&gt;1),ContinuousStatsTable[[#This Row],[HalfWidth]],ContinuousStatsTable[[#This Row],[BatchMeansHalfWidth]])</f>
        <v>0</v>
      </c>
    </row>
    <row r="209" spans="1:21" x14ac:dyDescent="0.25">
      <c r="A209" t="s">
        <v>67</v>
      </c>
      <c r="B209" t="s">
        <v>69</v>
      </c>
      <c r="C209">
        <v>11</v>
      </c>
      <c r="D209" t="s">
        <v>141</v>
      </c>
      <c r="E209" t="s">
        <v>142</v>
      </c>
      <c r="F209" t="s">
        <v>80</v>
      </c>
      <c r="G209">
        <v>3.7567843304295301</v>
      </c>
      <c r="H209">
        <v>2E+20</v>
      </c>
      <c r="I209">
        <v>0</v>
      </c>
      <c r="J209">
        <v>13</v>
      </c>
      <c r="K209">
        <v>4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compartida)vClientesEnSistemaVariableUser Specified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19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4.0733776306724412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1.3190004331473169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0.63573785879874822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2.7964405882205599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8.8656011818609901</v>
      </c>
      <c r="U209" s="5">
        <f>IF((ContinuousStatsTable[[#This Row],[RepsRequested]]&gt;1),ContinuousStatsTable[[#This Row],[HalfWidth]],ContinuousStatsTable[[#This Row],[BatchMeansHalfWidth]])</f>
        <v>0.63573785879874822</v>
      </c>
    </row>
    <row r="210" spans="1:21" x14ac:dyDescent="0.25">
      <c r="A210" t="s">
        <v>67</v>
      </c>
      <c r="B210" t="s">
        <v>69</v>
      </c>
      <c r="C210">
        <v>11</v>
      </c>
      <c r="D210" t="s">
        <v>143</v>
      </c>
      <c r="E210" t="s">
        <v>142</v>
      </c>
      <c r="F210" t="s">
        <v>80</v>
      </c>
      <c r="G210">
        <v>3.4684979618836902</v>
      </c>
      <c r="H210">
        <v>2E+20</v>
      </c>
      <c r="I210">
        <v>0</v>
      </c>
      <c r="J210">
        <v>5</v>
      </c>
      <c r="K210">
        <v>3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compartida)vMesasLibresVariableUser Specified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19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3.457469452043564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0.31293063851465691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0.15082773976588496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2.7528747310006598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4.2189677733987798</v>
      </c>
      <c r="U210" s="5">
        <f>IF((ContinuousStatsTable[[#This Row],[RepsRequested]]&gt;1),ContinuousStatsTable[[#This Row],[HalfWidth]],ContinuousStatsTable[[#This Row],[BatchMeansHalfWidth]])</f>
        <v>0.15082773976588496</v>
      </c>
    </row>
    <row r="211" spans="1:21" x14ac:dyDescent="0.25">
      <c r="A211" t="s">
        <v>67</v>
      </c>
      <c r="B211" t="s">
        <v>69</v>
      </c>
      <c r="C211">
        <v>12</v>
      </c>
      <c r="D211" t="s">
        <v>70</v>
      </c>
      <c r="E211" t="s">
        <v>129</v>
      </c>
      <c r="F211" t="s">
        <v>72</v>
      </c>
      <c r="G211">
        <v>4.9858370233948399</v>
      </c>
      <c r="H211">
        <v>3E+20</v>
      </c>
      <c r="I211">
        <v>0</v>
      </c>
      <c r="J211">
        <v>14</v>
      </c>
      <c r="K211">
        <v>5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compartida)ClienteWIPEntity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19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5.695207969173218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1.5293712224665061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0.7371333335799507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3.6484308227805702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10.9337547677616</v>
      </c>
      <c r="U211" s="5">
        <f>IF((ContinuousStatsTable[[#This Row],[RepsRequested]]&gt;1),ContinuousStatsTable[[#This Row],[HalfWidth]],ContinuousStatsTable[[#This Row],[BatchMeansHalfWidth]])</f>
        <v>0.7371333335799507</v>
      </c>
    </row>
    <row r="212" spans="1:21" x14ac:dyDescent="0.25">
      <c r="A212" t="s">
        <v>67</v>
      </c>
      <c r="B212" t="s">
        <v>69</v>
      </c>
      <c r="C212">
        <v>12</v>
      </c>
      <c r="D212" t="s">
        <v>89</v>
      </c>
      <c r="E212" t="s">
        <v>130</v>
      </c>
      <c r="F212" t="s">
        <v>91</v>
      </c>
      <c r="G212">
        <v>0</v>
      </c>
      <c r="H212">
        <v>2E+20</v>
      </c>
      <c r="I212">
        <v>0</v>
      </c>
      <c r="J212">
        <v>0</v>
      </c>
      <c r="K212">
        <v>0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compartida)Comer en Mesa.QueueNumber WaitingQueue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19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0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0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0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0</v>
      </c>
      <c r="U212" s="5">
        <f>IF((ContinuousStatsTable[[#This Row],[RepsRequested]]&gt;1),ContinuousStatsTable[[#This Row],[HalfWidth]],ContinuousStatsTable[[#This Row],[BatchMeansHalfWidth]])</f>
        <v>0</v>
      </c>
    </row>
    <row r="213" spans="1:21" x14ac:dyDescent="0.25">
      <c r="A213" t="s">
        <v>67</v>
      </c>
      <c r="B213" t="s">
        <v>69</v>
      </c>
      <c r="C213">
        <v>12</v>
      </c>
      <c r="D213" t="s">
        <v>92</v>
      </c>
      <c r="E213" t="s">
        <v>130</v>
      </c>
      <c r="F213" t="s">
        <v>91</v>
      </c>
      <c r="G213">
        <v>1.3800377821472201</v>
      </c>
      <c r="H213">
        <v>2E+20</v>
      </c>
      <c r="I213">
        <v>0</v>
      </c>
      <c r="J213">
        <v>7</v>
      </c>
      <c r="K213">
        <v>1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compartida)Entrega pedido.QueueNumber WaitingQueue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19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1.4415832090470244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0.61323545266973079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0.29557002698587687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0.95119347509060603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3.71511779664222</v>
      </c>
      <c r="U213" s="5">
        <f>IF((ContinuousStatsTable[[#This Row],[RepsRequested]]&gt;1),ContinuousStatsTable[[#This Row],[HalfWidth]],ContinuousStatsTable[[#This Row],[BatchMeansHalfWidth]])</f>
        <v>0.29557002698587687</v>
      </c>
    </row>
    <row r="214" spans="1:21" x14ac:dyDescent="0.25">
      <c r="A214" t="s">
        <v>67</v>
      </c>
      <c r="B214" t="s">
        <v>69</v>
      </c>
      <c r="C214">
        <v>12</v>
      </c>
      <c r="D214" t="s">
        <v>131</v>
      </c>
      <c r="E214" t="s">
        <v>129</v>
      </c>
      <c r="F214" t="s">
        <v>72</v>
      </c>
      <c r="G214">
        <v>2.7584681281007599</v>
      </c>
      <c r="H214">
        <v>2E+20</v>
      </c>
      <c r="I214">
        <v>0</v>
      </c>
      <c r="J214">
        <v>8</v>
      </c>
      <c r="K214">
        <v>2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compartida)OrdenWIPEntity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19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3.0972744691234286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0.7960145604449721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0.38366673695655462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2.0609398302211299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5.8229936047650703</v>
      </c>
      <c r="U214" s="5">
        <f>IF((ContinuousStatsTable[[#This Row],[RepsRequested]]&gt;1),ContinuousStatsTable[[#This Row],[HalfWidth]],ContinuousStatsTable[[#This Row],[BatchMeansHalfWidth]])</f>
        <v>0.38366673695655462</v>
      </c>
    </row>
    <row r="215" spans="1:21" x14ac:dyDescent="0.25">
      <c r="A215" t="s">
        <v>67</v>
      </c>
      <c r="B215" t="s">
        <v>69</v>
      </c>
      <c r="C215">
        <v>12</v>
      </c>
      <c r="D215" t="s">
        <v>99</v>
      </c>
      <c r="E215" t="s">
        <v>130</v>
      </c>
      <c r="F215" t="s">
        <v>91</v>
      </c>
      <c r="G215">
        <v>0.44650360451746202</v>
      </c>
      <c r="H215">
        <v>2E+20</v>
      </c>
      <c r="I215">
        <v>0</v>
      </c>
      <c r="J215">
        <v>4</v>
      </c>
      <c r="K215">
        <v>1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compartida)Pasar a Caja.QueueNumber WaitingQueue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19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0.5234663348541454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0.51706251909874834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0.24921615679273348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0.17506464523350199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2.4783528335268201</v>
      </c>
      <c r="U215" s="5">
        <f>IF((ContinuousStatsTable[[#This Row],[RepsRequested]]&gt;1),ContinuousStatsTable[[#This Row],[HalfWidth]],ContinuousStatsTable[[#This Row],[BatchMeansHalfWidth]])</f>
        <v>0.24921615679273348</v>
      </c>
    </row>
    <row r="216" spans="1:21" x14ac:dyDescent="0.25">
      <c r="A216" t="s">
        <v>67</v>
      </c>
      <c r="B216" t="s">
        <v>69</v>
      </c>
      <c r="C216">
        <v>12</v>
      </c>
      <c r="D216" t="s">
        <v>104</v>
      </c>
      <c r="E216" t="s">
        <v>130</v>
      </c>
      <c r="F216" t="s">
        <v>91</v>
      </c>
      <c r="G216">
        <v>0.41298848913352099</v>
      </c>
      <c r="H216">
        <v>2E+20</v>
      </c>
      <c r="I216">
        <v>0</v>
      </c>
      <c r="J216">
        <v>4</v>
      </c>
      <c r="K216">
        <v>0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compartida)Preparacion.QueueNumber WaitingQueue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19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0.48138063122984937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0.5430727934303009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0.26175270772536113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0.13383910219346701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2.5739205922552402</v>
      </c>
      <c r="U216" s="5">
        <f>IF((ContinuousStatsTable[[#This Row],[RepsRequested]]&gt;1),ContinuousStatsTable[[#This Row],[HalfWidth]],ContinuousStatsTable[[#This Row],[BatchMeansHalfWidth]])</f>
        <v>0.26175270772536113</v>
      </c>
    </row>
    <row r="217" spans="1:21" x14ac:dyDescent="0.25">
      <c r="A217" t="s">
        <v>67</v>
      </c>
      <c r="B217" t="s">
        <v>69</v>
      </c>
      <c r="C217">
        <v>12</v>
      </c>
      <c r="D217" t="s">
        <v>132</v>
      </c>
      <c r="E217" t="s">
        <v>133</v>
      </c>
      <c r="F217" t="s">
        <v>80</v>
      </c>
      <c r="G217">
        <v>1.26917108669427</v>
      </c>
      <c r="H217">
        <v>2E+20</v>
      </c>
      <c r="I217">
        <v>0</v>
      </c>
      <c r="J217">
        <v>4</v>
      </c>
      <c r="K217">
        <v>1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compartida)TP_MesasTime PersistentUser Specified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19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0.78103222660121896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2.2471252689993402</v>
      </c>
      <c r="U217" s="5">
        <f>IF((ContinuousStatsTable[[#This Row],[RepsRequested]]&gt;1),ContinuousStatsTable[[#This Row],[HalfWidth]],ContinuousStatsTable[[#This Row],[BatchMeansHalfWidth]])</f>
        <v>0.15082773976588459</v>
      </c>
    </row>
    <row r="218" spans="1:21" x14ac:dyDescent="0.25">
      <c r="A218" t="s">
        <v>67</v>
      </c>
      <c r="B218" t="s">
        <v>69</v>
      </c>
      <c r="C218">
        <v>12</v>
      </c>
      <c r="D218" t="s">
        <v>134</v>
      </c>
      <c r="E218" t="s">
        <v>135</v>
      </c>
      <c r="F218" t="s">
        <v>136</v>
      </c>
      <c r="G218">
        <v>0.68321371392804497</v>
      </c>
      <c r="H218">
        <v>2E+20</v>
      </c>
      <c r="I218">
        <v>0</v>
      </c>
      <c r="J218">
        <v>1</v>
      </c>
      <c r="K218">
        <v>1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compartida)rCajeroInstantaneous UtilizationResource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19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6.2272947935973086E-2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3.0014600137344912E-2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0.59592290927233305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0.82897119936997599</v>
      </c>
      <c r="U218" s="5">
        <f>IF((ContinuousStatsTable[[#This Row],[RepsRequested]]&gt;1),ContinuousStatsTable[[#This Row],[HalfWidth]],ContinuousStatsTable[[#This Row],[BatchMeansHalfWidth]])</f>
        <v>3.0014600137344912E-2</v>
      </c>
    </row>
    <row r="219" spans="1:21" x14ac:dyDescent="0.25">
      <c r="A219" t="s">
        <v>67</v>
      </c>
      <c r="B219" t="s">
        <v>69</v>
      </c>
      <c r="C219">
        <v>12</v>
      </c>
      <c r="D219" t="s">
        <v>134</v>
      </c>
      <c r="E219" t="s">
        <v>137</v>
      </c>
      <c r="F219" t="s">
        <v>136</v>
      </c>
      <c r="G219">
        <v>0.68321371392804497</v>
      </c>
      <c r="H219">
        <v>2E+20</v>
      </c>
      <c r="I219">
        <v>0</v>
      </c>
      <c r="J219">
        <v>1</v>
      </c>
      <c r="K219">
        <v>1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BusyResource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19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6.2272947935973065E-2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3.0014600137344902E-2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0.59592290927233305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0.82897119936997599</v>
      </c>
      <c r="U219" s="5">
        <f>IF((ContinuousStatsTable[[#This Row],[RepsRequested]]&gt;1),ContinuousStatsTable[[#This Row],[HalfWidth]],ContinuousStatsTable[[#This Row],[BatchMeansHalfWidth]])</f>
        <v>3.0014600137344902E-2</v>
      </c>
    </row>
    <row r="220" spans="1:21" x14ac:dyDescent="0.25">
      <c r="A220" t="s">
        <v>67</v>
      </c>
      <c r="B220" t="s">
        <v>69</v>
      </c>
      <c r="C220">
        <v>12</v>
      </c>
      <c r="D220" t="s">
        <v>134</v>
      </c>
      <c r="E220" t="s">
        <v>138</v>
      </c>
      <c r="F220" t="s">
        <v>136</v>
      </c>
      <c r="G220">
        <v>1</v>
      </c>
      <c r="H220">
        <v>2E+20</v>
      </c>
      <c r="I220">
        <v>1</v>
      </c>
      <c r="J220">
        <v>1</v>
      </c>
      <c r="K220">
        <v>1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ScheduledResource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19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1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0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1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1</v>
      </c>
      <c r="U220" s="5">
        <f>IF((ContinuousStatsTable[[#This Row],[RepsRequested]]&gt;1),ContinuousStatsTable[[#This Row],[HalfWidth]],ContinuousStatsTable[[#This Row],[BatchMeansHalfWidth]])</f>
        <v>0</v>
      </c>
    </row>
    <row r="221" spans="1:21" x14ac:dyDescent="0.25">
      <c r="A221" t="s">
        <v>67</v>
      </c>
      <c r="B221" t="s">
        <v>69</v>
      </c>
      <c r="C221">
        <v>12</v>
      </c>
      <c r="D221" t="s">
        <v>139</v>
      </c>
      <c r="E221" t="s">
        <v>135</v>
      </c>
      <c r="F221" t="s">
        <v>136</v>
      </c>
      <c r="G221">
        <v>0.70645570909393796</v>
      </c>
      <c r="H221">
        <v>2E+20</v>
      </c>
      <c r="I221">
        <v>0</v>
      </c>
      <c r="J221">
        <v>1</v>
      </c>
      <c r="K221">
        <v>1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compartida)rCocinaInstantaneous UtilizationResource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19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0.60463940272025996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0.86361037821575004</v>
      </c>
      <c r="U221" s="5">
        <f>IF((ContinuousStatsTable[[#This Row],[RepsRequested]]&gt;1),ContinuousStatsTable[[#This Row],[HalfWidth]],ContinuousStatsTable[[#This Row],[BatchMeansHalfWidth]])</f>
        <v>3.4176212493127585E-2</v>
      </c>
    </row>
    <row r="222" spans="1:21" x14ac:dyDescent="0.25">
      <c r="A222" t="s">
        <v>67</v>
      </c>
      <c r="B222" t="s">
        <v>69</v>
      </c>
      <c r="C222">
        <v>12</v>
      </c>
      <c r="D222" t="s">
        <v>139</v>
      </c>
      <c r="E222" t="s">
        <v>137</v>
      </c>
      <c r="F222" t="s">
        <v>136</v>
      </c>
      <c r="G222">
        <v>0.70645570909393796</v>
      </c>
      <c r="H222">
        <v>2E+20</v>
      </c>
      <c r="I222">
        <v>0</v>
      </c>
      <c r="J222">
        <v>1</v>
      </c>
      <c r="K222">
        <v>1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BusyResource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19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0.60463940272025996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0.86361037821575004</v>
      </c>
      <c r="U222" s="5">
        <f>IF((ContinuousStatsTable[[#This Row],[RepsRequested]]&gt;1),ContinuousStatsTable[[#This Row],[HalfWidth]],ContinuousStatsTable[[#This Row],[BatchMeansHalfWidth]])</f>
        <v>3.4176212493127585E-2</v>
      </c>
    </row>
    <row r="223" spans="1:21" x14ac:dyDescent="0.25">
      <c r="A223" t="s">
        <v>67</v>
      </c>
      <c r="B223" t="s">
        <v>69</v>
      </c>
      <c r="C223">
        <v>12</v>
      </c>
      <c r="D223" t="s">
        <v>139</v>
      </c>
      <c r="E223" t="s">
        <v>138</v>
      </c>
      <c r="F223" t="s">
        <v>136</v>
      </c>
      <c r="G223">
        <v>1</v>
      </c>
      <c r="H223">
        <v>2E+20</v>
      </c>
      <c r="I223">
        <v>1</v>
      </c>
      <c r="J223">
        <v>1</v>
      </c>
      <c r="K223">
        <v>1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ScheduledResource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19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1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0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1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1</v>
      </c>
      <c r="U223" s="5">
        <f>IF((ContinuousStatsTable[[#This Row],[RepsRequested]]&gt;1),ContinuousStatsTable[[#This Row],[HalfWidth]],ContinuousStatsTable[[#This Row],[BatchMeansHalfWidth]])</f>
        <v>0</v>
      </c>
    </row>
    <row r="224" spans="1:21" x14ac:dyDescent="0.25">
      <c r="A224" t="s">
        <v>67</v>
      </c>
      <c r="B224" t="s">
        <v>69</v>
      </c>
      <c r="C224">
        <v>12</v>
      </c>
      <c r="D224" t="s">
        <v>140</v>
      </c>
      <c r="E224" t="s">
        <v>135</v>
      </c>
      <c r="F224" t="s">
        <v>136</v>
      </c>
      <c r="G224">
        <v>0.25383421733885397</v>
      </c>
      <c r="H224">
        <v>2E+20</v>
      </c>
      <c r="I224">
        <v>0</v>
      </c>
      <c r="J224">
        <v>0.8</v>
      </c>
      <c r="K224">
        <v>0.2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compartida)rMesaInstantaneous UtilizationResource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19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0.30850610959128738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6.2586127702931413E-2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3.0165547953177007E-2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0.156206445320244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0.44942505379986802</v>
      </c>
      <c r="U224" s="5">
        <f>IF((ContinuousStatsTable[[#This Row],[RepsRequested]]&gt;1),ContinuousStatsTable[[#This Row],[HalfWidth]],ContinuousStatsTable[[#This Row],[BatchMeansHalfWidth]])</f>
        <v>3.0165547953177007E-2</v>
      </c>
    </row>
    <row r="225" spans="1:21" x14ac:dyDescent="0.25">
      <c r="A225" t="s">
        <v>67</v>
      </c>
      <c r="B225" t="s">
        <v>69</v>
      </c>
      <c r="C225">
        <v>12</v>
      </c>
      <c r="D225" t="s">
        <v>140</v>
      </c>
      <c r="E225" t="s">
        <v>137</v>
      </c>
      <c r="F225" t="s">
        <v>136</v>
      </c>
      <c r="G225">
        <v>1.26917108669427</v>
      </c>
      <c r="H225">
        <v>2E+20</v>
      </c>
      <c r="I225">
        <v>0</v>
      </c>
      <c r="J225">
        <v>4</v>
      </c>
      <c r="K225">
        <v>1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BusyResource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19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0.78103222660121896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2.2471252689993402</v>
      </c>
      <c r="U225" s="5">
        <f>IF((ContinuousStatsTable[[#This Row],[RepsRequested]]&gt;1),ContinuousStatsTable[[#This Row],[HalfWidth]],ContinuousStatsTable[[#This Row],[BatchMeansHalfWidth]])</f>
        <v>0.15082773976588459</v>
      </c>
    </row>
    <row r="226" spans="1:21" x14ac:dyDescent="0.25">
      <c r="A226" t="s">
        <v>67</v>
      </c>
      <c r="B226" t="s">
        <v>69</v>
      </c>
      <c r="C226">
        <v>12</v>
      </c>
      <c r="D226" t="s">
        <v>140</v>
      </c>
      <c r="E226" t="s">
        <v>138</v>
      </c>
      <c r="F226" t="s">
        <v>136</v>
      </c>
      <c r="G226">
        <v>5</v>
      </c>
      <c r="H226">
        <v>2E+20</v>
      </c>
      <c r="I226">
        <v>5</v>
      </c>
      <c r="J226">
        <v>5</v>
      </c>
      <c r="K226">
        <v>5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ScheduledResource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19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5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5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5</v>
      </c>
      <c r="U226" s="5">
        <f>IF((ContinuousStatsTable[[#This Row],[RepsRequested]]&gt;1),ContinuousStatsTable[[#This Row],[HalfWidth]],ContinuousStatsTable[[#This Row],[BatchMeansHalfWidth]])</f>
        <v>0</v>
      </c>
    </row>
    <row r="227" spans="1:21" x14ac:dyDescent="0.25">
      <c r="A227" t="s">
        <v>67</v>
      </c>
      <c r="B227" t="s">
        <v>69</v>
      </c>
      <c r="C227">
        <v>12</v>
      </c>
      <c r="D227" t="s">
        <v>127</v>
      </c>
      <c r="E227" t="s">
        <v>129</v>
      </c>
      <c r="F227" t="s">
        <v>72</v>
      </c>
      <c r="G227">
        <v>0</v>
      </c>
      <c r="H227">
        <v>2E+20</v>
      </c>
      <c r="I227">
        <v>0</v>
      </c>
      <c r="J227">
        <v>1</v>
      </c>
      <c r="K227">
        <v>0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compartida)relojWIPEntity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19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0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0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0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0</v>
      </c>
      <c r="U227" s="5">
        <f>IF((ContinuousStatsTable[[#This Row],[RepsRequested]]&gt;1),ContinuousStatsTable[[#This Row],[HalfWidth]],ContinuousStatsTable[[#This Row],[BatchMeansHalfWidth]])</f>
        <v>0</v>
      </c>
    </row>
    <row r="228" spans="1:21" x14ac:dyDescent="0.25">
      <c r="A228" t="s">
        <v>67</v>
      </c>
      <c r="B228" t="s">
        <v>69</v>
      </c>
      <c r="C228">
        <v>12</v>
      </c>
      <c r="D228" t="s">
        <v>141</v>
      </c>
      <c r="E228" t="s">
        <v>142</v>
      </c>
      <c r="F228" t="s">
        <v>80</v>
      </c>
      <c r="G228">
        <v>3.6390733441079801</v>
      </c>
      <c r="H228">
        <v>2E+20</v>
      </c>
      <c r="I228">
        <v>0</v>
      </c>
      <c r="J228">
        <v>11</v>
      </c>
      <c r="K228">
        <v>4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compartida)vClientesEnSistemaVariableUser Specified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19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4.0733776306724412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1.3190004331473169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0.63573785879874822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2.7964405882205599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8.8656011818609901</v>
      </c>
      <c r="U228" s="5">
        <f>IF((ContinuousStatsTable[[#This Row],[RepsRequested]]&gt;1),ContinuousStatsTable[[#This Row],[HalfWidth]],ContinuousStatsTable[[#This Row],[BatchMeansHalfWidth]])</f>
        <v>0.63573785879874822</v>
      </c>
    </row>
    <row r="229" spans="1:21" x14ac:dyDescent="0.25">
      <c r="A229" t="s">
        <v>67</v>
      </c>
      <c r="B229" t="s">
        <v>69</v>
      </c>
      <c r="C229">
        <v>12</v>
      </c>
      <c r="D229" t="s">
        <v>143</v>
      </c>
      <c r="E229" t="s">
        <v>142</v>
      </c>
      <c r="F229" t="s">
        <v>80</v>
      </c>
      <c r="G229">
        <v>3.73082891330573</v>
      </c>
      <c r="H229">
        <v>2E+20</v>
      </c>
      <c r="I229">
        <v>1</v>
      </c>
      <c r="J229">
        <v>5</v>
      </c>
      <c r="K229">
        <v>4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compartida)vMesasLibresVariableUser Specified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19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3.457469452043564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0.31293063851465691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0.15082773976588496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2.7528747310006598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4.2189677733987798</v>
      </c>
      <c r="U229" s="5">
        <f>IF((ContinuousStatsTable[[#This Row],[RepsRequested]]&gt;1),ContinuousStatsTable[[#This Row],[HalfWidth]],ContinuousStatsTable[[#This Row],[BatchMeansHalfWidth]])</f>
        <v>0.15082773976588496</v>
      </c>
    </row>
    <row r="230" spans="1:21" x14ac:dyDescent="0.25">
      <c r="A230" t="s">
        <v>67</v>
      </c>
      <c r="B230" t="s">
        <v>69</v>
      </c>
      <c r="C230">
        <v>13</v>
      </c>
      <c r="D230" t="s">
        <v>70</v>
      </c>
      <c r="E230" t="s">
        <v>129</v>
      </c>
      <c r="F230" t="s">
        <v>72</v>
      </c>
      <c r="G230">
        <v>5.2619900265742903</v>
      </c>
      <c r="H230">
        <v>3E+20</v>
      </c>
      <c r="I230">
        <v>0</v>
      </c>
      <c r="J230">
        <v>12</v>
      </c>
      <c r="K230">
        <v>7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compartida)ClienteWIPEntity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19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5.695207969173218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1.5293712224665061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0.7371333335799507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3.6484308227805702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10.9337547677616</v>
      </c>
      <c r="U230" s="5">
        <f>IF((ContinuousStatsTable[[#This Row],[RepsRequested]]&gt;1),ContinuousStatsTable[[#This Row],[HalfWidth]],ContinuousStatsTable[[#This Row],[BatchMeansHalfWidth]])</f>
        <v>0.7371333335799507</v>
      </c>
    </row>
    <row r="231" spans="1:21" x14ac:dyDescent="0.25">
      <c r="A231" t="s">
        <v>67</v>
      </c>
      <c r="B231" t="s">
        <v>69</v>
      </c>
      <c r="C231">
        <v>13</v>
      </c>
      <c r="D231" t="s">
        <v>89</v>
      </c>
      <c r="E231" t="s">
        <v>130</v>
      </c>
      <c r="F231" t="s">
        <v>91</v>
      </c>
      <c r="G231">
        <v>0</v>
      </c>
      <c r="H231">
        <v>2E+20</v>
      </c>
      <c r="I231">
        <v>0</v>
      </c>
      <c r="J231">
        <v>0</v>
      </c>
      <c r="K231">
        <v>0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compartida)Comer en Mesa.QueueNumber WaitingQueue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19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0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0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0</v>
      </c>
      <c r="U231" s="5">
        <f>IF((ContinuousStatsTable[[#This Row],[RepsRequested]]&gt;1),ContinuousStatsTable[[#This Row],[HalfWidth]],ContinuousStatsTable[[#This Row],[BatchMeansHalfWidth]])</f>
        <v>0</v>
      </c>
    </row>
    <row r="232" spans="1:21" x14ac:dyDescent="0.25">
      <c r="A232" t="s">
        <v>67</v>
      </c>
      <c r="B232" t="s">
        <v>69</v>
      </c>
      <c r="C232">
        <v>13</v>
      </c>
      <c r="D232" t="s">
        <v>92</v>
      </c>
      <c r="E232" t="s">
        <v>130</v>
      </c>
      <c r="F232" t="s">
        <v>91</v>
      </c>
      <c r="G232">
        <v>1.2534633766952401</v>
      </c>
      <c r="H232">
        <v>2E+20</v>
      </c>
      <c r="I232">
        <v>0</v>
      </c>
      <c r="J232">
        <v>7</v>
      </c>
      <c r="K232">
        <v>3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compartida)Entrega pedido.QueueNumber WaitingQueue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19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1.4415832090470244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0.61323545266973079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0.29557002698587687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0.95119347509060603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3.71511779664222</v>
      </c>
      <c r="U232" s="5">
        <f>IF((ContinuousStatsTable[[#This Row],[RepsRequested]]&gt;1),ContinuousStatsTable[[#This Row],[HalfWidth]],ContinuousStatsTable[[#This Row],[BatchMeansHalfWidth]])</f>
        <v>0.29557002698587687</v>
      </c>
    </row>
    <row r="233" spans="1:21" x14ac:dyDescent="0.25">
      <c r="A233" t="s">
        <v>67</v>
      </c>
      <c r="B233" t="s">
        <v>69</v>
      </c>
      <c r="C233">
        <v>13</v>
      </c>
      <c r="D233" t="s">
        <v>131</v>
      </c>
      <c r="E233" t="s">
        <v>129</v>
      </c>
      <c r="F233" t="s">
        <v>72</v>
      </c>
      <c r="G233">
        <v>2.8423137805655299</v>
      </c>
      <c r="H233">
        <v>2E+20</v>
      </c>
      <c r="I233">
        <v>0</v>
      </c>
      <c r="J233">
        <v>7</v>
      </c>
      <c r="K233">
        <v>4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compartida)OrdenWIPEntity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19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3.0972744691234286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0.7960145604449721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0.38366673695655462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2.0609398302211299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5.8229936047650703</v>
      </c>
      <c r="U233" s="5">
        <f>IF((ContinuousStatsTable[[#This Row],[RepsRequested]]&gt;1),ContinuousStatsTable[[#This Row],[HalfWidth]],ContinuousStatsTable[[#This Row],[BatchMeansHalfWidth]])</f>
        <v>0.38366673695655462</v>
      </c>
    </row>
    <row r="234" spans="1:21" x14ac:dyDescent="0.25">
      <c r="A234" t="s">
        <v>67</v>
      </c>
      <c r="B234" t="s">
        <v>69</v>
      </c>
      <c r="C234">
        <v>13</v>
      </c>
      <c r="D234" t="s">
        <v>99</v>
      </c>
      <c r="E234" t="s">
        <v>130</v>
      </c>
      <c r="F234" t="s">
        <v>91</v>
      </c>
      <c r="G234">
        <v>0.44710502065881402</v>
      </c>
      <c r="H234">
        <v>2E+20</v>
      </c>
      <c r="I234">
        <v>0</v>
      </c>
      <c r="J234">
        <v>4</v>
      </c>
      <c r="K234">
        <v>0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compartida)Pasar a Caja.QueueNumber WaitingQueue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19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0.5234663348541454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0.51706251909874834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0.24921615679273348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0.17506464523350199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2.4783528335268201</v>
      </c>
      <c r="U234" s="5">
        <f>IF((ContinuousStatsTable[[#This Row],[RepsRequested]]&gt;1),ContinuousStatsTable[[#This Row],[HalfWidth]],ContinuousStatsTable[[#This Row],[BatchMeansHalfWidth]])</f>
        <v>0.24921615679273348</v>
      </c>
    </row>
    <row r="235" spans="1:21" x14ac:dyDescent="0.25">
      <c r="A235" t="s">
        <v>67</v>
      </c>
      <c r="B235" t="s">
        <v>69</v>
      </c>
      <c r="C235">
        <v>13</v>
      </c>
      <c r="D235" t="s">
        <v>104</v>
      </c>
      <c r="E235" t="s">
        <v>130</v>
      </c>
      <c r="F235" t="s">
        <v>91</v>
      </c>
      <c r="G235">
        <v>0.29810458954956998</v>
      </c>
      <c r="H235">
        <v>2E+20</v>
      </c>
      <c r="I235">
        <v>0</v>
      </c>
      <c r="J235">
        <v>4</v>
      </c>
      <c r="K235">
        <v>3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compartida)Preparacion.QueueNumber WaitingQueue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19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0.48138063122984937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0.5430727934303009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0.26175270772536113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0.13383910219346701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2.5739205922552402</v>
      </c>
      <c r="U235" s="5">
        <f>IF((ContinuousStatsTable[[#This Row],[RepsRequested]]&gt;1),ContinuousStatsTable[[#This Row],[HalfWidth]],ContinuousStatsTable[[#This Row],[BatchMeansHalfWidth]])</f>
        <v>0.26175270772536113</v>
      </c>
    </row>
    <row r="236" spans="1:21" x14ac:dyDescent="0.25">
      <c r="A236" t="s">
        <v>67</v>
      </c>
      <c r="B236" t="s">
        <v>69</v>
      </c>
      <c r="C236">
        <v>13</v>
      </c>
      <c r="D236" t="s">
        <v>132</v>
      </c>
      <c r="E236" t="s">
        <v>133</v>
      </c>
      <c r="F236" t="s">
        <v>80</v>
      </c>
      <c r="G236">
        <v>1.48107262609251</v>
      </c>
      <c r="H236">
        <v>2E+20</v>
      </c>
      <c r="I236">
        <v>0</v>
      </c>
      <c r="J236">
        <v>4</v>
      </c>
      <c r="K236">
        <v>1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compartida)TP_MesasTime PersistentUser Specified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19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0.78103222660121896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2.2471252689993402</v>
      </c>
      <c r="U236" s="5">
        <f>IF((ContinuousStatsTable[[#This Row],[RepsRequested]]&gt;1),ContinuousStatsTable[[#This Row],[HalfWidth]],ContinuousStatsTable[[#This Row],[BatchMeansHalfWidth]])</f>
        <v>0.15082773976588459</v>
      </c>
    </row>
    <row r="237" spans="1:21" x14ac:dyDescent="0.25">
      <c r="A237" t="s">
        <v>67</v>
      </c>
      <c r="B237" t="s">
        <v>69</v>
      </c>
      <c r="C237">
        <v>13</v>
      </c>
      <c r="D237" t="s">
        <v>134</v>
      </c>
      <c r="E237" t="s">
        <v>135</v>
      </c>
      <c r="F237" t="s">
        <v>136</v>
      </c>
      <c r="G237">
        <v>0.66710192957718595</v>
      </c>
      <c r="H237">
        <v>2E+20</v>
      </c>
      <c r="I237">
        <v>0</v>
      </c>
      <c r="J237">
        <v>1</v>
      </c>
      <c r="K237">
        <v>1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compartida)rCajeroInstantaneous UtilizationResource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19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6.2272947935973086E-2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3.0014600137344912E-2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0.59592290927233305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0.82897119936997599</v>
      </c>
      <c r="U237" s="5">
        <f>IF((ContinuousStatsTable[[#This Row],[RepsRequested]]&gt;1),ContinuousStatsTable[[#This Row],[HalfWidth]],ContinuousStatsTable[[#This Row],[BatchMeansHalfWidth]])</f>
        <v>3.0014600137344912E-2</v>
      </c>
    </row>
    <row r="238" spans="1:21" x14ac:dyDescent="0.25">
      <c r="A238" t="s">
        <v>67</v>
      </c>
      <c r="B238" t="s">
        <v>69</v>
      </c>
      <c r="C238">
        <v>13</v>
      </c>
      <c r="D238" t="s">
        <v>134</v>
      </c>
      <c r="E238" t="s">
        <v>137</v>
      </c>
      <c r="F238" t="s">
        <v>136</v>
      </c>
      <c r="G238">
        <v>0.66710192957718595</v>
      </c>
      <c r="H238">
        <v>2E+20</v>
      </c>
      <c r="I238">
        <v>0</v>
      </c>
      <c r="J238">
        <v>1</v>
      </c>
      <c r="K238">
        <v>1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BusyResource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19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6.2272947935973065E-2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3.0014600137344902E-2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0.59592290927233305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0.82897119936997599</v>
      </c>
      <c r="U238" s="5">
        <f>IF((ContinuousStatsTable[[#This Row],[RepsRequested]]&gt;1),ContinuousStatsTable[[#This Row],[HalfWidth]],ContinuousStatsTable[[#This Row],[BatchMeansHalfWidth]])</f>
        <v>3.0014600137344902E-2</v>
      </c>
    </row>
    <row r="239" spans="1:21" x14ac:dyDescent="0.25">
      <c r="A239" t="s">
        <v>67</v>
      </c>
      <c r="B239" t="s">
        <v>69</v>
      </c>
      <c r="C239">
        <v>13</v>
      </c>
      <c r="D239" t="s">
        <v>134</v>
      </c>
      <c r="E239" t="s">
        <v>138</v>
      </c>
      <c r="F239" t="s">
        <v>136</v>
      </c>
      <c r="G239">
        <v>1</v>
      </c>
      <c r="H239">
        <v>2E+20</v>
      </c>
      <c r="I239">
        <v>1</v>
      </c>
      <c r="J239">
        <v>1</v>
      </c>
      <c r="K239">
        <v>1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ScheduledResource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19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1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0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1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1</v>
      </c>
      <c r="U239" s="5">
        <f>IF((ContinuousStatsTable[[#This Row],[RepsRequested]]&gt;1),ContinuousStatsTable[[#This Row],[HalfWidth]],ContinuousStatsTable[[#This Row],[BatchMeansHalfWidth]])</f>
        <v>0</v>
      </c>
    </row>
    <row r="240" spans="1:21" x14ac:dyDescent="0.25">
      <c r="A240" t="s">
        <v>67</v>
      </c>
      <c r="B240" t="s">
        <v>69</v>
      </c>
      <c r="C240">
        <v>13</v>
      </c>
      <c r="D240" t="s">
        <v>139</v>
      </c>
      <c r="E240" t="s">
        <v>135</v>
      </c>
      <c r="F240" t="s">
        <v>136</v>
      </c>
      <c r="G240">
        <v>0.69419990127037201</v>
      </c>
      <c r="H240">
        <v>2E+20</v>
      </c>
      <c r="I240">
        <v>0</v>
      </c>
      <c r="J240">
        <v>1</v>
      </c>
      <c r="K240">
        <v>1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compartida)rCocinaInstantaneous UtilizationResource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19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0.60463940272025996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0.86361037821575004</v>
      </c>
      <c r="U240" s="5">
        <f>IF((ContinuousStatsTable[[#This Row],[RepsRequested]]&gt;1),ContinuousStatsTable[[#This Row],[HalfWidth]],ContinuousStatsTable[[#This Row],[BatchMeansHalfWidth]])</f>
        <v>3.4176212493127585E-2</v>
      </c>
    </row>
    <row r="241" spans="1:21" x14ac:dyDescent="0.25">
      <c r="A241" t="s">
        <v>67</v>
      </c>
      <c r="B241" t="s">
        <v>69</v>
      </c>
      <c r="C241">
        <v>13</v>
      </c>
      <c r="D241" t="s">
        <v>139</v>
      </c>
      <c r="E241" t="s">
        <v>137</v>
      </c>
      <c r="F241" t="s">
        <v>136</v>
      </c>
      <c r="G241">
        <v>0.69419990127037201</v>
      </c>
      <c r="H241">
        <v>2E+20</v>
      </c>
      <c r="I241">
        <v>0</v>
      </c>
      <c r="J241">
        <v>1</v>
      </c>
      <c r="K241">
        <v>1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BusyResource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19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0.60463940272025996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0.86361037821575004</v>
      </c>
      <c r="U241" s="5">
        <f>IF((ContinuousStatsTable[[#This Row],[RepsRequested]]&gt;1),ContinuousStatsTable[[#This Row],[HalfWidth]],ContinuousStatsTable[[#This Row],[BatchMeansHalfWidth]])</f>
        <v>3.4176212493127585E-2</v>
      </c>
    </row>
    <row r="242" spans="1:21" x14ac:dyDescent="0.25">
      <c r="A242" t="s">
        <v>67</v>
      </c>
      <c r="B242" t="s">
        <v>69</v>
      </c>
      <c r="C242">
        <v>13</v>
      </c>
      <c r="D242" t="s">
        <v>139</v>
      </c>
      <c r="E242" t="s">
        <v>138</v>
      </c>
      <c r="F242" t="s">
        <v>136</v>
      </c>
      <c r="G242">
        <v>1</v>
      </c>
      <c r="H242">
        <v>2E+20</v>
      </c>
      <c r="I242">
        <v>1</v>
      </c>
      <c r="J242">
        <v>1</v>
      </c>
      <c r="K242">
        <v>1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ScheduledResource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19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1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0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1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1</v>
      </c>
      <c r="U242" s="5">
        <f>IF((ContinuousStatsTable[[#This Row],[RepsRequested]]&gt;1),ContinuousStatsTable[[#This Row],[HalfWidth]],ContinuousStatsTable[[#This Row],[BatchMeansHalfWidth]])</f>
        <v>0</v>
      </c>
    </row>
    <row r="243" spans="1:21" x14ac:dyDescent="0.25">
      <c r="A243" t="s">
        <v>67</v>
      </c>
      <c r="B243" t="s">
        <v>69</v>
      </c>
      <c r="C243">
        <v>13</v>
      </c>
      <c r="D243" t="s">
        <v>140</v>
      </c>
      <c r="E243" t="s">
        <v>135</v>
      </c>
      <c r="F243" t="s">
        <v>136</v>
      </c>
      <c r="G243">
        <v>0.296214525218501</v>
      </c>
      <c r="H243">
        <v>2E+20</v>
      </c>
      <c r="I243">
        <v>0</v>
      </c>
      <c r="J243">
        <v>0.8</v>
      </c>
      <c r="K243">
        <v>0.2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compartida)rMesaInstantaneous UtilizationResource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19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0.30850610959128738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6.2586127702931413E-2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3.0165547953177007E-2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0.156206445320244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0.44942505379986802</v>
      </c>
      <c r="U243" s="5">
        <f>IF((ContinuousStatsTable[[#This Row],[RepsRequested]]&gt;1),ContinuousStatsTable[[#This Row],[HalfWidth]],ContinuousStatsTable[[#This Row],[BatchMeansHalfWidth]])</f>
        <v>3.0165547953177007E-2</v>
      </c>
    </row>
    <row r="244" spans="1:21" x14ac:dyDescent="0.25">
      <c r="A244" t="s">
        <v>67</v>
      </c>
      <c r="B244" t="s">
        <v>69</v>
      </c>
      <c r="C244">
        <v>13</v>
      </c>
      <c r="D244" t="s">
        <v>140</v>
      </c>
      <c r="E244" t="s">
        <v>137</v>
      </c>
      <c r="F244" t="s">
        <v>136</v>
      </c>
      <c r="G244">
        <v>1.48107262609251</v>
      </c>
      <c r="H244">
        <v>2E+20</v>
      </c>
      <c r="I244">
        <v>0</v>
      </c>
      <c r="J244">
        <v>4</v>
      </c>
      <c r="K244">
        <v>1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BusyResource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19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0.78103222660121896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2.2471252689993402</v>
      </c>
      <c r="U244" s="5">
        <f>IF((ContinuousStatsTable[[#This Row],[RepsRequested]]&gt;1),ContinuousStatsTable[[#This Row],[HalfWidth]],ContinuousStatsTable[[#This Row],[BatchMeansHalfWidth]])</f>
        <v>0.15082773976588459</v>
      </c>
    </row>
    <row r="245" spans="1:21" x14ac:dyDescent="0.25">
      <c r="A245" t="s">
        <v>67</v>
      </c>
      <c r="B245" t="s">
        <v>69</v>
      </c>
      <c r="C245">
        <v>13</v>
      </c>
      <c r="D245" t="s">
        <v>140</v>
      </c>
      <c r="E245" t="s">
        <v>138</v>
      </c>
      <c r="F245" t="s">
        <v>136</v>
      </c>
      <c r="G245">
        <v>5</v>
      </c>
      <c r="H245">
        <v>2E+20</v>
      </c>
      <c r="I245">
        <v>5</v>
      </c>
      <c r="J245">
        <v>5</v>
      </c>
      <c r="K245">
        <v>5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ScheduledResource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19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5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0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5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5</v>
      </c>
      <c r="U245" s="5">
        <f>IF((ContinuousStatsTable[[#This Row],[RepsRequested]]&gt;1),ContinuousStatsTable[[#This Row],[HalfWidth]],ContinuousStatsTable[[#This Row],[BatchMeansHalfWidth]])</f>
        <v>0</v>
      </c>
    </row>
    <row r="246" spans="1:21" x14ac:dyDescent="0.25">
      <c r="A246" t="s">
        <v>67</v>
      </c>
      <c r="B246" t="s">
        <v>69</v>
      </c>
      <c r="C246">
        <v>13</v>
      </c>
      <c r="D246" t="s">
        <v>127</v>
      </c>
      <c r="E246" t="s">
        <v>129</v>
      </c>
      <c r="F246" t="s">
        <v>72</v>
      </c>
      <c r="G246">
        <v>0</v>
      </c>
      <c r="H246">
        <v>2E+20</v>
      </c>
      <c r="I246">
        <v>0</v>
      </c>
      <c r="J246">
        <v>1</v>
      </c>
      <c r="K246">
        <v>0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compartida)relojWIPEntity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19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0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0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0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0</v>
      </c>
      <c r="U246" s="5">
        <f>IF((ContinuousStatsTable[[#This Row],[RepsRequested]]&gt;1),ContinuousStatsTable[[#This Row],[HalfWidth]],ContinuousStatsTable[[#This Row],[BatchMeansHalfWidth]])</f>
        <v>0</v>
      </c>
    </row>
    <row r="247" spans="1:21" x14ac:dyDescent="0.25">
      <c r="A247" t="s">
        <v>67</v>
      </c>
      <c r="B247" t="s">
        <v>69</v>
      </c>
      <c r="C247">
        <v>13</v>
      </c>
      <c r="D247" t="s">
        <v>141</v>
      </c>
      <c r="E247" t="s">
        <v>142</v>
      </c>
      <c r="F247" t="s">
        <v>80</v>
      </c>
      <c r="G247">
        <v>3.7059174004817801</v>
      </c>
      <c r="H247">
        <v>2E+20</v>
      </c>
      <c r="I247">
        <v>0</v>
      </c>
      <c r="J247">
        <v>8</v>
      </c>
      <c r="K247">
        <v>6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compartida)vClientesEnSistemaVariableUser Specified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19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4.0733776306724412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1.3190004331473169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0.63573785879874822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2.7964405882205599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8.8656011818609901</v>
      </c>
      <c r="U247" s="5">
        <f>IF((ContinuousStatsTable[[#This Row],[RepsRequested]]&gt;1),ContinuousStatsTable[[#This Row],[HalfWidth]],ContinuousStatsTable[[#This Row],[BatchMeansHalfWidth]])</f>
        <v>0.63573785879874822</v>
      </c>
    </row>
    <row r="248" spans="1:21" x14ac:dyDescent="0.25">
      <c r="A248" t="s">
        <v>67</v>
      </c>
      <c r="B248" t="s">
        <v>69</v>
      </c>
      <c r="C248">
        <v>13</v>
      </c>
      <c r="D248" t="s">
        <v>143</v>
      </c>
      <c r="E248" t="s">
        <v>142</v>
      </c>
      <c r="F248" t="s">
        <v>80</v>
      </c>
      <c r="G248">
        <v>3.51892737390749</v>
      </c>
      <c r="H248">
        <v>2E+20</v>
      </c>
      <c r="I248">
        <v>1</v>
      </c>
      <c r="J248">
        <v>5</v>
      </c>
      <c r="K248">
        <v>4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compartida)vMesasLibresVariableUser Specified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19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3.457469452043564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0.31293063851465691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0.15082773976588496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2.7528747310006598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4.2189677733987798</v>
      </c>
      <c r="U248" s="5">
        <f>IF((ContinuousStatsTable[[#This Row],[RepsRequested]]&gt;1),ContinuousStatsTable[[#This Row],[HalfWidth]],ContinuousStatsTable[[#This Row],[BatchMeansHalfWidth]])</f>
        <v>0.15082773976588496</v>
      </c>
    </row>
    <row r="249" spans="1:21" x14ac:dyDescent="0.25">
      <c r="A249" t="s">
        <v>67</v>
      </c>
      <c r="B249" t="s">
        <v>69</v>
      </c>
      <c r="C249">
        <v>14</v>
      </c>
      <c r="D249" t="s">
        <v>70</v>
      </c>
      <c r="E249" t="s">
        <v>129</v>
      </c>
      <c r="F249" t="s">
        <v>72</v>
      </c>
      <c r="G249">
        <v>6.3165305850200202</v>
      </c>
      <c r="H249">
        <v>3E+20</v>
      </c>
      <c r="I249">
        <v>1</v>
      </c>
      <c r="J249">
        <v>15</v>
      </c>
      <c r="K249">
        <v>12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compartida)ClienteWIPEntity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19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5.695207969173218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1.5293712224665061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0.7371333335799507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3.6484308227805702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10.9337547677616</v>
      </c>
      <c r="U249" s="5">
        <f>IF((ContinuousStatsTable[[#This Row],[RepsRequested]]&gt;1),ContinuousStatsTable[[#This Row],[HalfWidth]],ContinuousStatsTable[[#This Row],[BatchMeansHalfWidth]])</f>
        <v>0.7371333335799507</v>
      </c>
    </row>
    <row r="250" spans="1:21" x14ac:dyDescent="0.25">
      <c r="A250" t="s">
        <v>67</v>
      </c>
      <c r="B250" t="s">
        <v>69</v>
      </c>
      <c r="C250">
        <v>14</v>
      </c>
      <c r="D250" t="s">
        <v>89</v>
      </c>
      <c r="E250" t="s">
        <v>130</v>
      </c>
      <c r="F250" t="s">
        <v>91</v>
      </c>
      <c r="G250">
        <v>0</v>
      </c>
      <c r="H250">
        <v>2E+20</v>
      </c>
      <c r="I250">
        <v>0</v>
      </c>
      <c r="J250">
        <v>0</v>
      </c>
      <c r="K250">
        <v>0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compartida)Comer en Mesa.QueueNumber WaitingQueue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19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0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0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0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0</v>
      </c>
      <c r="U250" s="5">
        <f>IF((ContinuousStatsTable[[#This Row],[RepsRequested]]&gt;1),ContinuousStatsTable[[#This Row],[HalfWidth]],ContinuousStatsTable[[#This Row],[BatchMeansHalfWidth]])</f>
        <v>0</v>
      </c>
    </row>
    <row r="251" spans="1:21" x14ac:dyDescent="0.25">
      <c r="A251" t="s">
        <v>67</v>
      </c>
      <c r="B251" t="s">
        <v>69</v>
      </c>
      <c r="C251">
        <v>14</v>
      </c>
      <c r="D251" t="s">
        <v>92</v>
      </c>
      <c r="E251" t="s">
        <v>130</v>
      </c>
      <c r="F251" t="s">
        <v>91</v>
      </c>
      <c r="G251">
        <v>1.6904415580440499</v>
      </c>
      <c r="H251">
        <v>2E+20</v>
      </c>
      <c r="I251">
        <v>0</v>
      </c>
      <c r="J251">
        <v>8</v>
      </c>
      <c r="K251">
        <v>6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compartida)Entrega pedido.QueueNumber WaitingQueue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19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1.4415832090470244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0.61323545266973079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0.29557002698587687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0.95119347509060603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3.71511779664222</v>
      </c>
      <c r="U251" s="5">
        <f>IF((ContinuousStatsTable[[#This Row],[RepsRequested]]&gt;1),ContinuousStatsTable[[#This Row],[HalfWidth]],ContinuousStatsTable[[#This Row],[BatchMeansHalfWidth]])</f>
        <v>0.29557002698587687</v>
      </c>
    </row>
    <row r="252" spans="1:21" x14ac:dyDescent="0.25">
      <c r="A252" t="s">
        <v>67</v>
      </c>
      <c r="B252" t="s">
        <v>69</v>
      </c>
      <c r="C252">
        <v>14</v>
      </c>
      <c r="D252" t="s">
        <v>131</v>
      </c>
      <c r="E252" t="s">
        <v>129</v>
      </c>
      <c r="F252" t="s">
        <v>72</v>
      </c>
      <c r="G252">
        <v>3.4338833834657501</v>
      </c>
      <c r="H252">
        <v>2E+20</v>
      </c>
      <c r="I252">
        <v>0</v>
      </c>
      <c r="J252">
        <v>9</v>
      </c>
      <c r="K252">
        <v>8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compartida)OrdenWIPEntity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19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3.0972744691234286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0.7960145604449721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0.38366673695655462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2.0609398302211299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5.8229936047650703</v>
      </c>
      <c r="U252" s="5">
        <f>IF((ContinuousStatsTable[[#This Row],[RepsRequested]]&gt;1),ContinuousStatsTable[[#This Row],[HalfWidth]],ContinuousStatsTable[[#This Row],[BatchMeansHalfWidth]])</f>
        <v>0.38366673695655462</v>
      </c>
    </row>
    <row r="253" spans="1:21" x14ac:dyDescent="0.25">
      <c r="A253" t="s">
        <v>67</v>
      </c>
      <c r="B253" t="s">
        <v>69</v>
      </c>
      <c r="C253">
        <v>14</v>
      </c>
      <c r="D253" t="s">
        <v>99</v>
      </c>
      <c r="E253" t="s">
        <v>130</v>
      </c>
      <c r="F253" t="s">
        <v>91</v>
      </c>
      <c r="G253">
        <v>0.666170978317005</v>
      </c>
      <c r="H253">
        <v>2E+20</v>
      </c>
      <c r="I253">
        <v>0</v>
      </c>
      <c r="J253">
        <v>6</v>
      </c>
      <c r="K253">
        <v>2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compartida)Pasar a Caja.QueueNumber WaitingQueue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19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0.5234663348541454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0.51706251909874834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0.24921615679273348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0.17506464523350199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2.4783528335268201</v>
      </c>
      <c r="U253" s="5">
        <f>IF((ContinuousStatsTable[[#This Row],[RepsRequested]]&gt;1),ContinuousStatsTable[[#This Row],[HalfWidth]],ContinuousStatsTable[[#This Row],[BatchMeansHalfWidth]])</f>
        <v>0.24921615679273348</v>
      </c>
    </row>
    <row r="254" spans="1:21" x14ac:dyDescent="0.25">
      <c r="A254" t="s">
        <v>67</v>
      </c>
      <c r="B254" t="s">
        <v>69</v>
      </c>
      <c r="C254">
        <v>14</v>
      </c>
      <c r="D254" t="s">
        <v>104</v>
      </c>
      <c r="E254" t="s">
        <v>130</v>
      </c>
      <c r="F254" t="s">
        <v>91</v>
      </c>
      <c r="G254">
        <v>0.68472600186341803</v>
      </c>
      <c r="H254">
        <v>2E+20</v>
      </c>
      <c r="I254">
        <v>0</v>
      </c>
      <c r="J254">
        <v>5</v>
      </c>
      <c r="K254">
        <v>4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compartida)Preparacion.QueueNumber WaitingQueue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19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0.48138063122984937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0.5430727934303009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0.26175270772536113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0.13383910219346701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2.5739205922552402</v>
      </c>
      <c r="U254" s="5">
        <f>IF((ContinuousStatsTable[[#This Row],[RepsRequested]]&gt;1),ContinuousStatsTable[[#This Row],[HalfWidth]],ContinuousStatsTable[[#This Row],[BatchMeansHalfWidth]])</f>
        <v>0.26175270772536113</v>
      </c>
    </row>
    <row r="255" spans="1:21" x14ac:dyDescent="0.25">
      <c r="A255" t="s">
        <v>67</v>
      </c>
      <c r="B255" t="s">
        <v>69</v>
      </c>
      <c r="C255">
        <v>14</v>
      </c>
      <c r="D255" t="s">
        <v>132</v>
      </c>
      <c r="E255" t="s">
        <v>133</v>
      </c>
      <c r="F255" t="s">
        <v>80</v>
      </c>
      <c r="G255">
        <v>1.6177010846809501</v>
      </c>
      <c r="H255">
        <v>2E+20</v>
      </c>
      <c r="I255">
        <v>0</v>
      </c>
      <c r="J255">
        <v>4</v>
      </c>
      <c r="K255">
        <v>2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compartida)TP_MesasTime PersistentUser Specified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19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0.78103222660121896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2.2471252689993402</v>
      </c>
      <c r="U255" s="5">
        <f>IF((ContinuousStatsTable[[#This Row],[RepsRequested]]&gt;1),ContinuousStatsTable[[#This Row],[HalfWidth]],ContinuousStatsTable[[#This Row],[BatchMeansHalfWidth]])</f>
        <v>0.15082773976588459</v>
      </c>
    </row>
    <row r="256" spans="1:21" x14ac:dyDescent="0.25">
      <c r="A256" t="s">
        <v>67</v>
      </c>
      <c r="B256" t="s">
        <v>69</v>
      </c>
      <c r="C256">
        <v>14</v>
      </c>
      <c r="D256" t="s">
        <v>134</v>
      </c>
      <c r="E256" t="s">
        <v>135</v>
      </c>
      <c r="F256" t="s">
        <v>136</v>
      </c>
      <c r="G256">
        <v>0.73992182849147503</v>
      </c>
      <c r="H256">
        <v>2E+20</v>
      </c>
      <c r="I256">
        <v>0</v>
      </c>
      <c r="J256">
        <v>1</v>
      </c>
      <c r="K256">
        <v>1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compartida)rCajeroInstantaneous UtilizationResource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19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6.2272947935973086E-2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3.0014600137344912E-2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0.59592290927233305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0.82897119936997599</v>
      </c>
      <c r="U256" s="5">
        <f>IF((ContinuousStatsTable[[#This Row],[RepsRequested]]&gt;1),ContinuousStatsTable[[#This Row],[HalfWidth]],ContinuousStatsTable[[#This Row],[BatchMeansHalfWidth]])</f>
        <v>3.0014600137344912E-2</v>
      </c>
    </row>
    <row r="257" spans="1:21" x14ac:dyDescent="0.25">
      <c r="A257" t="s">
        <v>67</v>
      </c>
      <c r="B257" t="s">
        <v>69</v>
      </c>
      <c r="C257">
        <v>14</v>
      </c>
      <c r="D257" t="s">
        <v>134</v>
      </c>
      <c r="E257" t="s">
        <v>137</v>
      </c>
      <c r="F257" t="s">
        <v>136</v>
      </c>
      <c r="G257">
        <v>0.73992182849147503</v>
      </c>
      <c r="H257">
        <v>2E+20</v>
      </c>
      <c r="I257">
        <v>0</v>
      </c>
      <c r="J257">
        <v>1</v>
      </c>
      <c r="K257">
        <v>1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BusyResource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19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6.2272947935973065E-2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3.0014600137344902E-2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0.59592290927233305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0.82897119936997599</v>
      </c>
      <c r="U257" s="5">
        <f>IF((ContinuousStatsTable[[#This Row],[RepsRequested]]&gt;1),ContinuousStatsTable[[#This Row],[HalfWidth]],ContinuousStatsTable[[#This Row],[BatchMeansHalfWidth]])</f>
        <v>3.0014600137344902E-2</v>
      </c>
    </row>
    <row r="258" spans="1:21" x14ac:dyDescent="0.25">
      <c r="A258" t="s">
        <v>67</v>
      </c>
      <c r="B258" t="s">
        <v>69</v>
      </c>
      <c r="C258">
        <v>14</v>
      </c>
      <c r="D258" t="s">
        <v>134</v>
      </c>
      <c r="E258" t="s">
        <v>138</v>
      </c>
      <c r="F258" t="s">
        <v>136</v>
      </c>
      <c r="G258">
        <v>1</v>
      </c>
      <c r="H258">
        <v>2E+20</v>
      </c>
      <c r="I258">
        <v>1</v>
      </c>
      <c r="J258">
        <v>1</v>
      </c>
      <c r="K258">
        <v>1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ScheduledResource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19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1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0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1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1</v>
      </c>
      <c r="U258" s="5">
        <f>IF((ContinuousStatsTable[[#This Row],[RepsRequested]]&gt;1),ContinuousStatsTable[[#This Row],[HalfWidth]],ContinuousStatsTable[[#This Row],[BatchMeansHalfWidth]])</f>
        <v>0</v>
      </c>
    </row>
    <row r="259" spans="1:21" x14ac:dyDescent="0.25">
      <c r="A259" t="s">
        <v>67</v>
      </c>
      <c r="B259" t="s">
        <v>69</v>
      </c>
      <c r="C259">
        <v>14</v>
      </c>
      <c r="D259" t="s">
        <v>139</v>
      </c>
      <c r="E259" t="s">
        <v>135</v>
      </c>
      <c r="F259" t="s">
        <v>136</v>
      </c>
      <c r="G259">
        <v>0.76530960698621098</v>
      </c>
      <c r="H259">
        <v>2E+20</v>
      </c>
      <c r="I259">
        <v>0</v>
      </c>
      <c r="J259">
        <v>1</v>
      </c>
      <c r="K259">
        <v>1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compartida)rCocinaInstantaneous UtilizationResource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19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0.60463940272025996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0.86361037821575004</v>
      </c>
      <c r="U259" s="5">
        <f>IF((ContinuousStatsTable[[#This Row],[RepsRequested]]&gt;1),ContinuousStatsTable[[#This Row],[HalfWidth]],ContinuousStatsTable[[#This Row],[BatchMeansHalfWidth]])</f>
        <v>3.4176212493127585E-2</v>
      </c>
    </row>
    <row r="260" spans="1:21" x14ac:dyDescent="0.25">
      <c r="A260" t="s">
        <v>67</v>
      </c>
      <c r="B260" t="s">
        <v>69</v>
      </c>
      <c r="C260">
        <v>14</v>
      </c>
      <c r="D260" t="s">
        <v>139</v>
      </c>
      <c r="E260" t="s">
        <v>137</v>
      </c>
      <c r="F260" t="s">
        <v>136</v>
      </c>
      <c r="G260">
        <v>0.76530960698621098</v>
      </c>
      <c r="H260">
        <v>2E+20</v>
      </c>
      <c r="I260">
        <v>0</v>
      </c>
      <c r="J260">
        <v>1</v>
      </c>
      <c r="K260">
        <v>1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BusyResource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19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0.60463940272025996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0.86361037821575004</v>
      </c>
      <c r="U260" s="5">
        <f>IF((ContinuousStatsTable[[#This Row],[RepsRequested]]&gt;1),ContinuousStatsTable[[#This Row],[HalfWidth]],ContinuousStatsTable[[#This Row],[BatchMeansHalfWidth]])</f>
        <v>3.4176212493127585E-2</v>
      </c>
    </row>
    <row r="261" spans="1:21" x14ac:dyDescent="0.25">
      <c r="A261" t="s">
        <v>67</v>
      </c>
      <c r="B261" t="s">
        <v>69</v>
      </c>
      <c r="C261">
        <v>14</v>
      </c>
      <c r="D261" t="s">
        <v>139</v>
      </c>
      <c r="E261" t="s">
        <v>138</v>
      </c>
      <c r="F261" t="s">
        <v>136</v>
      </c>
      <c r="G261">
        <v>1</v>
      </c>
      <c r="H261">
        <v>2E+20</v>
      </c>
      <c r="I261">
        <v>1</v>
      </c>
      <c r="J261">
        <v>1</v>
      </c>
      <c r="K261">
        <v>1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ScheduledResource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19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1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0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1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1</v>
      </c>
      <c r="U261" s="5">
        <f>IF((ContinuousStatsTable[[#This Row],[RepsRequested]]&gt;1),ContinuousStatsTable[[#This Row],[HalfWidth]],ContinuousStatsTable[[#This Row],[BatchMeansHalfWidth]])</f>
        <v>0</v>
      </c>
    </row>
    <row r="262" spans="1:21" x14ac:dyDescent="0.25">
      <c r="A262" t="s">
        <v>67</v>
      </c>
      <c r="B262" t="s">
        <v>69</v>
      </c>
      <c r="C262">
        <v>14</v>
      </c>
      <c r="D262" t="s">
        <v>140</v>
      </c>
      <c r="E262" t="s">
        <v>135</v>
      </c>
      <c r="F262" t="s">
        <v>136</v>
      </c>
      <c r="G262">
        <v>0.32354021693619101</v>
      </c>
      <c r="H262">
        <v>2E+20</v>
      </c>
      <c r="I262">
        <v>0</v>
      </c>
      <c r="J262">
        <v>0.8</v>
      </c>
      <c r="K262">
        <v>0.4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compartida)rMesaInstantaneous UtilizationResource</v>
      </c>
      <c r="N262" s="5" cm="1">
        <f t="array" ref="N262">MAX(IF((ProjectInfoTable[ProjectName]=ContinuousStatsTable[[#This Row],[ProjectName]]),(ProjectInfoTable[ProjectName]=ContinuousStatsTable[[#This Row],[ProjectName]])*ProjectInfoTable[NumberOfReplications]))</f>
        <v>19</v>
      </c>
      <c r="O262" s="5" cm="1">
        <f t="array" ref="O262">IFERROR(AVERAGE(IF((ContinuousStatsTable[GroupByKey]=ContinuousStatsTable[[#This Row],[GroupByKey]]),(ContinuousStatsTable[GroupByKey]=ContinuousStatsTable[[#This Row],[GroupByKey]])*ContinuousStatsTable[Average])),0)</f>
        <v>0.30850610959128738</v>
      </c>
      <c r="P262" s="5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6.2586127702931413E-2</v>
      </c>
      <c r="Q262" s="5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3.0165547953177007E-2</v>
      </c>
      <c r="S262" s="5" cm="1">
        <f t="array" ref="S262">MIN(IF((ContinuousStatsTable[GroupByKey]=ContinuousStatsTable[[#This Row],[GroupByKey]]),(ContinuousStatsTable[GroupByKey]=ContinuousStatsTable[[#This Row],[GroupByKey]])*ContinuousStatsTable[Average]))</f>
        <v>0.156206445320244</v>
      </c>
      <c r="T262" s="5" cm="1">
        <f t="array" ref="T262">MAX(IF((ContinuousStatsTable[GroupByKey]=ContinuousStatsTable[[#This Row],[GroupByKey]]),(ContinuousStatsTable[GroupByKey]=ContinuousStatsTable[[#This Row],[GroupByKey]])*ContinuousStatsTable[Average]))</f>
        <v>0.44942505379986802</v>
      </c>
      <c r="U262" s="5">
        <f>IF((ContinuousStatsTable[[#This Row],[RepsRequested]]&gt;1),ContinuousStatsTable[[#This Row],[HalfWidth]],ContinuousStatsTable[[#This Row],[BatchMeansHalfWidth]])</f>
        <v>3.0165547953177007E-2</v>
      </c>
    </row>
    <row r="263" spans="1:21" x14ac:dyDescent="0.25">
      <c r="A263" t="s">
        <v>67</v>
      </c>
      <c r="B263" t="s">
        <v>69</v>
      </c>
      <c r="C263">
        <v>14</v>
      </c>
      <c r="D263" t="s">
        <v>140</v>
      </c>
      <c r="E263" t="s">
        <v>137</v>
      </c>
      <c r="F263" t="s">
        <v>136</v>
      </c>
      <c r="G263">
        <v>1.6177010846809501</v>
      </c>
      <c r="H263">
        <v>2E+20</v>
      </c>
      <c r="I263">
        <v>0</v>
      </c>
      <c r="J263">
        <v>4</v>
      </c>
      <c r="K263">
        <v>2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BusyResource</v>
      </c>
      <c r="N263" s="5" cm="1">
        <f t="array" ref="N263">MAX(IF((ProjectInfoTable[ProjectName]=ContinuousStatsTable[[#This Row],[ProjectName]]),(ProjectInfoTable[ProjectName]=ContinuousStatsTable[[#This Row],[ProjectName]])*ProjectInfoTable[NumberOfReplications]))</f>
        <v>19</v>
      </c>
      <c r="O263" s="5" cm="1">
        <f t="array" ref="O263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263" s="5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263" s="5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263" s="5" cm="1">
        <f t="array" ref="S263">MIN(IF((ContinuousStatsTable[GroupByKey]=ContinuousStatsTable[[#This Row],[GroupByKey]]),(ContinuousStatsTable[GroupByKey]=ContinuousStatsTable[[#This Row],[GroupByKey]])*ContinuousStatsTable[Average]))</f>
        <v>0.78103222660121896</v>
      </c>
      <c r="T263" s="5" cm="1">
        <f t="array" ref="T263">MAX(IF((ContinuousStatsTable[GroupByKey]=ContinuousStatsTable[[#This Row],[GroupByKey]]),(ContinuousStatsTable[GroupByKey]=ContinuousStatsTable[[#This Row],[GroupByKey]])*ContinuousStatsTable[Average]))</f>
        <v>2.2471252689993402</v>
      </c>
      <c r="U263" s="5">
        <f>IF((ContinuousStatsTable[[#This Row],[RepsRequested]]&gt;1),ContinuousStatsTable[[#This Row],[HalfWidth]],ContinuousStatsTable[[#This Row],[BatchMeansHalfWidth]])</f>
        <v>0.15082773976588459</v>
      </c>
    </row>
    <row r="264" spans="1:21" x14ac:dyDescent="0.25">
      <c r="A264" t="s">
        <v>67</v>
      </c>
      <c r="B264" t="s">
        <v>69</v>
      </c>
      <c r="C264">
        <v>14</v>
      </c>
      <c r="D264" t="s">
        <v>140</v>
      </c>
      <c r="E264" t="s">
        <v>138</v>
      </c>
      <c r="F264" t="s">
        <v>136</v>
      </c>
      <c r="G264">
        <v>5</v>
      </c>
      <c r="H264">
        <v>2E+20</v>
      </c>
      <c r="I264">
        <v>5</v>
      </c>
      <c r="J264">
        <v>5</v>
      </c>
      <c r="K264">
        <v>5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ScheduledResource</v>
      </c>
      <c r="N264" s="5" cm="1">
        <f t="array" ref="N264">MAX(IF((ProjectInfoTable[ProjectName]=ContinuousStatsTable[[#This Row],[ProjectName]]),(ProjectInfoTable[ProjectName]=ContinuousStatsTable[[#This Row],[ProjectName]])*ProjectInfoTable[NumberOfReplications]))</f>
        <v>19</v>
      </c>
      <c r="O264" s="5" cm="1">
        <f t="array" ref="O264">IFERROR(AVERAGE(IF((ContinuousStatsTable[GroupByKey]=ContinuousStatsTable[[#This Row],[GroupByKey]]),(ContinuousStatsTable[GroupByKey]=ContinuousStatsTable[[#This Row],[GroupByKey]])*ContinuousStatsTable[Average])),0)</f>
        <v>5</v>
      </c>
      <c r="P264" s="5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0</v>
      </c>
      <c r="Q264" s="5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4" s="5" cm="1">
        <f t="array" ref="S264">MIN(IF((ContinuousStatsTable[GroupByKey]=ContinuousStatsTable[[#This Row],[GroupByKey]]),(ContinuousStatsTable[GroupByKey]=ContinuousStatsTable[[#This Row],[GroupByKey]])*ContinuousStatsTable[Average]))</f>
        <v>5</v>
      </c>
      <c r="T264" s="5" cm="1">
        <f t="array" ref="T264">MAX(IF((ContinuousStatsTable[GroupByKey]=ContinuousStatsTable[[#This Row],[GroupByKey]]),(ContinuousStatsTable[GroupByKey]=ContinuousStatsTable[[#This Row],[GroupByKey]])*ContinuousStatsTable[Average]))</f>
        <v>5</v>
      </c>
      <c r="U264" s="5">
        <f>IF((ContinuousStatsTable[[#This Row],[RepsRequested]]&gt;1),ContinuousStatsTable[[#This Row],[HalfWidth]],ContinuousStatsTable[[#This Row],[BatchMeansHalfWidth]])</f>
        <v>0</v>
      </c>
    </row>
    <row r="265" spans="1:21" x14ac:dyDescent="0.25">
      <c r="A265" t="s">
        <v>67</v>
      </c>
      <c r="B265" t="s">
        <v>69</v>
      </c>
      <c r="C265">
        <v>14</v>
      </c>
      <c r="D265" t="s">
        <v>127</v>
      </c>
      <c r="E265" t="s">
        <v>129</v>
      </c>
      <c r="F265" t="s">
        <v>72</v>
      </c>
      <c r="G265">
        <v>0</v>
      </c>
      <c r="H265">
        <v>2E+20</v>
      </c>
      <c r="I265">
        <v>0</v>
      </c>
      <c r="J265">
        <v>1</v>
      </c>
      <c r="K265">
        <v>0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compartida)relojWIPEntity</v>
      </c>
      <c r="N265" s="5" cm="1">
        <f t="array" ref="N265">MAX(IF((ProjectInfoTable[ProjectName]=ContinuousStatsTable[[#This Row],[ProjectName]]),(ProjectInfoTable[ProjectName]=ContinuousStatsTable[[#This Row],[ProjectName]])*ProjectInfoTable[NumberOfReplications]))</f>
        <v>19</v>
      </c>
      <c r="O265" s="5" cm="1">
        <f t="array" ref="O265">IFERROR(AVERAGE(IF((ContinuousStatsTable[GroupByKey]=ContinuousStatsTable[[#This Row],[GroupByKey]]),(ContinuousStatsTable[GroupByKey]=ContinuousStatsTable[[#This Row],[GroupByKey]])*ContinuousStatsTable[Average])),0)</f>
        <v>0</v>
      </c>
      <c r="P265" s="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0</v>
      </c>
      <c r="Q265" s="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5" s="5" cm="1">
        <f t="array" ref="S265">MIN(IF((ContinuousStatsTable[GroupByKey]=ContinuousStatsTable[[#This Row],[GroupByKey]]),(ContinuousStatsTable[GroupByKey]=ContinuousStatsTable[[#This Row],[GroupByKey]])*ContinuousStatsTable[Average]))</f>
        <v>0</v>
      </c>
      <c r="T265" s="5" cm="1">
        <f t="array" ref="T265">MAX(IF((ContinuousStatsTable[GroupByKey]=ContinuousStatsTable[[#This Row],[GroupByKey]]),(ContinuousStatsTable[GroupByKey]=ContinuousStatsTable[[#This Row],[GroupByKey]])*ContinuousStatsTable[Average]))</f>
        <v>0</v>
      </c>
      <c r="U265" s="5">
        <f>IF((ContinuousStatsTable[[#This Row],[RepsRequested]]&gt;1),ContinuousStatsTable[[#This Row],[HalfWidth]],ContinuousStatsTable[[#This Row],[BatchMeansHalfWidth]])</f>
        <v>0</v>
      </c>
    </row>
    <row r="266" spans="1:21" x14ac:dyDescent="0.25">
      <c r="A266" t="s">
        <v>67</v>
      </c>
      <c r="B266" t="s">
        <v>69</v>
      </c>
      <c r="C266">
        <v>14</v>
      </c>
      <c r="D266" t="s">
        <v>141</v>
      </c>
      <c r="E266" t="s">
        <v>142</v>
      </c>
      <c r="F266" t="s">
        <v>80</v>
      </c>
      <c r="G266">
        <v>4.6116998707094297</v>
      </c>
      <c r="H266">
        <v>2E+20</v>
      </c>
      <c r="I266">
        <v>1</v>
      </c>
      <c r="J266">
        <v>11</v>
      </c>
      <c r="K266">
        <v>10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compartida)vClientesEnSistemaVariableUser Specified</v>
      </c>
      <c r="N266" s="5" cm="1">
        <f t="array" ref="N266">MAX(IF((ProjectInfoTable[ProjectName]=ContinuousStatsTable[[#This Row],[ProjectName]]),(ProjectInfoTable[ProjectName]=ContinuousStatsTable[[#This Row],[ProjectName]])*ProjectInfoTable[NumberOfReplications]))</f>
        <v>19</v>
      </c>
      <c r="O266" s="5" cm="1">
        <f t="array" ref="O266">IFERROR(AVERAGE(IF((ContinuousStatsTable[GroupByKey]=ContinuousStatsTable[[#This Row],[GroupByKey]]),(ContinuousStatsTable[GroupByKey]=ContinuousStatsTable[[#This Row],[GroupByKey]])*ContinuousStatsTable[Average])),0)</f>
        <v>4.0733776306724412</v>
      </c>
      <c r="P266" s="5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1.3190004331473169</v>
      </c>
      <c r="Q266" s="5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0.63573785879874822</v>
      </c>
      <c r="S266" s="5" cm="1">
        <f t="array" ref="S266">MIN(IF((ContinuousStatsTable[GroupByKey]=ContinuousStatsTable[[#This Row],[GroupByKey]]),(ContinuousStatsTable[GroupByKey]=ContinuousStatsTable[[#This Row],[GroupByKey]])*ContinuousStatsTable[Average]))</f>
        <v>2.7964405882205599</v>
      </c>
      <c r="T266" s="5" cm="1">
        <f t="array" ref="T266">MAX(IF((ContinuousStatsTable[GroupByKey]=ContinuousStatsTable[[#This Row],[GroupByKey]]),(ContinuousStatsTable[GroupByKey]=ContinuousStatsTable[[#This Row],[GroupByKey]])*ContinuousStatsTable[Average]))</f>
        <v>8.8656011818609901</v>
      </c>
      <c r="U266" s="5">
        <f>IF((ContinuousStatsTable[[#This Row],[RepsRequested]]&gt;1),ContinuousStatsTable[[#This Row],[HalfWidth]],ContinuousStatsTable[[#This Row],[BatchMeansHalfWidth]])</f>
        <v>0.63573785879874822</v>
      </c>
    </row>
    <row r="267" spans="1:21" x14ac:dyDescent="0.25">
      <c r="A267" t="s">
        <v>67</v>
      </c>
      <c r="B267" t="s">
        <v>69</v>
      </c>
      <c r="C267">
        <v>14</v>
      </c>
      <c r="D267" t="s">
        <v>143</v>
      </c>
      <c r="E267" t="s">
        <v>142</v>
      </c>
      <c r="F267" t="s">
        <v>80</v>
      </c>
      <c r="G267">
        <v>3.3822989153190499</v>
      </c>
      <c r="H267">
        <v>2E+20</v>
      </c>
      <c r="I267">
        <v>1</v>
      </c>
      <c r="J267">
        <v>5</v>
      </c>
      <c r="K267">
        <v>3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compartida)vMesasLibresVariableUser Specified</v>
      </c>
      <c r="N267" s="5" cm="1">
        <f t="array" ref="N267">MAX(IF((ProjectInfoTable[ProjectName]=ContinuousStatsTable[[#This Row],[ProjectName]]),(ProjectInfoTable[ProjectName]=ContinuousStatsTable[[#This Row],[ProjectName]])*ProjectInfoTable[NumberOfReplications]))</f>
        <v>19</v>
      </c>
      <c r="O267" s="5" cm="1">
        <f t="array" ref="O267">IFERROR(AVERAGE(IF((ContinuousStatsTable[GroupByKey]=ContinuousStatsTable[[#This Row],[GroupByKey]]),(ContinuousStatsTable[GroupByKey]=ContinuousStatsTable[[#This Row],[GroupByKey]])*ContinuousStatsTable[Average])),0)</f>
        <v>3.457469452043564</v>
      </c>
      <c r="P267" s="5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0.31293063851465691</v>
      </c>
      <c r="Q267" s="5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0.15082773976588496</v>
      </c>
      <c r="S267" s="5" cm="1">
        <f t="array" ref="S267">MIN(IF((ContinuousStatsTable[GroupByKey]=ContinuousStatsTable[[#This Row],[GroupByKey]]),(ContinuousStatsTable[GroupByKey]=ContinuousStatsTable[[#This Row],[GroupByKey]])*ContinuousStatsTable[Average]))</f>
        <v>2.7528747310006598</v>
      </c>
      <c r="T267" s="5" cm="1">
        <f t="array" ref="T267">MAX(IF((ContinuousStatsTable[GroupByKey]=ContinuousStatsTable[[#This Row],[GroupByKey]]),(ContinuousStatsTable[GroupByKey]=ContinuousStatsTable[[#This Row],[GroupByKey]])*ContinuousStatsTable[Average]))</f>
        <v>4.2189677733987798</v>
      </c>
      <c r="U267" s="5">
        <f>IF((ContinuousStatsTable[[#This Row],[RepsRequested]]&gt;1),ContinuousStatsTable[[#This Row],[HalfWidth]],ContinuousStatsTable[[#This Row],[BatchMeansHalfWidth]])</f>
        <v>0.15082773976588496</v>
      </c>
    </row>
    <row r="268" spans="1:21" x14ac:dyDescent="0.25">
      <c r="A268" t="s">
        <v>67</v>
      </c>
      <c r="B268" t="s">
        <v>69</v>
      </c>
      <c r="C268">
        <v>15</v>
      </c>
      <c r="D268" t="s">
        <v>70</v>
      </c>
      <c r="E268" t="s">
        <v>129</v>
      </c>
      <c r="F268" t="s">
        <v>72</v>
      </c>
      <c r="G268">
        <v>5.4387450440957403</v>
      </c>
      <c r="H268">
        <v>3E+20</v>
      </c>
      <c r="I268">
        <v>0</v>
      </c>
      <c r="J268">
        <v>12</v>
      </c>
      <c r="K268">
        <v>5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compartida)ClienteWIPEntity</v>
      </c>
      <c r="N268" s="5" cm="1">
        <f t="array" ref="N268">MAX(IF((ProjectInfoTable[ProjectName]=ContinuousStatsTable[[#This Row],[ProjectName]]),(ProjectInfoTable[ProjectName]=ContinuousStatsTable[[#This Row],[ProjectName]])*ProjectInfoTable[NumberOfReplications]))</f>
        <v>19</v>
      </c>
      <c r="O268" s="5" cm="1">
        <f t="array" ref="O268">IFERROR(AVERAGE(IF((ContinuousStatsTable[GroupByKey]=ContinuousStatsTable[[#This Row],[GroupByKey]]),(ContinuousStatsTable[GroupByKey]=ContinuousStatsTable[[#This Row],[GroupByKey]])*ContinuousStatsTable[Average])),0)</f>
        <v>5.695207969173218</v>
      </c>
      <c r="P268" s="5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1.5293712224665061</v>
      </c>
      <c r="Q268" s="5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0.7371333335799507</v>
      </c>
      <c r="S268" s="5" cm="1">
        <f t="array" ref="S268">MIN(IF((ContinuousStatsTable[GroupByKey]=ContinuousStatsTable[[#This Row],[GroupByKey]]),(ContinuousStatsTable[GroupByKey]=ContinuousStatsTable[[#This Row],[GroupByKey]])*ContinuousStatsTable[Average]))</f>
        <v>3.6484308227805702</v>
      </c>
      <c r="T268" s="5" cm="1">
        <f t="array" ref="T268">MAX(IF((ContinuousStatsTable[GroupByKey]=ContinuousStatsTable[[#This Row],[GroupByKey]]),(ContinuousStatsTable[GroupByKey]=ContinuousStatsTable[[#This Row],[GroupByKey]])*ContinuousStatsTable[Average]))</f>
        <v>10.9337547677616</v>
      </c>
      <c r="U268" s="5">
        <f>IF((ContinuousStatsTable[[#This Row],[RepsRequested]]&gt;1),ContinuousStatsTable[[#This Row],[HalfWidth]],ContinuousStatsTable[[#This Row],[BatchMeansHalfWidth]])</f>
        <v>0.7371333335799507</v>
      </c>
    </row>
    <row r="269" spans="1:21" x14ac:dyDescent="0.25">
      <c r="A269" t="s">
        <v>67</v>
      </c>
      <c r="B269" t="s">
        <v>69</v>
      </c>
      <c r="C269">
        <v>15</v>
      </c>
      <c r="D269" t="s">
        <v>89</v>
      </c>
      <c r="E269" t="s">
        <v>130</v>
      </c>
      <c r="F269" t="s">
        <v>91</v>
      </c>
      <c r="G269">
        <v>0</v>
      </c>
      <c r="H269">
        <v>2E+20</v>
      </c>
      <c r="I269">
        <v>0</v>
      </c>
      <c r="J269">
        <v>0</v>
      </c>
      <c r="K269">
        <v>0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compartida)Comer en Mesa.QueueNumber WaitingQueue</v>
      </c>
      <c r="N269" s="5" cm="1">
        <f t="array" ref="N269">MAX(IF((ProjectInfoTable[ProjectName]=ContinuousStatsTable[[#This Row],[ProjectName]]),(ProjectInfoTable[ProjectName]=ContinuousStatsTable[[#This Row],[ProjectName]])*ProjectInfoTable[NumberOfReplications]))</f>
        <v>19</v>
      </c>
      <c r="O269" s="5" cm="1">
        <f t="array" ref="O269">IFERROR(AVERAGE(IF((ContinuousStatsTable[GroupByKey]=ContinuousStatsTable[[#This Row],[GroupByKey]]),(ContinuousStatsTable[GroupByKey]=ContinuousStatsTable[[#This Row],[GroupByKey]])*ContinuousStatsTable[Average])),0)</f>
        <v>0</v>
      </c>
      <c r="P269" s="5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0</v>
      </c>
      <c r="Q269" s="5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9" s="5" cm="1">
        <f t="array" ref="S269">MIN(IF((ContinuousStatsTable[GroupByKey]=ContinuousStatsTable[[#This Row],[GroupByKey]]),(ContinuousStatsTable[GroupByKey]=ContinuousStatsTable[[#This Row],[GroupByKey]])*ContinuousStatsTable[Average]))</f>
        <v>0</v>
      </c>
      <c r="T269" s="5" cm="1">
        <f t="array" ref="T269">MAX(IF((ContinuousStatsTable[GroupByKey]=ContinuousStatsTable[[#This Row],[GroupByKey]]),(ContinuousStatsTable[GroupByKey]=ContinuousStatsTable[[#This Row],[GroupByKey]])*ContinuousStatsTable[Average]))</f>
        <v>0</v>
      </c>
      <c r="U269" s="5">
        <f>IF((ContinuousStatsTable[[#This Row],[RepsRequested]]&gt;1),ContinuousStatsTable[[#This Row],[HalfWidth]],ContinuousStatsTable[[#This Row],[BatchMeansHalfWidth]])</f>
        <v>0</v>
      </c>
    </row>
    <row r="270" spans="1:21" x14ac:dyDescent="0.25">
      <c r="A270" t="s">
        <v>67</v>
      </c>
      <c r="B270" t="s">
        <v>69</v>
      </c>
      <c r="C270">
        <v>15</v>
      </c>
      <c r="D270" t="s">
        <v>92</v>
      </c>
      <c r="E270" t="s">
        <v>130</v>
      </c>
      <c r="F270" t="s">
        <v>91</v>
      </c>
      <c r="G270">
        <v>1.3000443592466699</v>
      </c>
      <c r="H270">
        <v>2E+20</v>
      </c>
      <c r="I270">
        <v>0</v>
      </c>
      <c r="J270">
        <v>6</v>
      </c>
      <c r="K270">
        <v>0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compartida)Entrega pedido.QueueNumber WaitingQueue</v>
      </c>
      <c r="N270" s="5" cm="1">
        <f t="array" ref="N270">MAX(IF((ProjectInfoTable[ProjectName]=ContinuousStatsTable[[#This Row],[ProjectName]]),(ProjectInfoTable[ProjectName]=ContinuousStatsTable[[#This Row],[ProjectName]])*ProjectInfoTable[NumberOfReplications]))</f>
        <v>19</v>
      </c>
      <c r="O270" s="5" cm="1">
        <f t="array" ref="O270">IFERROR(AVERAGE(IF((ContinuousStatsTable[GroupByKey]=ContinuousStatsTable[[#This Row],[GroupByKey]]),(ContinuousStatsTable[GroupByKey]=ContinuousStatsTable[[#This Row],[GroupByKey]])*ContinuousStatsTable[Average])),0)</f>
        <v>1.4415832090470244</v>
      </c>
      <c r="P270" s="5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0.61323545266973079</v>
      </c>
      <c r="Q270" s="5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0.29557002698587687</v>
      </c>
      <c r="S270" s="5" cm="1">
        <f t="array" ref="S270">MIN(IF((ContinuousStatsTable[GroupByKey]=ContinuousStatsTable[[#This Row],[GroupByKey]]),(ContinuousStatsTable[GroupByKey]=ContinuousStatsTable[[#This Row],[GroupByKey]])*ContinuousStatsTable[Average]))</f>
        <v>0.95119347509060603</v>
      </c>
      <c r="T270" s="5" cm="1">
        <f t="array" ref="T270">MAX(IF((ContinuousStatsTable[GroupByKey]=ContinuousStatsTable[[#This Row],[GroupByKey]]),(ContinuousStatsTable[GroupByKey]=ContinuousStatsTable[[#This Row],[GroupByKey]])*ContinuousStatsTable[Average]))</f>
        <v>3.71511779664222</v>
      </c>
      <c r="U270" s="5">
        <f>IF((ContinuousStatsTable[[#This Row],[RepsRequested]]&gt;1),ContinuousStatsTable[[#This Row],[HalfWidth]],ContinuousStatsTable[[#This Row],[BatchMeansHalfWidth]])</f>
        <v>0.29557002698587687</v>
      </c>
    </row>
    <row r="271" spans="1:21" x14ac:dyDescent="0.25">
      <c r="A271" t="s">
        <v>67</v>
      </c>
      <c r="B271" t="s">
        <v>69</v>
      </c>
      <c r="C271">
        <v>15</v>
      </c>
      <c r="D271" t="s">
        <v>131</v>
      </c>
      <c r="E271" t="s">
        <v>129</v>
      </c>
      <c r="F271" t="s">
        <v>72</v>
      </c>
      <c r="G271">
        <v>2.9660800212370599</v>
      </c>
      <c r="H271">
        <v>2E+20</v>
      </c>
      <c r="I271">
        <v>0</v>
      </c>
      <c r="J271">
        <v>7</v>
      </c>
      <c r="K271">
        <v>2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compartida)OrdenWIPEntity</v>
      </c>
      <c r="N271" s="5" cm="1">
        <f t="array" ref="N271">MAX(IF((ProjectInfoTable[ProjectName]=ContinuousStatsTable[[#This Row],[ProjectName]]),(ProjectInfoTable[ProjectName]=ContinuousStatsTable[[#This Row],[ProjectName]])*ProjectInfoTable[NumberOfReplications]))</f>
        <v>19</v>
      </c>
      <c r="O271" s="5" cm="1">
        <f t="array" ref="O271">IFERROR(AVERAGE(IF((ContinuousStatsTable[GroupByKey]=ContinuousStatsTable[[#This Row],[GroupByKey]]),(ContinuousStatsTable[GroupByKey]=ContinuousStatsTable[[#This Row],[GroupByKey]])*ContinuousStatsTable[Average])),0)</f>
        <v>3.0972744691234286</v>
      </c>
      <c r="P271" s="5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0.7960145604449721</v>
      </c>
      <c r="Q271" s="5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0.38366673695655462</v>
      </c>
      <c r="S271" s="5" cm="1">
        <f t="array" ref="S271">MIN(IF((ContinuousStatsTable[GroupByKey]=ContinuousStatsTable[[#This Row],[GroupByKey]]),(ContinuousStatsTable[GroupByKey]=ContinuousStatsTable[[#This Row],[GroupByKey]])*ContinuousStatsTable[Average]))</f>
        <v>2.0609398302211299</v>
      </c>
      <c r="T271" s="5" cm="1">
        <f t="array" ref="T271">MAX(IF((ContinuousStatsTable[GroupByKey]=ContinuousStatsTable[[#This Row],[GroupByKey]]),(ContinuousStatsTable[GroupByKey]=ContinuousStatsTable[[#This Row],[GroupByKey]])*ContinuousStatsTable[Average]))</f>
        <v>5.8229936047650703</v>
      </c>
      <c r="U271" s="5">
        <f>IF((ContinuousStatsTable[[#This Row],[RepsRequested]]&gt;1),ContinuousStatsTable[[#This Row],[HalfWidth]],ContinuousStatsTable[[#This Row],[BatchMeansHalfWidth]])</f>
        <v>0.38366673695655462</v>
      </c>
    </row>
    <row r="272" spans="1:21" x14ac:dyDescent="0.25">
      <c r="A272" t="s">
        <v>67</v>
      </c>
      <c r="B272" t="s">
        <v>69</v>
      </c>
      <c r="C272">
        <v>15</v>
      </c>
      <c r="D272" t="s">
        <v>99</v>
      </c>
      <c r="E272" t="s">
        <v>130</v>
      </c>
      <c r="F272" t="s">
        <v>91</v>
      </c>
      <c r="G272">
        <v>0.380750618721581</v>
      </c>
      <c r="H272">
        <v>2E+20</v>
      </c>
      <c r="I272">
        <v>0</v>
      </c>
      <c r="J272">
        <v>4</v>
      </c>
      <c r="K272">
        <v>0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compartida)Pasar a Caja.QueueNumber WaitingQueue</v>
      </c>
      <c r="N272" s="5" cm="1">
        <f t="array" ref="N272">MAX(IF((ProjectInfoTable[ProjectName]=ContinuousStatsTable[[#This Row],[ProjectName]]),(ProjectInfoTable[ProjectName]=ContinuousStatsTable[[#This Row],[ProjectName]])*ProjectInfoTable[NumberOfReplications]))</f>
        <v>19</v>
      </c>
      <c r="O272" s="5" cm="1">
        <f t="array" ref="O272">IFERROR(AVERAGE(IF((ContinuousStatsTable[GroupByKey]=ContinuousStatsTable[[#This Row],[GroupByKey]]),(ContinuousStatsTable[GroupByKey]=ContinuousStatsTable[[#This Row],[GroupByKey]])*ContinuousStatsTable[Average])),0)</f>
        <v>0.5234663348541454</v>
      </c>
      <c r="P272" s="5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0.51706251909874834</v>
      </c>
      <c r="Q272" s="5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0.24921615679273348</v>
      </c>
      <c r="S272" s="5" cm="1">
        <f t="array" ref="S272">MIN(IF((ContinuousStatsTable[GroupByKey]=ContinuousStatsTable[[#This Row],[GroupByKey]]),(ContinuousStatsTable[GroupByKey]=ContinuousStatsTable[[#This Row],[GroupByKey]])*ContinuousStatsTable[Average]))</f>
        <v>0.17506464523350199</v>
      </c>
      <c r="T272" s="5" cm="1">
        <f t="array" ref="T272">MAX(IF((ContinuousStatsTable[GroupByKey]=ContinuousStatsTable[[#This Row],[GroupByKey]]),(ContinuousStatsTable[GroupByKey]=ContinuousStatsTable[[#This Row],[GroupByKey]])*ContinuousStatsTable[Average]))</f>
        <v>2.4783528335268201</v>
      </c>
      <c r="U272" s="5">
        <f>IF((ContinuousStatsTable[[#This Row],[RepsRequested]]&gt;1),ContinuousStatsTable[[#This Row],[HalfWidth]],ContinuousStatsTable[[#This Row],[BatchMeansHalfWidth]])</f>
        <v>0.24921615679273348</v>
      </c>
    </row>
    <row r="273" spans="1:21" x14ac:dyDescent="0.25">
      <c r="A273" t="s">
        <v>67</v>
      </c>
      <c r="B273" t="s">
        <v>69</v>
      </c>
      <c r="C273">
        <v>15</v>
      </c>
      <c r="D273" t="s">
        <v>104</v>
      </c>
      <c r="E273" t="s">
        <v>130</v>
      </c>
      <c r="F273" t="s">
        <v>91</v>
      </c>
      <c r="G273">
        <v>0.33794022182065098</v>
      </c>
      <c r="H273">
        <v>2E+20</v>
      </c>
      <c r="I273">
        <v>0</v>
      </c>
      <c r="J273">
        <v>3</v>
      </c>
      <c r="K273">
        <v>0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compartida)Preparacion.QueueNumber WaitingQueue</v>
      </c>
      <c r="N273" s="5" cm="1">
        <f t="array" ref="N273">MAX(IF((ProjectInfoTable[ProjectName]=ContinuousStatsTable[[#This Row],[ProjectName]]),(ProjectInfoTable[ProjectName]=ContinuousStatsTable[[#This Row],[ProjectName]])*ProjectInfoTable[NumberOfReplications]))</f>
        <v>19</v>
      </c>
      <c r="O273" s="5" cm="1">
        <f t="array" ref="O273">IFERROR(AVERAGE(IF((ContinuousStatsTable[GroupByKey]=ContinuousStatsTable[[#This Row],[GroupByKey]]),(ContinuousStatsTable[GroupByKey]=ContinuousStatsTable[[#This Row],[GroupByKey]])*ContinuousStatsTable[Average])),0)</f>
        <v>0.48138063122984937</v>
      </c>
      <c r="P273" s="5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0.5430727934303009</v>
      </c>
      <c r="Q273" s="5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0.26175270772536113</v>
      </c>
      <c r="S273" s="5" cm="1">
        <f t="array" ref="S273">MIN(IF((ContinuousStatsTable[GroupByKey]=ContinuousStatsTable[[#This Row],[GroupByKey]]),(ContinuousStatsTable[GroupByKey]=ContinuousStatsTable[[#This Row],[GroupByKey]])*ContinuousStatsTable[Average]))</f>
        <v>0.13383910219346701</v>
      </c>
      <c r="T273" s="5" cm="1">
        <f t="array" ref="T273">MAX(IF((ContinuousStatsTable[GroupByKey]=ContinuousStatsTable[[#This Row],[GroupByKey]]),(ContinuousStatsTable[GroupByKey]=ContinuousStatsTable[[#This Row],[GroupByKey]])*ContinuousStatsTable[Average]))</f>
        <v>2.5739205922552402</v>
      </c>
      <c r="U273" s="5">
        <f>IF((ContinuousStatsTable[[#This Row],[RepsRequested]]&gt;1),ContinuousStatsTable[[#This Row],[HalfWidth]],ContinuousStatsTable[[#This Row],[BatchMeansHalfWidth]])</f>
        <v>0.26175270772536113</v>
      </c>
    </row>
    <row r="274" spans="1:21" x14ac:dyDescent="0.25">
      <c r="A274" t="s">
        <v>67</v>
      </c>
      <c r="B274" t="s">
        <v>69</v>
      </c>
      <c r="C274">
        <v>15</v>
      </c>
      <c r="D274" t="s">
        <v>132</v>
      </c>
      <c r="E274" t="s">
        <v>133</v>
      </c>
      <c r="F274" t="s">
        <v>80</v>
      </c>
      <c r="G274">
        <v>1.5488134397681701</v>
      </c>
      <c r="H274">
        <v>2E+20</v>
      </c>
      <c r="I274">
        <v>0</v>
      </c>
      <c r="J274">
        <v>4</v>
      </c>
      <c r="K274">
        <v>2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compartida)TP_MesasTime PersistentUser Specified</v>
      </c>
      <c r="N274" s="5" cm="1">
        <f t="array" ref="N274">MAX(IF((ProjectInfoTable[ProjectName]=ContinuousStatsTable[[#This Row],[ProjectName]]),(ProjectInfoTable[ProjectName]=ContinuousStatsTable[[#This Row],[ProjectName]])*ProjectInfoTable[NumberOfReplications]))</f>
        <v>19</v>
      </c>
      <c r="O274" s="5" cm="1">
        <f t="array" ref="O274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274" s="5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274" s="5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274" s="5" cm="1">
        <f t="array" ref="S274">MIN(IF((ContinuousStatsTable[GroupByKey]=ContinuousStatsTable[[#This Row],[GroupByKey]]),(ContinuousStatsTable[GroupByKey]=ContinuousStatsTable[[#This Row],[GroupByKey]])*ContinuousStatsTable[Average]))</f>
        <v>0.78103222660121896</v>
      </c>
      <c r="T274" s="5" cm="1">
        <f t="array" ref="T274">MAX(IF((ContinuousStatsTable[GroupByKey]=ContinuousStatsTable[[#This Row],[GroupByKey]]),(ContinuousStatsTable[GroupByKey]=ContinuousStatsTable[[#This Row],[GroupByKey]])*ContinuousStatsTable[Average]))</f>
        <v>2.2471252689993402</v>
      </c>
      <c r="U274" s="5">
        <f>IF((ContinuousStatsTable[[#This Row],[RepsRequested]]&gt;1),ContinuousStatsTable[[#This Row],[HalfWidth]],ContinuousStatsTable[[#This Row],[BatchMeansHalfWidth]])</f>
        <v>0.15082773976588459</v>
      </c>
    </row>
    <row r="275" spans="1:21" x14ac:dyDescent="0.25">
      <c r="A275" t="s">
        <v>67</v>
      </c>
      <c r="B275" t="s">
        <v>69</v>
      </c>
      <c r="C275">
        <v>15</v>
      </c>
      <c r="D275" t="s">
        <v>134</v>
      </c>
      <c r="E275" t="s">
        <v>135</v>
      </c>
      <c r="F275" t="s">
        <v>136</v>
      </c>
      <c r="G275">
        <v>0.69703284839692703</v>
      </c>
      <c r="H275">
        <v>2E+20</v>
      </c>
      <c r="I275">
        <v>0</v>
      </c>
      <c r="J275">
        <v>1</v>
      </c>
      <c r="K275">
        <v>1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compartida)rCajeroInstantaneous UtilizationResource</v>
      </c>
      <c r="N275" s="5" cm="1">
        <f t="array" ref="N275">MAX(IF((ProjectInfoTable[ProjectName]=ContinuousStatsTable[[#This Row],[ProjectName]]),(ProjectInfoTable[ProjectName]=ContinuousStatsTable[[#This Row],[ProjectName]])*ProjectInfoTable[NumberOfReplications]))</f>
        <v>19</v>
      </c>
      <c r="O275" s="5" cm="1">
        <f t="array" ref="O275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275" s="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6.2272947935973086E-2</v>
      </c>
      <c r="Q275" s="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3.0014600137344912E-2</v>
      </c>
      <c r="S275" s="5" cm="1">
        <f t="array" ref="S275">MIN(IF((ContinuousStatsTable[GroupByKey]=ContinuousStatsTable[[#This Row],[GroupByKey]]),(ContinuousStatsTable[GroupByKey]=ContinuousStatsTable[[#This Row],[GroupByKey]])*ContinuousStatsTable[Average]))</f>
        <v>0.59592290927233305</v>
      </c>
      <c r="T275" s="5" cm="1">
        <f t="array" ref="T275">MAX(IF((ContinuousStatsTable[GroupByKey]=ContinuousStatsTable[[#This Row],[GroupByKey]]),(ContinuousStatsTable[GroupByKey]=ContinuousStatsTable[[#This Row],[GroupByKey]])*ContinuousStatsTable[Average]))</f>
        <v>0.82897119936997599</v>
      </c>
      <c r="U275" s="5">
        <f>IF((ContinuousStatsTable[[#This Row],[RepsRequested]]&gt;1),ContinuousStatsTable[[#This Row],[HalfWidth]],ContinuousStatsTable[[#This Row],[BatchMeansHalfWidth]])</f>
        <v>3.0014600137344912E-2</v>
      </c>
    </row>
    <row r="276" spans="1:21" x14ac:dyDescent="0.25">
      <c r="A276" t="s">
        <v>67</v>
      </c>
      <c r="B276" t="s">
        <v>69</v>
      </c>
      <c r="C276">
        <v>15</v>
      </c>
      <c r="D276" t="s">
        <v>134</v>
      </c>
      <c r="E276" t="s">
        <v>137</v>
      </c>
      <c r="F276" t="s">
        <v>136</v>
      </c>
      <c r="G276">
        <v>0.69703284839692703</v>
      </c>
      <c r="H276">
        <v>2E+20</v>
      </c>
      <c r="I276">
        <v>0</v>
      </c>
      <c r="J276">
        <v>1</v>
      </c>
      <c r="K276">
        <v>1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BusyResource</v>
      </c>
      <c r="N276" s="5" cm="1">
        <f t="array" ref="N276">MAX(IF((ProjectInfoTable[ProjectName]=ContinuousStatsTable[[#This Row],[ProjectName]]),(ProjectInfoTable[ProjectName]=ContinuousStatsTable[[#This Row],[ProjectName]])*ProjectInfoTable[NumberOfReplications]))</f>
        <v>19</v>
      </c>
      <c r="O276" s="5" cm="1">
        <f t="array" ref="O276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276" s="5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6.2272947935973065E-2</v>
      </c>
      <c r="Q276" s="5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3.0014600137344902E-2</v>
      </c>
      <c r="S276" s="5" cm="1">
        <f t="array" ref="S276">MIN(IF((ContinuousStatsTable[GroupByKey]=ContinuousStatsTable[[#This Row],[GroupByKey]]),(ContinuousStatsTable[GroupByKey]=ContinuousStatsTable[[#This Row],[GroupByKey]])*ContinuousStatsTable[Average]))</f>
        <v>0.59592290927233305</v>
      </c>
      <c r="T276" s="5" cm="1">
        <f t="array" ref="T276">MAX(IF((ContinuousStatsTable[GroupByKey]=ContinuousStatsTable[[#This Row],[GroupByKey]]),(ContinuousStatsTable[GroupByKey]=ContinuousStatsTable[[#This Row],[GroupByKey]])*ContinuousStatsTable[Average]))</f>
        <v>0.82897119936997599</v>
      </c>
      <c r="U276" s="5">
        <f>IF((ContinuousStatsTable[[#This Row],[RepsRequested]]&gt;1),ContinuousStatsTable[[#This Row],[HalfWidth]],ContinuousStatsTable[[#This Row],[BatchMeansHalfWidth]])</f>
        <v>3.0014600137344902E-2</v>
      </c>
    </row>
    <row r="277" spans="1:21" x14ac:dyDescent="0.25">
      <c r="A277" t="s">
        <v>67</v>
      </c>
      <c r="B277" t="s">
        <v>69</v>
      </c>
      <c r="C277">
        <v>15</v>
      </c>
      <c r="D277" t="s">
        <v>134</v>
      </c>
      <c r="E277" t="s">
        <v>138</v>
      </c>
      <c r="F277" t="s">
        <v>136</v>
      </c>
      <c r="G277">
        <v>1</v>
      </c>
      <c r="H277">
        <v>2E+20</v>
      </c>
      <c r="I277">
        <v>1</v>
      </c>
      <c r="J277">
        <v>1</v>
      </c>
      <c r="K277">
        <v>1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ScheduledResource</v>
      </c>
      <c r="N277" s="5" cm="1">
        <f t="array" ref="N277">MAX(IF((ProjectInfoTable[ProjectName]=ContinuousStatsTable[[#This Row],[ProjectName]]),(ProjectInfoTable[ProjectName]=ContinuousStatsTable[[#This Row],[ProjectName]])*ProjectInfoTable[NumberOfReplications]))</f>
        <v>19</v>
      </c>
      <c r="O277" s="5" cm="1">
        <f t="array" ref="O277">IFERROR(AVERAGE(IF((ContinuousStatsTable[GroupByKey]=ContinuousStatsTable[[#This Row],[GroupByKey]]),(ContinuousStatsTable[GroupByKey]=ContinuousStatsTable[[#This Row],[GroupByKey]])*ContinuousStatsTable[Average])),0)</f>
        <v>1</v>
      </c>
      <c r="P277" s="5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0</v>
      </c>
      <c r="Q277" s="5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7" s="5" cm="1">
        <f t="array" ref="S277">MIN(IF((ContinuousStatsTable[GroupByKey]=ContinuousStatsTable[[#This Row],[GroupByKey]]),(ContinuousStatsTable[GroupByKey]=ContinuousStatsTable[[#This Row],[GroupByKey]])*ContinuousStatsTable[Average]))</f>
        <v>1</v>
      </c>
      <c r="T277" s="5" cm="1">
        <f t="array" ref="T277">MAX(IF((ContinuousStatsTable[GroupByKey]=ContinuousStatsTable[[#This Row],[GroupByKey]]),(ContinuousStatsTable[GroupByKey]=ContinuousStatsTable[[#This Row],[GroupByKey]])*ContinuousStatsTable[Average]))</f>
        <v>1</v>
      </c>
      <c r="U277" s="5">
        <f>IF((ContinuousStatsTable[[#This Row],[RepsRequested]]&gt;1),ContinuousStatsTable[[#This Row],[HalfWidth]],ContinuousStatsTable[[#This Row],[BatchMeansHalfWidth]])</f>
        <v>0</v>
      </c>
    </row>
    <row r="278" spans="1:21" x14ac:dyDescent="0.25">
      <c r="A278" t="s">
        <v>67</v>
      </c>
      <c r="B278" t="s">
        <v>69</v>
      </c>
      <c r="C278">
        <v>15</v>
      </c>
      <c r="D278" t="s">
        <v>139</v>
      </c>
      <c r="E278" t="s">
        <v>135</v>
      </c>
      <c r="F278" t="s">
        <v>136</v>
      </c>
      <c r="G278">
        <v>0.71317225339803103</v>
      </c>
      <c r="H278">
        <v>2E+20</v>
      </c>
      <c r="I278">
        <v>0</v>
      </c>
      <c r="J278">
        <v>1</v>
      </c>
      <c r="K278">
        <v>0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compartida)rCocinaInstantaneous UtilizationResource</v>
      </c>
      <c r="N278" s="5" cm="1">
        <f t="array" ref="N278">MAX(IF((ProjectInfoTable[ProjectName]=ContinuousStatsTable[[#This Row],[ProjectName]]),(ProjectInfoTable[ProjectName]=ContinuousStatsTable[[#This Row],[ProjectName]])*ProjectInfoTable[NumberOfReplications]))</f>
        <v>19</v>
      </c>
      <c r="O278" s="5" cm="1">
        <f t="array" ref="O278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278" s="5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278" s="5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278" s="5" cm="1">
        <f t="array" ref="S278">MIN(IF((ContinuousStatsTable[GroupByKey]=ContinuousStatsTable[[#This Row],[GroupByKey]]),(ContinuousStatsTable[GroupByKey]=ContinuousStatsTable[[#This Row],[GroupByKey]])*ContinuousStatsTable[Average]))</f>
        <v>0.60463940272025996</v>
      </c>
      <c r="T278" s="5" cm="1">
        <f t="array" ref="T278">MAX(IF((ContinuousStatsTable[GroupByKey]=ContinuousStatsTable[[#This Row],[GroupByKey]]),(ContinuousStatsTable[GroupByKey]=ContinuousStatsTable[[#This Row],[GroupByKey]])*ContinuousStatsTable[Average]))</f>
        <v>0.86361037821575004</v>
      </c>
      <c r="U278" s="5">
        <f>IF((ContinuousStatsTable[[#This Row],[RepsRequested]]&gt;1),ContinuousStatsTable[[#This Row],[HalfWidth]],ContinuousStatsTable[[#This Row],[BatchMeansHalfWidth]])</f>
        <v>3.4176212493127585E-2</v>
      </c>
    </row>
    <row r="279" spans="1:21" x14ac:dyDescent="0.25">
      <c r="A279" t="s">
        <v>67</v>
      </c>
      <c r="B279" t="s">
        <v>69</v>
      </c>
      <c r="C279">
        <v>15</v>
      </c>
      <c r="D279" t="s">
        <v>139</v>
      </c>
      <c r="E279" t="s">
        <v>137</v>
      </c>
      <c r="F279" t="s">
        <v>136</v>
      </c>
      <c r="G279">
        <v>0.71317225339803103</v>
      </c>
      <c r="H279">
        <v>2E+20</v>
      </c>
      <c r="I279">
        <v>0</v>
      </c>
      <c r="J279">
        <v>1</v>
      </c>
      <c r="K279">
        <v>0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BusyResource</v>
      </c>
      <c r="N279" s="5" cm="1">
        <f t="array" ref="N279">MAX(IF((ProjectInfoTable[ProjectName]=ContinuousStatsTable[[#This Row],[ProjectName]]),(ProjectInfoTable[ProjectName]=ContinuousStatsTable[[#This Row],[ProjectName]])*ProjectInfoTable[NumberOfReplications]))</f>
        <v>19</v>
      </c>
      <c r="O279" s="5" cm="1">
        <f t="array" ref="O279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279" s="5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279" s="5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279" s="5" cm="1">
        <f t="array" ref="S279">MIN(IF((ContinuousStatsTable[GroupByKey]=ContinuousStatsTable[[#This Row],[GroupByKey]]),(ContinuousStatsTable[GroupByKey]=ContinuousStatsTable[[#This Row],[GroupByKey]])*ContinuousStatsTable[Average]))</f>
        <v>0.60463940272025996</v>
      </c>
      <c r="T279" s="5" cm="1">
        <f t="array" ref="T279">MAX(IF((ContinuousStatsTable[GroupByKey]=ContinuousStatsTable[[#This Row],[GroupByKey]]),(ContinuousStatsTable[GroupByKey]=ContinuousStatsTable[[#This Row],[GroupByKey]])*ContinuousStatsTable[Average]))</f>
        <v>0.86361037821575004</v>
      </c>
      <c r="U279" s="5">
        <f>IF((ContinuousStatsTable[[#This Row],[RepsRequested]]&gt;1),ContinuousStatsTable[[#This Row],[HalfWidth]],ContinuousStatsTable[[#This Row],[BatchMeansHalfWidth]])</f>
        <v>3.4176212493127585E-2</v>
      </c>
    </row>
    <row r="280" spans="1:21" x14ac:dyDescent="0.25">
      <c r="A280" t="s">
        <v>67</v>
      </c>
      <c r="B280" t="s">
        <v>69</v>
      </c>
      <c r="C280">
        <v>15</v>
      </c>
      <c r="D280" t="s">
        <v>139</v>
      </c>
      <c r="E280" t="s">
        <v>138</v>
      </c>
      <c r="F280" t="s">
        <v>136</v>
      </c>
      <c r="G280">
        <v>1</v>
      </c>
      <c r="H280">
        <v>2E+20</v>
      </c>
      <c r="I280">
        <v>1</v>
      </c>
      <c r="J280">
        <v>1</v>
      </c>
      <c r="K280">
        <v>1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ScheduledResource</v>
      </c>
      <c r="N280" s="5" cm="1">
        <f t="array" ref="N280">MAX(IF((ProjectInfoTable[ProjectName]=ContinuousStatsTable[[#This Row],[ProjectName]]),(ProjectInfoTable[ProjectName]=ContinuousStatsTable[[#This Row],[ProjectName]])*ProjectInfoTable[NumberOfReplications]))</f>
        <v>19</v>
      </c>
      <c r="O280" s="5" cm="1">
        <f t="array" ref="O280">IFERROR(AVERAGE(IF((ContinuousStatsTable[GroupByKey]=ContinuousStatsTable[[#This Row],[GroupByKey]]),(ContinuousStatsTable[GroupByKey]=ContinuousStatsTable[[#This Row],[GroupByKey]])*ContinuousStatsTable[Average])),0)</f>
        <v>1</v>
      </c>
      <c r="P280" s="5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0</v>
      </c>
      <c r="Q280" s="5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0" s="5" cm="1">
        <f t="array" ref="S280">MIN(IF((ContinuousStatsTable[GroupByKey]=ContinuousStatsTable[[#This Row],[GroupByKey]]),(ContinuousStatsTable[GroupByKey]=ContinuousStatsTable[[#This Row],[GroupByKey]])*ContinuousStatsTable[Average]))</f>
        <v>1</v>
      </c>
      <c r="T280" s="5" cm="1">
        <f t="array" ref="T280">MAX(IF((ContinuousStatsTable[GroupByKey]=ContinuousStatsTable[[#This Row],[GroupByKey]]),(ContinuousStatsTable[GroupByKey]=ContinuousStatsTable[[#This Row],[GroupByKey]])*ContinuousStatsTable[Average]))</f>
        <v>1</v>
      </c>
      <c r="U280" s="5">
        <f>IF((ContinuousStatsTable[[#This Row],[RepsRequested]]&gt;1),ContinuousStatsTable[[#This Row],[HalfWidth]],ContinuousStatsTable[[#This Row],[BatchMeansHalfWidth]])</f>
        <v>0</v>
      </c>
    </row>
    <row r="281" spans="1:21" x14ac:dyDescent="0.25">
      <c r="A281" t="s">
        <v>67</v>
      </c>
      <c r="B281" t="s">
        <v>69</v>
      </c>
      <c r="C281">
        <v>15</v>
      </c>
      <c r="D281" t="s">
        <v>140</v>
      </c>
      <c r="E281" t="s">
        <v>135</v>
      </c>
      <c r="F281" t="s">
        <v>136</v>
      </c>
      <c r="G281">
        <v>0.30976268795363299</v>
      </c>
      <c r="H281">
        <v>2E+20</v>
      </c>
      <c r="I281">
        <v>0</v>
      </c>
      <c r="J281">
        <v>0.8</v>
      </c>
      <c r="K281">
        <v>0.4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compartida)rMesaInstantaneous UtilizationResource</v>
      </c>
      <c r="N281" s="5" cm="1">
        <f t="array" ref="N281">MAX(IF((ProjectInfoTable[ProjectName]=ContinuousStatsTable[[#This Row],[ProjectName]]),(ProjectInfoTable[ProjectName]=ContinuousStatsTable[[#This Row],[ProjectName]])*ProjectInfoTable[NumberOfReplications]))</f>
        <v>19</v>
      </c>
      <c r="O281" s="5" cm="1">
        <f t="array" ref="O281">IFERROR(AVERAGE(IF((ContinuousStatsTable[GroupByKey]=ContinuousStatsTable[[#This Row],[GroupByKey]]),(ContinuousStatsTable[GroupByKey]=ContinuousStatsTable[[#This Row],[GroupByKey]])*ContinuousStatsTable[Average])),0)</f>
        <v>0.30850610959128738</v>
      </c>
      <c r="P281" s="5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6.2586127702931413E-2</v>
      </c>
      <c r="Q281" s="5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3.0165547953177007E-2</v>
      </c>
      <c r="S281" s="5" cm="1">
        <f t="array" ref="S281">MIN(IF((ContinuousStatsTable[GroupByKey]=ContinuousStatsTable[[#This Row],[GroupByKey]]),(ContinuousStatsTable[GroupByKey]=ContinuousStatsTable[[#This Row],[GroupByKey]])*ContinuousStatsTable[Average]))</f>
        <v>0.156206445320244</v>
      </c>
      <c r="T281" s="5" cm="1">
        <f t="array" ref="T281">MAX(IF((ContinuousStatsTable[GroupByKey]=ContinuousStatsTable[[#This Row],[GroupByKey]]),(ContinuousStatsTable[GroupByKey]=ContinuousStatsTable[[#This Row],[GroupByKey]])*ContinuousStatsTable[Average]))</f>
        <v>0.44942505379986802</v>
      </c>
      <c r="U281" s="5">
        <f>IF((ContinuousStatsTable[[#This Row],[RepsRequested]]&gt;1),ContinuousStatsTable[[#This Row],[HalfWidth]],ContinuousStatsTable[[#This Row],[BatchMeansHalfWidth]])</f>
        <v>3.0165547953177007E-2</v>
      </c>
    </row>
    <row r="282" spans="1:21" x14ac:dyDescent="0.25">
      <c r="A282" t="s">
        <v>67</v>
      </c>
      <c r="B282" t="s">
        <v>69</v>
      </c>
      <c r="C282">
        <v>15</v>
      </c>
      <c r="D282" t="s">
        <v>140</v>
      </c>
      <c r="E282" t="s">
        <v>137</v>
      </c>
      <c r="F282" t="s">
        <v>136</v>
      </c>
      <c r="G282">
        <v>1.5488134397681701</v>
      </c>
      <c r="H282">
        <v>2E+20</v>
      </c>
      <c r="I282">
        <v>0</v>
      </c>
      <c r="J282">
        <v>4</v>
      </c>
      <c r="K282">
        <v>2</v>
      </c>
      <c r="L282">
        <v>0</v>
      </c>
      <c r="M28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BusyResource</v>
      </c>
      <c r="N282" s="5" cm="1">
        <f t="array" ref="N282">MAX(IF((ProjectInfoTable[ProjectName]=ContinuousStatsTable[[#This Row],[ProjectName]]),(ProjectInfoTable[ProjectName]=ContinuousStatsTable[[#This Row],[ProjectName]])*ProjectInfoTable[NumberOfReplications]))</f>
        <v>19</v>
      </c>
      <c r="O282" s="5" cm="1">
        <f t="array" ref="O282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282" s="5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282" s="5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282" s="5" cm="1">
        <f t="array" ref="S282">MIN(IF((ContinuousStatsTable[GroupByKey]=ContinuousStatsTable[[#This Row],[GroupByKey]]),(ContinuousStatsTable[GroupByKey]=ContinuousStatsTable[[#This Row],[GroupByKey]])*ContinuousStatsTable[Average]))</f>
        <v>0.78103222660121896</v>
      </c>
      <c r="T282" s="5" cm="1">
        <f t="array" ref="T282">MAX(IF((ContinuousStatsTable[GroupByKey]=ContinuousStatsTable[[#This Row],[GroupByKey]]),(ContinuousStatsTable[GroupByKey]=ContinuousStatsTable[[#This Row],[GroupByKey]])*ContinuousStatsTable[Average]))</f>
        <v>2.2471252689993402</v>
      </c>
      <c r="U282" s="5">
        <f>IF((ContinuousStatsTable[[#This Row],[RepsRequested]]&gt;1),ContinuousStatsTable[[#This Row],[HalfWidth]],ContinuousStatsTable[[#This Row],[BatchMeansHalfWidth]])</f>
        <v>0.15082773976588459</v>
      </c>
    </row>
    <row r="283" spans="1:21" x14ac:dyDescent="0.25">
      <c r="A283" t="s">
        <v>67</v>
      </c>
      <c r="B283" t="s">
        <v>69</v>
      </c>
      <c r="C283">
        <v>15</v>
      </c>
      <c r="D283" t="s">
        <v>140</v>
      </c>
      <c r="E283" t="s">
        <v>138</v>
      </c>
      <c r="F283" t="s">
        <v>136</v>
      </c>
      <c r="G283">
        <v>5</v>
      </c>
      <c r="H283">
        <v>2E+20</v>
      </c>
      <c r="I283">
        <v>5</v>
      </c>
      <c r="J283">
        <v>5</v>
      </c>
      <c r="K283">
        <v>5</v>
      </c>
      <c r="L283">
        <v>0</v>
      </c>
      <c r="M28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ScheduledResource</v>
      </c>
      <c r="N283" s="5" cm="1">
        <f t="array" ref="N283">MAX(IF((ProjectInfoTable[ProjectName]=ContinuousStatsTable[[#This Row],[ProjectName]]),(ProjectInfoTable[ProjectName]=ContinuousStatsTable[[#This Row],[ProjectName]])*ProjectInfoTable[NumberOfReplications]))</f>
        <v>19</v>
      </c>
      <c r="O283" s="5" cm="1">
        <f t="array" ref="O283">IFERROR(AVERAGE(IF((ContinuousStatsTable[GroupByKey]=ContinuousStatsTable[[#This Row],[GroupByKey]]),(ContinuousStatsTable[GroupByKey]=ContinuousStatsTable[[#This Row],[GroupByKey]])*ContinuousStatsTable[Average])),0)</f>
        <v>5</v>
      </c>
      <c r="P283" s="5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0</v>
      </c>
      <c r="Q283" s="5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3" s="5" cm="1">
        <f t="array" ref="S283">MIN(IF((ContinuousStatsTable[GroupByKey]=ContinuousStatsTable[[#This Row],[GroupByKey]]),(ContinuousStatsTable[GroupByKey]=ContinuousStatsTable[[#This Row],[GroupByKey]])*ContinuousStatsTable[Average]))</f>
        <v>5</v>
      </c>
      <c r="T283" s="5" cm="1">
        <f t="array" ref="T283">MAX(IF((ContinuousStatsTable[GroupByKey]=ContinuousStatsTable[[#This Row],[GroupByKey]]),(ContinuousStatsTable[GroupByKey]=ContinuousStatsTable[[#This Row],[GroupByKey]])*ContinuousStatsTable[Average]))</f>
        <v>5</v>
      </c>
      <c r="U283" s="5">
        <f>IF((ContinuousStatsTable[[#This Row],[RepsRequested]]&gt;1),ContinuousStatsTable[[#This Row],[HalfWidth]],ContinuousStatsTable[[#This Row],[BatchMeansHalfWidth]])</f>
        <v>0</v>
      </c>
    </row>
    <row r="284" spans="1:21" x14ac:dyDescent="0.25">
      <c r="A284" t="s">
        <v>67</v>
      </c>
      <c r="B284" t="s">
        <v>69</v>
      </c>
      <c r="C284">
        <v>15</v>
      </c>
      <c r="D284" t="s">
        <v>127</v>
      </c>
      <c r="E284" t="s">
        <v>129</v>
      </c>
      <c r="F284" t="s">
        <v>72</v>
      </c>
      <c r="G284">
        <v>0</v>
      </c>
      <c r="H284">
        <v>2E+20</v>
      </c>
      <c r="I284">
        <v>0</v>
      </c>
      <c r="J284">
        <v>1</v>
      </c>
      <c r="K284">
        <v>0</v>
      </c>
      <c r="L284">
        <v>0</v>
      </c>
      <c r="M28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compartida)relojWIPEntity</v>
      </c>
      <c r="N284" s="5" cm="1">
        <f t="array" ref="N284">MAX(IF((ProjectInfoTable[ProjectName]=ContinuousStatsTable[[#This Row],[ProjectName]]),(ProjectInfoTable[ProjectName]=ContinuousStatsTable[[#This Row],[ProjectName]])*ProjectInfoTable[NumberOfReplications]))</f>
        <v>19</v>
      </c>
      <c r="O284" s="5" cm="1">
        <f t="array" ref="O284">IFERROR(AVERAGE(IF((ContinuousStatsTable[GroupByKey]=ContinuousStatsTable[[#This Row],[GroupByKey]]),(ContinuousStatsTable[GroupByKey]=ContinuousStatsTable[[#This Row],[GroupByKey]])*ContinuousStatsTable[Average])),0)</f>
        <v>0</v>
      </c>
      <c r="P284" s="5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0</v>
      </c>
      <c r="Q284" s="5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4" s="5" cm="1">
        <f t="array" ref="S284">MIN(IF((ContinuousStatsTable[GroupByKey]=ContinuousStatsTable[[#This Row],[GroupByKey]]),(ContinuousStatsTable[GroupByKey]=ContinuousStatsTable[[#This Row],[GroupByKey]])*ContinuousStatsTable[Average]))</f>
        <v>0</v>
      </c>
      <c r="T284" s="5" cm="1">
        <f t="array" ref="T284">MAX(IF((ContinuousStatsTable[GroupByKey]=ContinuousStatsTable[[#This Row],[GroupByKey]]),(ContinuousStatsTable[GroupByKey]=ContinuousStatsTable[[#This Row],[GroupByKey]])*ContinuousStatsTable[Average]))</f>
        <v>0</v>
      </c>
      <c r="U284" s="5">
        <f>IF((ContinuousStatsTable[[#This Row],[RepsRequested]]&gt;1),ContinuousStatsTable[[#This Row],[HalfWidth]],ContinuousStatsTable[[#This Row],[BatchMeansHalfWidth]])</f>
        <v>0</v>
      </c>
    </row>
    <row r="285" spans="1:21" x14ac:dyDescent="0.25">
      <c r="A285" t="s">
        <v>67</v>
      </c>
      <c r="B285" t="s">
        <v>69</v>
      </c>
      <c r="C285">
        <v>15</v>
      </c>
      <c r="D285" t="s">
        <v>141</v>
      </c>
      <c r="E285" t="s">
        <v>142</v>
      </c>
      <c r="F285" t="s">
        <v>80</v>
      </c>
      <c r="G285">
        <v>3.8071538265498002</v>
      </c>
      <c r="H285">
        <v>2E+20</v>
      </c>
      <c r="I285">
        <v>0</v>
      </c>
      <c r="J285">
        <v>9</v>
      </c>
      <c r="K285">
        <v>3</v>
      </c>
      <c r="L285">
        <v>0</v>
      </c>
      <c r="M28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compartida)vClientesEnSistemaVariableUser Specified</v>
      </c>
      <c r="N285" s="5" cm="1">
        <f t="array" ref="N285">MAX(IF((ProjectInfoTable[ProjectName]=ContinuousStatsTable[[#This Row],[ProjectName]]),(ProjectInfoTable[ProjectName]=ContinuousStatsTable[[#This Row],[ProjectName]])*ProjectInfoTable[NumberOfReplications]))</f>
        <v>19</v>
      </c>
      <c r="O285" s="5" cm="1">
        <f t="array" ref="O285">IFERROR(AVERAGE(IF((ContinuousStatsTable[GroupByKey]=ContinuousStatsTable[[#This Row],[GroupByKey]]),(ContinuousStatsTable[GroupByKey]=ContinuousStatsTable[[#This Row],[GroupByKey]])*ContinuousStatsTable[Average])),0)</f>
        <v>4.0733776306724412</v>
      </c>
      <c r="P285" s="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1.3190004331473169</v>
      </c>
      <c r="Q285" s="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0.63573785879874822</v>
      </c>
      <c r="S285" s="5" cm="1">
        <f t="array" ref="S285">MIN(IF((ContinuousStatsTable[GroupByKey]=ContinuousStatsTable[[#This Row],[GroupByKey]]),(ContinuousStatsTable[GroupByKey]=ContinuousStatsTable[[#This Row],[GroupByKey]])*ContinuousStatsTable[Average]))</f>
        <v>2.7964405882205599</v>
      </c>
      <c r="T285" s="5" cm="1">
        <f t="array" ref="T285">MAX(IF((ContinuousStatsTable[GroupByKey]=ContinuousStatsTable[[#This Row],[GroupByKey]]),(ContinuousStatsTable[GroupByKey]=ContinuousStatsTable[[#This Row],[GroupByKey]])*ContinuousStatsTable[Average]))</f>
        <v>8.8656011818609901</v>
      </c>
      <c r="U285" s="5">
        <f>IF((ContinuousStatsTable[[#This Row],[RepsRequested]]&gt;1),ContinuousStatsTable[[#This Row],[HalfWidth]],ContinuousStatsTable[[#This Row],[BatchMeansHalfWidth]])</f>
        <v>0.63573785879874822</v>
      </c>
    </row>
    <row r="286" spans="1:21" x14ac:dyDescent="0.25">
      <c r="A286" t="s">
        <v>67</v>
      </c>
      <c r="B286" t="s">
        <v>69</v>
      </c>
      <c r="C286">
        <v>15</v>
      </c>
      <c r="D286" t="s">
        <v>143</v>
      </c>
      <c r="E286" t="s">
        <v>142</v>
      </c>
      <c r="F286" t="s">
        <v>80</v>
      </c>
      <c r="G286">
        <v>3.4511865602318301</v>
      </c>
      <c r="H286">
        <v>2E+20</v>
      </c>
      <c r="I286">
        <v>1</v>
      </c>
      <c r="J286">
        <v>5</v>
      </c>
      <c r="K286">
        <v>3</v>
      </c>
      <c r="L286">
        <v>0</v>
      </c>
      <c r="M28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compartida)vMesasLibresVariableUser Specified</v>
      </c>
      <c r="N286" s="5" cm="1">
        <f t="array" ref="N286">MAX(IF((ProjectInfoTable[ProjectName]=ContinuousStatsTable[[#This Row],[ProjectName]]),(ProjectInfoTable[ProjectName]=ContinuousStatsTable[[#This Row],[ProjectName]])*ProjectInfoTable[NumberOfReplications]))</f>
        <v>19</v>
      </c>
      <c r="O286" s="5" cm="1">
        <f t="array" ref="O286">IFERROR(AVERAGE(IF((ContinuousStatsTable[GroupByKey]=ContinuousStatsTable[[#This Row],[GroupByKey]]),(ContinuousStatsTable[GroupByKey]=ContinuousStatsTable[[#This Row],[GroupByKey]])*ContinuousStatsTable[Average])),0)</f>
        <v>3.457469452043564</v>
      </c>
      <c r="P286" s="5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0.31293063851465691</v>
      </c>
      <c r="Q286" s="5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0.15082773976588496</v>
      </c>
      <c r="S286" s="5" cm="1">
        <f t="array" ref="S286">MIN(IF((ContinuousStatsTable[GroupByKey]=ContinuousStatsTable[[#This Row],[GroupByKey]]),(ContinuousStatsTable[GroupByKey]=ContinuousStatsTable[[#This Row],[GroupByKey]])*ContinuousStatsTable[Average]))</f>
        <v>2.7528747310006598</v>
      </c>
      <c r="T286" s="5" cm="1">
        <f t="array" ref="T286">MAX(IF((ContinuousStatsTable[GroupByKey]=ContinuousStatsTable[[#This Row],[GroupByKey]]),(ContinuousStatsTable[GroupByKey]=ContinuousStatsTable[[#This Row],[GroupByKey]])*ContinuousStatsTable[Average]))</f>
        <v>4.2189677733987798</v>
      </c>
      <c r="U286" s="5">
        <f>IF((ContinuousStatsTable[[#This Row],[RepsRequested]]&gt;1),ContinuousStatsTable[[#This Row],[HalfWidth]],ContinuousStatsTable[[#This Row],[BatchMeansHalfWidth]])</f>
        <v>0.15082773976588496</v>
      </c>
    </row>
    <row r="287" spans="1:21" x14ac:dyDescent="0.25">
      <c r="A287" t="s">
        <v>67</v>
      </c>
      <c r="B287" t="s">
        <v>69</v>
      </c>
      <c r="C287">
        <v>16</v>
      </c>
      <c r="D287" t="s">
        <v>70</v>
      </c>
      <c r="E287" t="s">
        <v>129</v>
      </c>
      <c r="F287" t="s">
        <v>72</v>
      </c>
      <c r="G287">
        <v>5.6738213288003196</v>
      </c>
      <c r="H287">
        <v>3E+20</v>
      </c>
      <c r="I287">
        <v>0</v>
      </c>
      <c r="J287">
        <v>13</v>
      </c>
      <c r="K287">
        <v>5</v>
      </c>
      <c r="L287">
        <v>0</v>
      </c>
      <c r="M28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compartida)ClienteWIPEntity</v>
      </c>
      <c r="N287" s="5" cm="1">
        <f t="array" ref="N287">MAX(IF((ProjectInfoTable[ProjectName]=ContinuousStatsTable[[#This Row],[ProjectName]]),(ProjectInfoTable[ProjectName]=ContinuousStatsTable[[#This Row],[ProjectName]])*ProjectInfoTable[NumberOfReplications]))</f>
        <v>19</v>
      </c>
      <c r="O287" s="5" cm="1">
        <f t="array" ref="O287">IFERROR(AVERAGE(IF((ContinuousStatsTable[GroupByKey]=ContinuousStatsTable[[#This Row],[GroupByKey]]),(ContinuousStatsTable[GroupByKey]=ContinuousStatsTable[[#This Row],[GroupByKey]])*ContinuousStatsTable[Average])),0)</f>
        <v>5.695207969173218</v>
      </c>
      <c r="P287" s="5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1.5293712224665061</v>
      </c>
      <c r="Q287" s="5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0.7371333335799507</v>
      </c>
      <c r="S287" s="5" cm="1">
        <f t="array" ref="S287">MIN(IF((ContinuousStatsTable[GroupByKey]=ContinuousStatsTable[[#This Row],[GroupByKey]]),(ContinuousStatsTable[GroupByKey]=ContinuousStatsTable[[#This Row],[GroupByKey]])*ContinuousStatsTable[Average]))</f>
        <v>3.6484308227805702</v>
      </c>
      <c r="T287" s="5" cm="1">
        <f t="array" ref="T287">MAX(IF((ContinuousStatsTable[GroupByKey]=ContinuousStatsTable[[#This Row],[GroupByKey]]),(ContinuousStatsTable[GroupByKey]=ContinuousStatsTable[[#This Row],[GroupByKey]])*ContinuousStatsTable[Average]))</f>
        <v>10.9337547677616</v>
      </c>
      <c r="U287" s="5">
        <f>IF((ContinuousStatsTable[[#This Row],[RepsRequested]]&gt;1),ContinuousStatsTable[[#This Row],[HalfWidth]],ContinuousStatsTable[[#This Row],[BatchMeansHalfWidth]])</f>
        <v>0.7371333335799507</v>
      </c>
    </row>
    <row r="288" spans="1:21" x14ac:dyDescent="0.25">
      <c r="A288" t="s">
        <v>67</v>
      </c>
      <c r="B288" t="s">
        <v>69</v>
      </c>
      <c r="C288">
        <v>16</v>
      </c>
      <c r="D288" t="s">
        <v>89</v>
      </c>
      <c r="E288" t="s">
        <v>130</v>
      </c>
      <c r="F288" t="s">
        <v>91</v>
      </c>
      <c r="G288">
        <v>0</v>
      </c>
      <c r="H288">
        <v>2E+20</v>
      </c>
      <c r="I288">
        <v>0</v>
      </c>
      <c r="J288">
        <v>0</v>
      </c>
      <c r="K288">
        <v>0</v>
      </c>
      <c r="L288">
        <v>0</v>
      </c>
      <c r="M28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compartida)Comer en Mesa.QueueNumber WaitingQueue</v>
      </c>
      <c r="N288" s="5" cm="1">
        <f t="array" ref="N288">MAX(IF((ProjectInfoTable[ProjectName]=ContinuousStatsTable[[#This Row],[ProjectName]]),(ProjectInfoTable[ProjectName]=ContinuousStatsTable[[#This Row],[ProjectName]])*ProjectInfoTable[NumberOfReplications]))</f>
        <v>19</v>
      </c>
      <c r="O288" s="5" cm="1">
        <f t="array" ref="O288">IFERROR(AVERAGE(IF((ContinuousStatsTable[GroupByKey]=ContinuousStatsTable[[#This Row],[GroupByKey]]),(ContinuousStatsTable[GroupByKey]=ContinuousStatsTable[[#This Row],[GroupByKey]])*ContinuousStatsTable[Average])),0)</f>
        <v>0</v>
      </c>
      <c r="P288" s="5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0</v>
      </c>
      <c r="Q288" s="5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8" s="5" cm="1">
        <f t="array" ref="S288">MIN(IF((ContinuousStatsTable[GroupByKey]=ContinuousStatsTable[[#This Row],[GroupByKey]]),(ContinuousStatsTable[GroupByKey]=ContinuousStatsTable[[#This Row],[GroupByKey]])*ContinuousStatsTable[Average]))</f>
        <v>0</v>
      </c>
      <c r="T288" s="5" cm="1">
        <f t="array" ref="T288">MAX(IF((ContinuousStatsTable[GroupByKey]=ContinuousStatsTable[[#This Row],[GroupByKey]]),(ContinuousStatsTable[GroupByKey]=ContinuousStatsTable[[#This Row],[GroupByKey]])*ContinuousStatsTable[Average]))</f>
        <v>0</v>
      </c>
      <c r="U288" s="5">
        <f>IF((ContinuousStatsTable[[#This Row],[RepsRequested]]&gt;1),ContinuousStatsTable[[#This Row],[HalfWidth]],ContinuousStatsTable[[#This Row],[BatchMeansHalfWidth]])</f>
        <v>0</v>
      </c>
    </row>
    <row r="289" spans="1:21" x14ac:dyDescent="0.25">
      <c r="A289" t="s">
        <v>67</v>
      </c>
      <c r="B289" t="s">
        <v>69</v>
      </c>
      <c r="C289">
        <v>16</v>
      </c>
      <c r="D289" t="s">
        <v>92</v>
      </c>
      <c r="E289" t="s">
        <v>130</v>
      </c>
      <c r="F289" t="s">
        <v>91</v>
      </c>
      <c r="G289">
        <v>1.0564961441210601</v>
      </c>
      <c r="H289">
        <v>2E+20</v>
      </c>
      <c r="I289">
        <v>0</v>
      </c>
      <c r="J289">
        <v>5</v>
      </c>
      <c r="K289">
        <v>1</v>
      </c>
      <c r="L289">
        <v>0</v>
      </c>
      <c r="M28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compartida)Entrega pedido.QueueNumber WaitingQueue</v>
      </c>
      <c r="N289" s="5" cm="1">
        <f t="array" ref="N289">MAX(IF((ProjectInfoTable[ProjectName]=ContinuousStatsTable[[#This Row],[ProjectName]]),(ProjectInfoTable[ProjectName]=ContinuousStatsTable[[#This Row],[ProjectName]])*ProjectInfoTable[NumberOfReplications]))</f>
        <v>19</v>
      </c>
      <c r="O289" s="5" cm="1">
        <f t="array" ref="O289">IFERROR(AVERAGE(IF((ContinuousStatsTable[GroupByKey]=ContinuousStatsTable[[#This Row],[GroupByKey]]),(ContinuousStatsTable[GroupByKey]=ContinuousStatsTable[[#This Row],[GroupByKey]])*ContinuousStatsTable[Average])),0)</f>
        <v>1.4415832090470244</v>
      </c>
      <c r="P289" s="5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0.61323545266973079</v>
      </c>
      <c r="Q289" s="5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0.29557002698587687</v>
      </c>
      <c r="S289" s="5" cm="1">
        <f t="array" ref="S289">MIN(IF((ContinuousStatsTable[GroupByKey]=ContinuousStatsTable[[#This Row],[GroupByKey]]),(ContinuousStatsTable[GroupByKey]=ContinuousStatsTable[[#This Row],[GroupByKey]])*ContinuousStatsTable[Average]))</f>
        <v>0.95119347509060603</v>
      </c>
      <c r="T289" s="5" cm="1">
        <f t="array" ref="T289">MAX(IF((ContinuousStatsTable[GroupByKey]=ContinuousStatsTable[[#This Row],[GroupByKey]]),(ContinuousStatsTable[GroupByKey]=ContinuousStatsTable[[#This Row],[GroupByKey]])*ContinuousStatsTable[Average]))</f>
        <v>3.71511779664222</v>
      </c>
      <c r="U289" s="5">
        <f>IF((ContinuousStatsTable[[#This Row],[RepsRequested]]&gt;1),ContinuousStatsTable[[#This Row],[HalfWidth]],ContinuousStatsTable[[#This Row],[BatchMeansHalfWidth]])</f>
        <v>0.29557002698587687</v>
      </c>
    </row>
    <row r="290" spans="1:21" x14ac:dyDescent="0.25">
      <c r="A290" t="s">
        <v>67</v>
      </c>
      <c r="B290" t="s">
        <v>69</v>
      </c>
      <c r="C290">
        <v>16</v>
      </c>
      <c r="D290" t="s">
        <v>131</v>
      </c>
      <c r="E290" t="s">
        <v>129</v>
      </c>
      <c r="F290" t="s">
        <v>72</v>
      </c>
      <c r="G290">
        <v>3.06847811811507</v>
      </c>
      <c r="H290">
        <v>2E+20</v>
      </c>
      <c r="I290">
        <v>0</v>
      </c>
      <c r="J290">
        <v>6</v>
      </c>
      <c r="K290">
        <v>3</v>
      </c>
      <c r="L290">
        <v>0</v>
      </c>
      <c r="M29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compartida)OrdenWIPEntity</v>
      </c>
      <c r="N290" s="5" cm="1">
        <f t="array" ref="N290">MAX(IF((ProjectInfoTable[ProjectName]=ContinuousStatsTable[[#This Row],[ProjectName]]),(ProjectInfoTable[ProjectName]=ContinuousStatsTable[[#This Row],[ProjectName]])*ProjectInfoTable[NumberOfReplications]))</f>
        <v>19</v>
      </c>
      <c r="O290" s="5" cm="1">
        <f t="array" ref="O290">IFERROR(AVERAGE(IF((ContinuousStatsTable[GroupByKey]=ContinuousStatsTable[[#This Row],[GroupByKey]]),(ContinuousStatsTable[GroupByKey]=ContinuousStatsTable[[#This Row],[GroupByKey]])*ContinuousStatsTable[Average])),0)</f>
        <v>3.0972744691234286</v>
      </c>
      <c r="P290" s="5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0.7960145604449721</v>
      </c>
      <c r="Q290" s="5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0.38366673695655462</v>
      </c>
      <c r="S290" s="5" cm="1">
        <f t="array" ref="S290">MIN(IF((ContinuousStatsTable[GroupByKey]=ContinuousStatsTable[[#This Row],[GroupByKey]]),(ContinuousStatsTable[GroupByKey]=ContinuousStatsTable[[#This Row],[GroupByKey]])*ContinuousStatsTable[Average]))</f>
        <v>2.0609398302211299</v>
      </c>
      <c r="T290" s="5" cm="1">
        <f t="array" ref="T290">MAX(IF((ContinuousStatsTable[GroupByKey]=ContinuousStatsTable[[#This Row],[GroupByKey]]),(ContinuousStatsTable[GroupByKey]=ContinuousStatsTable[[#This Row],[GroupByKey]])*ContinuousStatsTable[Average]))</f>
        <v>5.8229936047650703</v>
      </c>
      <c r="U290" s="5">
        <f>IF((ContinuousStatsTable[[#This Row],[RepsRequested]]&gt;1),ContinuousStatsTable[[#This Row],[HalfWidth]],ContinuousStatsTable[[#This Row],[BatchMeansHalfWidth]])</f>
        <v>0.38366673695655462</v>
      </c>
    </row>
    <row r="291" spans="1:21" x14ac:dyDescent="0.25">
      <c r="A291" t="s">
        <v>67</v>
      </c>
      <c r="B291" t="s">
        <v>69</v>
      </c>
      <c r="C291">
        <v>16</v>
      </c>
      <c r="D291" t="s">
        <v>99</v>
      </c>
      <c r="E291" t="s">
        <v>130</v>
      </c>
      <c r="F291" t="s">
        <v>91</v>
      </c>
      <c r="G291">
        <v>0.181294269015597</v>
      </c>
      <c r="H291">
        <v>2E+20</v>
      </c>
      <c r="I291">
        <v>0</v>
      </c>
      <c r="J291">
        <v>3</v>
      </c>
      <c r="K291">
        <v>0</v>
      </c>
      <c r="L291">
        <v>0</v>
      </c>
      <c r="M29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compartida)Pasar a Caja.QueueNumber WaitingQueue</v>
      </c>
      <c r="N291" s="5" cm="1">
        <f t="array" ref="N291">MAX(IF((ProjectInfoTable[ProjectName]=ContinuousStatsTable[[#This Row],[ProjectName]]),(ProjectInfoTable[ProjectName]=ContinuousStatsTable[[#This Row],[ProjectName]])*ProjectInfoTable[NumberOfReplications]))</f>
        <v>19</v>
      </c>
      <c r="O291" s="5" cm="1">
        <f t="array" ref="O291">IFERROR(AVERAGE(IF((ContinuousStatsTable[GroupByKey]=ContinuousStatsTable[[#This Row],[GroupByKey]]),(ContinuousStatsTable[GroupByKey]=ContinuousStatsTable[[#This Row],[GroupByKey]])*ContinuousStatsTable[Average])),0)</f>
        <v>0.5234663348541454</v>
      </c>
      <c r="P291" s="5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0.51706251909874834</v>
      </c>
      <c r="Q291" s="5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0.24921615679273348</v>
      </c>
      <c r="S291" s="5" cm="1">
        <f t="array" ref="S291">MIN(IF((ContinuousStatsTable[GroupByKey]=ContinuousStatsTable[[#This Row],[GroupByKey]]),(ContinuousStatsTable[GroupByKey]=ContinuousStatsTable[[#This Row],[GroupByKey]])*ContinuousStatsTable[Average]))</f>
        <v>0.17506464523350199</v>
      </c>
      <c r="T291" s="5" cm="1">
        <f t="array" ref="T291">MAX(IF((ContinuousStatsTable[GroupByKey]=ContinuousStatsTable[[#This Row],[GroupByKey]]),(ContinuousStatsTable[GroupByKey]=ContinuousStatsTable[[#This Row],[GroupByKey]])*ContinuousStatsTable[Average]))</f>
        <v>2.4783528335268201</v>
      </c>
      <c r="U291" s="5">
        <f>IF((ContinuousStatsTable[[#This Row],[RepsRequested]]&gt;1),ContinuousStatsTable[[#This Row],[HalfWidth]],ContinuousStatsTable[[#This Row],[BatchMeansHalfWidth]])</f>
        <v>0.24921615679273348</v>
      </c>
    </row>
    <row r="292" spans="1:21" x14ac:dyDescent="0.25">
      <c r="A292" t="s">
        <v>67</v>
      </c>
      <c r="B292" t="s">
        <v>69</v>
      </c>
      <c r="C292">
        <v>16</v>
      </c>
      <c r="D292" t="s">
        <v>104</v>
      </c>
      <c r="E292" t="s">
        <v>130</v>
      </c>
      <c r="F292" t="s">
        <v>91</v>
      </c>
      <c r="G292">
        <v>0.14319281628536201</v>
      </c>
      <c r="H292">
        <v>2E+20</v>
      </c>
      <c r="I292">
        <v>0</v>
      </c>
      <c r="J292">
        <v>2</v>
      </c>
      <c r="K292">
        <v>0</v>
      </c>
      <c r="L292">
        <v>0</v>
      </c>
      <c r="M29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compartida)Preparacion.QueueNumber WaitingQueue</v>
      </c>
      <c r="N292" s="5" cm="1">
        <f t="array" ref="N292">MAX(IF((ProjectInfoTable[ProjectName]=ContinuousStatsTable[[#This Row],[ProjectName]]),(ProjectInfoTable[ProjectName]=ContinuousStatsTable[[#This Row],[ProjectName]])*ProjectInfoTable[NumberOfReplications]))</f>
        <v>19</v>
      </c>
      <c r="O292" s="5" cm="1">
        <f t="array" ref="O292">IFERROR(AVERAGE(IF((ContinuousStatsTable[GroupByKey]=ContinuousStatsTable[[#This Row],[GroupByKey]]),(ContinuousStatsTable[GroupByKey]=ContinuousStatsTable[[#This Row],[GroupByKey]])*ContinuousStatsTable[Average])),0)</f>
        <v>0.48138063122984937</v>
      </c>
      <c r="P292" s="5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0.5430727934303009</v>
      </c>
      <c r="Q292" s="5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0.26175270772536113</v>
      </c>
      <c r="S292" s="5" cm="1">
        <f t="array" ref="S292">MIN(IF((ContinuousStatsTable[GroupByKey]=ContinuousStatsTable[[#This Row],[GroupByKey]]),(ContinuousStatsTable[GroupByKey]=ContinuousStatsTable[[#This Row],[GroupByKey]])*ContinuousStatsTable[Average]))</f>
        <v>0.13383910219346701</v>
      </c>
      <c r="T292" s="5" cm="1">
        <f t="array" ref="T292">MAX(IF((ContinuousStatsTable[GroupByKey]=ContinuousStatsTable[[#This Row],[GroupByKey]]),(ContinuousStatsTable[GroupByKey]=ContinuousStatsTable[[#This Row],[GroupByKey]])*ContinuousStatsTable[Average]))</f>
        <v>2.5739205922552402</v>
      </c>
      <c r="U292" s="5">
        <f>IF((ContinuousStatsTable[[#This Row],[RepsRequested]]&gt;1),ContinuousStatsTable[[#This Row],[HalfWidth]],ContinuousStatsTable[[#This Row],[BatchMeansHalfWidth]])</f>
        <v>0.26175270772536113</v>
      </c>
    </row>
    <row r="293" spans="1:21" x14ac:dyDescent="0.25">
      <c r="A293" t="s">
        <v>67</v>
      </c>
      <c r="B293" t="s">
        <v>69</v>
      </c>
      <c r="C293">
        <v>16</v>
      </c>
      <c r="D293" t="s">
        <v>132</v>
      </c>
      <c r="E293" t="s">
        <v>133</v>
      </c>
      <c r="F293" t="s">
        <v>80</v>
      </c>
      <c r="G293">
        <v>1.8906856776976999</v>
      </c>
      <c r="H293">
        <v>2E+20</v>
      </c>
      <c r="I293">
        <v>0</v>
      </c>
      <c r="J293">
        <v>5</v>
      </c>
      <c r="K293">
        <v>2</v>
      </c>
      <c r="L293">
        <v>0</v>
      </c>
      <c r="M29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compartida)TP_MesasTime PersistentUser Specified</v>
      </c>
      <c r="N293" s="5" cm="1">
        <f t="array" ref="N293">MAX(IF((ProjectInfoTable[ProjectName]=ContinuousStatsTable[[#This Row],[ProjectName]]),(ProjectInfoTable[ProjectName]=ContinuousStatsTable[[#This Row],[ProjectName]])*ProjectInfoTable[NumberOfReplications]))</f>
        <v>19</v>
      </c>
      <c r="O293" s="5" cm="1">
        <f t="array" ref="O293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293" s="5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293" s="5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293" s="5" cm="1">
        <f t="array" ref="S293">MIN(IF((ContinuousStatsTable[GroupByKey]=ContinuousStatsTable[[#This Row],[GroupByKey]]),(ContinuousStatsTable[GroupByKey]=ContinuousStatsTable[[#This Row],[GroupByKey]])*ContinuousStatsTable[Average]))</f>
        <v>0.78103222660121896</v>
      </c>
      <c r="T293" s="5" cm="1">
        <f t="array" ref="T293">MAX(IF((ContinuousStatsTable[GroupByKey]=ContinuousStatsTable[[#This Row],[GroupByKey]]),(ContinuousStatsTable[GroupByKey]=ContinuousStatsTable[[#This Row],[GroupByKey]])*ContinuousStatsTable[Average]))</f>
        <v>2.2471252689993402</v>
      </c>
      <c r="U293" s="5">
        <f>IF((ContinuousStatsTable[[#This Row],[RepsRequested]]&gt;1),ContinuousStatsTable[[#This Row],[HalfWidth]],ContinuousStatsTable[[#This Row],[BatchMeansHalfWidth]])</f>
        <v>0.15082773976588459</v>
      </c>
    </row>
    <row r="294" spans="1:21" x14ac:dyDescent="0.25">
      <c r="A294" t="s">
        <v>67</v>
      </c>
      <c r="B294" t="s">
        <v>69</v>
      </c>
      <c r="C294">
        <v>16</v>
      </c>
      <c r="D294" t="s">
        <v>134</v>
      </c>
      <c r="E294" t="s">
        <v>135</v>
      </c>
      <c r="F294" t="s">
        <v>136</v>
      </c>
      <c r="G294">
        <v>0.63961204022853202</v>
      </c>
      <c r="H294">
        <v>2E+20</v>
      </c>
      <c r="I294">
        <v>0</v>
      </c>
      <c r="J294">
        <v>1</v>
      </c>
      <c r="K294">
        <v>0</v>
      </c>
      <c r="L294">
        <v>0</v>
      </c>
      <c r="M29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compartida)rCajeroInstantaneous UtilizationResource</v>
      </c>
      <c r="N294" s="5" cm="1">
        <f t="array" ref="N294">MAX(IF((ProjectInfoTable[ProjectName]=ContinuousStatsTable[[#This Row],[ProjectName]]),(ProjectInfoTable[ProjectName]=ContinuousStatsTable[[#This Row],[ProjectName]])*ProjectInfoTable[NumberOfReplications]))</f>
        <v>19</v>
      </c>
      <c r="O294" s="5" cm="1">
        <f t="array" ref="O294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294" s="5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6.2272947935973086E-2</v>
      </c>
      <c r="Q294" s="5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3.0014600137344912E-2</v>
      </c>
      <c r="S294" s="5" cm="1">
        <f t="array" ref="S294">MIN(IF((ContinuousStatsTable[GroupByKey]=ContinuousStatsTable[[#This Row],[GroupByKey]]),(ContinuousStatsTable[GroupByKey]=ContinuousStatsTable[[#This Row],[GroupByKey]])*ContinuousStatsTable[Average]))</f>
        <v>0.59592290927233305</v>
      </c>
      <c r="T294" s="5" cm="1">
        <f t="array" ref="T294">MAX(IF((ContinuousStatsTable[GroupByKey]=ContinuousStatsTable[[#This Row],[GroupByKey]]),(ContinuousStatsTable[GroupByKey]=ContinuousStatsTable[[#This Row],[GroupByKey]])*ContinuousStatsTable[Average]))</f>
        <v>0.82897119936997599</v>
      </c>
      <c r="U294" s="5">
        <f>IF((ContinuousStatsTable[[#This Row],[RepsRequested]]&gt;1),ContinuousStatsTable[[#This Row],[HalfWidth]],ContinuousStatsTable[[#This Row],[BatchMeansHalfWidth]])</f>
        <v>3.0014600137344912E-2</v>
      </c>
    </row>
    <row r="295" spans="1:21" x14ac:dyDescent="0.25">
      <c r="A295" t="s">
        <v>67</v>
      </c>
      <c r="B295" t="s">
        <v>69</v>
      </c>
      <c r="C295">
        <v>16</v>
      </c>
      <c r="D295" t="s">
        <v>134</v>
      </c>
      <c r="E295" t="s">
        <v>137</v>
      </c>
      <c r="F295" t="s">
        <v>136</v>
      </c>
      <c r="G295">
        <v>0.63961204022853202</v>
      </c>
      <c r="H295">
        <v>2E+20</v>
      </c>
      <c r="I295">
        <v>0</v>
      </c>
      <c r="J295">
        <v>1</v>
      </c>
      <c r="K295">
        <v>0</v>
      </c>
      <c r="L295">
        <v>0</v>
      </c>
      <c r="M29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BusyResource</v>
      </c>
      <c r="N295" s="5" cm="1">
        <f t="array" ref="N295">MAX(IF((ProjectInfoTable[ProjectName]=ContinuousStatsTable[[#This Row],[ProjectName]]),(ProjectInfoTable[ProjectName]=ContinuousStatsTable[[#This Row],[ProjectName]])*ProjectInfoTable[NumberOfReplications]))</f>
        <v>19</v>
      </c>
      <c r="O295" s="5" cm="1">
        <f t="array" ref="O295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295" s="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6.2272947935973065E-2</v>
      </c>
      <c r="Q295" s="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3.0014600137344902E-2</v>
      </c>
      <c r="S295" s="5" cm="1">
        <f t="array" ref="S295">MIN(IF((ContinuousStatsTable[GroupByKey]=ContinuousStatsTable[[#This Row],[GroupByKey]]),(ContinuousStatsTable[GroupByKey]=ContinuousStatsTable[[#This Row],[GroupByKey]])*ContinuousStatsTable[Average]))</f>
        <v>0.59592290927233305</v>
      </c>
      <c r="T295" s="5" cm="1">
        <f t="array" ref="T295">MAX(IF((ContinuousStatsTable[GroupByKey]=ContinuousStatsTable[[#This Row],[GroupByKey]]),(ContinuousStatsTable[GroupByKey]=ContinuousStatsTable[[#This Row],[GroupByKey]])*ContinuousStatsTable[Average]))</f>
        <v>0.82897119936997599</v>
      </c>
      <c r="U295" s="5">
        <f>IF((ContinuousStatsTable[[#This Row],[RepsRequested]]&gt;1),ContinuousStatsTable[[#This Row],[HalfWidth]],ContinuousStatsTable[[#This Row],[BatchMeansHalfWidth]])</f>
        <v>3.0014600137344902E-2</v>
      </c>
    </row>
    <row r="296" spans="1:21" x14ac:dyDescent="0.25">
      <c r="A296" t="s">
        <v>67</v>
      </c>
      <c r="B296" t="s">
        <v>69</v>
      </c>
      <c r="C296">
        <v>16</v>
      </c>
      <c r="D296" t="s">
        <v>134</v>
      </c>
      <c r="E296" t="s">
        <v>138</v>
      </c>
      <c r="F296" t="s">
        <v>136</v>
      </c>
      <c r="G296">
        <v>1</v>
      </c>
      <c r="H296">
        <v>2E+20</v>
      </c>
      <c r="I296">
        <v>1</v>
      </c>
      <c r="J296">
        <v>1</v>
      </c>
      <c r="K296">
        <v>1</v>
      </c>
      <c r="L296">
        <v>0</v>
      </c>
      <c r="M29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ScheduledResource</v>
      </c>
      <c r="N296" s="5" cm="1">
        <f t="array" ref="N296">MAX(IF((ProjectInfoTable[ProjectName]=ContinuousStatsTable[[#This Row],[ProjectName]]),(ProjectInfoTable[ProjectName]=ContinuousStatsTable[[#This Row],[ProjectName]])*ProjectInfoTable[NumberOfReplications]))</f>
        <v>19</v>
      </c>
      <c r="O296" s="5" cm="1">
        <f t="array" ref="O296">IFERROR(AVERAGE(IF((ContinuousStatsTable[GroupByKey]=ContinuousStatsTable[[#This Row],[GroupByKey]]),(ContinuousStatsTable[GroupByKey]=ContinuousStatsTable[[#This Row],[GroupByKey]])*ContinuousStatsTable[Average])),0)</f>
        <v>1</v>
      </c>
      <c r="P296" s="5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0</v>
      </c>
      <c r="Q296" s="5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6" s="5" cm="1">
        <f t="array" ref="S296">MIN(IF((ContinuousStatsTable[GroupByKey]=ContinuousStatsTable[[#This Row],[GroupByKey]]),(ContinuousStatsTable[GroupByKey]=ContinuousStatsTable[[#This Row],[GroupByKey]])*ContinuousStatsTable[Average]))</f>
        <v>1</v>
      </c>
      <c r="T296" s="5" cm="1">
        <f t="array" ref="T296">MAX(IF((ContinuousStatsTable[GroupByKey]=ContinuousStatsTable[[#This Row],[GroupByKey]]),(ContinuousStatsTable[GroupByKey]=ContinuousStatsTable[[#This Row],[GroupByKey]])*ContinuousStatsTable[Average]))</f>
        <v>1</v>
      </c>
      <c r="U296" s="5">
        <f>IF((ContinuousStatsTable[[#This Row],[RepsRequested]]&gt;1),ContinuousStatsTable[[#This Row],[HalfWidth]],ContinuousStatsTable[[#This Row],[BatchMeansHalfWidth]])</f>
        <v>0</v>
      </c>
    </row>
    <row r="297" spans="1:21" x14ac:dyDescent="0.25">
      <c r="A297" t="s">
        <v>67</v>
      </c>
      <c r="B297" t="s">
        <v>69</v>
      </c>
      <c r="C297">
        <v>16</v>
      </c>
      <c r="D297" t="s">
        <v>139</v>
      </c>
      <c r="E297" t="s">
        <v>135</v>
      </c>
      <c r="F297" t="s">
        <v>136</v>
      </c>
      <c r="G297">
        <v>0.71001751454208795</v>
      </c>
      <c r="H297">
        <v>2E+20</v>
      </c>
      <c r="I297">
        <v>0</v>
      </c>
      <c r="J297">
        <v>1</v>
      </c>
      <c r="K297">
        <v>1</v>
      </c>
      <c r="L297">
        <v>0</v>
      </c>
      <c r="M29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compartida)rCocinaInstantaneous UtilizationResource</v>
      </c>
      <c r="N297" s="5" cm="1">
        <f t="array" ref="N297">MAX(IF((ProjectInfoTable[ProjectName]=ContinuousStatsTable[[#This Row],[ProjectName]]),(ProjectInfoTable[ProjectName]=ContinuousStatsTable[[#This Row],[ProjectName]])*ProjectInfoTable[NumberOfReplications]))</f>
        <v>19</v>
      </c>
      <c r="O297" s="5" cm="1">
        <f t="array" ref="O297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297" s="5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297" s="5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297" s="5" cm="1">
        <f t="array" ref="S297">MIN(IF((ContinuousStatsTable[GroupByKey]=ContinuousStatsTable[[#This Row],[GroupByKey]]),(ContinuousStatsTable[GroupByKey]=ContinuousStatsTable[[#This Row],[GroupByKey]])*ContinuousStatsTable[Average]))</f>
        <v>0.60463940272025996</v>
      </c>
      <c r="T297" s="5" cm="1">
        <f t="array" ref="T297">MAX(IF((ContinuousStatsTable[GroupByKey]=ContinuousStatsTable[[#This Row],[GroupByKey]]),(ContinuousStatsTable[GroupByKey]=ContinuousStatsTable[[#This Row],[GroupByKey]])*ContinuousStatsTable[Average]))</f>
        <v>0.86361037821575004</v>
      </c>
      <c r="U297" s="5">
        <f>IF((ContinuousStatsTable[[#This Row],[RepsRequested]]&gt;1),ContinuousStatsTable[[#This Row],[HalfWidth]],ContinuousStatsTable[[#This Row],[BatchMeansHalfWidth]])</f>
        <v>3.4176212493127585E-2</v>
      </c>
    </row>
    <row r="298" spans="1:21" x14ac:dyDescent="0.25">
      <c r="A298" t="s">
        <v>67</v>
      </c>
      <c r="B298" t="s">
        <v>69</v>
      </c>
      <c r="C298">
        <v>16</v>
      </c>
      <c r="D298" t="s">
        <v>139</v>
      </c>
      <c r="E298" t="s">
        <v>137</v>
      </c>
      <c r="F298" t="s">
        <v>136</v>
      </c>
      <c r="G298">
        <v>0.71001751454208795</v>
      </c>
      <c r="H298">
        <v>2E+20</v>
      </c>
      <c r="I298">
        <v>0</v>
      </c>
      <c r="J298">
        <v>1</v>
      </c>
      <c r="K298">
        <v>1</v>
      </c>
      <c r="L298">
        <v>0</v>
      </c>
      <c r="M29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BusyResource</v>
      </c>
      <c r="N298" s="5" cm="1">
        <f t="array" ref="N298">MAX(IF((ProjectInfoTable[ProjectName]=ContinuousStatsTable[[#This Row],[ProjectName]]),(ProjectInfoTable[ProjectName]=ContinuousStatsTable[[#This Row],[ProjectName]])*ProjectInfoTable[NumberOfReplications]))</f>
        <v>19</v>
      </c>
      <c r="O298" s="5" cm="1">
        <f t="array" ref="O298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298" s="5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298" s="5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298" s="5" cm="1">
        <f t="array" ref="S298">MIN(IF((ContinuousStatsTable[GroupByKey]=ContinuousStatsTable[[#This Row],[GroupByKey]]),(ContinuousStatsTable[GroupByKey]=ContinuousStatsTable[[#This Row],[GroupByKey]])*ContinuousStatsTable[Average]))</f>
        <v>0.60463940272025996</v>
      </c>
      <c r="T298" s="5" cm="1">
        <f t="array" ref="T298">MAX(IF((ContinuousStatsTable[GroupByKey]=ContinuousStatsTable[[#This Row],[GroupByKey]]),(ContinuousStatsTable[GroupByKey]=ContinuousStatsTable[[#This Row],[GroupByKey]])*ContinuousStatsTable[Average]))</f>
        <v>0.86361037821575004</v>
      </c>
      <c r="U298" s="5">
        <f>IF((ContinuousStatsTable[[#This Row],[RepsRequested]]&gt;1),ContinuousStatsTable[[#This Row],[HalfWidth]],ContinuousStatsTable[[#This Row],[BatchMeansHalfWidth]])</f>
        <v>3.4176212493127585E-2</v>
      </c>
    </row>
    <row r="299" spans="1:21" x14ac:dyDescent="0.25">
      <c r="A299" t="s">
        <v>67</v>
      </c>
      <c r="B299" t="s">
        <v>69</v>
      </c>
      <c r="C299">
        <v>16</v>
      </c>
      <c r="D299" t="s">
        <v>139</v>
      </c>
      <c r="E299" t="s">
        <v>138</v>
      </c>
      <c r="F299" t="s">
        <v>136</v>
      </c>
      <c r="G299">
        <v>1</v>
      </c>
      <c r="H299">
        <v>2E+20</v>
      </c>
      <c r="I299">
        <v>1</v>
      </c>
      <c r="J299">
        <v>1</v>
      </c>
      <c r="K299">
        <v>1</v>
      </c>
      <c r="L299">
        <v>0</v>
      </c>
      <c r="M29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ScheduledResource</v>
      </c>
      <c r="N299" s="5" cm="1">
        <f t="array" ref="N299">MAX(IF((ProjectInfoTable[ProjectName]=ContinuousStatsTable[[#This Row],[ProjectName]]),(ProjectInfoTable[ProjectName]=ContinuousStatsTable[[#This Row],[ProjectName]])*ProjectInfoTable[NumberOfReplications]))</f>
        <v>19</v>
      </c>
      <c r="O299" s="5" cm="1">
        <f t="array" ref="O299">IFERROR(AVERAGE(IF((ContinuousStatsTable[GroupByKey]=ContinuousStatsTable[[#This Row],[GroupByKey]]),(ContinuousStatsTable[GroupByKey]=ContinuousStatsTable[[#This Row],[GroupByKey]])*ContinuousStatsTable[Average])),0)</f>
        <v>1</v>
      </c>
      <c r="P299" s="5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0</v>
      </c>
      <c r="Q299" s="5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9" s="5" cm="1">
        <f t="array" ref="S299">MIN(IF((ContinuousStatsTable[GroupByKey]=ContinuousStatsTable[[#This Row],[GroupByKey]]),(ContinuousStatsTable[GroupByKey]=ContinuousStatsTable[[#This Row],[GroupByKey]])*ContinuousStatsTable[Average]))</f>
        <v>1</v>
      </c>
      <c r="T299" s="5" cm="1">
        <f t="array" ref="T299">MAX(IF((ContinuousStatsTable[GroupByKey]=ContinuousStatsTable[[#This Row],[GroupByKey]]),(ContinuousStatsTable[GroupByKey]=ContinuousStatsTable[[#This Row],[GroupByKey]])*ContinuousStatsTable[Average]))</f>
        <v>1</v>
      </c>
      <c r="U299" s="5">
        <f>IF((ContinuousStatsTable[[#This Row],[RepsRequested]]&gt;1),ContinuousStatsTable[[#This Row],[HalfWidth]],ContinuousStatsTable[[#This Row],[BatchMeansHalfWidth]])</f>
        <v>0</v>
      </c>
    </row>
    <row r="300" spans="1:21" x14ac:dyDescent="0.25">
      <c r="A300" t="s">
        <v>67</v>
      </c>
      <c r="B300" t="s">
        <v>69</v>
      </c>
      <c r="C300">
        <v>16</v>
      </c>
      <c r="D300" t="s">
        <v>140</v>
      </c>
      <c r="E300" t="s">
        <v>135</v>
      </c>
      <c r="F300" t="s">
        <v>136</v>
      </c>
      <c r="G300">
        <v>0.37813713553954098</v>
      </c>
      <c r="H300">
        <v>2E+20</v>
      </c>
      <c r="I300">
        <v>0</v>
      </c>
      <c r="J300">
        <v>1</v>
      </c>
      <c r="K300">
        <v>0.4</v>
      </c>
      <c r="L300">
        <v>0</v>
      </c>
      <c r="M30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compartida)rMesaInstantaneous UtilizationResource</v>
      </c>
      <c r="N300" s="5" cm="1">
        <f t="array" ref="N300">MAX(IF((ProjectInfoTable[ProjectName]=ContinuousStatsTable[[#This Row],[ProjectName]]),(ProjectInfoTable[ProjectName]=ContinuousStatsTable[[#This Row],[ProjectName]])*ProjectInfoTable[NumberOfReplications]))</f>
        <v>19</v>
      </c>
      <c r="O300" s="5" cm="1">
        <f t="array" ref="O300">IFERROR(AVERAGE(IF((ContinuousStatsTable[GroupByKey]=ContinuousStatsTable[[#This Row],[GroupByKey]]),(ContinuousStatsTable[GroupByKey]=ContinuousStatsTable[[#This Row],[GroupByKey]])*ContinuousStatsTable[Average])),0)</f>
        <v>0.30850610959128738</v>
      </c>
      <c r="P300" s="5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6.2586127702931413E-2</v>
      </c>
      <c r="Q300" s="5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3.0165547953177007E-2</v>
      </c>
      <c r="S300" s="5" cm="1">
        <f t="array" ref="S300">MIN(IF((ContinuousStatsTable[GroupByKey]=ContinuousStatsTable[[#This Row],[GroupByKey]]),(ContinuousStatsTable[GroupByKey]=ContinuousStatsTable[[#This Row],[GroupByKey]])*ContinuousStatsTable[Average]))</f>
        <v>0.156206445320244</v>
      </c>
      <c r="T300" s="5" cm="1">
        <f t="array" ref="T300">MAX(IF((ContinuousStatsTable[GroupByKey]=ContinuousStatsTable[[#This Row],[GroupByKey]]),(ContinuousStatsTable[GroupByKey]=ContinuousStatsTable[[#This Row],[GroupByKey]])*ContinuousStatsTable[Average]))</f>
        <v>0.44942505379986802</v>
      </c>
      <c r="U300" s="5">
        <f>IF((ContinuousStatsTable[[#This Row],[RepsRequested]]&gt;1),ContinuousStatsTable[[#This Row],[HalfWidth]],ContinuousStatsTable[[#This Row],[BatchMeansHalfWidth]])</f>
        <v>3.0165547953177007E-2</v>
      </c>
    </row>
    <row r="301" spans="1:21" x14ac:dyDescent="0.25">
      <c r="A301" t="s">
        <v>67</v>
      </c>
      <c r="B301" t="s">
        <v>69</v>
      </c>
      <c r="C301">
        <v>16</v>
      </c>
      <c r="D301" t="s">
        <v>140</v>
      </c>
      <c r="E301" t="s">
        <v>137</v>
      </c>
      <c r="F301" t="s">
        <v>136</v>
      </c>
      <c r="G301">
        <v>1.8906856776976999</v>
      </c>
      <c r="H301">
        <v>2E+20</v>
      </c>
      <c r="I301">
        <v>0</v>
      </c>
      <c r="J301">
        <v>5</v>
      </c>
      <c r="K301">
        <v>2</v>
      </c>
      <c r="L301">
        <v>0</v>
      </c>
      <c r="M30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BusyResource</v>
      </c>
      <c r="N301" s="5" cm="1">
        <f t="array" ref="N301">MAX(IF((ProjectInfoTable[ProjectName]=ContinuousStatsTable[[#This Row],[ProjectName]]),(ProjectInfoTable[ProjectName]=ContinuousStatsTable[[#This Row],[ProjectName]])*ProjectInfoTable[NumberOfReplications]))</f>
        <v>19</v>
      </c>
      <c r="O301" s="5" cm="1">
        <f t="array" ref="O301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301" s="5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301" s="5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301" s="5" cm="1">
        <f t="array" ref="S301">MIN(IF((ContinuousStatsTable[GroupByKey]=ContinuousStatsTable[[#This Row],[GroupByKey]]),(ContinuousStatsTable[GroupByKey]=ContinuousStatsTable[[#This Row],[GroupByKey]])*ContinuousStatsTable[Average]))</f>
        <v>0.78103222660121896</v>
      </c>
      <c r="T301" s="5" cm="1">
        <f t="array" ref="T301">MAX(IF((ContinuousStatsTable[GroupByKey]=ContinuousStatsTable[[#This Row],[GroupByKey]]),(ContinuousStatsTable[GroupByKey]=ContinuousStatsTable[[#This Row],[GroupByKey]])*ContinuousStatsTable[Average]))</f>
        <v>2.2471252689993402</v>
      </c>
      <c r="U301" s="5">
        <f>IF((ContinuousStatsTable[[#This Row],[RepsRequested]]&gt;1),ContinuousStatsTable[[#This Row],[HalfWidth]],ContinuousStatsTable[[#This Row],[BatchMeansHalfWidth]])</f>
        <v>0.15082773976588459</v>
      </c>
    </row>
    <row r="302" spans="1:21" x14ac:dyDescent="0.25">
      <c r="A302" t="s">
        <v>67</v>
      </c>
      <c r="B302" t="s">
        <v>69</v>
      </c>
      <c r="C302">
        <v>16</v>
      </c>
      <c r="D302" t="s">
        <v>140</v>
      </c>
      <c r="E302" t="s">
        <v>138</v>
      </c>
      <c r="F302" t="s">
        <v>136</v>
      </c>
      <c r="G302">
        <v>5</v>
      </c>
      <c r="H302">
        <v>2E+20</v>
      </c>
      <c r="I302">
        <v>5</v>
      </c>
      <c r="J302">
        <v>5</v>
      </c>
      <c r="K302">
        <v>5</v>
      </c>
      <c r="L302">
        <v>0</v>
      </c>
      <c r="M30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ScheduledResource</v>
      </c>
      <c r="N302" s="5" cm="1">
        <f t="array" ref="N302">MAX(IF((ProjectInfoTable[ProjectName]=ContinuousStatsTable[[#This Row],[ProjectName]]),(ProjectInfoTable[ProjectName]=ContinuousStatsTable[[#This Row],[ProjectName]])*ProjectInfoTable[NumberOfReplications]))</f>
        <v>19</v>
      </c>
      <c r="O302" s="5" cm="1">
        <f t="array" ref="O302">IFERROR(AVERAGE(IF((ContinuousStatsTable[GroupByKey]=ContinuousStatsTable[[#This Row],[GroupByKey]]),(ContinuousStatsTable[GroupByKey]=ContinuousStatsTable[[#This Row],[GroupByKey]])*ContinuousStatsTable[Average])),0)</f>
        <v>5</v>
      </c>
      <c r="P302" s="5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0</v>
      </c>
      <c r="Q302" s="5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2" s="5" cm="1">
        <f t="array" ref="S302">MIN(IF((ContinuousStatsTable[GroupByKey]=ContinuousStatsTable[[#This Row],[GroupByKey]]),(ContinuousStatsTable[GroupByKey]=ContinuousStatsTable[[#This Row],[GroupByKey]])*ContinuousStatsTable[Average]))</f>
        <v>5</v>
      </c>
      <c r="T302" s="5" cm="1">
        <f t="array" ref="T302">MAX(IF((ContinuousStatsTable[GroupByKey]=ContinuousStatsTable[[#This Row],[GroupByKey]]),(ContinuousStatsTable[GroupByKey]=ContinuousStatsTable[[#This Row],[GroupByKey]])*ContinuousStatsTable[Average]))</f>
        <v>5</v>
      </c>
      <c r="U302" s="5">
        <f>IF((ContinuousStatsTable[[#This Row],[RepsRequested]]&gt;1),ContinuousStatsTable[[#This Row],[HalfWidth]],ContinuousStatsTable[[#This Row],[BatchMeansHalfWidth]])</f>
        <v>0</v>
      </c>
    </row>
    <row r="303" spans="1:21" x14ac:dyDescent="0.25">
      <c r="A303" t="s">
        <v>67</v>
      </c>
      <c r="B303" t="s">
        <v>69</v>
      </c>
      <c r="C303">
        <v>16</v>
      </c>
      <c r="D303" t="s">
        <v>127</v>
      </c>
      <c r="E303" t="s">
        <v>129</v>
      </c>
      <c r="F303" t="s">
        <v>72</v>
      </c>
      <c r="G303">
        <v>0</v>
      </c>
      <c r="H303">
        <v>2E+20</v>
      </c>
      <c r="I303">
        <v>0</v>
      </c>
      <c r="J303">
        <v>1</v>
      </c>
      <c r="K303">
        <v>0</v>
      </c>
      <c r="L303">
        <v>0</v>
      </c>
      <c r="M30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compartida)relojWIPEntity</v>
      </c>
      <c r="N303" s="5" cm="1">
        <f t="array" ref="N303">MAX(IF((ProjectInfoTable[ProjectName]=ContinuousStatsTable[[#This Row],[ProjectName]]),(ProjectInfoTable[ProjectName]=ContinuousStatsTable[[#This Row],[ProjectName]])*ProjectInfoTable[NumberOfReplications]))</f>
        <v>19</v>
      </c>
      <c r="O303" s="5" cm="1">
        <f t="array" ref="O303">IFERROR(AVERAGE(IF((ContinuousStatsTable[GroupByKey]=ContinuousStatsTable[[#This Row],[GroupByKey]]),(ContinuousStatsTable[GroupByKey]=ContinuousStatsTable[[#This Row],[GroupByKey]])*ContinuousStatsTable[Average])),0)</f>
        <v>0</v>
      </c>
      <c r="P303" s="5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0</v>
      </c>
      <c r="Q303" s="5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3" s="5" cm="1">
        <f t="array" ref="S303">MIN(IF((ContinuousStatsTable[GroupByKey]=ContinuousStatsTable[[#This Row],[GroupByKey]]),(ContinuousStatsTable[GroupByKey]=ContinuousStatsTable[[#This Row],[GroupByKey]])*ContinuousStatsTable[Average]))</f>
        <v>0</v>
      </c>
      <c r="T303" s="5" cm="1">
        <f t="array" ref="T303">MAX(IF((ContinuousStatsTable[GroupByKey]=ContinuousStatsTable[[#This Row],[GroupByKey]]),(ContinuousStatsTable[GroupByKey]=ContinuousStatsTable[[#This Row],[GroupByKey]])*ContinuousStatsTable[Average]))</f>
        <v>0</v>
      </c>
      <c r="U303" s="5">
        <f>IF((ContinuousStatsTable[[#This Row],[RepsRequested]]&gt;1),ContinuousStatsTable[[#This Row],[HalfWidth]],ContinuousStatsTable[[#This Row],[BatchMeansHalfWidth]])</f>
        <v>0</v>
      </c>
    </row>
    <row r="304" spans="1:21" x14ac:dyDescent="0.25">
      <c r="A304" t="s">
        <v>67</v>
      </c>
      <c r="B304" t="s">
        <v>69</v>
      </c>
      <c r="C304">
        <v>16</v>
      </c>
      <c r="D304" t="s">
        <v>141</v>
      </c>
      <c r="E304" t="s">
        <v>142</v>
      </c>
      <c r="F304" t="s">
        <v>80</v>
      </c>
      <c r="G304">
        <v>3.6982282436952101</v>
      </c>
      <c r="H304">
        <v>2E+20</v>
      </c>
      <c r="I304">
        <v>0</v>
      </c>
      <c r="J304">
        <v>7</v>
      </c>
      <c r="K304">
        <v>3</v>
      </c>
      <c r="L304">
        <v>0</v>
      </c>
      <c r="M30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compartida)vClientesEnSistemaVariableUser Specified</v>
      </c>
      <c r="N304" s="5" cm="1">
        <f t="array" ref="N304">MAX(IF((ProjectInfoTable[ProjectName]=ContinuousStatsTable[[#This Row],[ProjectName]]),(ProjectInfoTable[ProjectName]=ContinuousStatsTable[[#This Row],[ProjectName]])*ProjectInfoTable[NumberOfReplications]))</f>
        <v>19</v>
      </c>
      <c r="O304" s="5" cm="1">
        <f t="array" ref="O304">IFERROR(AVERAGE(IF((ContinuousStatsTable[GroupByKey]=ContinuousStatsTable[[#This Row],[GroupByKey]]),(ContinuousStatsTable[GroupByKey]=ContinuousStatsTable[[#This Row],[GroupByKey]])*ContinuousStatsTable[Average])),0)</f>
        <v>4.0733776306724412</v>
      </c>
      <c r="P304" s="5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1.3190004331473169</v>
      </c>
      <c r="Q304" s="5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0.63573785879874822</v>
      </c>
      <c r="S304" s="5" cm="1">
        <f t="array" ref="S304">MIN(IF((ContinuousStatsTable[GroupByKey]=ContinuousStatsTable[[#This Row],[GroupByKey]]),(ContinuousStatsTable[GroupByKey]=ContinuousStatsTable[[#This Row],[GroupByKey]])*ContinuousStatsTable[Average]))</f>
        <v>2.7964405882205599</v>
      </c>
      <c r="T304" s="5" cm="1">
        <f t="array" ref="T304">MAX(IF((ContinuousStatsTable[GroupByKey]=ContinuousStatsTable[[#This Row],[GroupByKey]]),(ContinuousStatsTable[GroupByKey]=ContinuousStatsTable[[#This Row],[GroupByKey]])*ContinuousStatsTable[Average]))</f>
        <v>8.8656011818609901</v>
      </c>
      <c r="U304" s="5">
        <f>IF((ContinuousStatsTable[[#This Row],[RepsRequested]]&gt;1),ContinuousStatsTable[[#This Row],[HalfWidth]],ContinuousStatsTable[[#This Row],[BatchMeansHalfWidth]])</f>
        <v>0.63573785879874822</v>
      </c>
    </row>
    <row r="305" spans="1:21" x14ac:dyDescent="0.25">
      <c r="A305" t="s">
        <v>67</v>
      </c>
      <c r="B305" t="s">
        <v>69</v>
      </c>
      <c r="C305">
        <v>16</v>
      </c>
      <c r="D305" t="s">
        <v>143</v>
      </c>
      <c r="E305" t="s">
        <v>142</v>
      </c>
      <c r="F305" t="s">
        <v>80</v>
      </c>
      <c r="G305">
        <v>3.1093143223022901</v>
      </c>
      <c r="H305">
        <v>2E+20</v>
      </c>
      <c r="I305">
        <v>0</v>
      </c>
      <c r="J305">
        <v>5</v>
      </c>
      <c r="K305">
        <v>3</v>
      </c>
      <c r="L305">
        <v>0</v>
      </c>
      <c r="M30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compartida)vMesasLibresVariableUser Specified</v>
      </c>
      <c r="N305" s="5" cm="1">
        <f t="array" ref="N305">MAX(IF((ProjectInfoTable[ProjectName]=ContinuousStatsTable[[#This Row],[ProjectName]]),(ProjectInfoTable[ProjectName]=ContinuousStatsTable[[#This Row],[ProjectName]])*ProjectInfoTable[NumberOfReplications]))</f>
        <v>19</v>
      </c>
      <c r="O305" s="5" cm="1">
        <f t="array" ref="O305">IFERROR(AVERAGE(IF((ContinuousStatsTable[GroupByKey]=ContinuousStatsTable[[#This Row],[GroupByKey]]),(ContinuousStatsTable[GroupByKey]=ContinuousStatsTable[[#This Row],[GroupByKey]])*ContinuousStatsTable[Average])),0)</f>
        <v>3.457469452043564</v>
      </c>
      <c r="P305" s="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0.31293063851465691</v>
      </c>
      <c r="Q305" s="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0.15082773976588496</v>
      </c>
      <c r="S305" s="5" cm="1">
        <f t="array" ref="S305">MIN(IF((ContinuousStatsTable[GroupByKey]=ContinuousStatsTable[[#This Row],[GroupByKey]]),(ContinuousStatsTable[GroupByKey]=ContinuousStatsTable[[#This Row],[GroupByKey]])*ContinuousStatsTable[Average]))</f>
        <v>2.7528747310006598</v>
      </c>
      <c r="T305" s="5" cm="1">
        <f t="array" ref="T305">MAX(IF((ContinuousStatsTable[GroupByKey]=ContinuousStatsTable[[#This Row],[GroupByKey]]),(ContinuousStatsTable[GroupByKey]=ContinuousStatsTable[[#This Row],[GroupByKey]])*ContinuousStatsTable[Average]))</f>
        <v>4.2189677733987798</v>
      </c>
      <c r="U305" s="5">
        <f>IF((ContinuousStatsTable[[#This Row],[RepsRequested]]&gt;1),ContinuousStatsTable[[#This Row],[HalfWidth]],ContinuousStatsTable[[#This Row],[BatchMeansHalfWidth]])</f>
        <v>0.15082773976588496</v>
      </c>
    </row>
    <row r="306" spans="1:21" x14ac:dyDescent="0.25">
      <c r="A306" t="s">
        <v>67</v>
      </c>
      <c r="B306" t="s">
        <v>69</v>
      </c>
      <c r="C306">
        <v>17</v>
      </c>
      <c r="D306" t="s">
        <v>70</v>
      </c>
      <c r="E306" t="s">
        <v>129</v>
      </c>
      <c r="F306" t="s">
        <v>72</v>
      </c>
      <c r="G306">
        <v>5.6366082440159797</v>
      </c>
      <c r="H306">
        <v>0.73130388184158202</v>
      </c>
      <c r="I306">
        <v>1</v>
      </c>
      <c r="J306">
        <v>13</v>
      </c>
      <c r="K306">
        <v>3</v>
      </c>
      <c r="L306">
        <v>0</v>
      </c>
      <c r="M30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compartida)ClienteWIPEntity</v>
      </c>
      <c r="N306" s="5" cm="1">
        <f t="array" ref="N306">MAX(IF((ProjectInfoTable[ProjectName]=ContinuousStatsTable[[#This Row],[ProjectName]]),(ProjectInfoTable[ProjectName]=ContinuousStatsTable[[#This Row],[ProjectName]])*ProjectInfoTable[NumberOfReplications]))</f>
        <v>19</v>
      </c>
      <c r="O306" s="5" cm="1">
        <f t="array" ref="O306">IFERROR(AVERAGE(IF((ContinuousStatsTable[GroupByKey]=ContinuousStatsTable[[#This Row],[GroupByKey]]),(ContinuousStatsTable[GroupByKey]=ContinuousStatsTable[[#This Row],[GroupByKey]])*ContinuousStatsTable[Average])),0)</f>
        <v>5.695207969173218</v>
      </c>
      <c r="P306" s="5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1.5293712224665061</v>
      </c>
      <c r="Q306" s="5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0.7371333335799507</v>
      </c>
      <c r="S306" s="5" cm="1">
        <f t="array" ref="S306">MIN(IF((ContinuousStatsTable[GroupByKey]=ContinuousStatsTable[[#This Row],[GroupByKey]]),(ContinuousStatsTable[GroupByKey]=ContinuousStatsTable[[#This Row],[GroupByKey]])*ContinuousStatsTable[Average]))</f>
        <v>3.6484308227805702</v>
      </c>
      <c r="T306" s="5" cm="1">
        <f t="array" ref="T306">MAX(IF((ContinuousStatsTable[GroupByKey]=ContinuousStatsTable[[#This Row],[GroupByKey]]),(ContinuousStatsTable[GroupByKey]=ContinuousStatsTable[[#This Row],[GroupByKey]])*ContinuousStatsTable[Average]))</f>
        <v>10.9337547677616</v>
      </c>
      <c r="U306" s="5">
        <f>IF((ContinuousStatsTable[[#This Row],[RepsRequested]]&gt;1),ContinuousStatsTable[[#This Row],[HalfWidth]],ContinuousStatsTable[[#This Row],[BatchMeansHalfWidth]])</f>
        <v>0.7371333335799507</v>
      </c>
    </row>
    <row r="307" spans="1:21" x14ac:dyDescent="0.25">
      <c r="A307" t="s">
        <v>67</v>
      </c>
      <c r="B307" t="s">
        <v>69</v>
      </c>
      <c r="C307">
        <v>17</v>
      </c>
      <c r="D307" t="s">
        <v>89</v>
      </c>
      <c r="E307" t="s">
        <v>130</v>
      </c>
      <c r="F307" t="s">
        <v>91</v>
      </c>
      <c r="G307">
        <v>0</v>
      </c>
      <c r="H307">
        <v>2E+20</v>
      </c>
      <c r="I307">
        <v>0</v>
      </c>
      <c r="J307">
        <v>0</v>
      </c>
      <c r="K307">
        <v>0</v>
      </c>
      <c r="L307">
        <v>0</v>
      </c>
      <c r="M30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compartida)Comer en Mesa.QueueNumber WaitingQueue</v>
      </c>
      <c r="N307" s="5" cm="1">
        <f t="array" ref="N307">MAX(IF((ProjectInfoTable[ProjectName]=ContinuousStatsTable[[#This Row],[ProjectName]]),(ProjectInfoTable[ProjectName]=ContinuousStatsTable[[#This Row],[ProjectName]])*ProjectInfoTable[NumberOfReplications]))</f>
        <v>19</v>
      </c>
      <c r="O307" s="5" cm="1">
        <f t="array" ref="O307">IFERROR(AVERAGE(IF((ContinuousStatsTable[GroupByKey]=ContinuousStatsTable[[#This Row],[GroupByKey]]),(ContinuousStatsTable[GroupByKey]=ContinuousStatsTable[[#This Row],[GroupByKey]])*ContinuousStatsTable[Average])),0)</f>
        <v>0</v>
      </c>
      <c r="P307" s="5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0</v>
      </c>
      <c r="Q307" s="5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7" s="5" cm="1">
        <f t="array" ref="S307">MIN(IF((ContinuousStatsTable[GroupByKey]=ContinuousStatsTable[[#This Row],[GroupByKey]]),(ContinuousStatsTable[GroupByKey]=ContinuousStatsTable[[#This Row],[GroupByKey]])*ContinuousStatsTable[Average]))</f>
        <v>0</v>
      </c>
      <c r="T307" s="5" cm="1">
        <f t="array" ref="T307">MAX(IF((ContinuousStatsTable[GroupByKey]=ContinuousStatsTable[[#This Row],[GroupByKey]]),(ContinuousStatsTable[GroupByKey]=ContinuousStatsTable[[#This Row],[GroupByKey]])*ContinuousStatsTable[Average]))</f>
        <v>0</v>
      </c>
      <c r="U307" s="5">
        <f>IF((ContinuousStatsTable[[#This Row],[RepsRequested]]&gt;1),ContinuousStatsTable[[#This Row],[HalfWidth]],ContinuousStatsTable[[#This Row],[BatchMeansHalfWidth]])</f>
        <v>0</v>
      </c>
    </row>
    <row r="308" spans="1:21" x14ac:dyDescent="0.25">
      <c r="A308" t="s">
        <v>67</v>
      </c>
      <c r="B308" t="s">
        <v>69</v>
      </c>
      <c r="C308">
        <v>17</v>
      </c>
      <c r="D308" t="s">
        <v>92</v>
      </c>
      <c r="E308" t="s">
        <v>130</v>
      </c>
      <c r="F308" t="s">
        <v>91</v>
      </c>
      <c r="G308">
        <v>1.2844850356008699</v>
      </c>
      <c r="H308">
        <v>2E+20</v>
      </c>
      <c r="I308">
        <v>0</v>
      </c>
      <c r="J308">
        <v>7</v>
      </c>
      <c r="K308">
        <v>0</v>
      </c>
      <c r="L308">
        <v>0</v>
      </c>
      <c r="M30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compartida)Entrega pedido.QueueNumber WaitingQueue</v>
      </c>
      <c r="N308" s="5" cm="1">
        <f t="array" ref="N308">MAX(IF((ProjectInfoTable[ProjectName]=ContinuousStatsTable[[#This Row],[ProjectName]]),(ProjectInfoTable[ProjectName]=ContinuousStatsTable[[#This Row],[ProjectName]])*ProjectInfoTable[NumberOfReplications]))</f>
        <v>19</v>
      </c>
      <c r="O308" s="5" cm="1">
        <f t="array" ref="O308">IFERROR(AVERAGE(IF((ContinuousStatsTable[GroupByKey]=ContinuousStatsTable[[#This Row],[GroupByKey]]),(ContinuousStatsTable[GroupByKey]=ContinuousStatsTable[[#This Row],[GroupByKey]])*ContinuousStatsTable[Average])),0)</f>
        <v>1.4415832090470244</v>
      </c>
      <c r="P308" s="5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0.61323545266973079</v>
      </c>
      <c r="Q308" s="5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0.29557002698587687</v>
      </c>
      <c r="S308" s="5" cm="1">
        <f t="array" ref="S308">MIN(IF((ContinuousStatsTable[GroupByKey]=ContinuousStatsTable[[#This Row],[GroupByKey]]),(ContinuousStatsTable[GroupByKey]=ContinuousStatsTable[[#This Row],[GroupByKey]])*ContinuousStatsTable[Average]))</f>
        <v>0.95119347509060603</v>
      </c>
      <c r="T308" s="5" cm="1">
        <f t="array" ref="T308">MAX(IF((ContinuousStatsTable[GroupByKey]=ContinuousStatsTable[[#This Row],[GroupByKey]]),(ContinuousStatsTable[GroupByKey]=ContinuousStatsTable[[#This Row],[GroupByKey]])*ContinuousStatsTable[Average]))</f>
        <v>3.71511779664222</v>
      </c>
      <c r="U308" s="5">
        <f>IF((ContinuousStatsTable[[#This Row],[RepsRequested]]&gt;1),ContinuousStatsTable[[#This Row],[HalfWidth]],ContinuousStatsTable[[#This Row],[BatchMeansHalfWidth]])</f>
        <v>0.29557002698587687</v>
      </c>
    </row>
    <row r="309" spans="1:21" x14ac:dyDescent="0.25">
      <c r="A309" t="s">
        <v>67</v>
      </c>
      <c r="B309" t="s">
        <v>69</v>
      </c>
      <c r="C309">
        <v>17</v>
      </c>
      <c r="D309" t="s">
        <v>131</v>
      </c>
      <c r="E309" t="s">
        <v>129</v>
      </c>
      <c r="F309" t="s">
        <v>72</v>
      </c>
      <c r="G309">
        <v>3.0794527874116602</v>
      </c>
      <c r="H309">
        <v>2E+20</v>
      </c>
      <c r="I309">
        <v>0</v>
      </c>
      <c r="J309">
        <v>8</v>
      </c>
      <c r="K309">
        <v>1</v>
      </c>
      <c r="L309">
        <v>0</v>
      </c>
      <c r="M30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compartida)OrdenWIPEntity</v>
      </c>
      <c r="N309" s="5" cm="1">
        <f t="array" ref="N309">MAX(IF((ProjectInfoTable[ProjectName]=ContinuousStatsTable[[#This Row],[ProjectName]]),(ProjectInfoTable[ProjectName]=ContinuousStatsTable[[#This Row],[ProjectName]])*ProjectInfoTable[NumberOfReplications]))</f>
        <v>19</v>
      </c>
      <c r="O309" s="5" cm="1">
        <f t="array" ref="O309">IFERROR(AVERAGE(IF((ContinuousStatsTable[GroupByKey]=ContinuousStatsTable[[#This Row],[GroupByKey]]),(ContinuousStatsTable[GroupByKey]=ContinuousStatsTable[[#This Row],[GroupByKey]])*ContinuousStatsTable[Average])),0)</f>
        <v>3.0972744691234286</v>
      </c>
      <c r="P309" s="5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0.7960145604449721</v>
      </c>
      <c r="Q309" s="5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0.38366673695655462</v>
      </c>
      <c r="S309" s="5" cm="1">
        <f t="array" ref="S309">MIN(IF((ContinuousStatsTable[GroupByKey]=ContinuousStatsTable[[#This Row],[GroupByKey]]),(ContinuousStatsTable[GroupByKey]=ContinuousStatsTable[[#This Row],[GroupByKey]])*ContinuousStatsTable[Average]))</f>
        <v>2.0609398302211299</v>
      </c>
      <c r="T309" s="5" cm="1">
        <f t="array" ref="T309">MAX(IF((ContinuousStatsTable[GroupByKey]=ContinuousStatsTable[[#This Row],[GroupByKey]]),(ContinuousStatsTable[GroupByKey]=ContinuousStatsTable[[#This Row],[GroupByKey]])*ContinuousStatsTable[Average]))</f>
        <v>5.8229936047650703</v>
      </c>
      <c r="U309" s="5">
        <f>IF((ContinuousStatsTable[[#This Row],[RepsRequested]]&gt;1),ContinuousStatsTable[[#This Row],[HalfWidth]],ContinuousStatsTable[[#This Row],[BatchMeansHalfWidth]])</f>
        <v>0.38366673695655462</v>
      </c>
    </row>
    <row r="310" spans="1:21" x14ac:dyDescent="0.25">
      <c r="A310" t="s">
        <v>67</v>
      </c>
      <c r="B310" t="s">
        <v>69</v>
      </c>
      <c r="C310">
        <v>17</v>
      </c>
      <c r="D310" t="s">
        <v>99</v>
      </c>
      <c r="E310" t="s">
        <v>130</v>
      </c>
      <c r="F310" t="s">
        <v>91</v>
      </c>
      <c r="G310">
        <v>0.37554689564890598</v>
      </c>
      <c r="H310">
        <v>2E+20</v>
      </c>
      <c r="I310">
        <v>0</v>
      </c>
      <c r="J310">
        <v>6</v>
      </c>
      <c r="K310">
        <v>0</v>
      </c>
      <c r="L310">
        <v>0</v>
      </c>
      <c r="M31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compartida)Pasar a Caja.QueueNumber WaitingQueue</v>
      </c>
      <c r="N310" s="5" cm="1">
        <f t="array" ref="N310">MAX(IF((ProjectInfoTable[ProjectName]=ContinuousStatsTable[[#This Row],[ProjectName]]),(ProjectInfoTable[ProjectName]=ContinuousStatsTable[[#This Row],[ProjectName]])*ProjectInfoTable[NumberOfReplications]))</f>
        <v>19</v>
      </c>
      <c r="O310" s="5" cm="1">
        <f t="array" ref="O310">IFERROR(AVERAGE(IF((ContinuousStatsTable[GroupByKey]=ContinuousStatsTable[[#This Row],[GroupByKey]]),(ContinuousStatsTable[GroupByKey]=ContinuousStatsTable[[#This Row],[GroupByKey]])*ContinuousStatsTable[Average])),0)</f>
        <v>0.5234663348541454</v>
      </c>
      <c r="P310" s="5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0.51706251909874834</v>
      </c>
      <c r="Q310" s="5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0.24921615679273348</v>
      </c>
      <c r="S310" s="5" cm="1">
        <f t="array" ref="S310">MIN(IF((ContinuousStatsTable[GroupByKey]=ContinuousStatsTable[[#This Row],[GroupByKey]]),(ContinuousStatsTable[GroupByKey]=ContinuousStatsTable[[#This Row],[GroupByKey]])*ContinuousStatsTable[Average]))</f>
        <v>0.17506464523350199</v>
      </c>
      <c r="T310" s="5" cm="1">
        <f t="array" ref="T310">MAX(IF((ContinuousStatsTable[GroupByKey]=ContinuousStatsTable[[#This Row],[GroupByKey]]),(ContinuousStatsTable[GroupByKey]=ContinuousStatsTable[[#This Row],[GroupByKey]])*ContinuousStatsTable[Average]))</f>
        <v>2.4783528335268201</v>
      </c>
      <c r="U310" s="5">
        <f>IF((ContinuousStatsTable[[#This Row],[RepsRequested]]&gt;1),ContinuousStatsTable[[#This Row],[HalfWidth]],ContinuousStatsTable[[#This Row],[BatchMeansHalfWidth]])</f>
        <v>0.24921615679273348</v>
      </c>
    </row>
    <row r="311" spans="1:21" x14ac:dyDescent="0.25">
      <c r="A311" t="s">
        <v>67</v>
      </c>
      <c r="B311" t="s">
        <v>69</v>
      </c>
      <c r="C311">
        <v>17</v>
      </c>
      <c r="D311" t="s">
        <v>104</v>
      </c>
      <c r="E311" t="s">
        <v>130</v>
      </c>
      <c r="F311" t="s">
        <v>91</v>
      </c>
      <c r="G311">
        <v>0.302281988039593</v>
      </c>
      <c r="H311">
        <v>2E+20</v>
      </c>
      <c r="I311">
        <v>0</v>
      </c>
      <c r="J311">
        <v>5</v>
      </c>
      <c r="K311">
        <v>0</v>
      </c>
      <c r="L311">
        <v>0</v>
      </c>
      <c r="M31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compartida)Preparacion.QueueNumber WaitingQueue</v>
      </c>
      <c r="N311" s="5" cm="1">
        <f t="array" ref="N311">MAX(IF((ProjectInfoTable[ProjectName]=ContinuousStatsTable[[#This Row],[ProjectName]]),(ProjectInfoTable[ProjectName]=ContinuousStatsTable[[#This Row],[ProjectName]])*ProjectInfoTable[NumberOfReplications]))</f>
        <v>19</v>
      </c>
      <c r="O311" s="5" cm="1">
        <f t="array" ref="O311">IFERROR(AVERAGE(IF((ContinuousStatsTable[GroupByKey]=ContinuousStatsTable[[#This Row],[GroupByKey]]),(ContinuousStatsTable[GroupByKey]=ContinuousStatsTable[[#This Row],[GroupByKey]])*ContinuousStatsTable[Average])),0)</f>
        <v>0.48138063122984937</v>
      </c>
      <c r="P311" s="5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0.5430727934303009</v>
      </c>
      <c r="Q311" s="5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0.26175270772536113</v>
      </c>
      <c r="S311" s="5" cm="1">
        <f t="array" ref="S311">MIN(IF((ContinuousStatsTable[GroupByKey]=ContinuousStatsTable[[#This Row],[GroupByKey]]),(ContinuousStatsTable[GroupByKey]=ContinuousStatsTable[[#This Row],[GroupByKey]])*ContinuousStatsTable[Average]))</f>
        <v>0.13383910219346701</v>
      </c>
      <c r="T311" s="5" cm="1">
        <f t="array" ref="T311">MAX(IF((ContinuousStatsTable[GroupByKey]=ContinuousStatsTable[[#This Row],[GroupByKey]]),(ContinuousStatsTable[GroupByKey]=ContinuousStatsTable[[#This Row],[GroupByKey]])*ContinuousStatsTable[Average]))</f>
        <v>2.5739205922552402</v>
      </c>
      <c r="U311" s="5">
        <f>IF((ContinuousStatsTable[[#This Row],[RepsRequested]]&gt;1),ContinuousStatsTable[[#This Row],[HalfWidth]],ContinuousStatsTable[[#This Row],[BatchMeansHalfWidth]])</f>
        <v>0.26175270772536113</v>
      </c>
    </row>
    <row r="312" spans="1:21" x14ac:dyDescent="0.25">
      <c r="A312" t="s">
        <v>67</v>
      </c>
      <c r="B312" t="s">
        <v>69</v>
      </c>
      <c r="C312">
        <v>17</v>
      </c>
      <c r="D312" t="s">
        <v>132</v>
      </c>
      <c r="E312" t="s">
        <v>133</v>
      </c>
      <c r="F312" t="s">
        <v>80</v>
      </c>
      <c r="G312">
        <v>1.6807084925515201</v>
      </c>
      <c r="H312">
        <v>2E+20</v>
      </c>
      <c r="I312">
        <v>0</v>
      </c>
      <c r="J312">
        <v>4</v>
      </c>
      <c r="K312">
        <v>1</v>
      </c>
      <c r="L312">
        <v>0</v>
      </c>
      <c r="M31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compartida)TP_MesasTime PersistentUser Specified</v>
      </c>
      <c r="N312" s="5" cm="1">
        <f t="array" ref="N312">MAX(IF((ProjectInfoTable[ProjectName]=ContinuousStatsTable[[#This Row],[ProjectName]]),(ProjectInfoTable[ProjectName]=ContinuousStatsTable[[#This Row],[ProjectName]])*ProjectInfoTable[NumberOfReplications]))</f>
        <v>19</v>
      </c>
      <c r="O312" s="5" cm="1">
        <f t="array" ref="O312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312" s="5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312" s="5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312" s="5" cm="1">
        <f t="array" ref="S312">MIN(IF((ContinuousStatsTable[GroupByKey]=ContinuousStatsTable[[#This Row],[GroupByKey]]),(ContinuousStatsTable[GroupByKey]=ContinuousStatsTable[[#This Row],[GroupByKey]])*ContinuousStatsTable[Average]))</f>
        <v>0.78103222660121896</v>
      </c>
      <c r="T312" s="5" cm="1">
        <f t="array" ref="T312">MAX(IF((ContinuousStatsTable[GroupByKey]=ContinuousStatsTable[[#This Row],[GroupByKey]]),(ContinuousStatsTable[GroupByKey]=ContinuousStatsTable[[#This Row],[GroupByKey]])*ContinuousStatsTable[Average]))</f>
        <v>2.2471252689993402</v>
      </c>
      <c r="U312" s="5">
        <f>IF((ContinuousStatsTable[[#This Row],[RepsRequested]]&gt;1),ContinuousStatsTable[[#This Row],[HalfWidth]],ContinuousStatsTable[[#This Row],[BatchMeansHalfWidth]])</f>
        <v>0.15082773976588459</v>
      </c>
    </row>
    <row r="313" spans="1:21" x14ac:dyDescent="0.25">
      <c r="A313" t="s">
        <v>67</v>
      </c>
      <c r="B313" t="s">
        <v>69</v>
      </c>
      <c r="C313">
        <v>17</v>
      </c>
      <c r="D313" t="s">
        <v>134</v>
      </c>
      <c r="E313" t="s">
        <v>135</v>
      </c>
      <c r="F313" t="s">
        <v>136</v>
      </c>
      <c r="G313">
        <v>0.66962680509933803</v>
      </c>
      <c r="H313">
        <v>2E+20</v>
      </c>
      <c r="I313">
        <v>0</v>
      </c>
      <c r="J313">
        <v>1</v>
      </c>
      <c r="K313">
        <v>1</v>
      </c>
      <c r="L313">
        <v>0</v>
      </c>
      <c r="M31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compartida)rCajeroInstantaneous UtilizationResource</v>
      </c>
      <c r="N313" s="5" cm="1">
        <f t="array" ref="N313">MAX(IF((ProjectInfoTable[ProjectName]=ContinuousStatsTable[[#This Row],[ProjectName]]),(ProjectInfoTable[ProjectName]=ContinuousStatsTable[[#This Row],[ProjectName]])*ProjectInfoTable[NumberOfReplications]))</f>
        <v>19</v>
      </c>
      <c r="O313" s="5" cm="1">
        <f t="array" ref="O313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313" s="5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6.2272947935973086E-2</v>
      </c>
      <c r="Q313" s="5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3.0014600137344912E-2</v>
      </c>
      <c r="S313" s="5" cm="1">
        <f t="array" ref="S313">MIN(IF((ContinuousStatsTable[GroupByKey]=ContinuousStatsTable[[#This Row],[GroupByKey]]),(ContinuousStatsTable[GroupByKey]=ContinuousStatsTable[[#This Row],[GroupByKey]])*ContinuousStatsTable[Average]))</f>
        <v>0.59592290927233305</v>
      </c>
      <c r="T313" s="5" cm="1">
        <f t="array" ref="T313">MAX(IF((ContinuousStatsTable[GroupByKey]=ContinuousStatsTable[[#This Row],[GroupByKey]]),(ContinuousStatsTable[GroupByKey]=ContinuousStatsTable[[#This Row],[GroupByKey]])*ContinuousStatsTable[Average]))</f>
        <v>0.82897119936997599</v>
      </c>
      <c r="U313" s="5">
        <f>IF((ContinuousStatsTable[[#This Row],[RepsRequested]]&gt;1),ContinuousStatsTable[[#This Row],[HalfWidth]],ContinuousStatsTable[[#This Row],[BatchMeansHalfWidth]])</f>
        <v>3.0014600137344912E-2</v>
      </c>
    </row>
    <row r="314" spans="1:21" x14ac:dyDescent="0.25">
      <c r="A314" t="s">
        <v>67</v>
      </c>
      <c r="B314" t="s">
        <v>69</v>
      </c>
      <c r="C314">
        <v>17</v>
      </c>
      <c r="D314" t="s">
        <v>134</v>
      </c>
      <c r="E314" t="s">
        <v>137</v>
      </c>
      <c r="F314" t="s">
        <v>136</v>
      </c>
      <c r="G314">
        <v>0.66962680509933803</v>
      </c>
      <c r="H314">
        <v>2E+20</v>
      </c>
      <c r="I314">
        <v>0</v>
      </c>
      <c r="J314">
        <v>1</v>
      </c>
      <c r="K314">
        <v>1</v>
      </c>
      <c r="L314">
        <v>0</v>
      </c>
      <c r="M31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BusyResource</v>
      </c>
      <c r="N314" s="5" cm="1">
        <f t="array" ref="N314">MAX(IF((ProjectInfoTable[ProjectName]=ContinuousStatsTable[[#This Row],[ProjectName]]),(ProjectInfoTable[ProjectName]=ContinuousStatsTable[[#This Row],[ProjectName]])*ProjectInfoTable[NumberOfReplications]))</f>
        <v>19</v>
      </c>
      <c r="O314" s="5" cm="1">
        <f t="array" ref="O314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314" s="5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6.2272947935973065E-2</v>
      </c>
      <c r="Q314" s="5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3.0014600137344902E-2</v>
      </c>
      <c r="S314" s="5" cm="1">
        <f t="array" ref="S314">MIN(IF((ContinuousStatsTable[GroupByKey]=ContinuousStatsTable[[#This Row],[GroupByKey]]),(ContinuousStatsTable[GroupByKey]=ContinuousStatsTable[[#This Row],[GroupByKey]])*ContinuousStatsTable[Average]))</f>
        <v>0.59592290927233305</v>
      </c>
      <c r="T314" s="5" cm="1">
        <f t="array" ref="T314">MAX(IF((ContinuousStatsTable[GroupByKey]=ContinuousStatsTable[[#This Row],[GroupByKey]]),(ContinuousStatsTable[GroupByKey]=ContinuousStatsTable[[#This Row],[GroupByKey]])*ContinuousStatsTable[Average]))</f>
        <v>0.82897119936997599</v>
      </c>
      <c r="U314" s="5">
        <f>IF((ContinuousStatsTable[[#This Row],[RepsRequested]]&gt;1),ContinuousStatsTable[[#This Row],[HalfWidth]],ContinuousStatsTable[[#This Row],[BatchMeansHalfWidth]])</f>
        <v>3.0014600137344902E-2</v>
      </c>
    </row>
    <row r="315" spans="1:21" x14ac:dyDescent="0.25">
      <c r="A315" t="s">
        <v>67</v>
      </c>
      <c r="B315" t="s">
        <v>69</v>
      </c>
      <c r="C315">
        <v>17</v>
      </c>
      <c r="D315" t="s">
        <v>134</v>
      </c>
      <c r="E315" t="s">
        <v>138</v>
      </c>
      <c r="F315" t="s">
        <v>136</v>
      </c>
      <c r="G315">
        <v>1</v>
      </c>
      <c r="H315">
        <v>2E+20</v>
      </c>
      <c r="I315">
        <v>1</v>
      </c>
      <c r="J315">
        <v>1</v>
      </c>
      <c r="K315">
        <v>1</v>
      </c>
      <c r="L315">
        <v>0</v>
      </c>
      <c r="M31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ScheduledResource</v>
      </c>
      <c r="N315" s="5" cm="1">
        <f t="array" ref="N315">MAX(IF((ProjectInfoTable[ProjectName]=ContinuousStatsTable[[#This Row],[ProjectName]]),(ProjectInfoTable[ProjectName]=ContinuousStatsTable[[#This Row],[ProjectName]])*ProjectInfoTable[NumberOfReplications]))</f>
        <v>19</v>
      </c>
      <c r="O315" s="5" cm="1">
        <f t="array" ref="O315">IFERROR(AVERAGE(IF((ContinuousStatsTable[GroupByKey]=ContinuousStatsTable[[#This Row],[GroupByKey]]),(ContinuousStatsTable[GroupByKey]=ContinuousStatsTable[[#This Row],[GroupByKey]])*ContinuousStatsTable[Average])),0)</f>
        <v>1</v>
      </c>
      <c r="P315" s="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0</v>
      </c>
      <c r="Q315" s="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5" s="5" cm="1">
        <f t="array" ref="S315">MIN(IF((ContinuousStatsTable[GroupByKey]=ContinuousStatsTable[[#This Row],[GroupByKey]]),(ContinuousStatsTable[GroupByKey]=ContinuousStatsTable[[#This Row],[GroupByKey]])*ContinuousStatsTable[Average]))</f>
        <v>1</v>
      </c>
      <c r="T315" s="5" cm="1">
        <f t="array" ref="T315">MAX(IF((ContinuousStatsTable[GroupByKey]=ContinuousStatsTable[[#This Row],[GroupByKey]]),(ContinuousStatsTable[GroupByKey]=ContinuousStatsTable[[#This Row],[GroupByKey]])*ContinuousStatsTable[Average]))</f>
        <v>1</v>
      </c>
      <c r="U315" s="5">
        <f>IF((ContinuousStatsTable[[#This Row],[RepsRequested]]&gt;1),ContinuousStatsTable[[#This Row],[HalfWidth]],ContinuousStatsTable[[#This Row],[BatchMeansHalfWidth]])</f>
        <v>0</v>
      </c>
    </row>
    <row r="316" spans="1:21" x14ac:dyDescent="0.25">
      <c r="A316" t="s">
        <v>67</v>
      </c>
      <c r="B316" t="s">
        <v>69</v>
      </c>
      <c r="C316">
        <v>17</v>
      </c>
      <c r="D316" t="s">
        <v>139</v>
      </c>
      <c r="E316" t="s">
        <v>135</v>
      </c>
      <c r="F316" t="s">
        <v>136</v>
      </c>
      <c r="G316">
        <v>0.72162445901399097</v>
      </c>
      <c r="H316">
        <v>2E+20</v>
      </c>
      <c r="I316">
        <v>0</v>
      </c>
      <c r="J316">
        <v>1</v>
      </c>
      <c r="K316">
        <v>0</v>
      </c>
      <c r="L316">
        <v>0</v>
      </c>
      <c r="M31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compartida)rCocinaInstantaneous UtilizationResource</v>
      </c>
      <c r="N316" s="5" cm="1">
        <f t="array" ref="N316">MAX(IF((ProjectInfoTable[ProjectName]=ContinuousStatsTable[[#This Row],[ProjectName]]),(ProjectInfoTable[ProjectName]=ContinuousStatsTable[[#This Row],[ProjectName]])*ProjectInfoTable[NumberOfReplications]))</f>
        <v>19</v>
      </c>
      <c r="O316" s="5" cm="1">
        <f t="array" ref="O316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316" s="5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316" s="5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316" s="5" cm="1">
        <f t="array" ref="S316">MIN(IF((ContinuousStatsTable[GroupByKey]=ContinuousStatsTable[[#This Row],[GroupByKey]]),(ContinuousStatsTable[GroupByKey]=ContinuousStatsTable[[#This Row],[GroupByKey]])*ContinuousStatsTable[Average]))</f>
        <v>0.60463940272025996</v>
      </c>
      <c r="T316" s="5" cm="1">
        <f t="array" ref="T316">MAX(IF((ContinuousStatsTable[GroupByKey]=ContinuousStatsTable[[#This Row],[GroupByKey]]),(ContinuousStatsTable[GroupByKey]=ContinuousStatsTable[[#This Row],[GroupByKey]])*ContinuousStatsTable[Average]))</f>
        <v>0.86361037821575004</v>
      </c>
      <c r="U316" s="5">
        <f>IF((ContinuousStatsTable[[#This Row],[RepsRequested]]&gt;1),ContinuousStatsTable[[#This Row],[HalfWidth]],ContinuousStatsTable[[#This Row],[BatchMeansHalfWidth]])</f>
        <v>3.4176212493127585E-2</v>
      </c>
    </row>
    <row r="317" spans="1:21" x14ac:dyDescent="0.25">
      <c r="A317" t="s">
        <v>67</v>
      </c>
      <c r="B317" t="s">
        <v>69</v>
      </c>
      <c r="C317">
        <v>17</v>
      </c>
      <c r="D317" t="s">
        <v>139</v>
      </c>
      <c r="E317" t="s">
        <v>137</v>
      </c>
      <c r="F317" t="s">
        <v>136</v>
      </c>
      <c r="G317">
        <v>0.72162445901399097</v>
      </c>
      <c r="H317">
        <v>2E+20</v>
      </c>
      <c r="I317">
        <v>0</v>
      </c>
      <c r="J317">
        <v>1</v>
      </c>
      <c r="K317">
        <v>0</v>
      </c>
      <c r="L317">
        <v>0</v>
      </c>
      <c r="M31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BusyResource</v>
      </c>
      <c r="N317" s="5" cm="1">
        <f t="array" ref="N317">MAX(IF((ProjectInfoTable[ProjectName]=ContinuousStatsTable[[#This Row],[ProjectName]]),(ProjectInfoTable[ProjectName]=ContinuousStatsTable[[#This Row],[ProjectName]])*ProjectInfoTable[NumberOfReplications]))</f>
        <v>19</v>
      </c>
      <c r="O317" s="5" cm="1">
        <f t="array" ref="O317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317" s="5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317" s="5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317" s="5" cm="1">
        <f t="array" ref="S317">MIN(IF((ContinuousStatsTable[GroupByKey]=ContinuousStatsTable[[#This Row],[GroupByKey]]),(ContinuousStatsTable[GroupByKey]=ContinuousStatsTable[[#This Row],[GroupByKey]])*ContinuousStatsTable[Average]))</f>
        <v>0.60463940272025996</v>
      </c>
      <c r="T317" s="5" cm="1">
        <f t="array" ref="T317">MAX(IF((ContinuousStatsTable[GroupByKey]=ContinuousStatsTable[[#This Row],[GroupByKey]]),(ContinuousStatsTable[GroupByKey]=ContinuousStatsTable[[#This Row],[GroupByKey]])*ContinuousStatsTable[Average]))</f>
        <v>0.86361037821575004</v>
      </c>
      <c r="U317" s="5">
        <f>IF((ContinuousStatsTable[[#This Row],[RepsRequested]]&gt;1),ContinuousStatsTable[[#This Row],[HalfWidth]],ContinuousStatsTable[[#This Row],[BatchMeansHalfWidth]])</f>
        <v>3.4176212493127585E-2</v>
      </c>
    </row>
    <row r="318" spans="1:21" x14ac:dyDescent="0.25">
      <c r="A318" t="s">
        <v>67</v>
      </c>
      <c r="B318" t="s">
        <v>69</v>
      </c>
      <c r="C318">
        <v>17</v>
      </c>
      <c r="D318" t="s">
        <v>139</v>
      </c>
      <c r="E318" t="s">
        <v>138</v>
      </c>
      <c r="F318" t="s">
        <v>136</v>
      </c>
      <c r="G318">
        <v>1</v>
      </c>
      <c r="H318">
        <v>2E+20</v>
      </c>
      <c r="I318">
        <v>1</v>
      </c>
      <c r="J318">
        <v>1</v>
      </c>
      <c r="K318">
        <v>1</v>
      </c>
      <c r="L318">
        <v>0</v>
      </c>
      <c r="M31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ScheduledResource</v>
      </c>
      <c r="N318" s="5" cm="1">
        <f t="array" ref="N318">MAX(IF((ProjectInfoTable[ProjectName]=ContinuousStatsTable[[#This Row],[ProjectName]]),(ProjectInfoTable[ProjectName]=ContinuousStatsTable[[#This Row],[ProjectName]])*ProjectInfoTable[NumberOfReplications]))</f>
        <v>19</v>
      </c>
      <c r="O318" s="5" cm="1">
        <f t="array" ref="O318">IFERROR(AVERAGE(IF((ContinuousStatsTable[GroupByKey]=ContinuousStatsTable[[#This Row],[GroupByKey]]),(ContinuousStatsTable[GroupByKey]=ContinuousStatsTable[[#This Row],[GroupByKey]])*ContinuousStatsTable[Average])),0)</f>
        <v>1</v>
      </c>
      <c r="P318" s="5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0</v>
      </c>
      <c r="Q318" s="5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8" s="5" cm="1">
        <f t="array" ref="S318">MIN(IF((ContinuousStatsTable[GroupByKey]=ContinuousStatsTable[[#This Row],[GroupByKey]]),(ContinuousStatsTable[GroupByKey]=ContinuousStatsTable[[#This Row],[GroupByKey]])*ContinuousStatsTable[Average]))</f>
        <v>1</v>
      </c>
      <c r="T318" s="5" cm="1">
        <f t="array" ref="T318">MAX(IF((ContinuousStatsTable[GroupByKey]=ContinuousStatsTable[[#This Row],[GroupByKey]]),(ContinuousStatsTable[GroupByKey]=ContinuousStatsTable[[#This Row],[GroupByKey]])*ContinuousStatsTable[Average]))</f>
        <v>1</v>
      </c>
      <c r="U318" s="5">
        <f>IF((ContinuousStatsTable[[#This Row],[RepsRequested]]&gt;1),ContinuousStatsTable[[#This Row],[HalfWidth]],ContinuousStatsTable[[#This Row],[BatchMeansHalfWidth]])</f>
        <v>0</v>
      </c>
    </row>
    <row r="319" spans="1:21" x14ac:dyDescent="0.25">
      <c r="A319" t="s">
        <v>67</v>
      </c>
      <c r="B319" t="s">
        <v>69</v>
      </c>
      <c r="C319">
        <v>17</v>
      </c>
      <c r="D319" t="s">
        <v>140</v>
      </c>
      <c r="E319" t="s">
        <v>135</v>
      </c>
      <c r="F319" t="s">
        <v>136</v>
      </c>
      <c r="G319">
        <v>0.33614169851030401</v>
      </c>
      <c r="H319">
        <v>2E+20</v>
      </c>
      <c r="I319">
        <v>0</v>
      </c>
      <c r="J319">
        <v>0.8</v>
      </c>
      <c r="K319">
        <v>0.2</v>
      </c>
      <c r="L319">
        <v>0</v>
      </c>
      <c r="M31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compartida)rMesaInstantaneous UtilizationResource</v>
      </c>
      <c r="N319" s="5" cm="1">
        <f t="array" ref="N319">MAX(IF((ProjectInfoTable[ProjectName]=ContinuousStatsTable[[#This Row],[ProjectName]]),(ProjectInfoTable[ProjectName]=ContinuousStatsTable[[#This Row],[ProjectName]])*ProjectInfoTable[NumberOfReplications]))</f>
        <v>19</v>
      </c>
      <c r="O319" s="5" cm="1">
        <f t="array" ref="O319">IFERROR(AVERAGE(IF((ContinuousStatsTable[GroupByKey]=ContinuousStatsTable[[#This Row],[GroupByKey]]),(ContinuousStatsTable[GroupByKey]=ContinuousStatsTable[[#This Row],[GroupByKey]])*ContinuousStatsTable[Average])),0)</f>
        <v>0.30850610959128738</v>
      </c>
      <c r="P319" s="5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6.2586127702931413E-2</v>
      </c>
      <c r="Q319" s="5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3.0165547953177007E-2</v>
      </c>
      <c r="S319" s="5" cm="1">
        <f t="array" ref="S319">MIN(IF((ContinuousStatsTable[GroupByKey]=ContinuousStatsTable[[#This Row],[GroupByKey]]),(ContinuousStatsTable[GroupByKey]=ContinuousStatsTable[[#This Row],[GroupByKey]])*ContinuousStatsTable[Average]))</f>
        <v>0.156206445320244</v>
      </c>
      <c r="T319" s="5" cm="1">
        <f t="array" ref="T319">MAX(IF((ContinuousStatsTable[GroupByKey]=ContinuousStatsTable[[#This Row],[GroupByKey]]),(ContinuousStatsTable[GroupByKey]=ContinuousStatsTable[[#This Row],[GroupByKey]])*ContinuousStatsTable[Average]))</f>
        <v>0.44942505379986802</v>
      </c>
      <c r="U319" s="5">
        <f>IF((ContinuousStatsTable[[#This Row],[RepsRequested]]&gt;1),ContinuousStatsTable[[#This Row],[HalfWidth]],ContinuousStatsTable[[#This Row],[BatchMeansHalfWidth]])</f>
        <v>3.0165547953177007E-2</v>
      </c>
    </row>
    <row r="320" spans="1:21" x14ac:dyDescent="0.25">
      <c r="A320" t="s">
        <v>67</v>
      </c>
      <c r="B320" t="s">
        <v>69</v>
      </c>
      <c r="C320">
        <v>17</v>
      </c>
      <c r="D320" t="s">
        <v>140</v>
      </c>
      <c r="E320" t="s">
        <v>137</v>
      </c>
      <c r="F320" t="s">
        <v>136</v>
      </c>
      <c r="G320">
        <v>1.6807084925515201</v>
      </c>
      <c r="H320">
        <v>2E+20</v>
      </c>
      <c r="I320">
        <v>0</v>
      </c>
      <c r="J320">
        <v>4</v>
      </c>
      <c r="K320">
        <v>1</v>
      </c>
      <c r="L320">
        <v>0</v>
      </c>
      <c r="M32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BusyResource</v>
      </c>
      <c r="N320" s="5" cm="1">
        <f t="array" ref="N320">MAX(IF((ProjectInfoTable[ProjectName]=ContinuousStatsTable[[#This Row],[ProjectName]]),(ProjectInfoTable[ProjectName]=ContinuousStatsTable[[#This Row],[ProjectName]])*ProjectInfoTable[NumberOfReplications]))</f>
        <v>19</v>
      </c>
      <c r="O320" s="5" cm="1">
        <f t="array" ref="O320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320" s="5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320" s="5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320" s="5" cm="1">
        <f t="array" ref="S320">MIN(IF((ContinuousStatsTable[GroupByKey]=ContinuousStatsTable[[#This Row],[GroupByKey]]),(ContinuousStatsTable[GroupByKey]=ContinuousStatsTable[[#This Row],[GroupByKey]])*ContinuousStatsTable[Average]))</f>
        <v>0.78103222660121896</v>
      </c>
      <c r="T320" s="5" cm="1">
        <f t="array" ref="T320">MAX(IF((ContinuousStatsTable[GroupByKey]=ContinuousStatsTable[[#This Row],[GroupByKey]]),(ContinuousStatsTable[GroupByKey]=ContinuousStatsTable[[#This Row],[GroupByKey]])*ContinuousStatsTable[Average]))</f>
        <v>2.2471252689993402</v>
      </c>
      <c r="U320" s="5">
        <f>IF((ContinuousStatsTable[[#This Row],[RepsRequested]]&gt;1),ContinuousStatsTable[[#This Row],[HalfWidth]],ContinuousStatsTable[[#This Row],[BatchMeansHalfWidth]])</f>
        <v>0.15082773976588459</v>
      </c>
    </row>
    <row r="321" spans="1:21" x14ac:dyDescent="0.25">
      <c r="A321" t="s">
        <v>67</v>
      </c>
      <c r="B321" t="s">
        <v>69</v>
      </c>
      <c r="C321">
        <v>17</v>
      </c>
      <c r="D321" t="s">
        <v>140</v>
      </c>
      <c r="E321" t="s">
        <v>138</v>
      </c>
      <c r="F321" t="s">
        <v>136</v>
      </c>
      <c r="G321">
        <v>5</v>
      </c>
      <c r="H321">
        <v>2E+20</v>
      </c>
      <c r="I321">
        <v>5</v>
      </c>
      <c r="J321">
        <v>5</v>
      </c>
      <c r="K321">
        <v>5</v>
      </c>
      <c r="L321">
        <v>0</v>
      </c>
      <c r="M32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ScheduledResource</v>
      </c>
      <c r="N321" s="5" cm="1">
        <f t="array" ref="N321">MAX(IF((ProjectInfoTable[ProjectName]=ContinuousStatsTable[[#This Row],[ProjectName]]),(ProjectInfoTable[ProjectName]=ContinuousStatsTable[[#This Row],[ProjectName]])*ProjectInfoTable[NumberOfReplications]))</f>
        <v>19</v>
      </c>
      <c r="O321" s="5" cm="1">
        <f t="array" ref="O321">IFERROR(AVERAGE(IF((ContinuousStatsTable[GroupByKey]=ContinuousStatsTable[[#This Row],[GroupByKey]]),(ContinuousStatsTable[GroupByKey]=ContinuousStatsTable[[#This Row],[GroupByKey]])*ContinuousStatsTable[Average])),0)</f>
        <v>5</v>
      </c>
      <c r="P321" s="5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0</v>
      </c>
      <c r="Q321" s="5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1" s="5" cm="1">
        <f t="array" ref="S321">MIN(IF((ContinuousStatsTable[GroupByKey]=ContinuousStatsTable[[#This Row],[GroupByKey]]),(ContinuousStatsTable[GroupByKey]=ContinuousStatsTable[[#This Row],[GroupByKey]])*ContinuousStatsTable[Average]))</f>
        <v>5</v>
      </c>
      <c r="T321" s="5" cm="1">
        <f t="array" ref="T321">MAX(IF((ContinuousStatsTable[GroupByKey]=ContinuousStatsTable[[#This Row],[GroupByKey]]),(ContinuousStatsTable[GroupByKey]=ContinuousStatsTable[[#This Row],[GroupByKey]])*ContinuousStatsTable[Average]))</f>
        <v>5</v>
      </c>
      <c r="U321" s="5">
        <f>IF((ContinuousStatsTable[[#This Row],[RepsRequested]]&gt;1),ContinuousStatsTable[[#This Row],[HalfWidth]],ContinuousStatsTable[[#This Row],[BatchMeansHalfWidth]])</f>
        <v>0</v>
      </c>
    </row>
    <row r="322" spans="1:21" x14ac:dyDescent="0.25">
      <c r="A322" t="s">
        <v>67</v>
      </c>
      <c r="B322" t="s">
        <v>69</v>
      </c>
      <c r="C322">
        <v>17</v>
      </c>
      <c r="D322" t="s">
        <v>127</v>
      </c>
      <c r="E322" t="s">
        <v>129</v>
      </c>
      <c r="F322" t="s">
        <v>72</v>
      </c>
      <c r="G322">
        <v>0</v>
      </c>
      <c r="H322">
        <v>2E+20</v>
      </c>
      <c r="I322">
        <v>0</v>
      </c>
      <c r="J322">
        <v>1</v>
      </c>
      <c r="K322">
        <v>0</v>
      </c>
      <c r="L322">
        <v>0</v>
      </c>
      <c r="M32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compartida)relojWIPEntity</v>
      </c>
      <c r="N322" s="5" cm="1">
        <f t="array" ref="N322">MAX(IF((ProjectInfoTable[ProjectName]=ContinuousStatsTable[[#This Row],[ProjectName]]),(ProjectInfoTable[ProjectName]=ContinuousStatsTable[[#This Row],[ProjectName]])*ProjectInfoTable[NumberOfReplications]))</f>
        <v>19</v>
      </c>
      <c r="O322" s="5" cm="1">
        <f t="array" ref="O322">IFERROR(AVERAGE(IF((ContinuousStatsTable[GroupByKey]=ContinuousStatsTable[[#This Row],[GroupByKey]]),(ContinuousStatsTable[GroupByKey]=ContinuousStatsTable[[#This Row],[GroupByKey]])*ContinuousStatsTable[Average])),0)</f>
        <v>0</v>
      </c>
      <c r="P322" s="5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0</v>
      </c>
      <c r="Q322" s="5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2" s="5" cm="1">
        <f t="array" ref="S322">MIN(IF((ContinuousStatsTable[GroupByKey]=ContinuousStatsTable[[#This Row],[GroupByKey]]),(ContinuousStatsTable[GroupByKey]=ContinuousStatsTable[[#This Row],[GroupByKey]])*ContinuousStatsTable[Average]))</f>
        <v>0</v>
      </c>
      <c r="T322" s="5" cm="1">
        <f t="array" ref="T322">MAX(IF((ContinuousStatsTable[GroupByKey]=ContinuousStatsTable[[#This Row],[GroupByKey]]),(ContinuousStatsTable[GroupByKey]=ContinuousStatsTable[[#This Row],[GroupByKey]])*ContinuousStatsTable[Average]))</f>
        <v>0</v>
      </c>
      <c r="U322" s="5">
        <f>IF((ContinuousStatsTable[[#This Row],[RepsRequested]]&gt;1),ContinuousStatsTable[[#This Row],[HalfWidth]],ContinuousStatsTable[[#This Row],[BatchMeansHalfWidth]])</f>
        <v>0</v>
      </c>
    </row>
    <row r="323" spans="1:21" x14ac:dyDescent="0.25">
      <c r="A323" t="s">
        <v>67</v>
      </c>
      <c r="B323" t="s">
        <v>69</v>
      </c>
      <c r="C323">
        <v>17</v>
      </c>
      <c r="D323" t="s">
        <v>141</v>
      </c>
      <c r="E323" t="s">
        <v>142</v>
      </c>
      <c r="F323" t="s">
        <v>80</v>
      </c>
      <c r="G323">
        <v>3.8755293810940898</v>
      </c>
      <c r="H323">
        <v>2E+20</v>
      </c>
      <c r="I323">
        <v>1</v>
      </c>
      <c r="J323">
        <v>10</v>
      </c>
      <c r="K323">
        <v>2</v>
      </c>
      <c r="L323">
        <v>0</v>
      </c>
      <c r="M32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compartida)vClientesEnSistemaVariableUser Specified</v>
      </c>
      <c r="N323" s="5" cm="1">
        <f t="array" ref="N323">MAX(IF((ProjectInfoTable[ProjectName]=ContinuousStatsTable[[#This Row],[ProjectName]]),(ProjectInfoTable[ProjectName]=ContinuousStatsTable[[#This Row],[ProjectName]])*ProjectInfoTable[NumberOfReplications]))</f>
        <v>19</v>
      </c>
      <c r="O323" s="5" cm="1">
        <f t="array" ref="O323">IFERROR(AVERAGE(IF((ContinuousStatsTable[GroupByKey]=ContinuousStatsTable[[#This Row],[GroupByKey]]),(ContinuousStatsTable[GroupByKey]=ContinuousStatsTable[[#This Row],[GroupByKey]])*ContinuousStatsTable[Average])),0)</f>
        <v>4.0733776306724412</v>
      </c>
      <c r="P323" s="5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1.3190004331473169</v>
      </c>
      <c r="Q323" s="5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0.63573785879874822</v>
      </c>
      <c r="S323" s="5" cm="1">
        <f t="array" ref="S323">MIN(IF((ContinuousStatsTable[GroupByKey]=ContinuousStatsTable[[#This Row],[GroupByKey]]),(ContinuousStatsTable[GroupByKey]=ContinuousStatsTable[[#This Row],[GroupByKey]])*ContinuousStatsTable[Average]))</f>
        <v>2.7964405882205599</v>
      </c>
      <c r="T323" s="5" cm="1">
        <f t="array" ref="T323">MAX(IF((ContinuousStatsTable[GroupByKey]=ContinuousStatsTable[[#This Row],[GroupByKey]]),(ContinuousStatsTable[GroupByKey]=ContinuousStatsTable[[#This Row],[GroupByKey]])*ContinuousStatsTable[Average]))</f>
        <v>8.8656011818609901</v>
      </c>
      <c r="U323" s="5">
        <f>IF((ContinuousStatsTable[[#This Row],[RepsRequested]]&gt;1),ContinuousStatsTable[[#This Row],[HalfWidth]],ContinuousStatsTable[[#This Row],[BatchMeansHalfWidth]])</f>
        <v>0.63573785879874822</v>
      </c>
    </row>
    <row r="324" spans="1:21" x14ac:dyDescent="0.25">
      <c r="A324" t="s">
        <v>67</v>
      </c>
      <c r="B324" t="s">
        <v>69</v>
      </c>
      <c r="C324">
        <v>17</v>
      </c>
      <c r="D324" t="s">
        <v>143</v>
      </c>
      <c r="E324" t="s">
        <v>142</v>
      </c>
      <c r="F324" t="s">
        <v>80</v>
      </c>
      <c r="G324">
        <v>3.3192915074484799</v>
      </c>
      <c r="H324">
        <v>2E+20</v>
      </c>
      <c r="I324">
        <v>1</v>
      </c>
      <c r="J324">
        <v>5</v>
      </c>
      <c r="K324">
        <v>4</v>
      </c>
      <c r="L324">
        <v>0</v>
      </c>
      <c r="M32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compartida)vMesasLibresVariableUser Specified</v>
      </c>
      <c r="N324" s="5" cm="1">
        <f t="array" ref="N324">MAX(IF((ProjectInfoTable[ProjectName]=ContinuousStatsTable[[#This Row],[ProjectName]]),(ProjectInfoTable[ProjectName]=ContinuousStatsTable[[#This Row],[ProjectName]])*ProjectInfoTable[NumberOfReplications]))</f>
        <v>19</v>
      </c>
      <c r="O324" s="5" cm="1">
        <f t="array" ref="O324">IFERROR(AVERAGE(IF((ContinuousStatsTable[GroupByKey]=ContinuousStatsTable[[#This Row],[GroupByKey]]),(ContinuousStatsTable[GroupByKey]=ContinuousStatsTable[[#This Row],[GroupByKey]])*ContinuousStatsTable[Average])),0)</f>
        <v>3.457469452043564</v>
      </c>
      <c r="P324" s="5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0.31293063851465691</v>
      </c>
      <c r="Q324" s="5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0.15082773976588496</v>
      </c>
      <c r="S324" s="5" cm="1">
        <f t="array" ref="S324">MIN(IF((ContinuousStatsTable[GroupByKey]=ContinuousStatsTable[[#This Row],[GroupByKey]]),(ContinuousStatsTable[GroupByKey]=ContinuousStatsTable[[#This Row],[GroupByKey]])*ContinuousStatsTable[Average]))</f>
        <v>2.7528747310006598</v>
      </c>
      <c r="T324" s="5" cm="1">
        <f t="array" ref="T324">MAX(IF((ContinuousStatsTable[GroupByKey]=ContinuousStatsTable[[#This Row],[GroupByKey]]),(ContinuousStatsTable[GroupByKey]=ContinuousStatsTable[[#This Row],[GroupByKey]])*ContinuousStatsTable[Average]))</f>
        <v>4.2189677733987798</v>
      </c>
      <c r="U324" s="5">
        <f>IF((ContinuousStatsTable[[#This Row],[RepsRequested]]&gt;1),ContinuousStatsTable[[#This Row],[HalfWidth]],ContinuousStatsTable[[#This Row],[BatchMeansHalfWidth]])</f>
        <v>0.15082773976588496</v>
      </c>
    </row>
    <row r="325" spans="1:21" x14ac:dyDescent="0.25">
      <c r="A325" t="s">
        <v>67</v>
      </c>
      <c r="B325" t="s">
        <v>69</v>
      </c>
      <c r="C325">
        <v>18</v>
      </c>
      <c r="D325" t="s">
        <v>70</v>
      </c>
      <c r="E325" t="s">
        <v>129</v>
      </c>
      <c r="F325" t="s">
        <v>72</v>
      </c>
      <c r="G325">
        <v>5.5667630751635304</v>
      </c>
      <c r="H325">
        <v>3E+20</v>
      </c>
      <c r="I325">
        <v>0</v>
      </c>
      <c r="J325">
        <v>14</v>
      </c>
      <c r="K325">
        <v>10</v>
      </c>
      <c r="L325">
        <v>0</v>
      </c>
      <c r="M32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compartida)ClienteWIPEntity</v>
      </c>
      <c r="N325" s="5" cm="1">
        <f t="array" ref="N325">MAX(IF((ProjectInfoTable[ProjectName]=ContinuousStatsTable[[#This Row],[ProjectName]]),(ProjectInfoTable[ProjectName]=ContinuousStatsTable[[#This Row],[ProjectName]])*ProjectInfoTable[NumberOfReplications]))</f>
        <v>19</v>
      </c>
      <c r="O325" s="5" cm="1">
        <f t="array" ref="O325">IFERROR(AVERAGE(IF((ContinuousStatsTable[GroupByKey]=ContinuousStatsTable[[#This Row],[GroupByKey]]),(ContinuousStatsTable[GroupByKey]=ContinuousStatsTable[[#This Row],[GroupByKey]])*ContinuousStatsTable[Average])),0)</f>
        <v>5.695207969173218</v>
      </c>
      <c r="P325" s="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1.5293712224665061</v>
      </c>
      <c r="Q325" s="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0.7371333335799507</v>
      </c>
      <c r="S325" s="5" cm="1">
        <f t="array" ref="S325">MIN(IF((ContinuousStatsTable[GroupByKey]=ContinuousStatsTable[[#This Row],[GroupByKey]]),(ContinuousStatsTable[GroupByKey]=ContinuousStatsTable[[#This Row],[GroupByKey]])*ContinuousStatsTable[Average]))</f>
        <v>3.6484308227805702</v>
      </c>
      <c r="T325" s="5" cm="1">
        <f t="array" ref="T325">MAX(IF((ContinuousStatsTable[GroupByKey]=ContinuousStatsTable[[#This Row],[GroupByKey]]),(ContinuousStatsTable[GroupByKey]=ContinuousStatsTable[[#This Row],[GroupByKey]])*ContinuousStatsTable[Average]))</f>
        <v>10.9337547677616</v>
      </c>
      <c r="U325" s="5">
        <f>IF((ContinuousStatsTable[[#This Row],[RepsRequested]]&gt;1),ContinuousStatsTable[[#This Row],[HalfWidth]],ContinuousStatsTable[[#This Row],[BatchMeansHalfWidth]])</f>
        <v>0.7371333335799507</v>
      </c>
    </row>
    <row r="326" spans="1:21" x14ac:dyDescent="0.25">
      <c r="A326" t="s">
        <v>67</v>
      </c>
      <c r="B326" t="s">
        <v>69</v>
      </c>
      <c r="C326">
        <v>18</v>
      </c>
      <c r="D326" t="s">
        <v>89</v>
      </c>
      <c r="E326" t="s">
        <v>130</v>
      </c>
      <c r="F326" t="s">
        <v>91</v>
      </c>
      <c r="G326">
        <v>0</v>
      </c>
      <c r="H326">
        <v>2E+20</v>
      </c>
      <c r="I326">
        <v>0</v>
      </c>
      <c r="J326">
        <v>0</v>
      </c>
      <c r="K326">
        <v>0</v>
      </c>
      <c r="L326">
        <v>0</v>
      </c>
      <c r="M32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compartida)Comer en Mesa.QueueNumber WaitingQueue</v>
      </c>
      <c r="N326" s="5" cm="1">
        <f t="array" ref="N326">MAX(IF((ProjectInfoTable[ProjectName]=ContinuousStatsTable[[#This Row],[ProjectName]]),(ProjectInfoTable[ProjectName]=ContinuousStatsTable[[#This Row],[ProjectName]])*ProjectInfoTable[NumberOfReplications]))</f>
        <v>19</v>
      </c>
      <c r="O326" s="5" cm="1">
        <f t="array" ref="O326">IFERROR(AVERAGE(IF((ContinuousStatsTable[GroupByKey]=ContinuousStatsTable[[#This Row],[GroupByKey]]),(ContinuousStatsTable[GroupByKey]=ContinuousStatsTable[[#This Row],[GroupByKey]])*ContinuousStatsTable[Average])),0)</f>
        <v>0</v>
      </c>
      <c r="P326" s="5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0</v>
      </c>
      <c r="Q326" s="5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6" s="5" cm="1">
        <f t="array" ref="S326">MIN(IF((ContinuousStatsTable[GroupByKey]=ContinuousStatsTable[[#This Row],[GroupByKey]]),(ContinuousStatsTable[GroupByKey]=ContinuousStatsTable[[#This Row],[GroupByKey]])*ContinuousStatsTable[Average]))</f>
        <v>0</v>
      </c>
      <c r="T326" s="5" cm="1">
        <f t="array" ref="T326">MAX(IF((ContinuousStatsTable[GroupByKey]=ContinuousStatsTable[[#This Row],[GroupByKey]]),(ContinuousStatsTable[GroupByKey]=ContinuousStatsTable[[#This Row],[GroupByKey]])*ContinuousStatsTable[Average]))</f>
        <v>0</v>
      </c>
      <c r="U326" s="5">
        <f>IF((ContinuousStatsTable[[#This Row],[RepsRequested]]&gt;1),ContinuousStatsTable[[#This Row],[HalfWidth]],ContinuousStatsTable[[#This Row],[BatchMeansHalfWidth]])</f>
        <v>0</v>
      </c>
    </row>
    <row r="327" spans="1:21" x14ac:dyDescent="0.25">
      <c r="A327" t="s">
        <v>67</v>
      </c>
      <c r="B327" t="s">
        <v>69</v>
      </c>
      <c r="C327">
        <v>18</v>
      </c>
      <c r="D327" t="s">
        <v>92</v>
      </c>
      <c r="E327" t="s">
        <v>130</v>
      </c>
      <c r="F327" t="s">
        <v>91</v>
      </c>
      <c r="G327">
        <v>1.7306433301759201</v>
      </c>
      <c r="H327">
        <v>2E+20</v>
      </c>
      <c r="I327">
        <v>0</v>
      </c>
      <c r="J327">
        <v>9</v>
      </c>
      <c r="K327">
        <v>4</v>
      </c>
      <c r="L327">
        <v>0</v>
      </c>
      <c r="M32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compartida)Entrega pedido.QueueNumber WaitingQueue</v>
      </c>
      <c r="N327" s="5" cm="1">
        <f t="array" ref="N327">MAX(IF((ProjectInfoTable[ProjectName]=ContinuousStatsTable[[#This Row],[ProjectName]]),(ProjectInfoTable[ProjectName]=ContinuousStatsTable[[#This Row],[ProjectName]])*ProjectInfoTable[NumberOfReplications]))</f>
        <v>19</v>
      </c>
      <c r="O327" s="5" cm="1">
        <f t="array" ref="O327">IFERROR(AVERAGE(IF((ContinuousStatsTable[GroupByKey]=ContinuousStatsTable[[#This Row],[GroupByKey]]),(ContinuousStatsTable[GroupByKey]=ContinuousStatsTable[[#This Row],[GroupByKey]])*ContinuousStatsTable[Average])),0)</f>
        <v>1.4415832090470244</v>
      </c>
      <c r="P327" s="5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0.61323545266973079</v>
      </c>
      <c r="Q327" s="5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0.29557002698587687</v>
      </c>
      <c r="S327" s="5" cm="1">
        <f t="array" ref="S327">MIN(IF((ContinuousStatsTable[GroupByKey]=ContinuousStatsTable[[#This Row],[GroupByKey]]),(ContinuousStatsTable[GroupByKey]=ContinuousStatsTable[[#This Row],[GroupByKey]])*ContinuousStatsTable[Average]))</f>
        <v>0.95119347509060603</v>
      </c>
      <c r="T327" s="5" cm="1">
        <f t="array" ref="T327">MAX(IF((ContinuousStatsTable[GroupByKey]=ContinuousStatsTable[[#This Row],[GroupByKey]]),(ContinuousStatsTable[GroupByKey]=ContinuousStatsTable[[#This Row],[GroupByKey]])*ContinuousStatsTable[Average]))</f>
        <v>3.71511779664222</v>
      </c>
      <c r="U327" s="5">
        <f>IF((ContinuousStatsTable[[#This Row],[RepsRequested]]&gt;1),ContinuousStatsTable[[#This Row],[HalfWidth]],ContinuousStatsTable[[#This Row],[BatchMeansHalfWidth]])</f>
        <v>0.29557002698587687</v>
      </c>
    </row>
    <row r="328" spans="1:21" x14ac:dyDescent="0.25">
      <c r="A328" t="s">
        <v>67</v>
      </c>
      <c r="B328" t="s">
        <v>69</v>
      </c>
      <c r="C328">
        <v>18</v>
      </c>
      <c r="D328" t="s">
        <v>131</v>
      </c>
      <c r="E328" t="s">
        <v>129</v>
      </c>
      <c r="F328" t="s">
        <v>72</v>
      </c>
      <c r="G328">
        <v>3.0918078995031002</v>
      </c>
      <c r="H328">
        <v>2E+20</v>
      </c>
      <c r="I328">
        <v>0</v>
      </c>
      <c r="J328">
        <v>9</v>
      </c>
      <c r="K328">
        <v>6</v>
      </c>
      <c r="L328">
        <v>0</v>
      </c>
      <c r="M32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compartida)OrdenWIPEntity</v>
      </c>
      <c r="N328" s="5" cm="1">
        <f t="array" ref="N328">MAX(IF((ProjectInfoTable[ProjectName]=ContinuousStatsTable[[#This Row],[ProjectName]]),(ProjectInfoTable[ProjectName]=ContinuousStatsTable[[#This Row],[ProjectName]])*ProjectInfoTable[NumberOfReplications]))</f>
        <v>19</v>
      </c>
      <c r="O328" s="5" cm="1">
        <f t="array" ref="O328">IFERROR(AVERAGE(IF((ContinuousStatsTable[GroupByKey]=ContinuousStatsTable[[#This Row],[GroupByKey]]),(ContinuousStatsTable[GroupByKey]=ContinuousStatsTable[[#This Row],[GroupByKey]])*ContinuousStatsTable[Average])),0)</f>
        <v>3.0972744691234286</v>
      </c>
      <c r="P328" s="5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0.7960145604449721</v>
      </c>
      <c r="Q328" s="5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0.38366673695655462</v>
      </c>
      <c r="S328" s="5" cm="1">
        <f t="array" ref="S328">MIN(IF((ContinuousStatsTable[GroupByKey]=ContinuousStatsTable[[#This Row],[GroupByKey]]),(ContinuousStatsTable[GroupByKey]=ContinuousStatsTable[[#This Row],[GroupByKey]])*ContinuousStatsTable[Average]))</f>
        <v>2.0609398302211299</v>
      </c>
      <c r="T328" s="5" cm="1">
        <f t="array" ref="T328">MAX(IF((ContinuousStatsTable[GroupByKey]=ContinuousStatsTable[[#This Row],[GroupByKey]]),(ContinuousStatsTable[GroupByKey]=ContinuousStatsTable[[#This Row],[GroupByKey]])*ContinuousStatsTable[Average]))</f>
        <v>5.8229936047650703</v>
      </c>
      <c r="U328" s="5">
        <f>IF((ContinuousStatsTable[[#This Row],[RepsRequested]]&gt;1),ContinuousStatsTable[[#This Row],[HalfWidth]],ContinuousStatsTable[[#This Row],[BatchMeansHalfWidth]])</f>
        <v>0.38366673695655462</v>
      </c>
    </row>
    <row r="329" spans="1:21" x14ac:dyDescent="0.25">
      <c r="A329" t="s">
        <v>67</v>
      </c>
      <c r="B329" t="s">
        <v>69</v>
      </c>
      <c r="C329">
        <v>18</v>
      </c>
      <c r="D329" t="s">
        <v>99</v>
      </c>
      <c r="E329" t="s">
        <v>130</v>
      </c>
      <c r="F329" t="s">
        <v>91</v>
      </c>
      <c r="G329">
        <v>0.71904920403185202</v>
      </c>
      <c r="H329">
        <v>2E+20</v>
      </c>
      <c r="I329">
        <v>0</v>
      </c>
      <c r="J329">
        <v>7</v>
      </c>
      <c r="K329">
        <v>2</v>
      </c>
      <c r="L329">
        <v>0</v>
      </c>
      <c r="M32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compartida)Pasar a Caja.QueueNumber WaitingQueue</v>
      </c>
      <c r="N329" s="5" cm="1">
        <f t="array" ref="N329">MAX(IF((ProjectInfoTable[ProjectName]=ContinuousStatsTable[[#This Row],[ProjectName]]),(ProjectInfoTable[ProjectName]=ContinuousStatsTable[[#This Row],[ProjectName]])*ProjectInfoTable[NumberOfReplications]))</f>
        <v>19</v>
      </c>
      <c r="O329" s="5" cm="1">
        <f t="array" ref="O329">IFERROR(AVERAGE(IF((ContinuousStatsTable[GroupByKey]=ContinuousStatsTable[[#This Row],[GroupByKey]]),(ContinuousStatsTable[GroupByKey]=ContinuousStatsTable[[#This Row],[GroupByKey]])*ContinuousStatsTable[Average])),0)</f>
        <v>0.5234663348541454</v>
      </c>
      <c r="P329" s="5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0.51706251909874834</v>
      </c>
      <c r="Q329" s="5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0.24921615679273348</v>
      </c>
      <c r="S329" s="5" cm="1">
        <f t="array" ref="S329">MIN(IF((ContinuousStatsTable[GroupByKey]=ContinuousStatsTable[[#This Row],[GroupByKey]]),(ContinuousStatsTable[GroupByKey]=ContinuousStatsTable[[#This Row],[GroupByKey]])*ContinuousStatsTable[Average]))</f>
        <v>0.17506464523350199</v>
      </c>
      <c r="T329" s="5" cm="1">
        <f t="array" ref="T329">MAX(IF((ContinuousStatsTable[GroupByKey]=ContinuousStatsTable[[#This Row],[GroupByKey]]),(ContinuousStatsTable[GroupByKey]=ContinuousStatsTable[[#This Row],[GroupByKey]])*ContinuousStatsTable[Average]))</f>
        <v>2.4783528335268201</v>
      </c>
      <c r="U329" s="5">
        <f>IF((ContinuousStatsTable[[#This Row],[RepsRequested]]&gt;1),ContinuousStatsTable[[#This Row],[HalfWidth]],ContinuousStatsTable[[#This Row],[BatchMeansHalfWidth]])</f>
        <v>0.24921615679273348</v>
      </c>
    </row>
    <row r="330" spans="1:21" x14ac:dyDescent="0.25">
      <c r="A330" t="s">
        <v>67</v>
      </c>
      <c r="B330" t="s">
        <v>69</v>
      </c>
      <c r="C330">
        <v>18</v>
      </c>
      <c r="D330" t="s">
        <v>104</v>
      </c>
      <c r="E330" t="s">
        <v>130</v>
      </c>
      <c r="F330" t="s">
        <v>91</v>
      </c>
      <c r="G330">
        <v>0.57467382484984697</v>
      </c>
      <c r="H330">
        <v>2E+20</v>
      </c>
      <c r="I330">
        <v>0</v>
      </c>
      <c r="J330">
        <v>6</v>
      </c>
      <c r="K330">
        <v>2</v>
      </c>
      <c r="L330">
        <v>0</v>
      </c>
      <c r="M33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compartida)Preparacion.QueueNumber WaitingQueue</v>
      </c>
      <c r="N330" s="5" cm="1">
        <f t="array" ref="N330">MAX(IF((ProjectInfoTable[ProjectName]=ContinuousStatsTable[[#This Row],[ProjectName]]),(ProjectInfoTable[ProjectName]=ContinuousStatsTable[[#This Row],[ProjectName]])*ProjectInfoTable[NumberOfReplications]))</f>
        <v>19</v>
      </c>
      <c r="O330" s="5" cm="1">
        <f t="array" ref="O330">IFERROR(AVERAGE(IF((ContinuousStatsTable[GroupByKey]=ContinuousStatsTable[[#This Row],[GroupByKey]]),(ContinuousStatsTable[GroupByKey]=ContinuousStatsTable[[#This Row],[GroupByKey]])*ContinuousStatsTable[Average])),0)</f>
        <v>0.48138063122984937</v>
      </c>
      <c r="P330" s="5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0.5430727934303009</v>
      </c>
      <c r="Q330" s="5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0.26175270772536113</v>
      </c>
      <c r="S330" s="5" cm="1">
        <f t="array" ref="S330">MIN(IF((ContinuousStatsTable[GroupByKey]=ContinuousStatsTable[[#This Row],[GroupByKey]]),(ContinuousStatsTable[GroupByKey]=ContinuousStatsTable[[#This Row],[GroupByKey]])*ContinuousStatsTable[Average]))</f>
        <v>0.13383910219346701</v>
      </c>
      <c r="T330" s="5" cm="1">
        <f t="array" ref="T330">MAX(IF((ContinuousStatsTable[GroupByKey]=ContinuousStatsTable[[#This Row],[GroupByKey]]),(ContinuousStatsTable[GroupByKey]=ContinuousStatsTable[[#This Row],[GroupByKey]])*ContinuousStatsTable[Average]))</f>
        <v>2.5739205922552402</v>
      </c>
      <c r="U330" s="5">
        <f>IF((ContinuousStatsTable[[#This Row],[RepsRequested]]&gt;1),ContinuousStatsTable[[#This Row],[HalfWidth]],ContinuousStatsTable[[#This Row],[BatchMeansHalfWidth]])</f>
        <v>0.26175270772536113</v>
      </c>
    </row>
    <row r="331" spans="1:21" x14ac:dyDescent="0.25">
      <c r="A331" t="s">
        <v>67</v>
      </c>
      <c r="B331" t="s">
        <v>69</v>
      </c>
      <c r="C331">
        <v>18</v>
      </c>
      <c r="D331" t="s">
        <v>132</v>
      </c>
      <c r="E331" t="s">
        <v>133</v>
      </c>
      <c r="F331" t="s">
        <v>80</v>
      </c>
      <c r="G331">
        <v>1.24771446679777</v>
      </c>
      <c r="H331">
        <v>2E+20</v>
      </c>
      <c r="I331">
        <v>0</v>
      </c>
      <c r="J331">
        <v>3</v>
      </c>
      <c r="K331">
        <v>2</v>
      </c>
      <c r="L331">
        <v>0</v>
      </c>
      <c r="M33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compartida)TP_MesasTime PersistentUser Specified</v>
      </c>
      <c r="N331" s="5" cm="1">
        <f t="array" ref="N331">MAX(IF((ProjectInfoTable[ProjectName]=ContinuousStatsTable[[#This Row],[ProjectName]]),(ProjectInfoTable[ProjectName]=ContinuousStatsTable[[#This Row],[ProjectName]])*ProjectInfoTable[NumberOfReplications]))</f>
        <v>19</v>
      </c>
      <c r="O331" s="5" cm="1">
        <f t="array" ref="O331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331" s="5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331" s="5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331" s="5" cm="1">
        <f t="array" ref="S331">MIN(IF((ContinuousStatsTable[GroupByKey]=ContinuousStatsTable[[#This Row],[GroupByKey]]),(ContinuousStatsTable[GroupByKey]=ContinuousStatsTable[[#This Row],[GroupByKey]])*ContinuousStatsTable[Average]))</f>
        <v>0.78103222660121896</v>
      </c>
      <c r="T331" s="5" cm="1">
        <f t="array" ref="T331">MAX(IF((ContinuousStatsTable[GroupByKey]=ContinuousStatsTable[[#This Row],[GroupByKey]]),(ContinuousStatsTable[GroupByKey]=ContinuousStatsTable[[#This Row],[GroupByKey]])*ContinuousStatsTable[Average]))</f>
        <v>2.2471252689993402</v>
      </c>
      <c r="U331" s="5">
        <f>IF((ContinuousStatsTable[[#This Row],[RepsRequested]]&gt;1),ContinuousStatsTable[[#This Row],[HalfWidth]],ContinuousStatsTable[[#This Row],[BatchMeansHalfWidth]])</f>
        <v>0.15082773976588459</v>
      </c>
    </row>
    <row r="332" spans="1:21" x14ac:dyDescent="0.25">
      <c r="A332" t="s">
        <v>67</v>
      </c>
      <c r="B332" t="s">
        <v>69</v>
      </c>
      <c r="C332">
        <v>18</v>
      </c>
      <c r="D332" t="s">
        <v>134</v>
      </c>
      <c r="E332" t="s">
        <v>135</v>
      </c>
      <c r="F332" t="s">
        <v>136</v>
      </c>
      <c r="G332">
        <v>0.76092451969044494</v>
      </c>
      <c r="H332">
        <v>2E+20</v>
      </c>
      <c r="I332">
        <v>0</v>
      </c>
      <c r="J332">
        <v>1</v>
      </c>
      <c r="K332">
        <v>1</v>
      </c>
      <c r="L332">
        <v>0</v>
      </c>
      <c r="M33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compartida)rCajeroInstantaneous UtilizationResource</v>
      </c>
      <c r="N332" s="5" cm="1">
        <f t="array" ref="N332">MAX(IF((ProjectInfoTable[ProjectName]=ContinuousStatsTable[[#This Row],[ProjectName]]),(ProjectInfoTable[ProjectName]=ContinuousStatsTable[[#This Row],[ProjectName]])*ProjectInfoTable[NumberOfReplications]))</f>
        <v>19</v>
      </c>
      <c r="O332" s="5" cm="1">
        <f t="array" ref="O332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332" s="5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6.2272947935973086E-2</v>
      </c>
      <c r="Q332" s="5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3.0014600137344912E-2</v>
      </c>
      <c r="S332" s="5" cm="1">
        <f t="array" ref="S332">MIN(IF((ContinuousStatsTable[GroupByKey]=ContinuousStatsTable[[#This Row],[GroupByKey]]),(ContinuousStatsTable[GroupByKey]=ContinuousStatsTable[[#This Row],[GroupByKey]])*ContinuousStatsTable[Average]))</f>
        <v>0.59592290927233305</v>
      </c>
      <c r="T332" s="5" cm="1">
        <f t="array" ref="T332">MAX(IF((ContinuousStatsTable[GroupByKey]=ContinuousStatsTable[[#This Row],[GroupByKey]]),(ContinuousStatsTable[GroupByKey]=ContinuousStatsTable[[#This Row],[GroupByKey]])*ContinuousStatsTable[Average]))</f>
        <v>0.82897119936997599</v>
      </c>
      <c r="U332" s="5">
        <f>IF((ContinuousStatsTable[[#This Row],[RepsRequested]]&gt;1),ContinuousStatsTable[[#This Row],[HalfWidth]],ContinuousStatsTable[[#This Row],[BatchMeansHalfWidth]])</f>
        <v>3.0014600137344912E-2</v>
      </c>
    </row>
    <row r="333" spans="1:21" x14ac:dyDescent="0.25">
      <c r="A333" t="s">
        <v>67</v>
      </c>
      <c r="B333" t="s">
        <v>69</v>
      </c>
      <c r="C333">
        <v>18</v>
      </c>
      <c r="D333" t="s">
        <v>134</v>
      </c>
      <c r="E333" t="s">
        <v>137</v>
      </c>
      <c r="F333" t="s">
        <v>136</v>
      </c>
      <c r="G333">
        <v>0.76092451969044494</v>
      </c>
      <c r="H333">
        <v>2E+20</v>
      </c>
      <c r="I333">
        <v>0</v>
      </c>
      <c r="J333">
        <v>1</v>
      </c>
      <c r="K333">
        <v>1</v>
      </c>
      <c r="L333">
        <v>0</v>
      </c>
      <c r="M33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BusyResource</v>
      </c>
      <c r="N333" s="5" cm="1">
        <f t="array" ref="N333">MAX(IF((ProjectInfoTable[ProjectName]=ContinuousStatsTable[[#This Row],[ProjectName]]),(ProjectInfoTable[ProjectName]=ContinuousStatsTable[[#This Row],[ProjectName]])*ProjectInfoTable[NumberOfReplications]))</f>
        <v>19</v>
      </c>
      <c r="O333" s="5" cm="1">
        <f t="array" ref="O333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333" s="5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6.2272947935973065E-2</v>
      </c>
      <c r="Q333" s="5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3.0014600137344902E-2</v>
      </c>
      <c r="S333" s="5" cm="1">
        <f t="array" ref="S333">MIN(IF((ContinuousStatsTable[GroupByKey]=ContinuousStatsTable[[#This Row],[GroupByKey]]),(ContinuousStatsTable[GroupByKey]=ContinuousStatsTable[[#This Row],[GroupByKey]])*ContinuousStatsTable[Average]))</f>
        <v>0.59592290927233305</v>
      </c>
      <c r="T333" s="5" cm="1">
        <f t="array" ref="T333">MAX(IF((ContinuousStatsTable[GroupByKey]=ContinuousStatsTable[[#This Row],[GroupByKey]]),(ContinuousStatsTable[GroupByKey]=ContinuousStatsTable[[#This Row],[GroupByKey]])*ContinuousStatsTable[Average]))</f>
        <v>0.82897119936997599</v>
      </c>
      <c r="U333" s="5">
        <f>IF((ContinuousStatsTable[[#This Row],[RepsRequested]]&gt;1),ContinuousStatsTable[[#This Row],[HalfWidth]],ContinuousStatsTable[[#This Row],[BatchMeansHalfWidth]])</f>
        <v>3.0014600137344902E-2</v>
      </c>
    </row>
    <row r="334" spans="1:21" x14ac:dyDescent="0.25">
      <c r="A334" t="s">
        <v>67</v>
      </c>
      <c r="B334" t="s">
        <v>69</v>
      </c>
      <c r="C334">
        <v>18</v>
      </c>
      <c r="D334" t="s">
        <v>134</v>
      </c>
      <c r="E334" t="s">
        <v>138</v>
      </c>
      <c r="F334" t="s">
        <v>136</v>
      </c>
      <c r="G334">
        <v>1</v>
      </c>
      <c r="H334">
        <v>2E+20</v>
      </c>
      <c r="I334">
        <v>1</v>
      </c>
      <c r="J334">
        <v>1</v>
      </c>
      <c r="K334">
        <v>1</v>
      </c>
      <c r="L334">
        <v>0</v>
      </c>
      <c r="M33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ScheduledResource</v>
      </c>
      <c r="N334" s="5" cm="1">
        <f t="array" ref="N334">MAX(IF((ProjectInfoTable[ProjectName]=ContinuousStatsTable[[#This Row],[ProjectName]]),(ProjectInfoTable[ProjectName]=ContinuousStatsTable[[#This Row],[ProjectName]])*ProjectInfoTable[NumberOfReplications]))</f>
        <v>19</v>
      </c>
      <c r="O334" s="5" cm="1">
        <f t="array" ref="O334">IFERROR(AVERAGE(IF((ContinuousStatsTable[GroupByKey]=ContinuousStatsTable[[#This Row],[GroupByKey]]),(ContinuousStatsTable[GroupByKey]=ContinuousStatsTable[[#This Row],[GroupByKey]])*ContinuousStatsTable[Average])),0)</f>
        <v>1</v>
      </c>
      <c r="P334" s="5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0</v>
      </c>
      <c r="Q334" s="5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4" s="5" cm="1">
        <f t="array" ref="S334">MIN(IF((ContinuousStatsTable[GroupByKey]=ContinuousStatsTable[[#This Row],[GroupByKey]]),(ContinuousStatsTable[GroupByKey]=ContinuousStatsTable[[#This Row],[GroupByKey]])*ContinuousStatsTable[Average]))</f>
        <v>1</v>
      </c>
      <c r="T334" s="5" cm="1">
        <f t="array" ref="T334">MAX(IF((ContinuousStatsTable[GroupByKey]=ContinuousStatsTable[[#This Row],[GroupByKey]]),(ContinuousStatsTable[GroupByKey]=ContinuousStatsTable[[#This Row],[GroupByKey]])*ContinuousStatsTable[Average]))</f>
        <v>1</v>
      </c>
      <c r="U334" s="5">
        <f>IF((ContinuousStatsTable[[#This Row],[RepsRequested]]&gt;1),ContinuousStatsTable[[#This Row],[HalfWidth]],ContinuousStatsTable[[#This Row],[BatchMeansHalfWidth]])</f>
        <v>0</v>
      </c>
    </row>
    <row r="335" spans="1:21" x14ac:dyDescent="0.25">
      <c r="A335" t="s">
        <v>67</v>
      </c>
      <c r="B335" t="s">
        <v>69</v>
      </c>
      <c r="C335">
        <v>18</v>
      </c>
      <c r="D335" t="s">
        <v>139</v>
      </c>
      <c r="E335" t="s">
        <v>135</v>
      </c>
      <c r="F335" t="s">
        <v>136</v>
      </c>
      <c r="G335">
        <v>0.81316807447732098</v>
      </c>
      <c r="H335">
        <v>2E+20</v>
      </c>
      <c r="I335">
        <v>0</v>
      </c>
      <c r="J335">
        <v>1</v>
      </c>
      <c r="K335">
        <v>1</v>
      </c>
      <c r="L335">
        <v>0</v>
      </c>
      <c r="M33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compartida)rCocinaInstantaneous UtilizationResource</v>
      </c>
      <c r="N335" s="5" cm="1">
        <f t="array" ref="N335">MAX(IF((ProjectInfoTable[ProjectName]=ContinuousStatsTable[[#This Row],[ProjectName]]),(ProjectInfoTable[ProjectName]=ContinuousStatsTable[[#This Row],[ProjectName]])*ProjectInfoTable[NumberOfReplications]))</f>
        <v>19</v>
      </c>
      <c r="O335" s="5" cm="1">
        <f t="array" ref="O335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335" s="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335" s="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335" s="5" cm="1">
        <f t="array" ref="S335">MIN(IF((ContinuousStatsTable[GroupByKey]=ContinuousStatsTable[[#This Row],[GroupByKey]]),(ContinuousStatsTable[GroupByKey]=ContinuousStatsTable[[#This Row],[GroupByKey]])*ContinuousStatsTable[Average]))</f>
        <v>0.60463940272025996</v>
      </c>
      <c r="T335" s="5" cm="1">
        <f t="array" ref="T335">MAX(IF((ContinuousStatsTable[GroupByKey]=ContinuousStatsTable[[#This Row],[GroupByKey]]),(ContinuousStatsTable[GroupByKey]=ContinuousStatsTable[[#This Row],[GroupByKey]])*ContinuousStatsTable[Average]))</f>
        <v>0.86361037821575004</v>
      </c>
      <c r="U335" s="5">
        <f>IF((ContinuousStatsTable[[#This Row],[RepsRequested]]&gt;1),ContinuousStatsTable[[#This Row],[HalfWidth]],ContinuousStatsTable[[#This Row],[BatchMeansHalfWidth]])</f>
        <v>3.4176212493127585E-2</v>
      </c>
    </row>
    <row r="336" spans="1:21" x14ac:dyDescent="0.25">
      <c r="A336" t="s">
        <v>67</v>
      </c>
      <c r="B336" t="s">
        <v>69</v>
      </c>
      <c r="C336">
        <v>18</v>
      </c>
      <c r="D336" t="s">
        <v>139</v>
      </c>
      <c r="E336" t="s">
        <v>137</v>
      </c>
      <c r="F336" t="s">
        <v>136</v>
      </c>
      <c r="G336">
        <v>0.81316807447732098</v>
      </c>
      <c r="H336">
        <v>2E+20</v>
      </c>
      <c r="I336">
        <v>0</v>
      </c>
      <c r="J336">
        <v>1</v>
      </c>
      <c r="K336">
        <v>1</v>
      </c>
      <c r="L336">
        <v>0</v>
      </c>
      <c r="M33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BusyResource</v>
      </c>
      <c r="N336" s="5" cm="1">
        <f t="array" ref="N336">MAX(IF((ProjectInfoTable[ProjectName]=ContinuousStatsTable[[#This Row],[ProjectName]]),(ProjectInfoTable[ProjectName]=ContinuousStatsTable[[#This Row],[ProjectName]])*ProjectInfoTable[NumberOfReplications]))</f>
        <v>19</v>
      </c>
      <c r="O336" s="5" cm="1">
        <f t="array" ref="O336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336" s="5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336" s="5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336" s="5" cm="1">
        <f t="array" ref="S336">MIN(IF((ContinuousStatsTable[GroupByKey]=ContinuousStatsTable[[#This Row],[GroupByKey]]),(ContinuousStatsTable[GroupByKey]=ContinuousStatsTable[[#This Row],[GroupByKey]])*ContinuousStatsTable[Average]))</f>
        <v>0.60463940272025996</v>
      </c>
      <c r="T336" s="5" cm="1">
        <f t="array" ref="T336">MAX(IF((ContinuousStatsTable[GroupByKey]=ContinuousStatsTable[[#This Row],[GroupByKey]]),(ContinuousStatsTable[GroupByKey]=ContinuousStatsTable[[#This Row],[GroupByKey]])*ContinuousStatsTable[Average]))</f>
        <v>0.86361037821575004</v>
      </c>
      <c r="U336" s="5">
        <f>IF((ContinuousStatsTable[[#This Row],[RepsRequested]]&gt;1),ContinuousStatsTable[[#This Row],[HalfWidth]],ContinuousStatsTable[[#This Row],[BatchMeansHalfWidth]])</f>
        <v>3.4176212493127585E-2</v>
      </c>
    </row>
    <row r="337" spans="1:21" x14ac:dyDescent="0.25">
      <c r="A337" t="s">
        <v>67</v>
      </c>
      <c r="B337" t="s">
        <v>69</v>
      </c>
      <c r="C337">
        <v>18</v>
      </c>
      <c r="D337" t="s">
        <v>139</v>
      </c>
      <c r="E337" t="s">
        <v>138</v>
      </c>
      <c r="F337" t="s">
        <v>136</v>
      </c>
      <c r="G337">
        <v>1</v>
      </c>
      <c r="H337">
        <v>2E+20</v>
      </c>
      <c r="I337">
        <v>1</v>
      </c>
      <c r="J337">
        <v>1</v>
      </c>
      <c r="K337">
        <v>1</v>
      </c>
      <c r="L337">
        <v>0</v>
      </c>
      <c r="M33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ScheduledResource</v>
      </c>
      <c r="N337" s="5" cm="1">
        <f t="array" ref="N337">MAX(IF((ProjectInfoTable[ProjectName]=ContinuousStatsTable[[#This Row],[ProjectName]]),(ProjectInfoTable[ProjectName]=ContinuousStatsTable[[#This Row],[ProjectName]])*ProjectInfoTable[NumberOfReplications]))</f>
        <v>19</v>
      </c>
      <c r="O337" s="5" cm="1">
        <f t="array" ref="O337">IFERROR(AVERAGE(IF((ContinuousStatsTable[GroupByKey]=ContinuousStatsTable[[#This Row],[GroupByKey]]),(ContinuousStatsTable[GroupByKey]=ContinuousStatsTable[[#This Row],[GroupByKey]])*ContinuousStatsTable[Average])),0)</f>
        <v>1</v>
      </c>
      <c r="P337" s="5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0</v>
      </c>
      <c r="Q337" s="5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7" s="5" cm="1">
        <f t="array" ref="S337">MIN(IF((ContinuousStatsTable[GroupByKey]=ContinuousStatsTable[[#This Row],[GroupByKey]]),(ContinuousStatsTable[GroupByKey]=ContinuousStatsTable[[#This Row],[GroupByKey]])*ContinuousStatsTable[Average]))</f>
        <v>1</v>
      </c>
      <c r="T337" s="5" cm="1">
        <f t="array" ref="T337">MAX(IF((ContinuousStatsTable[GroupByKey]=ContinuousStatsTable[[#This Row],[GroupByKey]]),(ContinuousStatsTable[GroupByKey]=ContinuousStatsTable[[#This Row],[GroupByKey]])*ContinuousStatsTable[Average]))</f>
        <v>1</v>
      </c>
      <c r="U337" s="5">
        <f>IF((ContinuousStatsTable[[#This Row],[RepsRequested]]&gt;1),ContinuousStatsTable[[#This Row],[HalfWidth]],ContinuousStatsTable[[#This Row],[BatchMeansHalfWidth]])</f>
        <v>0</v>
      </c>
    </row>
    <row r="338" spans="1:21" x14ac:dyDescent="0.25">
      <c r="A338" t="s">
        <v>67</v>
      </c>
      <c r="B338" t="s">
        <v>69</v>
      </c>
      <c r="C338">
        <v>18</v>
      </c>
      <c r="D338" t="s">
        <v>140</v>
      </c>
      <c r="E338" t="s">
        <v>135</v>
      </c>
      <c r="F338" t="s">
        <v>136</v>
      </c>
      <c r="G338">
        <v>0.24954289335955501</v>
      </c>
      <c r="H338">
        <v>2E+20</v>
      </c>
      <c r="I338">
        <v>0</v>
      </c>
      <c r="J338">
        <v>0.6</v>
      </c>
      <c r="K338">
        <v>0.4</v>
      </c>
      <c r="L338">
        <v>0</v>
      </c>
      <c r="M33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compartida)rMesaInstantaneous UtilizationResource</v>
      </c>
      <c r="N338" s="5" cm="1">
        <f t="array" ref="N338">MAX(IF((ProjectInfoTable[ProjectName]=ContinuousStatsTable[[#This Row],[ProjectName]]),(ProjectInfoTable[ProjectName]=ContinuousStatsTable[[#This Row],[ProjectName]])*ProjectInfoTable[NumberOfReplications]))</f>
        <v>19</v>
      </c>
      <c r="O338" s="5" cm="1">
        <f t="array" ref="O338">IFERROR(AVERAGE(IF((ContinuousStatsTable[GroupByKey]=ContinuousStatsTable[[#This Row],[GroupByKey]]),(ContinuousStatsTable[GroupByKey]=ContinuousStatsTable[[#This Row],[GroupByKey]])*ContinuousStatsTable[Average])),0)</f>
        <v>0.30850610959128738</v>
      </c>
      <c r="P338" s="5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6.2586127702931413E-2</v>
      </c>
      <c r="Q338" s="5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3.0165547953177007E-2</v>
      </c>
      <c r="S338" s="5" cm="1">
        <f t="array" ref="S338">MIN(IF((ContinuousStatsTable[GroupByKey]=ContinuousStatsTable[[#This Row],[GroupByKey]]),(ContinuousStatsTable[GroupByKey]=ContinuousStatsTable[[#This Row],[GroupByKey]])*ContinuousStatsTable[Average]))</f>
        <v>0.156206445320244</v>
      </c>
      <c r="T338" s="5" cm="1">
        <f t="array" ref="T338">MAX(IF((ContinuousStatsTable[GroupByKey]=ContinuousStatsTable[[#This Row],[GroupByKey]]),(ContinuousStatsTable[GroupByKey]=ContinuousStatsTable[[#This Row],[GroupByKey]])*ContinuousStatsTable[Average]))</f>
        <v>0.44942505379986802</v>
      </c>
      <c r="U338" s="5">
        <f>IF((ContinuousStatsTable[[#This Row],[RepsRequested]]&gt;1),ContinuousStatsTable[[#This Row],[HalfWidth]],ContinuousStatsTable[[#This Row],[BatchMeansHalfWidth]])</f>
        <v>3.0165547953177007E-2</v>
      </c>
    </row>
    <row r="339" spans="1:21" x14ac:dyDescent="0.25">
      <c r="A339" t="s">
        <v>67</v>
      </c>
      <c r="B339" t="s">
        <v>69</v>
      </c>
      <c r="C339">
        <v>18</v>
      </c>
      <c r="D339" t="s">
        <v>140</v>
      </c>
      <c r="E339" t="s">
        <v>137</v>
      </c>
      <c r="F339" t="s">
        <v>136</v>
      </c>
      <c r="G339">
        <v>1.24771446679777</v>
      </c>
      <c r="H339">
        <v>2E+20</v>
      </c>
      <c r="I339">
        <v>0</v>
      </c>
      <c r="J339">
        <v>3</v>
      </c>
      <c r="K339">
        <v>2</v>
      </c>
      <c r="L339">
        <v>0</v>
      </c>
      <c r="M33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BusyResource</v>
      </c>
      <c r="N339" s="5" cm="1">
        <f t="array" ref="N339">MAX(IF((ProjectInfoTable[ProjectName]=ContinuousStatsTable[[#This Row],[ProjectName]]),(ProjectInfoTable[ProjectName]=ContinuousStatsTable[[#This Row],[ProjectName]])*ProjectInfoTable[NumberOfReplications]))</f>
        <v>19</v>
      </c>
      <c r="O339" s="5" cm="1">
        <f t="array" ref="O339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339" s="5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339" s="5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339" s="5" cm="1">
        <f t="array" ref="S339">MIN(IF((ContinuousStatsTable[GroupByKey]=ContinuousStatsTable[[#This Row],[GroupByKey]]),(ContinuousStatsTable[GroupByKey]=ContinuousStatsTable[[#This Row],[GroupByKey]])*ContinuousStatsTable[Average]))</f>
        <v>0.78103222660121896</v>
      </c>
      <c r="T339" s="5" cm="1">
        <f t="array" ref="T339">MAX(IF((ContinuousStatsTable[GroupByKey]=ContinuousStatsTable[[#This Row],[GroupByKey]]),(ContinuousStatsTable[GroupByKey]=ContinuousStatsTable[[#This Row],[GroupByKey]])*ContinuousStatsTable[Average]))</f>
        <v>2.2471252689993402</v>
      </c>
      <c r="U339" s="5">
        <f>IF((ContinuousStatsTable[[#This Row],[RepsRequested]]&gt;1),ContinuousStatsTable[[#This Row],[HalfWidth]],ContinuousStatsTable[[#This Row],[BatchMeansHalfWidth]])</f>
        <v>0.15082773976588459</v>
      </c>
    </row>
    <row r="340" spans="1:21" x14ac:dyDescent="0.25">
      <c r="A340" t="s">
        <v>67</v>
      </c>
      <c r="B340" t="s">
        <v>69</v>
      </c>
      <c r="C340">
        <v>18</v>
      </c>
      <c r="D340" t="s">
        <v>140</v>
      </c>
      <c r="E340" t="s">
        <v>138</v>
      </c>
      <c r="F340" t="s">
        <v>136</v>
      </c>
      <c r="G340">
        <v>5</v>
      </c>
      <c r="H340">
        <v>2E+20</v>
      </c>
      <c r="I340">
        <v>5</v>
      </c>
      <c r="J340">
        <v>5</v>
      </c>
      <c r="K340">
        <v>5</v>
      </c>
      <c r="L340">
        <v>0</v>
      </c>
      <c r="M34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ScheduledResource</v>
      </c>
      <c r="N340" s="5" cm="1">
        <f t="array" ref="N340">MAX(IF((ProjectInfoTable[ProjectName]=ContinuousStatsTable[[#This Row],[ProjectName]]),(ProjectInfoTable[ProjectName]=ContinuousStatsTable[[#This Row],[ProjectName]])*ProjectInfoTable[NumberOfReplications]))</f>
        <v>19</v>
      </c>
      <c r="O340" s="5" cm="1">
        <f t="array" ref="O340">IFERROR(AVERAGE(IF((ContinuousStatsTable[GroupByKey]=ContinuousStatsTable[[#This Row],[GroupByKey]]),(ContinuousStatsTable[GroupByKey]=ContinuousStatsTable[[#This Row],[GroupByKey]])*ContinuousStatsTable[Average])),0)</f>
        <v>5</v>
      </c>
      <c r="P340" s="5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0</v>
      </c>
      <c r="Q340" s="5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0" s="5" cm="1">
        <f t="array" ref="S340">MIN(IF((ContinuousStatsTable[GroupByKey]=ContinuousStatsTable[[#This Row],[GroupByKey]]),(ContinuousStatsTable[GroupByKey]=ContinuousStatsTable[[#This Row],[GroupByKey]])*ContinuousStatsTable[Average]))</f>
        <v>5</v>
      </c>
      <c r="T340" s="5" cm="1">
        <f t="array" ref="T340">MAX(IF((ContinuousStatsTable[GroupByKey]=ContinuousStatsTable[[#This Row],[GroupByKey]]),(ContinuousStatsTable[GroupByKey]=ContinuousStatsTable[[#This Row],[GroupByKey]])*ContinuousStatsTable[Average]))</f>
        <v>5</v>
      </c>
      <c r="U340" s="5">
        <f>IF((ContinuousStatsTable[[#This Row],[RepsRequested]]&gt;1),ContinuousStatsTable[[#This Row],[HalfWidth]],ContinuousStatsTable[[#This Row],[BatchMeansHalfWidth]])</f>
        <v>0</v>
      </c>
    </row>
    <row r="341" spans="1:21" x14ac:dyDescent="0.25">
      <c r="A341" t="s">
        <v>67</v>
      </c>
      <c r="B341" t="s">
        <v>69</v>
      </c>
      <c r="C341">
        <v>18</v>
      </c>
      <c r="D341" t="s">
        <v>127</v>
      </c>
      <c r="E341" t="s">
        <v>129</v>
      </c>
      <c r="F341" t="s">
        <v>72</v>
      </c>
      <c r="G341">
        <v>0</v>
      </c>
      <c r="H341">
        <v>2E+20</v>
      </c>
      <c r="I341">
        <v>0</v>
      </c>
      <c r="J341">
        <v>1</v>
      </c>
      <c r="K341">
        <v>0</v>
      </c>
      <c r="L341">
        <v>0</v>
      </c>
      <c r="M34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compartida)relojWIPEntity</v>
      </c>
      <c r="N341" s="5" cm="1">
        <f t="array" ref="N341">MAX(IF((ProjectInfoTable[ProjectName]=ContinuousStatsTable[[#This Row],[ProjectName]]),(ProjectInfoTable[ProjectName]=ContinuousStatsTable[[#This Row],[ProjectName]])*ProjectInfoTable[NumberOfReplications]))</f>
        <v>19</v>
      </c>
      <c r="O341" s="5" cm="1">
        <f t="array" ref="O341">IFERROR(AVERAGE(IF((ContinuousStatsTable[GroupByKey]=ContinuousStatsTable[[#This Row],[GroupByKey]]),(ContinuousStatsTable[GroupByKey]=ContinuousStatsTable[[#This Row],[GroupByKey]])*ContinuousStatsTable[Average])),0)</f>
        <v>0</v>
      </c>
      <c r="P341" s="5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0</v>
      </c>
      <c r="Q341" s="5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1" s="5" cm="1">
        <f t="array" ref="S341">MIN(IF((ContinuousStatsTable[GroupByKey]=ContinuousStatsTable[[#This Row],[GroupByKey]]),(ContinuousStatsTable[GroupByKey]=ContinuousStatsTable[[#This Row],[GroupByKey]])*ContinuousStatsTable[Average]))</f>
        <v>0</v>
      </c>
      <c r="T341" s="5" cm="1">
        <f t="array" ref="T341">MAX(IF((ContinuousStatsTable[GroupByKey]=ContinuousStatsTable[[#This Row],[GroupByKey]]),(ContinuousStatsTable[GroupByKey]=ContinuousStatsTable[[#This Row],[GroupByKey]])*ContinuousStatsTable[Average]))</f>
        <v>0</v>
      </c>
      <c r="U341" s="5">
        <f>IF((ContinuousStatsTable[[#This Row],[RepsRequested]]&gt;1),ContinuousStatsTable[[#This Row],[HalfWidth]],ContinuousStatsTable[[#This Row],[BatchMeansHalfWidth]])</f>
        <v>0</v>
      </c>
    </row>
    <row r="342" spans="1:21" x14ac:dyDescent="0.25">
      <c r="A342" t="s">
        <v>67</v>
      </c>
      <c r="B342" t="s">
        <v>69</v>
      </c>
      <c r="C342">
        <v>18</v>
      </c>
      <c r="D342" t="s">
        <v>141</v>
      </c>
      <c r="E342" t="s">
        <v>142</v>
      </c>
      <c r="F342" t="s">
        <v>80</v>
      </c>
      <c r="G342">
        <v>4.2401597194768703</v>
      </c>
      <c r="H342">
        <v>2E+20</v>
      </c>
      <c r="I342">
        <v>0</v>
      </c>
      <c r="J342">
        <v>12</v>
      </c>
      <c r="K342">
        <v>8</v>
      </c>
      <c r="L342">
        <v>0</v>
      </c>
      <c r="M34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compartida)vClientesEnSistemaVariableUser Specified</v>
      </c>
      <c r="N342" s="5" cm="1">
        <f t="array" ref="N342">MAX(IF((ProjectInfoTable[ProjectName]=ContinuousStatsTable[[#This Row],[ProjectName]]),(ProjectInfoTable[ProjectName]=ContinuousStatsTable[[#This Row],[ProjectName]])*ProjectInfoTable[NumberOfReplications]))</f>
        <v>19</v>
      </c>
      <c r="O342" s="5" cm="1">
        <f t="array" ref="O342">IFERROR(AVERAGE(IF((ContinuousStatsTable[GroupByKey]=ContinuousStatsTable[[#This Row],[GroupByKey]]),(ContinuousStatsTable[GroupByKey]=ContinuousStatsTable[[#This Row],[GroupByKey]])*ContinuousStatsTable[Average])),0)</f>
        <v>4.0733776306724412</v>
      </c>
      <c r="P342" s="5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1.3190004331473169</v>
      </c>
      <c r="Q342" s="5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0.63573785879874822</v>
      </c>
      <c r="S342" s="5" cm="1">
        <f t="array" ref="S342">MIN(IF((ContinuousStatsTable[GroupByKey]=ContinuousStatsTable[[#This Row],[GroupByKey]]),(ContinuousStatsTable[GroupByKey]=ContinuousStatsTable[[#This Row],[GroupByKey]])*ContinuousStatsTable[Average]))</f>
        <v>2.7964405882205599</v>
      </c>
      <c r="T342" s="5" cm="1">
        <f t="array" ref="T342">MAX(IF((ContinuousStatsTable[GroupByKey]=ContinuousStatsTable[[#This Row],[GroupByKey]]),(ContinuousStatsTable[GroupByKey]=ContinuousStatsTable[[#This Row],[GroupByKey]])*ContinuousStatsTable[Average]))</f>
        <v>8.8656011818609901</v>
      </c>
      <c r="U342" s="5">
        <f>IF((ContinuousStatsTable[[#This Row],[RepsRequested]]&gt;1),ContinuousStatsTable[[#This Row],[HalfWidth]],ContinuousStatsTable[[#This Row],[BatchMeansHalfWidth]])</f>
        <v>0.63573785879874822</v>
      </c>
    </row>
    <row r="343" spans="1:21" x14ac:dyDescent="0.25">
      <c r="A343" t="s">
        <v>67</v>
      </c>
      <c r="B343" t="s">
        <v>69</v>
      </c>
      <c r="C343">
        <v>18</v>
      </c>
      <c r="D343" t="s">
        <v>143</v>
      </c>
      <c r="E343" t="s">
        <v>142</v>
      </c>
      <c r="F343" t="s">
        <v>80</v>
      </c>
      <c r="G343">
        <v>3.75228553320223</v>
      </c>
      <c r="H343">
        <v>2E+20</v>
      </c>
      <c r="I343">
        <v>2</v>
      </c>
      <c r="J343">
        <v>5</v>
      </c>
      <c r="K343">
        <v>3</v>
      </c>
      <c r="L343">
        <v>0</v>
      </c>
      <c r="M34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compartida)vMesasLibresVariableUser Specified</v>
      </c>
      <c r="N343" s="5" cm="1">
        <f t="array" ref="N343">MAX(IF((ProjectInfoTable[ProjectName]=ContinuousStatsTable[[#This Row],[ProjectName]]),(ProjectInfoTable[ProjectName]=ContinuousStatsTable[[#This Row],[ProjectName]])*ProjectInfoTable[NumberOfReplications]))</f>
        <v>19</v>
      </c>
      <c r="O343" s="5" cm="1">
        <f t="array" ref="O343">IFERROR(AVERAGE(IF((ContinuousStatsTable[GroupByKey]=ContinuousStatsTable[[#This Row],[GroupByKey]]),(ContinuousStatsTable[GroupByKey]=ContinuousStatsTable[[#This Row],[GroupByKey]])*ContinuousStatsTable[Average])),0)</f>
        <v>3.457469452043564</v>
      </c>
      <c r="P343" s="5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0.31293063851465691</v>
      </c>
      <c r="Q343" s="5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0.15082773976588496</v>
      </c>
      <c r="S343" s="5" cm="1">
        <f t="array" ref="S343">MIN(IF((ContinuousStatsTable[GroupByKey]=ContinuousStatsTable[[#This Row],[GroupByKey]]),(ContinuousStatsTable[GroupByKey]=ContinuousStatsTable[[#This Row],[GroupByKey]])*ContinuousStatsTable[Average]))</f>
        <v>2.7528747310006598</v>
      </c>
      <c r="T343" s="5" cm="1">
        <f t="array" ref="T343">MAX(IF((ContinuousStatsTable[GroupByKey]=ContinuousStatsTable[[#This Row],[GroupByKey]]),(ContinuousStatsTable[GroupByKey]=ContinuousStatsTable[[#This Row],[GroupByKey]])*ContinuousStatsTable[Average]))</f>
        <v>4.2189677733987798</v>
      </c>
      <c r="U343" s="5">
        <f>IF((ContinuousStatsTable[[#This Row],[RepsRequested]]&gt;1),ContinuousStatsTable[[#This Row],[HalfWidth]],ContinuousStatsTable[[#This Row],[BatchMeansHalfWidth]])</f>
        <v>0.15082773976588496</v>
      </c>
    </row>
    <row r="344" spans="1:21" x14ac:dyDescent="0.25">
      <c r="A344" t="s">
        <v>67</v>
      </c>
      <c r="B344" t="s">
        <v>69</v>
      </c>
      <c r="C344">
        <v>19</v>
      </c>
      <c r="D344" t="s">
        <v>70</v>
      </c>
      <c r="E344" t="s">
        <v>129</v>
      </c>
      <c r="F344" t="s">
        <v>72</v>
      </c>
      <c r="G344">
        <v>4.4687704609779502</v>
      </c>
      <c r="H344">
        <v>1.01681556380085</v>
      </c>
      <c r="I344">
        <v>0</v>
      </c>
      <c r="J344">
        <v>16</v>
      </c>
      <c r="K344">
        <v>5</v>
      </c>
      <c r="L344">
        <v>0</v>
      </c>
      <c r="M34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compartida)ClienteWIPEntity</v>
      </c>
      <c r="N344" s="5" cm="1">
        <f t="array" ref="N344">MAX(IF((ProjectInfoTable[ProjectName]=ContinuousStatsTable[[#This Row],[ProjectName]]),(ProjectInfoTable[ProjectName]=ContinuousStatsTable[[#This Row],[ProjectName]])*ProjectInfoTable[NumberOfReplications]))</f>
        <v>19</v>
      </c>
      <c r="O344" s="5" cm="1">
        <f t="array" ref="O344">IFERROR(AVERAGE(IF((ContinuousStatsTable[GroupByKey]=ContinuousStatsTable[[#This Row],[GroupByKey]]),(ContinuousStatsTable[GroupByKey]=ContinuousStatsTable[[#This Row],[GroupByKey]])*ContinuousStatsTable[Average])),0)</f>
        <v>5.695207969173218</v>
      </c>
      <c r="P344" s="5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1.5293712224665061</v>
      </c>
      <c r="Q344" s="5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0.7371333335799507</v>
      </c>
      <c r="S344" s="5" cm="1">
        <f t="array" ref="S344">MIN(IF((ContinuousStatsTable[GroupByKey]=ContinuousStatsTable[[#This Row],[GroupByKey]]),(ContinuousStatsTable[GroupByKey]=ContinuousStatsTable[[#This Row],[GroupByKey]])*ContinuousStatsTable[Average]))</f>
        <v>3.6484308227805702</v>
      </c>
      <c r="T344" s="5" cm="1">
        <f t="array" ref="T344">MAX(IF((ContinuousStatsTable[GroupByKey]=ContinuousStatsTable[[#This Row],[GroupByKey]]),(ContinuousStatsTable[GroupByKey]=ContinuousStatsTable[[#This Row],[GroupByKey]])*ContinuousStatsTable[Average]))</f>
        <v>10.9337547677616</v>
      </c>
      <c r="U344" s="5">
        <f>IF((ContinuousStatsTable[[#This Row],[RepsRequested]]&gt;1),ContinuousStatsTable[[#This Row],[HalfWidth]],ContinuousStatsTable[[#This Row],[BatchMeansHalfWidth]])</f>
        <v>0.7371333335799507</v>
      </c>
    </row>
    <row r="345" spans="1:21" x14ac:dyDescent="0.25">
      <c r="A345" t="s">
        <v>67</v>
      </c>
      <c r="B345" t="s">
        <v>69</v>
      </c>
      <c r="C345">
        <v>19</v>
      </c>
      <c r="D345" t="s">
        <v>89</v>
      </c>
      <c r="E345" t="s">
        <v>130</v>
      </c>
      <c r="F345" t="s">
        <v>91</v>
      </c>
      <c r="G345">
        <v>0</v>
      </c>
      <c r="H345">
        <v>2E+20</v>
      </c>
      <c r="I345">
        <v>0</v>
      </c>
      <c r="J345">
        <v>0</v>
      </c>
      <c r="K345">
        <v>0</v>
      </c>
      <c r="L345">
        <v>0</v>
      </c>
      <c r="M34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compartida)Comer en Mesa.QueueNumber WaitingQueue</v>
      </c>
      <c r="N345" s="5" cm="1">
        <f t="array" ref="N345">MAX(IF((ProjectInfoTable[ProjectName]=ContinuousStatsTable[[#This Row],[ProjectName]]),(ProjectInfoTable[ProjectName]=ContinuousStatsTable[[#This Row],[ProjectName]])*ProjectInfoTable[NumberOfReplications]))</f>
        <v>19</v>
      </c>
      <c r="O345" s="5" cm="1">
        <f t="array" ref="O345">IFERROR(AVERAGE(IF((ContinuousStatsTable[GroupByKey]=ContinuousStatsTable[[#This Row],[GroupByKey]]),(ContinuousStatsTable[GroupByKey]=ContinuousStatsTable[[#This Row],[GroupByKey]])*ContinuousStatsTable[Average])),0)</f>
        <v>0</v>
      </c>
      <c r="P345" s="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0</v>
      </c>
      <c r="Q345" s="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5" s="5" cm="1">
        <f t="array" ref="S345">MIN(IF((ContinuousStatsTable[GroupByKey]=ContinuousStatsTable[[#This Row],[GroupByKey]]),(ContinuousStatsTable[GroupByKey]=ContinuousStatsTable[[#This Row],[GroupByKey]])*ContinuousStatsTable[Average]))</f>
        <v>0</v>
      </c>
      <c r="T345" s="5" cm="1">
        <f t="array" ref="T345">MAX(IF((ContinuousStatsTable[GroupByKey]=ContinuousStatsTable[[#This Row],[GroupByKey]]),(ContinuousStatsTable[GroupByKey]=ContinuousStatsTable[[#This Row],[GroupByKey]])*ContinuousStatsTable[Average]))</f>
        <v>0</v>
      </c>
      <c r="U345" s="5">
        <f>IF((ContinuousStatsTable[[#This Row],[RepsRequested]]&gt;1),ContinuousStatsTable[[#This Row],[HalfWidth]],ContinuousStatsTable[[#This Row],[BatchMeansHalfWidth]])</f>
        <v>0</v>
      </c>
    </row>
    <row r="346" spans="1:21" x14ac:dyDescent="0.25">
      <c r="A346" t="s">
        <v>67</v>
      </c>
      <c r="B346" t="s">
        <v>69</v>
      </c>
      <c r="C346">
        <v>19</v>
      </c>
      <c r="D346" t="s">
        <v>92</v>
      </c>
      <c r="E346" t="s">
        <v>130</v>
      </c>
      <c r="F346" t="s">
        <v>91</v>
      </c>
      <c r="G346">
        <v>1.0464529102087901</v>
      </c>
      <c r="H346">
        <v>2E+20</v>
      </c>
      <c r="I346">
        <v>0</v>
      </c>
      <c r="J346">
        <v>6</v>
      </c>
      <c r="K346">
        <v>2</v>
      </c>
      <c r="L346">
        <v>0</v>
      </c>
      <c r="M34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compartida)Entrega pedido.QueueNumber WaitingQueue</v>
      </c>
      <c r="N346" s="5" cm="1">
        <f t="array" ref="N346">MAX(IF((ProjectInfoTable[ProjectName]=ContinuousStatsTable[[#This Row],[ProjectName]]),(ProjectInfoTable[ProjectName]=ContinuousStatsTable[[#This Row],[ProjectName]])*ProjectInfoTable[NumberOfReplications]))</f>
        <v>19</v>
      </c>
      <c r="O346" s="5" cm="1">
        <f t="array" ref="O346">IFERROR(AVERAGE(IF((ContinuousStatsTable[GroupByKey]=ContinuousStatsTable[[#This Row],[GroupByKey]]),(ContinuousStatsTable[GroupByKey]=ContinuousStatsTable[[#This Row],[GroupByKey]])*ContinuousStatsTable[Average])),0)</f>
        <v>1.4415832090470244</v>
      </c>
      <c r="P346" s="5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0.61323545266973079</v>
      </c>
      <c r="Q346" s="5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0.29557002698587687</v>
      </c>
      <c r="S346" s="5" cm="1">
        <f t="array" ref="S346">MIN(IF((ContinuousStatsTable[GroupByKey]=ContinuousStatsTable[[#This Row],[GroupByKey]]),(ContinuousStatsTable[GroupByKey]=ContinuousStatsTable[[#This Row],[GroupByKey]])*ContinuousStatsTable[Average]))</f>
        <v>0.95119347509060603</v>
      </c>
      <c r="T346" s="5" cm="1">
        <f t="array" ref="T346">MAX(IF((ContinuousStatsTable[GroupByKey]=ContinuousStatsTable[[#This Row],[GroupByKey]]),(ContinuousStatsTable[GroupByKey]=ContinuousStatsTable[[#This Row],[GroupByKey]])*ContinuousStatsTable[Average]))</f>
        <v>3.71511779664222</v>
      </c>
      <c r="U346" s="5">
        <f>IF((ContinuousStatsTable[[#This Row],[RepsRequested]]&gt;1),ContinuousStatsTable[[#This Row],[HalfWidth]],ContinuousStatsTable[[#This Row],[BatchMeansHalfWidth]])</f>
        <v>0.29557002698587687</v>
      </c>
    </row>
    <row r="347" spans="1:21" x14ac:dyDescent="0.25">
      <c r="A347" t="s">
        <v>67</v>
      </c>
      <c r="B347" t="s">
        <v>69</v>
      </c>
      <c r="C347">
        <v>19</v>
      </c>
      <c r="D347" t="s">
        <v>131</v>
      </c>
      <c r="E347" t="s">
        <v>129</v>
      </c>
      <c r="F347" t="s">
        <v>72</v>
      </c>
      <c r="G347">
        <v>2.4241059375224698</v>
      </c>
      <c r="H347">
        <v>2E+20</v>
      </c>
      <c r="I347">
        <v>0</v>
      </c>
      <c r="J347">
        <v>8</v>
      </c>
      <c r="K347">
        <v>3</v>
      </c>
      <c r="L347">
        <v>0</v>
      </c>
      <c r="M34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compartida)OrdenWIPEntity</v>
      </c>
      <c r="N347" s="5" cm="1">
        <f t="array" ref="N347">MAX(IF((ProjectInfoTable[ProjectName]=ContinuousStatsTable[[#This Row],[ProjectName]]),(ProjectInfoTable[ProjectName]=ContinuousStatsTable[[#This Row],[ProjectName]])*ProjectInfoTable[NumberOfReplications]))</f>
        <v>19</v>
      </c>
      <c r="O347" s="5" cm="1">
        <f t="array" ref="O347">IFERROR(AVERAGE(IF((ContinuousStatsTable[GroupByKey]=ContinuousStatsTable[[#This Row],[GroupByKey]]),(ContinuousStatsTable[GroupByKey]=ContinuousStatsTable[[#This Row],[GroupByKey]])*ContinuousStatsTable[Average])),0)</f>
        <v>3.0972744691234286</v>
      </c>
      <c r="P347" s="5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0.7960145604449721</v>
      </c>
      <c r="Q347" s="5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0.38366673695655462</v>
      </c>
      <c r="S347" s="5" cm="1">
        <f t="array" ref="S347">MIN(IF((ContinuousStatsTable[GroupByKey]=ContinuousStatsTable[[#This Row],[GroupByKey]]),(ContinuousStatsTable[GroupByKey]=ContinuousStatsTable[[#This Row],[GroupByKey]])*ContinuousStatsTable[Average]))</f>
        <v>2.0609398302211299</v>
      </c>
      <c r="T347" s="5" cm="1">
        <f t="array" ref="T347">MAX(IF((ContinuousStatsTable[GroupByKey]=ContinuousStatsTable[[#This Row],[GroupByKey]]),(ContinuousStatsTable[GroupByKey]=ContinuousStatsTable[[#This Row],[GroupByKey]])*ContinuousStatsTable[Average]))</f>
        <v>5.8229936047650703</v>
      </c>
      <c r="U347" s="5">
        <f>IF((ContinuousStatsTable[[#This Row],[RepsRequested]]&gt;1),ContinuousStatsTable[[#This Row],[HalfWidth]],ContinuousStatsTable[[#This Row],[BatchMeansHalfWidth]])</f>
        <v>0.38366673695655462</v>
      </c>
    </row>
    <row r="348" spans="1:21" x14ac:dyDescent="0.25">
      <c r="A348" t="s">
        <v>67</v>
      </c>
      <c r="B348" t="s">
        <v>69</v>
      </c>
      <c r="C348">
        <v>19</v>
      </c>
      <c r="D348" t="s">
        <v>99</v>
      </c>
      <c r="E348" t="s">
        <v>130</v>
      </c>
      <c r="F348" t="s">
        <v>91</v>
      </c>
      <c r="G348">
        <v>0.236662915260097</v>
      </c>
      <c r="H348">
        <v>2E+20</v>
      </c>
      <c r="I348">
        <v>0</v>
      </c>
      <c r="J348">
        <v>3</v>
      </c>
      <c r="K348">
        <v>1</v>
      </c>
      <c r="L348">
        <v>0</v>
      </c>
      <c r="M34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compartida)Pasar a Caja.QueueNumber WaitingQueue</v>
      </c>
      <c r="N348" s="5" cm="1">
        <f t="array" ref="N348">MAX(IF((ProjectInfoTable[ProjectName]=ContinuousStatsTable[[#This Row],[ProjectName]]),(ProjectInfoTable[ProjectName]=ContinuousStatsTable[[#This Row],[ProjectName]])*ProjectInfoTable[NumberOfReplications]))</f>
        <v>19</v>
      </c>
      <c r="O348" s="5" cm="1">
        <f t="array" ref="O348">IFERROR(AVERAGE(IF((ContinuousStatsTable[GroupByKey]=ContinuousStatsTable[[#This Row],[GroupByKey]]),(ContinuousStatsTable[GroupByKey]=ContinuousStatsTable[[#This Row],[GroupByKey]])*ContinuousStatsTable[Average])),0)</f>
        <v>0.5234663348541454</v>
      </c>
      <c r="P348" s="5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0.51706251909874834</v>
      </c>
      <c r="Q348" s="5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0.24921615679273348</v>
      </c>
      <c r="S348" s="5" cm="1">
        <f t="array" ref="S348">MIN(IF((ContinuousStatsTable[GroupByKey]=ContinuousStatsTable[[#This Row],[GroupByKey]]),(ContinuousStatsTable[GroupByKey]=ContinuousStatsTable[[#This Row],[GroupByKey]])*ContinuousStatsTable[Average]))</f>
        <v>0.17506464523350199</v>
      </c>
      <c r="T348" s="5" cm="1">
        <f t="array" ref="T348">MAX(IF((ContinuousStatsTable[GroupByKey]=ContinuousStatsTable[[#This Row],[GroupByKey]]),(ContinuousStatsTable[GroupByKey]=ContinuousStatsTable[[#This Row],[GroupByKey]])*ContinuousStatsTable[Average]))</f>
        <v>2.4783528335268201</v>
      </c>
      <c r="U348" s="5">
        <f>IF((ContinuousStatsTable[[#This Row],[RepsRequested]]&gt;1),ContinuousStatsTable[[#This Row],[HalfWidth]],ContinuousStatsTable[[#This Row],[BatchMeansHalfWidth]])</f>
        <v>0.24921615679273348</v>
      </c>
    </row>
    <row r="349" spans="1:21" x14ac:dyDescent="0.25">
      <c r="A349" t="s">
        <v>67</v>
      </c>
      <c r="B349" t="s">
        <v>69</v>
      </c>
      <c r="C349">
        <v>19</v>
      </c>
      <c r="D349" t="s">
        <v>104</v>
      </c>
      <c r="E349" t="s">
        <v>130</v>
      </c>
      <c r="F349" t="s">
        <v>91</v>
      </c>
      <c r="G349">
        <v>0.20943845943658701</v>
      </c>
      <c r="H349">
        <v>2E+20</v>
      </c>
      <c r="I349">
        <v>0</v>
      </c>
      <c r="J349">
        <v>4</v>
      </c>
      <c r="K349">
        <v>0</v>
      </c>
      <c r="L349">
        <v>0</v>
      </c>
      <c r="M34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compartida)Preparacion.QueueNumber WaitingQueue</v>
      </c>
      <c r="N349" s="5" cm="1">
        <f t="array" ref="N349">MAX(IF((ProjectInfoTable[ProjectName]=ContinuousStatsTable[[#This Row],[ProjectName]]),(ProjectInfoTable[ProjectName]=ContinuousStatsTable[[#This Row],[ProjectName]])*ProjectInfoTable[NumberOfReplications]))</f>
        <v>19</v>
      </c>
      <c r="O349" s="5" cm="1">
        <f t="array" ref="O349">IFERROR(AVERAGE(IF((ContinuousStatsTable[GroupByKey]=ContinuousStatsTable[[#This Row],[GroupByKey]]),(ContinuousStatsTable[GroupByKey]=ContinuousStatsTable[[#This Row],[GroupByKey]])*ContinuousStatsTable[Average])),0)</f>
        <v>0.48138063122984937</v>
      </c>
      <c r="P349" s="5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0.5430727934303009</v>
      </c>
      <c r="Q349" s="5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0.26175270772536113</v>
      </c>
      <c r="S349" s="5" cm="1">
        <f t="array" ref="S349">MIN(IF((ContinuousStatsTable[GroupByKey]=ContinuousStatsTable[[#This Row],[GroupByKey]]),(ContinuousStatsTable[GroupByKey]=ContinuousStatsTable[[#This Row],[GroupByKey]])*ContinuousStatsTable[Average]))</f>
        <v>0.13383910219346701</v>
      </c>
      <c r="T349" s="5" cm="1">
        <f t="array" ref="T349">MAX(IF((ContinuousStatsTable[GroupByKey]=ContinuousStatsTable[[#This Row],[GroupByKey]]),(ContinuousStatsTable[GroupByKey]=ContinuousStatsTable[[#This Row],[GroupByKey]])*ContinuousStatsTable[Average]))</f>
        <v>2.5739205922552402</v>
      </c>
      <c r="U349" s="5">
        <f>IF((ContinuousStatsTable[[#This Row],[RepsRequested]]&gt;1),ContinuousStatsTable[[#This Row],[HalfWidth]],ContinuousStatsTable[[#This Row],[BatchMeansHalfWidth]])</f>
        <v>0.26175270772536113</v>
      </c>
    </row>
    <row r="350" spans="1:21" x14ac:dyDescent="0.25">
      <c r="A350" t="s">
        <v>67</v>
      </c>
      <c r="B350" t="s">
        <v>69</v>
      </c>
      <c r="C350">
        <v>19</v>
      </c>
      <c r="D350" t="s">
        <v>132</v>
      </c>
      <c r="E350" t="s">
        <v>133</v>
      </c>
      <c r="F350" t="s">
        <v>80</v>
      </c>
      <c r="G350">
        <v>1.2650604347210901</v>
      </c>
      <c r="H350">
        <v>2E+20</v>
      </c>
      <c r="I350">
        <v>0</v>
      </c>
      <c r="J350">
        <v>4</v>
      </c>
      <c r="K350">
        <v>1</v>
      </c>
      <c r="L350">
        <v>0</v>
      </c>
      <c r="M35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compartida)TP_MesasTime PersistentUser Specified</v>
      </c>
      <c r="N350" s="5" cm="1">
        <f t="array" ref="N350">MAX(IF((ProjectInfoTable[ProjectName]=ContinuousStatsTable[[#This Row],[ProjectName]]),(ProjectInfoTable[ProjectName]=ContinuousStatsTable[[#This Row],[ProjectName]])*ProjectInfoTable[NumberOfReplications]))</f>
        <v>19</v>
      </c>
      <c r="O350" s="5" cm="1">
        <f t="array" ref="O350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350" s="5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350" s="5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350" s="5" cm="1">
        <f t="array" ref="S350">MIN(IF((ContinuousStatsTable[GroupByKey]=ContinuousStatsTable[[#This Row],[GroupByKey]]),(ContinuousStatsTable[GroupByKey]=ContinuousStatsTable[[#This Row],[GroupByKey]])*ContinuousStatsTable[Average]))</f>
        <v>0.78103222660121896</v>
      </c>
      <c r="T350" s="5" cm="1">
        <f t="array" ref="T350">MAX(IF((ContinuousStatsTable[GroupByKey]=ContinuousStatsTable[[#This Row],[GroupByKey]]),(ContinuousStatsTable[GroupByKey]=ContinuousStatsTable[[#This Row],[GroupByKey]])*ContinuousStatsTable[Average]))</f>
        <v>2.2471252689993402</v>
      </c>
      <c r="U350" s="5">
        <f>IF((ContinuousStatsTable[[#This Row],[RepsRequested]]&gt;1),ContinuousStatsTable[[#This Row],[HalfWidth]],ContinuousStatsTable[[#This Row],[BatchMeansHalfWidth]])</f>
        <v>0.15082773976588459</v>
      </c>
    </row>
    <row r="351" spans="1:21" x14ac:dyDescent="0.25">
      <c r="A351" t="s">
        <v>67</v>
      </c>
      <c r="B351" t="s">
        <v>69</v>
      </c>
      <c r="C351">
        <v>19</v>
      </c>
      <c r="D351" t="s">
        <v>134</v>
      </c>
      <c r="E351" t="s">
        <v>135</v>
      </c>
      <c r="F351" t="s">
        <v>136</v>
      </c>
      <c r="G351">
        <v>0.65224560006994103</v>
      </c>
      <c r="H351">
        <v>2E+20</v>
      </c>
      <c r="I351">
        <v>0</v>
      </c>
      <c r="J351">
        <v>1</v>
      </c>
      <c r="K351">
        <v>1</v>
      </c>
      <c r="L351">
        <v>0</v>
      </c>
      <c r="M35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compartida)rCajeroInstantaneous UtilizationResource</v>
      </c>
      <c r="N351" s="5" cm="1">
        <f t="array" ref="N351">MAX(IF((ProjectInfoTable[ProjectName]=ContinuousStatsTable[[#This Row],[ProjectName]]),(ProjectInfoTable[ProjectName]=ContinuousStatsTable[[#This Row],[ProjectName]])*ProjectInfoTable[NumberOfReplications]))</f>
        <v>19</v>
      </c>
      <c r="O351" s="5" cm="1">
        <f t="array" ref="O351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351" s="5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6.2272947935973086E-2</v>
      </c>
      <c r="Q351" s="5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3.0014600137344912E-2</v>
      </c>
      <c r="S351" s="5" cm="1">
        <f t="array" ref="S351">MIN(IF((ContinuousStatsTable[GroupByKey]=ContinuousStatsTable[[#This Row],[GroupByKey]]),(ContinuousStatsTable[GroupByKey]=ContinuousStatsTable[[#This Row],[GroupByKey]])*ContinuousStatsTable[Average]))</f>
        <v>0.59592290927233305</v>
      </c>
      <c r="T351" s="5" cm="1">
        <f t="array" ref="T351">MAX(IF((ContinuousStatsTable[GroupByKey]=ContinuousStatsTable[[#This Row],[GroupByKey]]),(ContinuousStatsTable[GroupByKey]=ContinuousStatsTable[[#This Row],[GroupByKey]])*ContinuousStatsTable[Average]))</f>
        <v>0.82897119936997599</v>
      </c>
      <c r="U351" s="5">
        <f>IF((ContinuousStatsTable[[#This Row],[RepsRequested]]&gt;1),ContinuousStatsTable[[#This Row],[HalfWidth]],ContinuousStatsTable[[#This Row],[BatchMeansHalfWidth]])</f>
        <v>3.0014600137344912E-2</v>
      </c>
    </row>
    <row r="352" spans="1:21" x14ac:dyDescent="0.25">
      <c r="A352" t="s">
        <v>67</v>
      </c>
      <c r="B352" t="s">
        <v>69</v>
      </c>
      <c r="C352">
        <v>19</v>
      </c>
      <c r="D352" t="s">
        <v>134</v>
      </c>
      <c r="E352" t="s">
        <v>137</v>
      </c>
      <c r="F352" t="s">
        <v>136</v>
      </c>
      <c r="G352">
        <v>0.65224560006994103</v>
      </c>
      <c r="H352">
        <v>2E+20</v>
      </c>
      <c r="I352">
        <v>0</v>
      </c>
      <c r="J352">
        <v>1</v>
      </c>
      <c r="K352">
        <v>1</v>
      </c>
      <c r="L352">
        <v>0</v>
      </c>
      <c r="M35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BusyResource</v>
      </c>
      <c r="N352" s="5" cm="1">
        <f t="array" ref="N352">MAX(IF((ProjectInfoTable[ProjectName]=ContinuousStatsTable[[#This Row],[ProjectName]]),(ProjectInfoTable[ProjectName]=ContinuousStatsTable[[#This Row],[ProjectName]])*ProjectInfoTable[NumberOfReplications]))</f>
        <v>19</v>
      </c>
      <c r="O352" s="5" cm="1">
        <f t="array" ref="O352">IFERROR(AVERAGE(IF((ContinuousStatsTable[GroupByKey]=ContinuousStatsTable[[#This Row],[GroupByKey]]),(ContinuousStatsTable[GroupByKey]=ContinuousStatsTable[[#This Row],[GroupByKey]])*ContinuousStatsTable[Average])),0)</f>
        <v>0.68474836505339687</v>
      </c>
      <c r="P352" s="5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6.2272947935973065E-2</v>
      </c>
      <c r="Q352" s="5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3.0014600137344902E-2</v>
      </c>
      <c r="S352" s="5" cm="1">
        <f t="array" ref="S352">MIN(IF((ContinuousStatsTable[GroupByKey]=ContinuousStatsTable[[#This Row],[GroupByKey]]),(ContinuousStatsTable[GroupByKey]=ContinuousStatsTable[[#This Row],[GroupByKey]])*ContinuousStatsTable[Average]))</f>
        <v>0.59592290927233305</v>
      </c>
      <c r="T352" s="5" cm="1">
        <f t="array" ref="T352">MAX(IF((ContinuousStatsTable[GroupByKey]=ContinuousStatsTable[[#This Row],[GroupByKey]]),(ContinuousStatsTable[GroupByKey]=ContinuousStatsTable[[#This Row],[GroupByKey]])*ContinuousStatsTable[Average]))</f>
        <v>0.82897119936997599</v>
      </c>
      <c r="U352" s="5">
        <f>IF((ContinuousStatsTable[[#This Row],[RepsRequested]]&gt;1),ContinuousStatsTable[[#This Row],[HalfWidth]],ContinuousStatsTable[[#This Row],[BatchMeansHalfWidth]])</f>
        <v>3.0014600137344902E-2</v>
      </c>
    </row>
    <row r="353" spans="1:21" x14ac:dyDescent="0.25">
      <c r="A353" t="s">
        <v>67</v>
      </c>
      <c r="B353" t="s">
        <v>69</v>
      </c>
      <c r="C353">
        <v>19</v>
      </c>
      <c r="D353" t="s">
        <v>134</v>
      </c>
      <c r="E353" t="s">
        <v>138</v>
      </c>
      <c r="F353" t="s">
        <v>136</v>
      </c>
      <c r="G353">
        <v>1</v>
      </c>
      <c r="H353">
        <v>2E+20</v>
      </c>
      <c r="I353">
        <v>1</v>
      </c>
      <c r="J353">
        <v>1</v>
      </c>
      <c r="K353">
        <v>1</v>
      </c>
      <c r="L353">
        <v>0</v>
      </c>
      <c r="M353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compartida)rCajeroNumber ScheduledResource</v>
      </c>
      <c r="N353" s="5" cm="1">
        <f t="array" ref="N353">MAX(IF((ProjectInfoTable[ProjectName]=ContinuousStatsTable[[#This Row],[ProjectName]]),(ProjectInfoTable[ProjectName]=ContinuousStatsTable[[#This Row],[ProjectName]])*ProjectInfoTable[NumberOfReplications]))</f>
        <v>19</v>
      </c>
      <c r="O353" s="5" cm="1">
        <f t="array" ref="O353">IFERROR(AVERAGE(IF((ContinuousStatsTable[GroupByKey]=ContinuousStatsTable[[#This Row],[GroupByKey]]),(ContinuousStatsTable[GroupByKey]=ContinuousStatsTable[[#This Row],[GroupByKey]])*ContinuousStatsTable[Average])),0)</f>
        <v>1</v>
      </c>
      <c r="P353" s="5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0</v>
      </c>
      <c r="Q353" s="5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3" s="5" cm="1">
        <f t="array" ref="S353">MIN(IF((ContinuousStatsTable[GroupByKey]=ContinuousStatsTable[[#This Row],[GroupByKey]]),(ContinuousStatsTable[GroupByKey]=ContinuousStatsTable[[#This Row],[GroupByKey]])*ContinuousStatsTable[Average]))</f>
        <v>1</v>
      </c>
      <c r="T353" s="5" cm="1">
        <f t="array" ref="T353">MAX(IF((ContinuousStatsTable[GroupByKey]=ContinuousStatsTable[[#This Row],[GroupByKey]]),(ContinuousStatsTable[GroupByKey]=ContinuousStatsTable[[#This Row],[GroupByKey]])*ContinuousStatsTable[Average]))</f>
        <v>1</v>
      </c>
      <c r="U353" s="5">
        <f>IF((ContinuousStatsTable[[#This Row],[RepsRequested]]&gt;1),ContinuousStatsTable[[#This Row],[HalfWidth]],ContinuousStatsTable[[#This Row],[BatchMeansHalfWidth]])</f>
        <v>0</v>
      </c>
    </row>
    <row r="354" spans="1:21" x14ac:dyDescent="0.25">
      <c r="A354" t="s">
        <v>67</v>
      </c>
      <c r="B354" t="s">
        <v>69</v>
      </c>
      <c r="C354">
        <v>19</v>
      </c>
      <c r="D354" t="s">
        <v>139</v>
      </c>
      <c r="E354" t="s">
        <v>135</v>
      </c>
      <c r="F354" t="s">
        <v>136</v>
      </c>
      <c r="G354">
        <v>0.63808039454691601</v>
      </c>
      <c r="H354">
        <v>2E+20</v>
      </c>
      <c r="I354">
        <v>0</v>
      </c>
      <c r="J354">
        <v>1</v>
      </c>
      <c r="K354">
        <v>1</v>
      </c>
      <c r="L354">
        <v>0</v>
      </c>
      <c r="M354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compartida)rCocinaInstantaneous UtilizationResource</v>
      </c>
      <c r="N354" s="5" cm="1">
        <f t="array" ref="N354">MAX(IF((ProjectInfoTable[ProjectName]=ContinuousStatsTable[[#This Row],[ProjectName]]),(ProjectInfoTable[ProjectName]=ContinuousStatsTable[[#This Row],[ProjectName]])*ProjectInfoTable[NumberOfReplications]))</f>
        <v>19</v>
      </c>
      <c r="O354" s="5" cm="1">
        <f t="array" ref="O354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354" s="5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354" s="5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354" s="5" cm="1">
        <f t="array" ref="S354">MIN(IF((ContinuousStatsTable[GroupByKey]=ContinuousStatsTable[[#This Row],[GroupByKey]]),(ContinuousStatsTable[GroupByKey]=ContinuousStatsTable[[#This Row],[GroupByKey]])*ContinuousStatsTable[Average]))</f>
        <v>0.60463940272025996</v>
      </c>
      <c r="T354" s="5" cm="1">
        <f t="array" ref="T354">MAX(IF((ContinuousStatsTable[GroupByKey]=ContinuousStatsTable[[#This Row],[GroupByKey]]),(ContinuousStatsTable[GroupByKey]=ContinuousStatsTable[[#This Row],[GroupByKey]])*ContinuousStatsTable[Average]))</f>
        <v>0.86361037821575004</v>
      </c>
      <c r="U354" s="5">
        <f>IF((ContinuousStatsTable[[#This Row],[RepsRequested]]&gt;1),ContinuousStatsTable[[#This Row],[HalfWidth]],ContinuousStatsTable[[#This Row],[BatchMeansHalfWidth]])</f>
        <v>3.4176212493127585E-2</v>
      </c>
    </row>
    <row r="355" spans="1:21" x14ac:dyDescent="0.25">
      <c r="A355" t="s">
        <v>67</v>
      </c>
      <c r="B355" t="s">
        <v>69</v>
      </c>
      <c r="C355">
        <v>19</v>
      </c>
      <c r="D355" t="s">
        <v>139</v>
      </c>
      <c r="E355" t="s">
        <v>137</v>
      </c>
      <c r="F355" t="s">
        <v>136</v>
      </c>
      <c r="G355">
        <v>0.63808039454691601</v>
      </c>
      <c r="H355">
        <v>2E+20</v>
      </c>
      <c r="I355">
        <v>0</v>
      </c>
      <c r="J355">
        <v>1</v>
      </c>
      <c r="K355">
        <v>1</v>
      </c>
      <c r="L355">
        <v>0</v>
      </c>
      <c r="M355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BusyResource</v>
      </c>
      <c r="N355" s="5" cm="1">
        <f t="array" ref="N355">MAX(IF((ProjectInfoTable[ProjectName]=ContinuousStatsTable[[#This Row],[ProjectName]]),(ProjectInfoTable[ProjectName]=ContinuousStatsTable[[#This Row],[ProjectName]])*ProjectInfoTable[NumberOfReplications]))</f>
        <v>19</v>
      </c>
      <c r="O355" s="5" cm="1">
        <f t="array" ref="O355">IFERROR(AVERAGE(IF((ContinuousStatsTable[GroupByKey]=ContinuousStatsTable[[#This Row],[GroupByKey]]),(ContinuousStatsTable[GroupByKey]=ContinuousStatsTable[[#This Row],[GroupByKey]])*ContinuousStatsTable[Average])),0)</f>
        <v>0.71670342302257706</v>
      </c>
      <c r="P355" s="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7.0907274842727658E-2</v>
      </c>
      <c r="Q355" s="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3.4176212493127585E-2</v>
      </c>
      <c r="S355" s="5" cm="1">
        <f t="array" ref="S355">MIN(IF((ContinuousStatsTable[GroupByKey]=ContinuousStatsTable[[#This Row],[GroupByKey]]),(ContinuousStatsTable[GroupByKey]=ContinuousStatsTable[[#This Row],[GroupByKey]])*ContinuousStatsTable[Average]))</f>
        <v>0.60463940272025996</v>
      </c>
      <c r="T355" s="5" cm="1">
        <f t="array" ref="T355">MAX(IF((ContinuousStatsTable[GroupByKey]=ContinuousStatsTable[[#This Row],[GroupByKey]]),(ContinuousStatsTable[GroupByKey]=ContinuousStatsTable[[#This Row],[GroupByKey]])*ContinuousStatsTable[Average]))</f>
        <v>0.86361037821575004</v>
      </c>
      <c r="U355" s="5">
        <f>IF((ContinuousStatsTable[[#This Row],[RepsRequested]]&gt;1),ContinuousStatsTable[[#This Row],[HalfWidth]],ContinuousStatsTable[[#This Row],[BatchMeansHalfWidth]])</f>
        <v>3.4176212493127585E-2</v>
      </c>
    </row>
    <row r="356" spans="1:21" x14ac:dyDescent="0.25">
      <c r="A356" t="s">
        <v>67</v>
      </c>
      <c r="B356" t="s">
        <v>69</v>
      </c>
      <c r="C356">
        <v>19</v>
      </c>
      <c r="D356" t="s">
        <v>139</v>
      </c>
      <c r="E356" t="s">
        <v>138</v>
      </c>
      <c r="F356" t="s">
        <v>136</v>
      </c>
      <c r="G356">
        <v>1</v>
      </c>
      <c r="H356">
        <v>2E+20</v>
      </c>
      <c r="I356">
        <v>1</v>
      </c>
      <c r="J356">
        <v>1</v>
      </c>
      <c r="K356">
        <v>1</v>
      </c>
      <c r="L356">
        <v>0</v>
      </c>
      <c r="M356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compartida)rCocinaNumber ScheduledResource</v>
      </c>
      <c r="N356" s="5" cm="1">
        <f t="array" ref="N356">MAX(IF((ProjectInfoTable[ProjectName]=ContinuousStatsTable[[#This Row],[ProjectName]]),(ProjectInfoTable[ProjectName]=ContinuousStatsTable[[#This Row],[ProjectName]])*ProjectInfoTable[NumberOfReplications]))</f>
        <v>19</v>
      </c>
      <c r="O356" s="5" cm="1">
        <f t="array" ref="O356">IFERROR(AVERAGE(IF((ContinuousStatsTable[GroupByKey]=ContinuousStatsTable[[#This Row],[GroupByKey]]),(ContinuousStatsTable[GroupByKey]=ContinuousStatsTable[[#This Row],[GroupByKey]])*ContinuousStatsTable[Average])),0)</f>
        <v>1</v>
      </c>
      <c r="P356" s="5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0</v>
      </c>
      <c r="Q356" s="5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6" s="5" cm="1">
        <f t="array" ref="S356">MIN(IF((ContinuousStatsTable[GroupByKey]=ContinuousStatsTable[[#This Row],[GroupByKey]]),(ContinuousStatsTable[GroupByKey]=ContinuousStatsTable[[#This Row],[GroupByKey]])*ContinuousStatsTable[Average]))</f>
        <v>1</v>
      </c>
      <c r="T356" s="5" cm="1">
        <f t="array" ref="T356">MAX(IF((ContinuousStatsTable[GroupByKey]=ContinuousStatsTable[[#This Row],[GroupByKey]]),(ContinuousStatsTable[GroupByKey]=ContinuousStatsTable[[#This Row],[GroupByKey]])*ContinuousStatsTable[Average]))</f>
        <v>1</v>
      </c>
      <c r="U356" s="5">
        <f>IF((ContinuousStatsTable[[#This Row],[RepsRequested]]&gt;1),ContinuousStatsTable[[#This Row],[HalfWidth]],ContinuousStatsTable[[#This Row],[BatchMeansHalfWidth]])</f>
        <v>0</v>
      </c>
    </row>
    <row r="357" spans="1:21" x14ac:dyDescent="0.25">
      <c r="A357" t="s">
        <v>67</v>
      </c>
      <c r="B357" t="s">
        <v>69</v>
      </c>
      <c r="C357">
        <v>19</v>
      </c>
      <c r="D357" t="s">
        <v>140</v>
      </c>
      <c r="E357" t="s">
        <v>135</v>
      </c>
      <c r="F357" t="s">
        <v>136</v>
      </c>
      <c r="G357">
        <v>0.25301208694421801</v>
      </c>
      <c r="H357">
        <v>2E+20</v>
      </c>
      <c r="I357">
        <v>0</v>
      </c>
      <c r="J357">
        <v>0.8</v>
      </c>
      <c r="K357">
        <v>0.2</v>
      </c>
      <c r="L357">
        <v>0</v>
      </c>
      <c r="M357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compartida)rMesaInstantaneous UtilizationResource</v>
      </c>
      <c r="N357" s="5" cm="1">
        <f t="array" ref="N357">MAX(IF((ProjectInfoTable[ProjectName]=ContinuousStatsTable[[#This Row],[ProjectName]]),(ProjectInfoTable[ProjectName]=ContinuousStatsTable[[#This Row],[ProjectName]])*ProjectInfoTable[NumberOfReplications]))</f>
        <v>19</v>
      </c>
      <c r="O357" s="5" cm="1">
        <f t="array" ref="O357">IFERROR(AVERAGE(IF((ContinuousStatsTable[GroupByKey]=ContinuousStatsTable[[#This Row],[GroupByKey]]),(ContinuousStatsTable[GroupByKey]=ContinuousStatsTable[[#This Row],[GroupByKey]])*ContinuousStatsTable[Average])),0)</f>
        <v>0.30850610959128738</v>
      </c>
      <c r="P357" s="5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6.2586127702931413E-2</v>
      </c>
      <c r="Q357" s="5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3.0165547953177007E-2</v>
      </c>
      <c r="S357" s="5" cm="1">
        <f t="array" ref="S357">MIN(IF((ContinuousStatsTable[GroupByKey]=ContinuousStatsTable[[#This Row],[GroupByKey]]),(ContinuousStatsTable[GroupByKey]=ContinuousStatsTable[[#This Row],[GroupByKey]])*ContinuousStatsTable[Average]))</f>
        <v>0.156206445320244</v>
      </c>
      <c r="T357" s="5" cm="1">
        <f t="array" ref="T357">MAX(IF((ContinuousStatsTable[GroupByKey]=ContinuousStatsTable[[#This Row],[GroupByKey]]),(ContinuousStatsTable[GroupByKey]=ContinuousStatsTable[[#This Row],[GroupByKey]])*ContinuousStatsTable[Average]))</f>
        <v>0.44942505379986802</v>
      </c>
      <c r="U357" s="5">
        <f>IF((ContinuousStatsTable[[#This Row],[RepsRequested]]&gt;1),ContinuousStatsTable[[#This Row],[HalfWidth]],ContinuousStatsTable[[#This Row],[BatchMeansHalfWidth]])</f>
        <v>3.0165547953177007E-2</v>
      </c>
    </row>
    <row r="358" spans="1:21" x14ac:dyDescent="0.25">
      <c r="A358" t="s">
        <v>67</v>
      </c>
      <c r="B358" t="s">
        <v>69</v>
      </c>
      <c r="C358">
        <v>19</v>
      </c>
      <c r="D358" t="s">
        <v>140</v>
      </c>
      <c r="E358" t="s">
        <v>137</v>
      </c>
      <c r="F358" t="s">
        <v>136</v>
      </c>
      <c r="G358">
        <v>1.2650604347210901</v>
      </c>
      <c r="H358">
        <v>2E+20</v>
      </c>
      <c r="I358">
        <v>0</v>
      </c>
      <c r="J358">
        <v>4</v>
      </c>
      <c r="K358">
        <v>1</v>
      </c>
      <c r="L358">
        <v>0</v>
      </c>
      <c r="M358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BusyResource</v>
      </c>
      <c r="N358" s="5" cm="1">
        <f t="array" ref="N358">MAX(IF((ProjectInfoTable[ProjectName]=ContinuousStatsTable[[#This Row],[ProjectName]]),(ProjectInfoTable[ProjectName]=ContinuousStatsTable[[#This Row],[ProjectName]])*ProjectInfoTable[NumberOfReplications]))</f>
        <v>19</v>
      </c>
      <c r="O358" s="5" cm="1">
        <f t="array" ref="O358">IFERROR(AVERAGE(IF((ContinuousStatsTable[GroupByKey]=ContinuousStatsTable[[#This Row],[GroupByKey]]),(ContinuousStatsTable[GroupByKey]=ContinuousStatsTable[[#This Row],[GroupByKey]])*ContinuousStatsTable[Average])),0)</f>
        <v>1.5425305479564364</v>
      </c>
      <c r="P358" s="5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0.31293063851465613</v>
      </c>
      <c r="Q358" s="5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0.15082773976588459</v>
      </c>
      <c r="S358" s="5" cm="1">
        <f t="array" ref="S358">MIN(IF((ContinuousStatsTable[GroupByKey]=ContinuousStatsTable[[#This Row],[GroupByKey]]),(ContinuousStatsTable[GroupByKey]=ContinuousStatsTable[[#This Row],[GroupByKey]])*ContinuousStatsTable[Average]))</f>
        <v>0.78103222660121896</v>
      </c>
      <c r="T358" s="5" cm="1">
        <f t="array" ref="T358">MAX(IF((ContinuousStatsTable[GroupByKey]=ContinuousStatsTable[[#This Row],[GroupByKey]]),(ContinuousStatsTable[GroupByKey]=ContinuousStatsTable[[#This Row],[GroupByKey]])*ContinuousStatsTable[Average]))</f>
        <v>2.2471252689993402</v>
      </c>
      <c r="U358" s="5">
        <f>IF((ContinuousStatsTable[[#This Row],[RepsRequested]]&gt;1),ContinuousStatsTable[[#This Row],[HalfWidth]],ContinuousStatsTable[[#This Row],[BatchMeansHalfWidth]])</f>
        <v>0.15082773976588459</v>
      </c>
    </row>
    <row r="359" spans="1:21" x14ac:dyDescent="0.25">
      <c r="A359" t="s">
        <v>67</v>
      </c>
      <c r="B359" t="s">
        <v>69</v>
      </c>
      <c r="C359">
        <v>19</v>
      </c>
      <c r="D359" t="s">
        <v>140</v>
      </c>
      <c r="E359" t="s">
        <v>138</v>
      </c>
      <c r="F359" t="s">
        <v>136</v>
      </c>
      <c r="G359">
        <v>5</v>
      </c>
      <c r="H359">
        <v>2E+20</v>
      </c>
      <c r="I359">
        <v>5</v>
      </c>
      <c r="J359">
        <v>5</v>
      </c>
      <c r="K359">
        <v>5</v>
      </c>
      <c r="L359">
        <v>0</v>
      </c>
      <c r="M359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compartida)rMesaNumber ScheduledResource</v>
      </c>
      <c r="N359" s="5" cm="1">
        <f t="array" ref="N359">MAX(IF((ProjectInfoTable[ProjectName]=ContinuousStatsTable[[#This Row],[ProjectName]]),(ProjectInfoTable[ProjectName]=ContinuousStatsTable[[#This Row],[ProjectName]])*ProjectInfoTable[NumberOfReplications]))</f>
        <v>19</v>
      </c>
      <c r="O359" s="5" cm="1">
        <f t="array" ref="O359">IFERROR(AVERAGE(IF((ContinuousStatsTable[GroupByKey]=ContinuousStatsTable[[#This Row],[GroupByKey]]),(ContinuousStatsTable[GroupByKey]=ContinuousStatsTable[[#This Row],[GroupByKey]])*ContinuousStatsTable[Average])),0)</f>
        <v>5</v>
      </c>
      <c r="P359" s="5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0</v>
      </c>
      <c r="Q359" s="5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9" s="5" cm="1">
        <f t="array" ref="S359">MIN(IF((ContinuousStatsTable[GroupByKey]=ContinuousStatsTable[[#This Row],[GroupByKey]]),(ContinuousStatsTable[GroupByKey]=ContinuousStatsTable[[#This Row],[GroupByKey]])*ContinuousStatsTable[Average]))</f>
        <v>5</v>
      </c>
      <c r="T359" s="5" cm="1">
        <f t="array" ref="T359">MAX(IF((ContinuousStatsTable[GroupByKey]=ContinuousStatsTable[[#This Row],[GroupByKey]]),(ContinuousStatsTable[GroupByKey]=ContinuousStatsTable[[#This Row],[GroupByKey]])*ContinuousStatsTable[Average]))</f>
        <v>5</v>
      </c>
      <c r="U359" s="5">
        <f>IF((ContinuousStatsTable[[#This Row],[RepsRequested]]&gt;1),ContinuousStatsTable[[#This Row],[HalfWidth]],ContinuousStatsTable[[#This Row],[BatchMeansHalfWidth]])</f>
        <v>0</v>
      </c>
    </row>
    <row r="360" spans="1:21" x14ac:dyDescent="0.25">
      <c r="A360" t="s">
        <v>67</v>
      </c>
      <c r="B360" t="s">
        <v>69</v>
      </c>
      <c r="C360">
        <v>19</v>
      </c>
      <c r="D360" t="s">
        <v>127</v>
      </c>
      <c r="E360" t="s">
        <v>129</v>
      </c>
      <c r="F360" t="s">
        <v>72</v>
      </c>
      <c r="G360">
        <v>0</v>
      </c>
      <c r="H360">
        <v>2E+20</v>
      </c>
      <c r="I360">
        <v>0</v>
      </c>
      <c r="J360">
        <v>1</v>
      </c>
      <c r="K360">
        <v>0</v>
      </c>
      <c r="L360">
        <v>0</v>
      </c>
      <c r="M360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compartida)relojWIPEntity</v>
      </c>
      <c r="N360" s="5" cm="1">
        <f t="array" ref="N360">MAX(IF((ProjectInfoTable[ProjectName]=ContinuousStatsTable[[#This Row],[ProjectName]]),(ProjectInfoTable[ProjectName]=ContinuousStatsTable[[#This Row],[ProjectName]])*ProjectInfoTable[NumberOfReplications]))</f>
        <v>19</v>
      </c>
      <c r="O360" s="5" cm="1">
        <f t="array" ref="O360">IFERROR(AVERAGE(IF((ContinuousStatsTable[GroupByKey]=ContinuousStatsTable[[#This Row],[GroupByKey]]),(ContinuousStatsTable[GroupByKey]=ContinuousStatsTable[[#This Row],[GroupByKey]])*ContinuousStatsTable[Average])),0)</f>
        <v>0</v>
      </c>
      <c r="P360" s="5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0</v>
      </c>
      <c r="Q360" s="5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0" s="5" cm="1">
        <f t="array" ref="S360">MIN(IF((ContinuousStatsTable[GroupByKey]=ContinuousStatsTable[[#This Row],[GroupByKey]]),(ContinuousStatsTable[GroupByKey]=ContinuousStatsTable[[#This Row],[GroupByKey]])*ContinuousStatsTable[Average]))</f>
        <v>0</v>
      </c>
      <c r="T360" s="5" cm="1">
        <f t="array" ref="T360">MAX(IF((ContinuousStatsTable[GroupByKey]=ContinuousStatsTable[[#This Row],[GroupByKey]]),(ContinuousStatsTable[GroupByKey]=ContinuousStatsTable[[#This Row],[GroupByKey]])*ContinuousStatsTable[Average]))</f>
        <v>0</v>
      </c>
      <c r="U360" s="5">
        <f>IF((ContinuousStatsTable[[#This Row],[RepsRequested]]&gt;1),ContinuousStatsTable[[#This Row],[HalfWidth]],ContinuousStatsTable[[#This Row],[BatchMeansHalfWidth]])</f>
        <v>0</v>
      </c>
    </row>
    <row r="361" spans="1:21" x14ac:dyDescent="0.25">
      <c r="A361" t="s">
        <v>67</v>
      </c>
      <c r="B361" t="s">
        <v>69</v>
      </c>
      <c r="C361">
        <v>19</v>
      </c>
      <c r="D361" t="s">
        <v>141</v>
      </c>
      <c r="E361" t="s">
        <v>142</v>
      </c>
      <c r="F361" t="s">
        <v>80</v>
      </c>
      <c r="G361">
        <v>3.1252841003309202</v>
      </c>
      <c r="H361">
        <v>2E+20</v>
      </c>
      <c r="I361">
        <v>0</v>
      </c>
      <c r="J361">
        <v>10</v>
      </c>
      <c r="K361">
        <v>4</v>
      </c>
      <c r="L361">
        <v>0</v>
      </c>
      <c r="M361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compartida)vClientesEnSistemaVariableUser Specified</v>
      </c>
      <c r="N361" s="5" cm="1">
        <f t="array" ref="N361">MAX(IF((ProjectInfoTable[ProjectName]=ContinuousStatsTable[[#This Row],[ProjectName]]),(ProjectInfoTable[ProjectName]=ContinuousStatsTable[[#This Row],[ProjectName]])*ProjectInfoTable[NumberOfReplications]))</f>
        <v>19</v>
      </c>
      <c r="O361" s="5" cm="1">
        <f t="array" ref="O361">IFERROR(AVERAGE(IF((ContinuousStatsTable[GroupByKey]=ContinuousStatsTable[[#This Row],[GroupByKey]]),(ContinuousStatsTable[GroupByKey]=ContinuousStatsTable[[#This Row],[GroupByKey]])*ContinuousStatsTable[Average])),0)</f>
        <v>4.0733776306724412</v>
      </c>
      <c r="P361" s="5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1.3190004331473169</v>
      </c>
      <c r="Q361" s="5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0.63573785879874822</v>
      </c>
      <c r="S361" s="5" cm="1">
        <f t="array" ref="S361">MIN(IF((ContinuousStatsTable[GroupByKey]=ContinuousStatsTable[[#This Row],[GroupByKey]]),(ContinuousStatsTable[GroupByKey]=ContinuousStatsTable[[#This Row],[GroupByKey]])*ContinuousStatsTable[Average]))</f>
        <v>2.7964405882205599</v>
      </c>
      <c r="T361" s="5" cm="1">
        <f t="array" ref="T361">MAX(IF((ContinuousStatsTable[GroupByKey]=ContinuousStatsTable[[#This Row],[GroupByKey]]),(ContinuousStatsTable[GroupByKey]=ContinuousStatsTable[[#This Row],[GroupByKey]])*ContinuousStatsTable[Average]))</f>
        <v>8.8656011818609901</v>
      </c>
      <c r="U361" s="5">
        <f>IF((ContinuousStatsTable[[#This Row],[RepsRequested]]&gt;1),ContinuousStatsTable[[#This Row],[HalfWidth]],ContinuousStatsTable[[#This Row],[BatchMeansHalfWidth]])</f>
        <v>0.63573785879874822</v>
      </c>
    </row>
    <row r="362" spans="1:21" x14ac:dyDescent="0.25">
      <c r="A362" t="s">
        <v>67</v>
      </c>
      <c r="B362" t="s">
        <v>69</v>
      </c>
      <c r="C362">
        <v>19</v>
      </c>
      <c r="D362" t="s">
        <v>143</v>
      </c>
      <c r="E362" t="s">
        <v>142</v>
      </c>
      <c r="F362" t="s">
        <v>80</v>
      </c>
      <c r="G362">
        <v>3.7349395652789101</v>
      </c>
      <c r="H362">
        <v>2E+20</v>
      </c>
      <c r="I362">
        <v>1</v>
      </c>
      <c r="J362">
        <v>5</v>
      </c>
      <c r="K362">
        <v>4</v>
      </c>
      <c r="L362">
        <v>0</v>
      </c>
      <c r="M362" s="5" t="str">
        <f>ContinuousStatsTable[[#This Row],[ProjectName]]&amp;ContinuousStatsTable[[#This Row],[Name]]&amp;ContinuousStatsTable[[#This Row],[Type]]&amp;ContinuousStatsTable[[#This Row],[Source]]</f>
        <v>Friday (Solucion: datafono, gofre, cocina y caja compartida)vMesasLibresVariableUser Specified</v>
      </c>
      <c r="N362" s="5" cm="1">
        <f t="array" ref="N362">MAX(IF((ProjectInfoTable[ProjectName]=ContinuousStatsTable[[#This Row],[ProjectName]]),(ProjectInfoTable[ProjectName]=ContinuousStatsTable[[#This Row],[ProjectName]])*ProjectInfoTable[NumberOfReplications]))</f>
        <v>19</v>
      </c>
      <c r="O362" s="5" cm="1">
        <f t="array" ref="O362">IFERROR(AVERAGE(IF((ContinuousStatsTable[GroupByKey]=ContinuousStatsTable[[#This Row],[GroupByKey]]),(ContinuousStatsTable[GroupByKey]=ContinuousStatsTable[[#This Row],[GroupByKey]])*ContinuousStatsTable[Average])),0)</f>
        <v>3.457469452043564</v>
      </c>
      <c r="P362" s="5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0.31293063851465691</v>
      </c>
      <c r="Q362" s="5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0.15082773976588496</v>
      </c>
      <c r="S362" s="5" cm="1">
        <f t="array" ref="S362">MIN(IF((ContinuousStatsTable[GroupByKey]=ContinuousStatsTable[[#This Row],[GroupByKey]]),(ContinuousStatsTable[GroupByKey]=ContinuousStatsTable[[#This Row],[GroupByKey]])*ContinuousStatsTable[Average]))</f>
        <v>2.7528747310006598</v>
      </c>
      <c r="T362" s="5" cm="1">
        <f t="array" ref="T362">MAX(IF((ContinuousStatsTable[GroupByKey]=ContinuousStatsTable[[#This Row],[GroupByKey]]),(ContinuousStatsTable[GroupByKey]=ContinuousStatsTable[[#This Row],[GroupByKey]])*ContinuousStatsTable[Average]))</f>
        <v>4.2189677733987798</v>
      </c>
      <c r="U362" s="5">
        <f>IF((ContinuousStatsTable[[#This Row],[RepsRequested]]&gt;1),ContinuousStatsTable[[#This Row],[HalfWidth]],ContinuousStatsTable[[#This Row],[BatchMeansHalfWidth]])</f>
        <v>0.15082773976588496</v>
      </c>
    </row>
  </sheetData>
  <phoneticPr fontId="2" type="noConversion"/>
  <conditionalFormatting sqref="H2:H362">
    <cfRule type="expression" dxfId="11" priority="9">
      <formula>H2=200000000000000000000</formula>
    </cfRule>
  </conditionalFormatting>
  <conditionalFormatting sqref="H2:H362">
    <cfRule type="expression" dxfId="10" priority="7">
      <formula>H2=300000000000000000000</formula>
    </cfRule>
  </conditionalFormatting>
  <conditionalFormatting sqref="M2:U362">
    <cfRule type="expression" dxfId="9" priority="5">
      <formula>MOD(ROW(),2)=0</formula>
    </cfRule>
  </conditionalFormatting>
  <conditionalFormatting sqref="U2:U362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362 U2:U362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baseColWidth="10" defaultColWidth="9.140625" defaultRowHeight="15" x14ac:dyDescent="0.25"/>
  <cols>
    <col min="1" max="1" width="14.85546875" bestFit="1" customWidth="1"/>
    <col min="2" max="2" width="22.140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6.85546875" bestFit="1" customWidth="1"/>
    <col min="8" max="8" width="14.28515625" bestFit="1" customWidth="1"/>
    <col min="9" max="9" width="17.140625" bestFit="1" customWidth="1"/>
    <col min="10" max="10" width="10.5703125" bestFit="1" customWidth="1"/>
    <col min="11" max="11" width="19.85546875" bestFit="1" customWidth="1"/>
    <col min="12" max="12" width="20.42578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400"/>
  <sheetViews>
    <sheetView workbookViewId="0">
      <selection activeCell="A2" sqref="A2:H31"/>
    </sheetView>
  </sheetViews>
  <sheetFormatPr baseColWidth="10" defaultColWidth="9.140625" defaultRowHeight="15" x14ac:dyDescent="0.25"/>
  <cols>
    <col min="1" max="1" width="54" bestFit="1" customWidth="1"/>
    <col min="2" max="2" width="22.140625" bestFit="1" customWidth="1"/>
    <col min="3" max="3" width="13.28515625" bestFit="1" customWidth="1"/>
    <col min="4" max="4" width="30.85546875" bestFit="1" customWidth="1"/>
    <col min="5" max="5" width="20" bestFit="1" customWidth="1"/>
    <col min="6" max="6" width="9.28515625" bestFit="1" customWidth="1"/>
    <col min="7" max="7" width="16.85546875" bestFit="1" customWidth="1"/>
    <col min="8" max="8" width="12" bestFit="1" customWidth="1"/>
    <col min="9" max="9" width="81.140625" bestFit="1" customWidth="1"/>
    <col min="10" max="10" width="17.140625" bestFit="1" customWidth="1"/>
    <col min="11" max="11" width="12" bestFit="1" customWidth="1"/>
    <col min="12" max="12" width="19.85546875" bestFit="1" customWidth="1"/>
    <col min="13" max="13" width="20.42578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69</v>
      </c>
      <c r="C2">
        <v>1</v>
      </c>
      <c r="D2" t="s">
        <v>144</v>
      </c>
      <c r="E2" t="s">
        <v>145</v>
      </c>
      <c r="F2" t="s">
        <v>72</v>
      </c>
      <c r="G2">
        <v>427</v>
      </c>
      <c r="H2">
        <v>0</v>
      </c>
      <c r="I2" t="str">
        <f>OutputTable[[#This Row],[ProjectName]]&amp;OutputTable[[#This Row],[Name]]&amp;OutputTable[[#This Row],[Type]]&amp;OutputTable[[#This Row],[Source]]</f>
        <v>Friday (Solucion: datafono, gofre, cocina y caja compartida)Cliente.NumberInNumber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19</v>
      </c>
      <c r="K2" cm="1">
        <f t="array" ref="K2">IFERROR(AVERAGE(IF((OutputTable[GroupByKey]=OutputTable[[#This Row],[GroupByKey]]),(OutputTable[GroupByKey]=OutputTable[[#This Row],[GroupByKey]])*OutputTable[RecordedValue])),0)</f>
        <v>366.21052631578948</v>
      </c>
      <c r="L2" cm="1">
        <f t="array" ref="L2">IFERROR(_xlfn.STDEV.S(IF((OutputTable[GroupByKey]=OutputTable[[#This Row],[GroupByKey]]),(OutputTable[GroupByKey]=OutputTable[[#This Row],[GroupByKey]])*OutputTable[RecordedValue])),0)</f>
        <v>28.665850661580702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13.816497752584581</v>
      </c>
      <c r="O2" cm="1">
        <f t="array" ref="O2">MIN(IF((OutputTable[GroupByKey]=OutputTable[[#This Row],[GroupByKey]]),(OutputTable[GroupByKey]=OutputTable[[#This Row],[GroupByKey]])*OutputTable[RecordedValue]))</f>
        <v>331</v>
      </c>
      <c r="P2" cm="1">
        <f t="array" ref="P2">MAX(IF((OutputTable[GroupByKey]=OutputTable[[#This Row],[GroupByKey]]),(OutputTable[GroupByKey]=OutputTable[[#This Row],[GroupByKey]])*OutputTable[RecordedValue]))</f>
        <v>427</v>
      </c>
    </row>
    <row r="3" spans="1:16" x14ac:dyDescent="0.25">
      <c r="A3" t="s">
        <v>67</v>
      </c>
      <c r="B3" t="s">
        <v>69</v>
      </c>
      <c r="C3">
        <v>1</v>
      </c>
      <c r="D3" t="s">
        <v>146</v>
      </c>
      <c r="E3" t="s">
        <v>147</v>
      </c>
      <c r="F3" t="s">
        <v>72</v>
      </c>
      <c r="G3">
        <v>443</v>
      </c>
      <c r="H3">
        <v>0</v>
      </c>
      <c r="I3" t="str">
        <f>OutputTable[[#This Row],[ProjectName]]&amp;OutputTable[[#This Row],[Name]]&amp;OutputTable[[#This Row],[Type]]&amp;OutputTable[[#This Row],[Source]]</f>
        <v>Friday (Solucion: datafono, gofre, cocina y caja compartida)Cliente.NumberOutNumber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19</v>
      </c>
      <c r="K3" cm="1">
        <f t="array" ref="K3">IFERROR(AVERAGE(IF((OutputTable[GroupByKey]=OutputTable[[#This Row],[GroupByKey]]),(OutputTable[GroupByKey]=OutputTable[[#This Row],[GroupByKey]])*OutputTable[RecordedValue])),0)</f>
        <v>366.63157894736844</v>
      </c>
      <c r="L3" cm="1">
        <f t="array" ref="L3">IFERROR(_xlfn.STDEV.S(IF((OutputTable[GroupByKey]=OutputTable[[#This Row],[GroupByKey]]),(OutputTable[GroupByKey]=OutputTable[[#This Row],[GroupByKey]])*OutputTable[RecordedValue])),0)</f>
        <v>29.957767544617038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14.439181758083874</v>
      </c>
      <c r="O3" cm="1">
        <f t="array" ref="O3">MIN(IF((OutputTable[GroupByKey]=OutputTable[[#This Row],[GroupByKey]]),(OutputTable[GroupByKey]=OutputTable[[#This Row],[GroupByKey]])*OutputTable[RecordedValue]))</f>
        <v>329</v>
      </c>
      <c r="P3" cm="1">
        <f t="array" ref="P3">MAX(IF((OutputTable[GroupByKey]=OutputTable[[#This Row],[GroupByKey]]),(OutputTable[GroupByKey]=OutputTable[[#This Row],[GroupByKey]])*OutputTable[RecordedValue]))</f>
        <v>443</v>
      </c>
    </row>
    <row r="4" spans="1:16" x14ac:dyDescent="0.25">
      <c r="A4" t="s">
        <v>67</v>
      </c>
      <c r="B4" t="s">
        <v>69</v>
      </c>
      <c r="C4">
        <v>1</v>
      </c>
      <c r="D4" t="s">
        <v>148</v>
      </c>
      <c r="E4" t="s">
        <v>149</v>
      </c>
      <c r="F4" t="s">
        <v>86</v>
      </c>
      <c r="G4">
        <v>402.97015039838902</v>
      </c>
      <c r="H4">
        <v>0</v>
      </c>
      <c r="I4" t="str">
        <f>OutputTable[[#This Row],[ProjectName]]&amp;OutputTable[[#This Row],[Name]]&amp;OutputTable[[#This Row],[Type]]&amp;OutputTable[[#This Row],[Source]]</f>
        <v>Friday (Solucion: datafono, gofre, cocina y caja compartida)Comer en Mesa Accum VA TimeAccum VA TimeProcess</v>
      </c>
      <c r="J4" cm="1">
        <f t="array" ref="J4">MAX(IF((ProjectInfoTable[ProjectName]=OutputTable[[#This Row],[ProjectName]]),(ProjectInfoTable[ProjectName]=OutputTable[[#This Row],[ProjectName]])*ProjectInfoTable[NumberOfReplications]))</f>
        <v>19</v>
      </c>
      <c r="K4" cm="1">
        <f t="array" ref="K4">IFERROR(AVERAGE(IF((OutputTable[GroupByKey]=OutputTable[[#This Row],[GroupByKey]]),(OutputTable[GroupByKey]=OutputTable[[#This Row],[GroupByKey]])*OutputTable[RecordedValue])),0)</f>
        <v>283.12549562397913</v>
      </c>
      <c r="L4" cm="1">
        <f t="array" ref="L4">IFERROR(_xlfn.STDEV.S(IF((OutputTable[GroupByKey]=OutputTable[[#This Row],[GroupByKey]]),(OutputTable[GroupByKey]=OutputTable[[#This Row],[GroupByKey]])*OutputTable[RecordedValue])),0)</f>
        <v>55.763238037894645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26.877020400444863</v>
      </c>
      <c r="O4" cm="1">
        <f t="array" ref="O4">MIN(IF((OutputTable[GroupByKey]=OutputTable[[#This Row],[GroupByKey]]),(OutputTable[GroupByKey]=OutputTable[[#This Row],[GroupByKey]])*OutputTable[RecordedValue]))</f>
        <v>157.05073652574001</v>
      </c>
      <c r="P4" cm="1">
        <f t="array" ref="P4">MAX(IF((OutputTable[GroupByKey]=OutputTable[[#This Row],[GroupByKey]]),(OutputTable[GroupByKey]=OutputTable[[#This Row],[GroupByKey]])*OutputTable[RecordedValue]))</f>
        <v>402.97015039838902</v>
      </c>
    </row>
    <row r="5" spans="1:16" x14ac:dyDescent="0.25">
      <c r="A5" t="s">
        <v>67</v>
      </c>
      <c r="B5" t="s">
        <v>69</v>
      </c>
      <c r="C5">
        <v>1</v>
      </c>
      <c r="D5" t="s">
        <v>150</v>
      </c>
      <c r="E5" t="s">
        <v>151</v>
      </c>
      <c r="F5" t="s">
        <v>86</v>
      </c>
      <c r="G5">
        <v>0</v>
      </c>
      <c r="H5">
        <v>0</v>
      </c>
      <c r="I5" t="str">
        <f>OutputTable[[#This Row],[ProjectName]]&amp;OutputTable[[#This Row],[Name]]&amp;OutputTable[[#This Row],[Type]]&amp;OutputTable[[#This Row],[Source]]</f>
        <v>Friday (Solucion: datafono, gofre, cocina y caja compartida)Comer en Mesa Accum Wait TimeAccum Wait TimeProcess</v>
      </c>
      <c r="J5" cm="1">
        <f t="array" ref="J5">MAX(IF((ProjectInfoTable[ProjectName]=OutputTable[[#This Row],[ProjectName]]),(ProjectInfoTable[ProjectName]=OutputTable[[#This Row],[ProjectName]])*ProjectInfoTable[NumberOfReplications]))</f>
        <v>19</v>
      </c>
      <c r="K5" cm="1">
        <f t="array" ref="K5">IFERROR(AVERAGE(IF((OutputTable[GroupByKey]=OutputTable[[#This Row],[GroupByKey]]),(OutputTable[GroupByKey]=OutputTable[[#This Row],[GroupByKey]])*OutputTable[RecordedValue])),0)</f>
        <v>0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" cm="1">
        <f t="array" ref="O5">MIN(IF((OutputTable[GroupByKey]=OutputTable[[#This Row],[GroupByKey]]),(OutputTable[GroupByKey]=OutputTable[[#This Row],[GroupByKey]])*OutputTable[RecordedValue]))</f>
        <v>0</v>
      </c>
      <c r="P5" cm="1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25">
      <c r="A6" t="s">
        <v>67</v>
      </c>
      <c r="B6" t="s">
        <v>69</v>
      </c>
      <c r="C6">
        <v>1</v>
      </c>
      <c r="D6" t="s">
        <v>152</v>
      </c>
      <c r="E6" t="s">
        <v>145</v>
      </c>
      <c r="F6" t="s">
        <v>86</v>
      </c>
      <c r="G6">
        <v>19</v>
      </c>
      <c r="H6">
        <v>0</v>
      </c>
      <c r="I6" t="str">
        <f>OutputTable[[#This Row],[ProjectName]]&amp;OutputTable[[#This Row],[Name]]&amp;OutputTable[[#This Row],[Type]]&amp;OutputTable[[#This Row],[Source]]</f>
        <v>Friday (Solucion: datafono, gofre, cocina y caja compartida)Comer en Mesa Number InNumber InProcess</v>
      </c>
      <c r="J6" cm="1">
        <f t="array" ref="J6">MAX(IF((ProjectInfoTable[ProjectName]=OutputTable[[#This Row],[ProjectName]]),(ProjectInfoTable[ProjectName]=OutputTable[[#This Row],[ProjectName]])*ProjectInfoTable[NumberOfReplications]))</f>
        <v>19</v>
      </c>
      <c r="K6" cm="1">
        <f t="array" ref="K6">IFERROR(AVERAGE(IF((OutputTable[GroupByKey]=OutputTable[[#This Row],[GroupByKey]]),(OutputTable[GroupByKey]=OutputTable[[#This Row],[GroupByKey]])*OutputTable[RecordedValue])),0)</f>
        <v>16.157894736842106</v>
      </c>
      <c r="L6" cm="1">
        <f t="array" ref="L6">IFERROR(_xlfn.STDEV.S(IF((OutputTable[GroupByKey]=OutputTable[[#This Row],[GroupByKey]]),(OutputTable[GroupByKey]=OutputTable[[#This Row],[GroupByKey]])*OutputTable[RecordedValue])),0)</f>
        <v>3.8044295512634076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6" cm="1">
        <f t="array" ref="O6">MIN(IF((OutputTable[GroupByKey]=OutputTable[[#This Row],[GroupByKey]]),(OutputTable[GroupByKey]=OutputTable[[#This Row],[GroupByKey]])*OutputTable[RecordedValue]))</f>
        <v>9</v>
      </c>
      <c r="P6" cm="1">
        <f t="array" ref="P6">MAX(IF((OutputTable[GroupByKey]=OutputTable[[#This Row],[GroupByKey]]),(OutputTable[GroupByKey]=OutputTable[[#This Row],[GroupByKey]])*OutputTable[RecordedValue]))</f>
        <v>24</v>
      </c>
    </row>
    <row r="7" spans="1:16" x14ac:dyDescent="0.25">
      <c r="A7" t="s">
        <v>67</v>
      </c>
      <c r="B7" t="s">
        <v>69</v>
      </c>
      <c r="C7">
        <v>1</v>
      </c>
      <c r="D7" t="s">
        <v>153</v>
      </c>
      <c r="E7" t="s">
        <v>147</v>
      </c>
      <c r="F7" t="s">
        <v>86</v>
      </c>
      <c r="G7">
        <v>19</v>
      </c>
      <c r="H7">
        <v>0</v>
      </c>
      <c r="I7" t="str">
        <f>OutputTable[[#This Row],[ProjectName]]&amp;OutputTable[[#This Row],[Name]]&amp;OutputTable[[#This Row],[Type]]&amp;OutputTable[[#This Row],[Source]]</f>
        <v>Friday (Solucion: datafono, gofre, cocina y caja compartida)Comer en Mesa Number OutNumber OutProcess</v>
      </c>
      <c r="J7" cm="1">
        <f t="array" ref="J7">MAX(IF((ProjectInfoTable[ProjectName]=OutputTable[[#This Row],[ProjectName]]),(ProjectInfoTable[ProjectName]=OutputTable[[#This Row],[ProjectName]])*ProjectInfoTable[NumberOfReplications]))</f>
        <v>19</v>
      </c>
      <c r="K7" cm="1">
        <f t="array" ref="K7">IFERROR(AVERAGE(IF((OutputTable[GroupByKey]=OutputTable[[#This Row],[GroupByKey]]),(OutputTable[GroupByKey]=OutputTable[[#This Row],[GroupByKey]])*OutputTable[RecordedValue])),0)</f>
        <v>16.263157894736842</v>
      </c>
      <c r="L7" cm="1">
        <f t="array" ref="L7">IFERROR(_xlfn.STDEV.S(IF((OutputTable[GroupByKey]=OutputTable[[#This Row],[GroupByKey]]),(OutputTable[GroupByKey]=OutputTable[[#This Row],[GroupByKey]])*OutputTable[RecordedValue])),0)</f>
        <v>3.3803698887540881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1.6292861329062698</v>
      </c>
      <c r="O7" cm="1">
        <f t="array" ref="O7">MIN(IF((OutputTable[GroupByKey]=OutputTable[[#This Row],[GroupByKey]]),(OutputTable[GroupByKey]=OutputTable[[#This Row],[GroupByKey]])*OutputTable[RecordedValue]))</f>
        <v>8</v>
      </c>
      <c r="P7" cm="1">
        <f t="array" ref="P7">MAX(IF((OutputTable[GroupByKey]=OutputTable[[#This Row],[GroupByKey]]),(OutputTable[GroupByKey]=OutputTable[[#This Row],[GroupByKey]])*OutputTable[RecordedValue]))</f>
        <v>22</v>
      </c>
    </row>
    <row r="8" spans="1:16" x14ac:dyDescent="0.25">
      <c r="A8" t="s">
        <v>67</v>
      </c>
      <c r="B8" t="s">
        <v>69</v>
      </c>
      <c r="C8">
        <v>1</v>
      </c>
      <c r="D8" t="s">
        <v>154</v>
      </c>
      <c r="E8" t="s">
        <v>145</v>
      </c>
      <c r="F8" t="s">
        <v>72</v>
      </c>
      <c r="G8">
        <v>143</v>
      </c>
      <c r="H8">
        <v>0</v>
      </c>
      <c r="I8" t="str">
        <f>OutputTable[[#This Row],[ProjectName]]&amp;OutputTable[[#This Row],[Name]]&amp;OutputTable[[#This Row],[Type]]&amp;OutputTable[[#This Row],[Source]]</f>
        <v>Friday (Solucion: datafono, gofre, cocina y caja compartida)Orden.NumberInNumber InEntity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19</v>
      </c>
      <c r="K8" cm="1">
        <f t="array" ref="K8">IFERROR(AVERAGE(IF((OutputTable[GroupByKey]=OutputTable[[#This Row],[GroupByKey]]),(OutputTable[GroupByKey]=OutputTable[[#This Row],[GroupByKey]])*OutputTable[RecordedValue])),0)</f>
        <v>121.89473684210526</v>
      </c>
      <c r="L8" cm="1">
        <f t="array" ref="L8">IFERROR(_xlfn.STDEV.S(IF((OutputTable[GroupByKey]=OutputTable[[#This Row],[GroupByKey]]),(OutputTable[GroupByKey]=OutputTable[[#This Row],[GroupByKey]])*OutputTable[RecordedValue])),0)</f>
        <v>9.971597090637573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8" cm="1">
        <f t="array" ref="O8">MIN(IF((OutputTable[GroupByKey]=OutputTable[[#This Row],[GroupByKey]]),(OutputTable[GroupByKey]=OutputTable[[#This Row],[GroupByKey]])*OutputTable[RecordedValue]))</f>
        <v>109</v>
      </c>
      <c r="P8" cm="1">
        <f t="array" ref="P8">MAX(IF((OutputTable[GroupByKey]=OutputTable[[#This Row],[GroupByKey]]),(OutputTable[GroupByKey]=OutputTable[[#This Row],[GroupByKey]])*OutputTable[RecordedValue]))</f>
        <v>143</v>
      </c>
    </row>
    <row r="9" spans="1:16" x14ac:dyDescent="0.25">
      <c r="A9" t="s">
        <v>67</v>
      </c>
      <c r="B9" t="s">
        <v>69</v>
      </c>
      <c r="C9">
        <v>1</v>
      </c>
      <c r="D9" t="s">
        <v>155</v>
      </c>
      <c r="E9" t="s">
        <v>147</v>
      </c>
      <c r="F9" t="s">
        <v>72</v>
      </c>
      <c r="G9">
        <v>150</v>
      </c>
      <c r="H9">
        <v>0</v>
      </c>
      <c r="I9" t="str">
        <f>OutputTable[[#This Row],[ProjectName]]&amp;OutputTable[[#This Row],[Name]]&amp;OutputTable[[#This Row],[Type]]&amp;OutputTable[[#This Row],[Source]]</f>
        <v>Friday (Solucion: datafono, gofre, cocina y caja compartida)Orden.NumberOutNumber OutEntity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19</v>
      </c>
      <c r="K9" cm="1">
        <f t="array" ref="K9">IFERROR(AVERAGE(IF((OutputTable[GroupByKey]=OutputTable[[#This Row],[GroupByKey]]),(OutputTable[GroupByKey]=OutputTable[[#This Row],[GroupByKey]])*OutputTable[RecordedValue])),0)</f>
        <v>122.36842105263158</v>
      </c>
      <c r="L9" cm="1">
        <f t="array" ref="L9">IFERROR(_xlfn.STDEV.S(IF((OutputTable[GroupByKey]=OutputTable[[#This Row],[GroupByKey]]),(OutputTable[GroupByKey]=OutputTable[[#This Row],[GroupByKey]])*OutputTable[RecordedValue])),0)</f>
        <v>10.160984894934533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9" cm="1">
        <f t="array" ref="O9">MIN(IF((OutputTable[GroupByKey]=OutputTable[[#This Row],[GroupByKey]]),(OutputTable[GroupByKey]=OutputTable[[#This Row],[GroupByKey]])*OutputTable[RecordedValue]))</f>
        <v>109</v>
      </c>
      <c r="P9" cm="1">
        <f t="array" ref="P9">MAX(IF((OutputTable[GroupByKey]=OutputTable[[#This Row],[GroupByKey]]),(OutputTable[GroupByKey]=OutputTable[[#This Row],[GroupByKey]])*OutputTable[RecordedValue]))</f>
        <v>150</v>
      </c>
    </row>
    <row r="10" spans="1:16" x14ac:dyDescent="0.25">
      <c r="A10" t="s">
        <v>67</v>
      </c>
      <c r="B10" t="s">
        <v>69</v>
      </c>
      <c r="C10">
        <v>1</v>
      </c>
      <c r="D10" t="s">
        <v>156</v>
      </c>
      <c r="E10" t="s">
        <v>149</v>
      </c>
      <c r="F10" t="s">
        <v>86</v>
      </c>
      <c r="G10">
        <v>210.18722493890999</v>
      </c>
      <c r="H10">
        <v>0</v>
      </c>
      <c r="I10" t="str">
        <f>OutputTable[[#This Row],[ProjectName]]&amp;OutputTable[[#This Row],[Name]]&amp;OutputTable[[#This Row],[Type]]&amp;OutputTable[[#This Row],[Source]]</f>
        <v>Friday (Solucion: datafono, gofre, cocina y caja compartida)Preparacion Accum VA TimeAccum VA TimeProcess</v>
      </c>
      <c r="J10" cm="1">
        <f t="array" ref="J10">MAX(IF((ProjectInfoTable[ProjectName]=OutputTable[[#This Row],[ProjectName]]),(ProjectInfoTable[ProjectName]=OutputTable[[#This Row],[ProjectName]])*ProjectInfoTable[NumberOfReplications]))</f>
        <v>19</v>
      </c>
      <c r="K10" cm="1">
        <f t="array" ref="K10">IFERROR(AVERAGE(IF((OutputTable[GroupByKey]=OutputTable[[#This Row],[GroupByKey]]),(OutputTable[GroupByKey]=OutputTable[[#This Row],[GroupByKey]])*OutputTable[RecordedValue])),0)</f>
        <v>174.13537587676447</v>
      </c>
      <c r="L10" cm="1">
        <f t="array" ref="L10">IFERROR(_xlfn.STDEV.S(IF((OutputTable[GroupByKey]=OutputTable[[#This Row],[GroupByKey]]),(OutputTable[GroupByKey]=OutputTable[[#This Row],[GroupByKey]])*OutputTable[RecordedValue])),0)</f>
        <v>19.65074675456297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9.4713567574295272</v>
      </c>
      <c r="O10" cm="1">
        <f t="array" ref="O10">MIN(IF((OutputTable[GroupByKey]=OutputTable[[#This Row],[GroupByKey]]),(OutputTable[GroupByKey]=OutputTable[[#This Row],[GroupByKey]])*OutputTable[RecordedValue]))</f>
        <v>139.22471453685199</v>
      </c>
      <c r="P10" cm="1">
        <f t="array" ref="P10">MAX(IF((OutputTable[GroupByKey]=OutputTable[[#This Row],[GroupByKey]]),(OutputTable[GroupByKey]=OutputTable[[#This Row],[GroupByKey]])*OutputTable[RecordedValue]))</f>
        <v>210.18722493890999</v>
      </c>
    </row>
    <row r="11" spans="1:16" x14ac:dyDescent="0.25">
      <c r="A11" t="s">
        <v>67</v>
      </c>
      <c r="B11" t="s">
        <v>69</v>
      </c>
      <c r="C11">
        <v>1</v>
      </c>
      <c r="D11" t="s">
        <v>157</v>
      </c>
      <c r="E11" t="s">
        <v>151</v>
      </c>
      <c r="F11" t="s">
        <v>86</v>
      </c>
      <c r="G11">
        <v>514.987116007179</v>
      </c>
      <c r="H11">
        <v>0</v>
      </c>
      <c r="I11" t="str">
        <f>OutputTable[[#This Row],[ProjectName]]&amp;OutputTable[[#This Row],[Name]]&amp;OutputTable[[#This Row],[Type]]&amp;OutputTable[[#This Row],[Source]]</f>
        <v>Friday (Solucion: datafono, gofre, cocina y caja compartida)Preparacion Accum Wait TimeAccum Wait TimeProcess</v>
      </c>
      <c r="J11" cm="1">
        <f t="array" ref="J11">MAX(IF((ProjectInfoTable[ProjectName]=OutputTable[[#This Row],[ProjectName]]),(ProjectInfoTable[ProjectName]=OutputTable[[#This Row],[ProjectName]])*ProjectInfoTable[NumberOfReplications]))</f>
        <v>19</v>
      </c>
      <c r="K11" cm="1">
        <f t="array" ref="K11">IFERROR(AVERAGE(IF((OutputTable[GroupByKey]=OutputTable[[#This Row],[GroupByKey]]),(OutputTable[GroupByKey]=OutputTable[[#This Row],[GroupByKey]])*OutputTable[RecordedValue])),0)</f>
        <v>89.754366677107924</v>
      </c>
      <c r="L11" cm="1">
        <f t="array" ref="L11">IFERROR(_xlfn.STDEV.S(IF((OutputTable[GroupByKey]=OutputTable[[#This Row],[GroupByKey]]),(OutputTable[GroupByKey]=OutputTable[[#This Row],[GroupByKey]])*OutputTable[RecordedValue])),0)</f>
        <v>109.53061123574736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52.79206474085742</v>
      </c>
      <c r="O11" cm="1">
        <f t="array" ref="O11">MIN(IF((OutputTable[GroupByKey]=OutputTable[[#This Row],[GroupByKey]]),(OutputTable[GroupByKey]=OutputTable[[#This Row],[GroupByKey]])*OutputTable[RecordedValue]))</f>
        <v>22.316256244919199</v>
      </c>
      <c r="P11" cm="1">
        <f t="array" ref="P11">MAX(IF((OutputTable[GroupByKey]=OutputTable[[#This Row],[GroupByKey]]),(OutputTable[GroupByKey]=OutputTable[[#This Row],[GroupByKey]])*OutputTable[RecordedValue]))</f>
        <v>514.987116007179</v>
      </c>
    </row>
    <row r="12" spans="1:16" x14ac:dyDescent="0.25">
      <c r="A12" t="s">
        <v>67</v>
      </c>
      <c r="B12" t="s">
        <v>69</v>
      </c>
      <c r="C12">
        <v>1</v>
      </c>
      <c r="D12" t="s">
        <v>158</v>
      </c>
      <c r="E12" t="s">
        <v>145</v>
      </c>
      <c r="F12" t="s">
        <v>86</v>
      </c>
      <c r="G12">
        <v>143</v>
      </c>
      <c r="H12">
        <v>0</v>
      </c>
      <c r="I12" t="str">
        <f>OutputTable[[#This Row],[ProjectName]]&amp;OutputTable[[#This Row],[Name]]&amp;OutputTable[[#This Row],[Type]]&amp;OutputTable[[#This Row],[Source]]</f>
        <v>Friday (Solucion: datafono, gofre, cocina y caja compartida)Preparacion Number InNumber InProcess</v>
      </c>
      <c r="J12" cm="1">
        <f t="array" ref="J12">MAX(IF((ProjectInfoTable[ProjectName]=OutputTable[[#This Row],[ProjectName]]),(ProjectInfoTable[ProjectName]=OutputTable[[#This Row],[ProjectName]])*ProjectInfoTable[NumberOfReplications]))</f>
        <v>19</v>
      </c>
      <c r="K12" cm="1">
        <f t="array" ref="K12">IFERROR(AVERAGE(IF((OutputTable[GroupByKey]=OutputTable[[#This Row],[GroupByKey]]),(OutputTable[GroupByKey]=OutputTable[[#This Row],[GroupByKey]])*OutputTable[RecordedValue])),0)</f>
        <v>121.89473684210526</v>
      </c>
      <c r="L12" cm="1">
        <f t="array" ref="L12">IFERROR(_xlfn.STDEV.S(IF((OutputTable[GroupByKey]=OutputTable[[#This Row],[GroupByKey]]),(OutputTable[GroupByKey]=OutputTable[[#This Row],[GroupByKey]])*OutputTable[RecordedValue])),0)</f>
        <v>9.971597090637573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12" cm="1">
        <f t="array" ref="O12">MIN(IF((OutputTable[GroupByKey]=OutputTable[[#This Row],[GroupByKey]]),(OutputTable[GroupByKey]=OutputTable[[#This Row],[GroupByKey]])*OutputTable[RecordedValue]))</f>
        <v>109</v>
      </c>
      <c r="P12" cm="1">
        <f t="array" ref="P12">MAX(IF((OutputTable[GroupByKey]=OutputTable[[#This Row],[GroupByKey]]),(OutputTable[GroupByKey]=OutputTable[[#This Row],[GroupByKey]])*OutputTable[RecordedValue]))</f>
        <v>143</v>
      </c>
    </row>
    <row r="13" spans="1:16" x14ac:dyDescent="0.25">
      <c r="A13" t="s">
        <v>67</v>
      </c>
      <c r="B13" t="s">
        <v>69</v>
      </c>
      <c r="C13">
        <v>1</v>
      </c>
      <c r="D13" t="s">
        <v>159</v>
      </c>
      <c r="E13" t="s">
        <v>147</v>
      </c>
      <c r="F13" t="s">
        <v>86</v>
      </c>
      <c r="G13">
        <v>150</v>
      </c>
      <c r="H13">
        <v>0</v>
      </c>
      <c r="I13" t="str">
        <f>OutputTable[[#This Row],[ProjectName]]&amp;OutputTable[[#This Row],[Name]]&amp;OutputTable[[#This Row],[Type]]&amp;OutputTable[[#This Row],[Source]]</f>
        <v>Friday (Solucion: datafono, gofre, cocina y caja compartida)Preparacion Number OutNumber OutProcess</v>
      </c>
      <c r="J13" cm="1">
        <f t="array" ref="J13">MAX(IF((ProjectInfoTable[ProjectName]=OutputTable[[#This Row],[ProjectName]]),(ProjectInfoTable[ProjectName]=OutputTable[[#This Row],[ProjectName]])*ProjectInfoTable[NumberOfReplications]))</f>
        <v>19</v>
      </c>
      <c r="K13" cm="1">
        <f t="array" ref="K13">IFERROR(AVERAGE(IF((OutputTable[GroupByKey]=OutputTable[[#This Row],[GroupByKey]]),(OutputTable[GroupByKey]=OutputTable[[#This Row],[GroupByKey]])*OutputTable[RecordedValue])),0)</f>
        <v>122.31578947368421</v>
      </c>
      <c r="L13" cm="1">
        <f t="array" ref="L13">IFERROR(_xlfn.STDEV.S(IF((OutputTable[GroupByKey]=OutputTable[[#This Row],[GroupByKey]]),(OutputTable[GroupByKey]=OutputTable[[#This Row],[GroupByKey]])*OutputTable[RecordedValue])),0)</f>
        <v>10.127260414780096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4.8811832731752718</v>
      </c>
      <c r="O13" cm="1">
        <f t="array" ref="O13">MIN(IF((OutputTable[GroupByKey]=OutputTable[[#This Row],[GroupByKey]]),(OutputTable[GroupByKey]=OutputTable[[#This Row],[GroupByKey]])*OutputTable[RecordedValue]))</f>
        <v>111</v>
      </c>
      <c r="P13" cm="1">
        <f t="array" ref="P13">MAX(IF((OutputTable[GroupByKey]=OutputTable[[#This Row],[GroupByKey]]),(OutputTable[GroupByKey]=OutputTable[[#This Row],[GroupByKey]])*OutputTable[RecordedValue]))</f>
        <v>150</v>
      </c>
    </row>
    <row r="14" spans="1:16" x14ac:dyDescent="0.25">
      <c r="A14" t="s">
        <v>67</v>
      </c>
      <c r="B14" t="s">
        <v>69</v>
      </c>
      <c r="C14">
        <v>1</v>
      </c>
      <c r="D14" t="s">
        <v>160</v>
      </c>
      <c r="E14" t="s">
        <v>147</v>
      </c>
      <c r="F14" t="s">
        <v>161</v>
      </c>
      <c r="G14">
        <v>153</v>
      </c>
      <c r="H14">
        <v>0</v>
      </c>
      <c r="I14" t="str">
        <f>OutputTable[[#This Row],[ProjectName]]&amp;OutputTable[[#This Row],[Name]]&amp;OutputTable[[#This Row],[Type]]&amp;OutputTable[[#This Row],[Source]]</f>
        <v>Friday (Solucion: datafono, gofre, cocina y caja compartida)System.NumberOutNumber OutSystem</v>
      </c>
      <c r="J14" cm="1">
        <f t="array" ref="J14">MAX(IF((ProjectInfoTable[ProjectName]=OutputTable[[#This Row],[ProjectName]]),(ProjectInfoTable[ProjectName]=OutputTable[[#This Row],[ProjectName]])*ProjectInfoTable[NumberOfReplications]))</f>
        <v>19</v>
      </c>
      <c r="K14" cm="1">
        <f t="array" ref="K14">IFERROR(AVERAGE(IF((OutputTable[GroupByKey]=OutputTable[[#This Row],[GroupByKey]]),(OutputTable[GroupByKey]=OutputTable[[#This Row],[GroupByKey]])*OutputTable[RecordedValue])),0)</f>
        <v>125.36842105263158</v>
      </c>
      <c r="L14" cm="1">
        <f t="array" ref="L14">IFERROR(_xlfn.STDEV.S(IF((OutputTable[GroupByKey]=OutputTable[[#This Row],[GroupByKey]]),(OutputTable[GroupByKey]=OutputTable[[#This Row],[GroupByKey]])*OutputTable[RecordedValue])),0)</f>
        <v>10.160984894934533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14" cm="1">
        <f t="array" ref="O14">MIN(IF((OutputTable[GroupByKey]=OutputTable[[#This Row],[GroupByKey]]),(OutputTable[GroupByKey]=OutputTable[[#This Row],[GroupByKey]])*OutputTable[RecordedValue]))</f>
        <v>112</v>
      </c>
      <c r="P14" cm="1">
        <f t="array" ref="P14">MAX(IF((OutputTable[GroupByKey]=OutputTable[[#This Row],[GroupByKey]]),(OutputTable[GroupByKey]=OutputTable[[#This Row],[GroupByKey]])*OutputTable[RecordedValue]))</f>
        <v>153</v>
      </c>
    </row>
    <row r="15" spans="1:16" x14ac:dyDescent="0.25">
      <c r="A15" t="s">
        <v>67</v>
      </c>
      <c r="B15" t="s">
        <v>69</v>
      </c>
      <c r="C15">
        <v>1</v>
      </c>
      <c r="D15" t="s">
        <v>162</v>
      </c>
      <c r="E15" t="s">
        <v>163</v>
      </c>
      <c r="F15" t="s">
        <v>136</v>
      </c>
      <c r="G15">
        <v>157</v>
      </c>
      <c r="H15">
        <v>0</v>
      </c>
      <c r="I15" t="str">
        <f>OutputTable[[#This Row],[ProjectName]]&amp;OutputTable[[#This Row],[Name]]&amp;OutputTable[[#This Row],[Type]]&amp;OutputTable[[#This Row],[Source]]</f>
        <v>Friday (Solucion: datafono, gofre, cocina y caja compartida)rCajero.NumberSeizedTotal Number SeizedResource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19</v>
      </c>
      <c r="K15" cm="1">
        <f t="array" ref="K15">IFERROR(AVERAGE(IF((OutputTable[GroupByKey]=OutputTable[[#This Row],[GroupByKey]]),(OutputTable[GroupByKey]=OutputTable[[#This Row],[GroupByKey]])*OutputTable[RecordedValue])),0)</f>
        <v>131.63157894736841</v>
      </c>
      <c r="L15" cm="1">
        <f t="array" ref="L15">IFERROR(_xlfn.STDEV.S(IF((OutputTable[GroupByKey]=OutputTable[[#This Row],[GroupByKey]]),(OutputTable[GroupByKey]=OutputTable[[#This Row],[GroupByKey]])*OutputTable[RecordedValue])),0)</f>
        <v>13.988926280438102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6.7424466413544986</v>
      </c>
      <c r="O15" cm="1">
        <f t="array" ref="O15">MIN(IF((OutputTable[GroupByKey]=OutputTable[[#This Row],[GroupByKey]]),(OutputTable[GroupByKey]=OutputTable[[#This Row],[GroupByKey]])*OutputTable[RecordedValue]))</f>
        <v>113</v>
      </c>
      <c r="P15" cm="1">
        <f t="array" ref="P15">MAX(IF((OutputTable[GroupByKey]=OutputTable[[#This Row],[GroupByKey]]),(OutputTable[GroupByKey]=OutputTable[[#This Row],[GroupByKey]])*OutputTable[RecordedValue]))</f>
        <v>157</v>
      </c>
    </row>
    <row r="16" spans="1:16" x14ac:dyDescent="0.25">
      <c r="A16" t="s">
        <v>67</v>
      </c>
      <c r="B16" t="s">
        <v>69</v>
      </c>
      <c r="C16">
        <v>1</v>
      </c>
      <c r="D16" t="s">
        <v>164</v>
      </c>
      <c r="E16" t="s">
        <v>165</v>
      </c>
      <c r="F16" t="s">
        <v>136</v>
      </c>
      <c r="G16">
        <v>0.82897119936997599</v>
      </c>
      <c r="H16">
        <v>0</v>
      </c>
      <c r="I16" t="str">
        <f>OutputTable[[#This Row],[ProjectName]]&amp;OutputTable[[#This Row],[Name]]&amp;OutputTable[[#This Row],[Type]]&amp;OutputTable[[#This Row],[Source]]</f>
        <v>Friday (Solucion: datafono, gofre, cocina y caja compartida)rCajero.ScheduledUtilizationScheduled UtilizationResource</v>
      </c>
      <c r="J16" cm="1">
        <f t="array" ref="J16">MAX(IF((ProjectInfoTable[ProjectName]=OutputTable[[#This Row],[ProjectName]]),(ProjectInfoTable[ProjectName]=OutputTable[[#This Row],[ProjectName]])*ProjectInfoTable[NumberOfReplications]))</f>
        <v>19</v>
      </c>
      <c r="K16" cm="1">
        <f t="array" ref="K16">IFERROR(AVERAGE(IF((OutputTable[GroupByKey]=OutputTable[[#This Row],[GroupByKey]]),(OutputTable[GroupByKey]=OutputTable[[#This Row],[GroupByKey]])*OutputTable[RecordedValue])),0)</f>
        <v>0.68474836505339687</v>
      </c>
      <c r="L16" cm="1">
        <f t="array" ref="L16">IFERROR(_xlfn.STDEV.S(IF((OutputTable[GroupByKey]=OutputTable[[#This Row],[GroupByKey]]),(OutputTable[GroupByKey]=OutputTable[[#This Row],[GroupByKey]])*OutputTable[RecordedValue])),0)</f>
        <v>6.2272947935973065E-2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3.0014600137344902E-2</v>
      </c>
      <c r="O16" cm="1">
        <f t="array" ref="O16">MIN(IF((OutputTable[GroupByKey]=OutputTable[[#This Row],[GroupByKey]]),(OutputTable[GroupByKey]=OutputTable[[#This Row],[GroupByKey]])*OutputTable[RecordedValue]))</f>
        <v>0.59592290927233305</v>
      </c>
      <c r="P16" cm="1">
        <f t="array" ref="P16">MAX(IF((OutputTable[GroupByKey]=OutputTable[[#This Row],[GroupByKey]]),(OutputTable[GroupByKey]=OutputTable[[#This Row],[GroupByKey]])*OutputTable[RecordedValue]))</f>
        <v>0.82897119936997599</v>
      </c>
    </row>
    <row r="17" spans="1:16" x14ac:dyDescent="0.25">
      <c r="A17" t="s">
        <v>67</v>
      </c>
      <c r="B17" t="s">
        <v>69</v>
      </c>
      <c r="C17">
        <v>1</v>
      </c>
      <c r="D17" t="s">
        <v>166</v>
      </c>
      <c r="E17" t="s">
        <v>163</v>
      </c>
      <c r="F17" t="s">
        <v>136</v>
      </c>
      <c r="G17">
        <v>135</v>
      </c>
      <c r="H17">
        <v>0</v>
      </c>
      <c r="I17" t="str">
        <f>OutputTable[[#This Row],[ProjectName]]&amp;OutputTable[[#This Row],[Name]]&amp;OutputTable[[#This Row],[Type]]&amp;OutputTable[[#This Row],[Source]]</f>
        <v>Friday (Solucion: datafono, gofre, cocina y caja compartida)rCocina.NumberSeizedTotal Number SeizedResource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19</v>
      </c>
      <c r="K17" cm="1">
        <f t="array" ref="K17">IFERROR(AVERAGE(IF((OutputTable[GroupByKey]=OutputTable[[#This Row],[GroupByKey]]),(OutputTable[GroupByKey]=OutputTable[[#This Row],[GroupByKey]])*OutputTable[RecordedValue])),0)</f>
        <v>112.73684210526316</v>
      </c>
      <c r="L17" cm="1">
        <f t="array" ref="L17">IFERROR(_xlfn.STDEV.S(IF((OutputTable[GroupByKey]=OutputTable[[#This Row],[GroupByKey]]),(OutputTable[GroupByKey]=OutputTable[[#This Row],[GroupByKey]])*OutputTable[RecordedValue])),0)</f>
        <v>9.1155673027772668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4.3935628019284003</v>
      </c>
      <c r="O17" cm="1">
        <f t="array" ref="O17">MIN(IF((OutputTable[GroupByKey]=OutputTable[[#This Row],[GroupByKey]]),(OutputTable[GroupByKey]=OutputTable[[#This Row],[GroupByKey]])*OutputTable[RecordedValue]))</f>
        <v>102</v>
      </c>
      <c r="P17" cm="1">
        <f t="array" ref="P17">MAX(IF((OutputTable[GroupByKey]=OutputTable[[#This Row],[GroupByKey]]),(OutputTable[GroupByKey]=OutputTable[[#This Row],[GroupByKey]])*OutputTable[RecordedValue]))</f>
        <v>135</v>
      </c>
    </row>
    <row r="18" spans="1:16" x14ac:dyDescent="0.25">
      <c r="A18" t="s">
        <v>67</v>
      </c>
      <c r="B18" t="s">
        <v>69</v>
      </c>
      <c r="C18">
        <v>1</v>
      </c>
      <c r="D18" t="s">
        <v>167</v>
      </c>
      <c r="E18" t="s">
        <v>165</v>
      </c>
      <c r="F18" t="s">
        <v>136</v>
      </c>
      <c r="G18">
        <v>0.86361037821575004</v>
      </c>
      <c r="H18">
        <v>0</v>
      </c>
      <c r="I18" t="str">
        <f>OutputTable[[#This Row],[ProjectName]]&amp;OutputTable[[#This Row],[Name]]&amp;OutputTable[[#This Row],[Type]]&amp;OutputTable[[#This Row],[Source]]</f>
        <v>Friday (Solucion: datafono, gofre, cocina y caja compartida)rCocina.ScheduledUtilizationScheduled UtilizationResource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19</v>
      </c>
      <c r="K18" cm="1">
        <f t="array" ref="K18">IFERROR(AVERAGE(IF((OutputTable[GroupByKey]=OutputTable[[#This Row],[GroupByKey]]),(OutputTable[GroupByKey]=OutputTable[[#This Row],[GroupByKey]])*OutputTable[RecordedValue])),0)</f>
        <v>0.71670342302257706</v>
      </c>
      <c r="L18" cm="1">
        <f t="array" ref="L18">IFERROR(_xlfn.STDEV.S(IF((OutputTable[GroupByKey]=OutputTable[[#This Row],[GroupByKey]]),(OutputTable[GroupByKey]=OutputTable[[#This Row],[GroupByKey]])*OutputTable[RecordedValue])),0)</f>
        <v>7.0907274842727658E-2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3.4176212493127585E-2</v>
      </c>
      <c r="O18" cm="1">
        <f t="array" ref="O18">MIN(IF((OutputTable[GroupByKey]=OutputTable[[#This Row],[GroupByKey]]),(OutputTable[GroupByKey]=OutputTable[[#This Row],[GroupByKey]])*OutputTable[RecordedValue]))</f>
        <v>0.60463940272025996</v>
      </c>
      <c r="P18" cm="1">
        <f t="array" ref="P18">MAX(IF((OutputTable[GroupByKey]=OutputTable[[#This Row],[GroupByKey]]),(OutputTable[GroupByKey]=OutputTable[[#This Row],[GroupByKey]])*OutputTable[RecordedValue]))</f>
        <v>0.86361037821575004</v>
      </c>
    </row>
    <row r="19" spans="1:16" x14ac:dyDescent="0.25">
      <c r="A19" t="s">
        <v>67</v>
      </c>
      <c r="B19" t="s">
        <v>69</v>
      </c>
      <c r="C19">
        <v>1</v>
      </c>
      <c r="D19" t="s">
        <v>168</v>
      </c>
      <c r="E19" t="s">
        <v>163</v>
      </c>
      <c r="F19" t="s">
        <v>136</v>
      </c>
      <c r="G19">
        <v>19</v>
      </c>
      <c r="H19">
        <v>0</v>
      </c>
      <c r="I19" t="str">
        <f>OutputTable[[#This Row],[ProjectName]]&amp;OutputTable[[#This Row],[Name]]&amp;OutputTable[[#This Row],[Type]]&amp;OutputTable[[#This Row],[Source]]</f>
        <v>Friday (Solucion: datafono, gofre, cocina y caja compartida)rMesa.NumberSeizedTotal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19</v>
      </c>
      <c r="K19" cm="1">
        <f t="array" ref="K19">IFERROR(AVERAGE(IF((OutputTable[GroupByKey]=OutputTable[[#This Row],[GroupByKey]]),(OutputTable[GroupByKey]=OutputTable[[#This Row],[GroupByKey]])*OutputTable[RecordedValue])),0)</f>
        <v>16.157894736842106</v>
      </c>
      <c r="L19" cm="1">
        <f t="array" ref="L19">IFERROR(_xlfn.STDEV.S(IF((OutputTable[GroupByKey]=OutputTable[[#This Row],[GroupByKey]]),(OutputTable[GroupByKey]=OutputTable[[#This Row],[GroupByKey]])*OutputTable[RecordedValue])),0)</f>
        <v>3.8044295512634076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19" cm="1">
        <f t="array" ref="O19">MIN(IF((OutputTable[GroupByKey]=OutputTable[[#This Row],[GroupByKey]]),(OutputTable[GroupByKey]=OutputTable[[#This Row],[GroupByKey]])*OutputTable[RecordedValue]))</f>
        <v>9</v>
      </c>
      <c r="P19" cm="1">
        <f t="array" ref="P19">MAX(IF((OutputTable[GroupByKey]=OutputTable[[#This Row],[GroupByKey]]),(OutputTable[GroupByKey]=OutputTable[[#This Row],[GroupByKey]])*OutputTable[RecordedValue]))</f>
        <v>24</v>
      </c>
    </row>
    <row r="20" spans="1:16" x14ac:dyDescent="0.25">
      <c r="A20" t="s">
        <v>67</v>
      </c>
      <c r="B20" t="s">
        <v>69</v>
      </c>
      <c r="C20">
        <v>1</v>
      </c>
      <c r="D20" t="s">
        <v>169</v>
      </c>
      <c r="E20" t="s">
        <v>165</v>
      </c>
      <c r="F20" t="s">
        <v>136</v>
      </c>
      <c r="G20">
        <v>0.39418627273567902</v>
      </c>
      <c r="H20">
        <v>0</v>
      </c>
      <c r="I20" t="str">
        <f>OutputTable[[#This Row],[ProjectName]]&amp;OutputTable[[#This Row],[Name]]&amp;OutputTable[[#This Row],[Type]]&amp;OutputTable[[#This Row],[Source]]</f>
        <v>Friday (Solucion: datafono, gofre, cocina y caja compartida)rMesa.ScheduledUtilizationScheduled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19</v>
      </c>
      <c r="K20" cm="1">
        <f t="array" ref="K20">IFERROR(AVERAGE(IF((OutputTable[GroupByKey]=OutputTable[[#This Row],[GroupByKey]]),(OutputTable[GroupByKey]=OutputTable[[#This Row],[GroupByKey]])*OutputTable[RecordedValue])),0)</f>
        <v>0.30850610959128744</v>
      </c>
      <c r="L20" cm="1">
        <f t="array" ref="L20">IFERROR(_xlfn.STDEV.S(IF((OutputTable[GroupByKey]=OutputTable[[#This Row],[GroupByKey]]),(OutputTable[GroupByKey]=OutputTable[[#This Row],[GroupByKey]])*OutputTable[RecordedValue])),0)</f>
        <v>6.2586127702931107E-2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3.0165547953176861E-2</v>
      </c>
      <c r="O20" cm="1">
        <f t="array" ref="O20">MIN(IF((OutputTable[GroupByKey]=OutputTable[[#This Row],[GroupByKey]]),(OutputTable[GroupByKey]=OutputTable[[#This Row],[GroupByKey]])*OutputTable[RecordedValue]))</f>
        <v>0.156206445320244</v>
      </c>
      <c r="P20" cm="1">
        <f t="array" ref="P20">MAX(IF((OutputTable[GroupByKey]=OutputTable[[#This Row],[GroupByKey]]),(OutputTable[GroupByKey]=OutputTable[[#This Row],[GroupByKey]])*OutputTable[RecordedValue]))</f>
        <v>0.44942505379986802</v>
      </c>
    </row>
    <row r="21" spans="1:16" x14ac:dyDescent="0.25">
      <c r="A21" t="s">
        <v>67</v>
      </c>
      <c r="B21" t="s">
        <v>69</v>
      </c>
      <c r="C21">
        <v>1</v>
      </c>
      <c r="D21" t="s">
        <v>170</v>
      </c>
      <c r="E21" t="s">
        <v>145</v>
      </c>
      <c r="F21" t="s">
        <v>72</v>
      </c>
      <c r="G21">
        <v>3</v>
      </c>
      <c r="H21">
        <v>0</v>
      </c>
      <c r="I21" t="str">
        <f>OutputTable[[#This Row],[ProjectName]]&amp;OutputTable[[#This Row],[Name]]&amp;OutputTable[[#This Row],[Type]]&amp;OutputTable[[#This Row],[Source]]</f>
        <v>Friday (Solucion: datafono, gofre, cocina y caja compartida)reloj.NumberInNumber InEntity</v>
      </c>
      <c r="J21" cm="1">
        <f t="array" ref="J21">MAX(IF((ProjectInfoTable[ProjectName]=OutputTable[[#This Row],[ProjectName]]),(ProjectInfoTable[ProjectName]=OutputTable[[#This Row],[ProjectName]])*ProjectInfoTable[NumberOfReplications]))</f>
        <v>19</v>
      </c>
      <c r="K21" cm="1">
        <f t="array" ref="K21">IFERROR(AVERAGE(IF((OutputTable[GroupByKey]=OutputTable[[#This Row],[GroupByKey]]),(OutputTable[GroupByKey]=OutputTable[[#This Row],[GroupByKey]])*OutputTable[RecordedValue])),0)</f>
        <v>3</v>
      </c>
      <c r="L21" cm="1">
        <f t="array" ref="L21">IFERROR(_xlfn.STDEV.S(IF((OutputTable[GroupByKey]=OutputTable[[#This Row],[GroupByKey]]),(OutputTable[GroupByKey]=OutputTable[[#This Row],[GroupByKey]])*OutputTable[RecordedValue])),0)</f>
        <v>0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" cm="1">
        <f t="array" ref="O21">MIN(IF((OutputTable[GroupByKey]=OutputTable[[#This Row],[GroupByKey]]),(OutputTable[GroupByKey]=OutputTable[[#This Row],[GroupByKey]])*OutputTable[RecordedValue]))</f>
        <v>3</v>
      </c>
      <c r="P21" cm="1">
        <f t="array" ref="P21">MAX(IF((OutputTable[GroupByKey]=OutputTable[[#This Row],[GroupByKey]]),(OutputTable[GroupByKey]=OutputTable[[#This Row],[GroupByKey]])*OutputTable[RecordedValue]))</f>
        <v>3</v>
      </c>
    </row>
    <row r="22" spans="1:16" x14ac:dyDescent="0.25">
      <c r="A22" t="s">
        <v>67</v>
      </c>
      <c r="B22" t="s">
        <v>69</v>
      </c>
      <c r="C22">
        <v>1</v>
      </c>
      <c r="D22" t="s">
        <v>171</v>
      </c>
      <c r="E22" t="s">
        <v>147</v>
      </c>
      <c r="F22" t="s">
        <v>72</v>
      </c>
      <c r="G22">
        <v>3</v>
      </c>
      <c r="H22">
        <v>0</v>
      </c>
      <c r="I22" t="str">
        <f>OutputTable[[#This Row],[ProjectName]]&amp;OutputTable[[#This Row],[Name]]&amp;OutputTable[[#This Row],[Type]]&amp;OutputTable[[#This Row],[Source]]</f>
        <v>Friday (Solucion: datafono, gofre, cocina y caja compartida)reloj.NumberOutNumber OutEntity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19</v>
      </c>
      <c r="K22" cm="1">
        <f t="array" ref="K22">IFERROR(AVERAGE(IF((OutputTable[GroupByKey]=OutputTable[[#This Row],[GroupByKey]]),(OutputTable[GroupByKey]=OutputTable[[#This Row],[GroupByKey]])*OutputTable[RecordedValue])),0)</f>
        <v>3</v>
      </c>
      <c r="L22" cm="1">
        <f t="array" ref="L22">IFERROR(_xlfn.STDEV.S(IF((OutputTable[GroupByKey]=OutputTable[[#This Row],[GroupByKey]]),(OutputTable[GroupByKey]=OutputTable[[#This Row],[GroupByKey]])*OutputTable[RecordedValue])),0)</f>
        <v>0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" cm="1">
        <f t="array" ref="O22">MIN(IF((OutputTable[GroupByKey]=OutputTable[[#This Row],[GroupByKey]]),(OutputTable[GroupByKey]=OutputTable[[#This Row],[GroupByKey]])*OutputTable[RecordedValue]))</f>
        <v>3</v>
      </c>
      <c r="P22" cm="1">
        <f t="array" ref="P22">MAX(IF((OutputTable[GroupByKey]=OutputTable[[#This Row],[GroupByKey]]),(OutputTable[GroupByKey]=OutputTable[[#This Row],[GroupByKey]])*OutputTable[RecordedValue]))</f>
        <v>3</v>
      </c>
    </row>
    <row r="23" spans="1:16" x14ac:dyDescent="0.25">
      <c r="A23" t="s">
        <v>67</v>
      </c>
      <c r="B23" t="s">
        <v>69</v>
      </c>
      <c r="C23">
        <v>2</v>
      </c>
      <c r="D23" t="s">
        <v>144</v>
      </c>
      <c r="E23" t="s">
        <v>145</v>
      </c>
      <c r="F23" t="s">
        <v>72</v>
      </c>
      <c r="G23">
        <v>334</v>
      </c>
      <c r="H23">
        <v>0</v>
      </c>
      <c r="I23" t="str">
        <f>OutputTable[[#This Row],[ProjectName]]&amp;OutputTable[[#This Row],[Name]]&amp;OutputTable[[#This Row],[Type]]&amp;OutputTable[[#This Row],[Source]]</f>
        <v>Friday (Solucion: datafono, gofre, cocina y caja compartida)Cliente.NumberInNumber InEntity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19</v>
      </c>
      <c r="K23" cm="1">
        <f t="array" ref="K23">IFERROR(AVERAGE(IF((OutputTable[GroupByKey]=OutputTable[[#This Row],[GroupByKey]]),(OutputTable[GroupByKey]=OutputTable[[#This Row],[GroupByKey]])*OutputTable[RecordedValue])),0)</f>
        <v>366.21052631578948</v>
      </c>
      <c r="L23" cm="1">
        <f t="array" ref="L23">IFERROR(_xlfn.STDEV.S(IF((OutputTable[GroupByKey]=OutputTable[[#This Row],[GroupByKey]]),(OutputTable[GroupByKey]=OutputTable[[#This Row],[GroupByKey]])*OutputTable[RecordedValue])),0)</f>
        <v>28.665850661580702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13.816497752584581</v>
      </c>
      <c r="O23" cm="1">
        <f t="array" ref="O23">MIN(IF((OutputTable[GroupByKey]=OutputTable[[#This Row],[GroupByKey]]),(OutputTable[GroupByKey]=OutputTable[[#This Row],[GroupByKey]])*OutputTable[RecordedValue]))</f>
        <v>331</v>
      </c>
      <c r="P23" cm="1">
        <f t="array" ref="P23">MAX(IF((OutputTable[GroupByKey]=OutputTable[[#This Row],[GroupByKey]]),(OutputTable[GroupByKey]=OutputTable[[#This Row],[GroupByKey]])*OutputTable[RecordedValue]))</f>
        <v>427</v>
      </c>
    </row>
    <row r="24" spans="1:16" x14ac:dyDescent="0.25">
      <c r="A24" t="s">
        <v>67</v>
      </c>
      <c r="B24" t="s">
        <v>69</v>
      </c>
      <c r="C24">
        <v>2</v>
      </c>
      <c r="D24" t="s">
        <v>146</v>
      </c>
      <c r="E24" t="s">
        <v>147</v>
      </c>
      <c r="F24" t="s">
        <v>72</v>
      </c>
      <c r="G24">
        <v>329</v>
      </c>
      <c r="H24">
        <v>0</v>
      </c>
      <c r="I24" t="str">
        <f>OutputTable[[#This Row],[ProjectName]]&amp;OutputTable[[#This Row],[Name]]&amp;OutputTable[[#This Row],[Type]]&amp;OutputTable[[#This Row],[Source]]</f>
        <v>Friday (Solucion: datafono, gofre, cocina y caja compartida)Cliente.NumberOutNumber OutEntity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19</v>
      </c>
      <c r="K24" cm="1">
        <f t="array" ref="K24">IFERROR(AVERAGE(IF((OutputTable[GroupByKey]=OutputTable[[#This Row],[GroupByKey]]),(OutputTable[GroupByKey]=OutputTable[[#This Row],[GroupByKey]])*OutputTable[RecordedValue])),0)</f>
        <v>366.63157894736844</v>
      </c>
      <c r="L24" cm="1">
        <f t="array" ref="L24">IFERROR(_xlfn.STDEV.S(IF((OutputTable[GroupByKey]=OutputTable[[#This Row],[GroupByKey]]),(OutputTable[GroupByKey]=OutputTable[[#This Row],[GroupByKey]])*OutputTable[RecordedValue])),0)</f>
        <v>29.957767544617038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14.439181758083874</v>
      </c>
      <c r="O24" cm="1">
        <f t="array" ref="O24">MIN(IF((OutputTable[GroupByKey]=OutputTable[[#This Row],[GroupByKey]]),(OutputTable[GroupByKey]=OutputTable[[#This Row],[GroupByKey]])*OutputTable[RecordedValue]))</f>
        <v>329</v>
      </c>
      <c r="P24" cm="1">
        <f t="array" ref="P24">MAX(IF((OutputTable[GroupByKey]=OutputTable[[#This Row],[GroupByKey]]),(OutputTable[GroupByKey]=OutputTable[[#This Row],[GroupByKey]])*OutputTable[RecordedValue]))</f>
        <v>443</v>
      </c>
    </row>
    <row r="25" spans="1:16" x14ac:dyDescent="0.25">
      <c r="A25" t="s">
        <v>67</v>
      </c>
      <c r="B25" t="s">
        <v>69</v>
      </c>
      <c r="C25">
        <v>2</v>
      </c>
      <c r="D25" t="s">
        <v>148</v>
      </c>
      <c r="E25" t="s">
        <v>149</v>
      </c>
      <c r="F25" t="s">
        <v>86</v>
      </c>
      <c r="G25">
        <v>157.05073652574001</v>
      </c>
      <c r="H25">
        <v>0</v>
      </c>
      <c r="I25" t="str">
        <f>OutputTable[[#This Row],[ProjectName]]&amp;OutputTable[[#This Row],[Name]]&amp;OutputTable[[#This Row],[Type]]&amp;OutputTable[[#This Row],[Source]]</f>
        <v>Friday (Solucion: datafono, gofre, cocina y caja compartida)Comer en Mesa Accum VA TimeAccum VA TimeProcess</v>
      </c>
      <c r="J25" cm="1">
        <f t="array" ref="J25">MAX(IF((ProjectInfoTable[ProjectName]=OutputTable[[#This Row],[ProjectName]]),(ProjectInfoTable[ProjectName]=OutputTable[[#This Row],[ProjectName]])*ProjectInfoTable[NumberOfReplications]))</f>
        <v>19</v>
      </c>
      <c r="K25" cm="1">
        <f t="array" ref="K25">IFERROR(AVERAGE(IF((OutputTable[GroupByKey]=OutputTable[[#This Row],[GroupByKey]]),(OutputTable[GroupByKey]=OutputTable[[#This Row],[GroupByKey]])*OutputTable[RecordedValue])),0)</f>
        <v>283.12549562397913</v>
      </c>
      <c r="L25" cm="1">
        <f t="array" ref="L25">IFERROR(_xlfn.STDEV.S(IF((OutputTable[GroupByKey]=OutputTable[[#This Row],[GroupByKey]]),(OutputTable[GroupByKey]=OutputTable[[#This Row],[GroupByKey]])*OutputTable[RecordedValue])),0)</f>
        <v>55.763238037894645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26.877020400444863</v>
      </c>
      <c r="O25" cm="1">
        <f t="array" ref="O25">MIN(IF((OutputTable[GroupByKey]=OutputTable[[#This Row],[GroupByKey]]),(OutputTable[GroupByKey]=OutputTable[[#This Row],[GroupByKey]])*OutputTable[RecordedValue]))</f>
        <v>157.05073652574001</v>
      </c>
      <c r="P25" cm="1">
        <f t="array" ref="P25">MAX(IF((OutputTable[GroupByKey]=OutputTable[[#This Row],[GroupByKey]]),(OutputTable[GroupByKey]=OutputTable[[#This Row],[GroupByKey]])*OutputTable[RecordedValue]))</f>
        <v>402.97015039838902</v>
      </c>
    </row>
    <row r="26" spans="1:16" x14ac:dyDescent="0.25">
      <c r="A26" t="s">
        <v>67</v>
      </c>
      <c r="B26" t="s">
        <v>69</v>
      </c>
      <c r="C26">
        <v>2</v>
      </c>
      <c r="D26" t="s">
        <v>150</v>
      </c>
      <c r="E26" t="s">
        <v>151</v>
      </c>
      <c r="F26" t="s">
        <v>86</v>
      </c>
      <c r="G26">
        <v>0</v>
      </c>
      <c r="H26">
        <v>0</v>
      </c>
      <c r="I26" t="str">
        <f>OutputTable[[#This Row],[ProjectName]]&amp;OutputTable[[#This Row],[Name]]&amp;OutputTable[[#This Row],[Type]]&amp;OutputTable[[#This Row],[Source]]</f>
        <v>Friday (Solucion: datafono, gofre, cocina y caja compartida)Comer en Mesa Accum Wait TimeAccum Wait TimeProcess</v>
      </c>
      <c r="J26" cm="1">
        <f t="array" ref="J26">MAX(IF((ProjectInfoTable[ProjectName]=OutputTable[[#This Row],[ProjectName]]),(ProjectInfoTable[ProjectName]=OutputTable[[#This Row],[ProjectName]])*ProjectInfoTable[NumberOfReplications]))</f>
        <v>19</v>
      </c>
      <c r="K26" cm="1">
        <f t="array" ref="K26">IFERROR(AVERAGE(IF((OutputTable[GroupByKey]=OutputTable[[#This Row],[GroupByKey]]),(OutputTable[GroupByKey]=OutputTable[[#This Row],[GroupByKey]])*OutputTable[RecordedValue])),0)</f>
        <v>0</v>
      </c>
      <c r="L26" cm="1">
        <f t="array" ref="L26">IFERROR(_xlfn.STDEV.S(IF((OutputTable[GroupByKey]=OutputTable[[#This Row],[GroupByKey]]),(OutputTable[GroupByKey]=OutputTable[[#This Row],[GroupByKey]])*OutputTable[RecordedValue])),0)</f>
        <v>0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" cm="1">
        <f t="array" ref="O26">MIN(IF((OutputTable[GroupByKey]=OutputTable[[#This Row],[GroupByKey]]),(OutputTable[GroupByKey]=OutputTable[[#This Row],[GroupByKey]])*OutputTable[RecordedValue]))</f>
        <v>0</v>
      </c>
      <c r="P26" cm="1">
        <f t="array" ref="P26">MAX(IF((OutputTable[GroupByKey]=OutputTable[[#This Row],[GroupByKey]]),(OutputTable[GroupByKey]=OutputTable[[#This Row],[GroupByKey]])*OutputTable[RecordedValue]))</f>
        <v>0</v>
      </c>
    </row>
    <row r="27" spans="1:16" x14ac:dyDescent="0.25">
      <c r="A27" t="s">
        <v>67</v>
      </c>
      <c r="B27" t="s">
        <v>69</v>
      </c>
      <c r="C27">
        <v>2</v>
      </c>
      <c r="D27" t="s">
        <v>152</v>
      </c>
      <c r="E27" t="s">
        <v>145</v>
      </c>
      <c r="F27" t="s">
        <v>86</v>
      </c>
      <c r="G27">
        <v>9</v>
      </c>
      <c r="H27">
        <v>0</v>
      </c>
      <c r="I27" t="str">
        <f>OutputTable[[#This Row],[ProjectName]]&amp;OutputTable[[#This Row],[Name]]&amp;OutputTable[[#This Row],[Type]]&amp;OutputTable[[#This Row],[Source]]</f>
        <v>Friday (Solucion: datafono, gofre, cocina y caja compartida)Comer en Mesa Number InNumber InProcess</v>
      </c>
      <c r="J27" cm="1">
        <f t="array" ref="J27">MAX(IF((ProjectInfoTable[ProjectName]=OutputTable[[#This Row],[ProjectName]]),(ProjectInfoTable[ProjectName]=OutputTable[[#This Row],[ProjectName]])*ProjectInfoTable[NumberOfReplications]))</f>
        <v>19</v>
      </c>
      <c r="K27" cm="1">
        <f t="array" ref="K27">IFERROR(AVERAGE(IF((OutputTable[GroupByKey]=OutputTable[[#This Row],[GroupByKey]]),(OutputTable[GroupByKey]=OutputTable[[#This Row],[GroupByKey]])*OutputTable[RecordedValue])),0)</f>
        <v>16.157894736842106</v>
      </c>
      <c r="L27" cm="1">
        <f t="array" ref="L27">IFERROR(_xlfn.STDEV.S(IF((OutputTable[GroupByKey]=OutputTable[[#This Row],[GroupByKey]]),(OutputTable[GroupByKey]=OutputTable[[#This Row],[GroupByKey]])*OutputTable[RecordedValue])),0)</f>
        <v>3.8044295512634076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27" cm="1">
        <f t="array" ref="O27">MIN(IF((OutputTable[GroupByKey]=OutputTable[[#This Row],[GroupByKey]]),(OutputTable[GroupByKey]=OutputTable[[#This Row],[GroupByKey]])*OutputTable[RecordedValue]))</f>
        <v>9</v>
      </c>
      <c r="P27" cm="1">
        <f t="array" ref="P27">MAX(IF((OutputTable[GroupByKey]=OutputTable[[#This Row],[GroupByKey]]),(OutputTable[GroupByKey]=OutputTable[[#This Row],[GroupByKey]])*OutputTable[RecordedValue]))</f>
        <v>24</v>
      </c>
    </row>
    <row r="28" spans="1:16" x14ac:dyDescent="0.25">
      <c r="A28" t="s">
        <v>67</v>
      </c>
      <c r="B28" t="s">
        <v>69</v>
      </c>
      <c r="C28">
        <v>2</v>
      </c>
      <c r="D28" t="s">
        <v>153</v>
      </c>
      <c r="E28" t="s">
        <v>147</v>
      </c>
      <c r="F28" t="s">
        <v>86</v>
      </c>
      <c r="G28">
        <v>8</v>
      </c>
      <c r="H28">
        <v>0</v>
      </c>
      <c r="I28" t="str">
        <f>OutputTable[[#This Row],[ProjectName]]&amp;OutputTable[[#This Row],[Name]]&amp;OutputTable[[#This Row],[Type]]&amp;OutputTable[[#This Row],[Source]]</f>
        <v>Friday (Solucion: datafono, gofre, cocina y caja compartida)Comer en Mesa Number OutNumber OutProcess</v>
      </c>
      <c r="J28" cm="1">
        <f t="array" ref="J28">MAX(IF((ProjectInfoTable[ProjectName]=OutputTable[[#This Row],[ProjectName]]),(ProjectInfoTable[ProjectName]=OutputTable[[#This Row],[ProjectName]])*ProjectInfoTable[NumberOfReplications]))</f>
        <v>19</v>
      </c>
      <c r="K28" cm="1">
        <f t="array" ref="K28">IFERROR(AVERAGE(IF((OutputTable[GroupByKey]=OutputTable[[#This Row],[GroupByKey]]),(OutputTable[GroupByKey]=OutputTable[[#This Row],[GroupByKey]])*OutputTable[RecordedValue])),0)</f>
        <v>16.263157894736842</v>
      </c>
      <c r="L28" cm="1">
        <f t="array" ref="L28">IFERROR(_xlfn.STDEV.S(IF((OutputTable[GroupByKey]=OutputTable[[#This Row],[GroupByKey]]),(OutputTable[GroupByKey]=OutputTable[[#This Row],[GroupByKey]])*OutputTable[RecordedValue])),0)</f>
        <v>3.3803698887540881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1.6292861329062698</v>
      </c>
      <c r="O28" cm="1">
        <f t="array" ref="O28">MIN(IF((OutputTable[GroupByKey]=OutputTable[[#This Row],[GroupByKey]]),(OutputTable[GroupByKey]=OutputTable[[#This Row],[GroupByKey]])*OutputTable[RecordedValue]))</f>
        <v>8</v>
      </c>
      <c r="P28" cm="1">
        <f t="array" ref="P28">MAX(IF((OutputTable[GroupByKey]=OutputTable[[#This Row],[GroupByKey]]),(OutputTable[GroupByKey]=OutputTable[[#This Row],[GroupByKey]])*OutputTable[RecordedValue]))</f>
        <v>22</v>
      </c>
    </row>
    <row r="29" spans="1:16" x14ac:dyDescent="0.25">
      <c r="A29" t="s">
        <v>67</v>
      </c>
      <c r="B29" t="s">
        <v>69</v>
      </c>
      <c r="C29">
        <v>2</v>
      </c>
      <c r="D29" t="s">
        <v>154</v>
      </c>
      <c r="E29" t="s">
        <v>145</v>
      </c>
      <c r="F29" t="s">
        <v>72</v>
      </c>
      <c r="G29">
        <v>111</v>
      </c>
      <c r="H29">
        <v>0</v>
      </c>
      <c r="I29" t="str">
        <f>OutputTable[[#This Row],[ProjectName]]&amp;OutputTable[[#This Row],[Name]]&amp;OutputTable[[#This Row],[Type]]&amp;OutputTable[[#This Row],[Source]]</f>
        <v>Friday (Solucion: datafono, gofre, cocina y caja compartida)Orden.NumberInNumber InEntity</v>
      </c>
      <c r="J29" cm="1">
        <f t="array" ref="J29">MAX(IF((ProjectInfoTable[ProjectName]=OutputTable[[#This Row],[ProjectName]]),(ProjectInfoTable[ProjectName]=OutputTable[[#This Row],[ProjectName]])*ProjectInfoTable[NumberOfReplications]))</f>
        <v>19</v>
      </c>
      <c r="K29" cm="1">
        <f t="array" ref="K29">IFERROR(AVERAGE(IF((OutputTable[GroupByKey]=OutputTable[[#This Row],[GroupByKey]]),(OutputTable[GroupByKey]=OutputTable[[#This Row],[GroupByKey]])*OutputTable[RecordedValue])),0)</f>
        <v>121.89473684210526</v>
      </c>
      <c r="L29" cm="1">
        <f t="array" ref="L29">IFERROR(_xlfn.STDEV.S(IF((OutputTable[GroupByKey]=OutputTable[[#This Row],[GroupByKey]]),(OutputTable[GroupByKey]=OutputTable[[#This Row],[GroupByKey]])*OutputTable[RecordedValue])),0)</f>
        <v>9.971597090637573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29" cm="1">
        <f t="array" ref="O29">MIN(IF((OutputTable[GroupByKey]=OutputTable[[#This Row],[GroupByKey]]),(OutputTable[GroupByKey]=OutputTable[[#This Row],[GroupByKey]])*OutputTable[RecordedValue]))</f>
        <v>109</v>
      </c>
      <c r="P29" cm="1">
        <f t="array" ref="P29">MAX(IF((OutputTable[GroupByKey]=OutputTable[[#This Row],[GroupByKey]]),(OutputTable[GroupByKey]=OutputTable[[#This Row],[GroupByKey]])*OutputTable[RecordedValue]))</f>
        <v>143</v>
      </c>
    </row>
    <row r="30" spans="1:16" x14ac:dyDescent="0.25">
      <c r="A30" t="s">
        <v>67</v>
      </c>
      <c r="B30" t="s">
        <v>69</v>
      </c>
      <c r="C30">
        <v>2</v>
      </c>
      <c r="D30" t="s">
        <v>155</v>
      </c>
      <c r="E30" t="s">
        <v>147</v>
      </c>
      <c r="F30" t="s">
        <v>72</v>
      </c>
      <c r="G30">
        <v>109</v>
      </c>
      <c r="H30">
        <v>0</v>
      </c>
      <c r="I30" t="str">
        <f>OutputTable[[#This Row],[ProjectName]]&amp;OutputTable[[#This Row],[Name]]&amp;OutputTable[[#This Row],[Type]]&amp;OutputTable[[#This Row],[Source]]</f>
        <v>Friday (Solucion: datafono, gofre, cocina y caja compartida)Orden.NumberOutNumber OutEntity</v>
      </c>
      <c r="J30" cm="1">
        <f t="array" ref="J30">MAX(IF((ProjectInfoTable[ProjectName]=OutputTable[[#This Row],[ProjectName]]),(ProjectInfoTable[ProjectName]=OutputTable[[#This Row],[ProjectName]])*ProjectInfoTable[NumberOfReplications]))</f>
        <v>19</v>
      </c>
      <c r="K30" cm="1">
        <f t="array" ref="K30">IFERROR(AVERAGE(IF((OutputTable[GroupByKey]=OutputTable[[#This Row],[GroupByKey]]),(OutputTable[GroupByKey]=OutputTable[[#This Row],[GroupByKey]])*OutputTable[RecordedValue])),0)</f>
        <v>122.36842105263158</v>
      </c>
      <c r="L30" cm="1">
        <f t="array" ref="L30">IFERROR(_xlfn.STDEV.S(IF((OutputTable[GroupByKey]=OutputTable[[#This Row],[GroupByKey]]),(OutputTable[GroupByKey]=OutputTable[[#This Row],[GroupByKey]])*OutputTable[RecordedValue])),0)</f>
        <v>10.160984894934533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30" cm="1">
        <f t="array" ref="O30">MIN(IF((OutputTable[GroupByKey]=OutputTable[[#This Row],[GroupByKey]]),(OutputTable[GroupByKey]=OutputTable[[#This Row],[GroupByKey]])*OutputTable[RecordedValue]))</f>
        <v>109</v>
      </c>
      <c r="P30" cm="1">
        <f t="array" ref="P30">MAX(IF((OutputTable[GroupByKey]=OutputTable[[#This Row],[GroupByKey]]),(OutputTable[GroupByKey]=OutputTable[[#This Row],[GroupByKey]])*OutputTable[RecordedValue]))</f>
        <v>150</v>
      </c>
    </row>
    <row r="31" spans="1:16" x14ac:dyDescent="0.25">
      <c r="A31" t="s">
        <v>67</v>
      </c>
      <c r="B31" t="s">
        <v>69</v>
      </c>
      <c r="C31">
        <v>2</v>
      </c>
      <c r="D31" t="s">
        <v>156</v>
      </c>
      <c r="E31" t="s">
        <v>149</v>
      </c>
      <c r="F31" t="s">
        <v>86</v>
      </c>
      <c r="G31">
        <v>155.39278043105699</v>
      </c>
      <c r="H31">
        <v>0</v>
      </c>
      <c r="I31" t="str">
        <f>OutputTable[[#This Row],[ProjectName]]&amp;OutputTable[[#This Row],[Name]]&amp;OutputTable[[#This Row],[Type]]&amp;OutputTable[[#This Row],[Source]]</f>
        <v>Friday (Solucion: datafono, gofre, cocina y caja compartida)Preparacion Accum VA TimeAccum VA TimeProcess</v>
      </c>
      <c r="J31" cm="1">
        <f t="array" ref="J31">MAX(IF((ProjectInfoTable[ProjectName]=OutputTable[[#This Row],[ProjectName]]),(ProjectInfoTable[ProjectName]=OutputTable[[#This Row],[ProjectName]])*ProjectInfoTable[NumberOfReplications]))</f>
        <v>19</v>
      </c>
      <c r="K31" cm="1">
        <f t="array" ref="K31">IFERROR(AVERAGE(IF((OutputTable[GroupByKey]=OutputTable[[#This Row],[GroupByKey]]),(OutputTable[GroupByKey]=OutputTable[[#This Row],[GroupByKey]])*OutputTable[RecordedValue])),0)</f>
        <v>174.13537587676447</v>
      </c>
      <c r="L31" cm="1">
        <f t="array" ref="L31">IFERROR(_xlfn.STDEV.S(IF((OutputTable[GroupByKey]=OutputTable[[#This Row],[GroupByKey]]),(OutputTable[GroupByKey]=OutputTable[[#This Row],[GroupByKey]])*OutputTable[RecordedValue])),0)</f>
        <v>19.65074675456297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9.4713567574295272</v>
      </c>
      <c r="O31" cm="1">
        <f t="array" ref="O31">MIN(IF((OutputTable[GroupByKey]=OutputTable[[#This Row],[GroupByKey]]),(OutputTable[GroupByKey]=OutputTable[[#This Row],[GroupByKey]])*OutputTable[RecordedValue]))</f>
        <v>139.22471453685199</v>
      </c>
      <c r="P31" cm="1">
        <f t="array" ref="P31">MAX(IF((OutputTable[GroupByKey]=OutputTable[[#This Row],[GroupByKey]]),(OutputTable[GroupByKey]=OutputTable[[#This Row],[GroupByKey]])*OutputTable[RecordedValue]))</f>
        <v>210.18722493890999</v>
      </c>
    </row>
    <row r="32" spans="1:16" x14ac:dyDescent="0.25">
      <c r="A32" t="s">
        <v>67</v>
      </c>
      <c r="B32" t="s">
        <v>69</v>
      </c>
      <c r="C32">
        <v>2</v>
      </c>
      <c r="D32" t="s">
        <v>157</v>
      </c>
      <c r="E32" t="s">
        <v>151</v>
      </c>
      <c r="F32" t="s">
        <v>86</v>
      </c>
      <c r="G32">
        <v>51.8314564867024</v>
      </c>
      <c r="H32">
        <v>0</v>
      </c>
      <c r="I32" s="5" t="str">
        <f>OutputTable[[#This Row],[ProjectName]]&amp;OutputTable[[#This Row],[Name]]&amp;OutputTable[[#This Row],[Type]]&amp;OutputTable[[#This Row],[Source]]</f>
        <v>Friday (Solucion: datafono, gofre, cocina y caja compartida)Preparacion Accum Wait TimeAccum Wait TimeProcess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19</v>
      </c>
      <c r="K32" s="5" cm="1">
        <f t="array" ref="K32">IFERROR(AVERAGE(IF((OutputTable[GroupByKey]=OutputTable[[#This Row],[GroupByKey]]),(OutputTable[GroupByKey]=OutputTable[[#This Row],[GroupByKey]])*OutputTable[RecordedValue])),0)</f>
        <v>89.754366677107924</v>
      </c>
      <c r="L32" s="5" cm="1">
        <f t="array" ref="L32">IFERROR(_xlfn.STDEV.S(IF((OutputTable[GroupByKey]=OutputTable[[#This Row],[GroupByKey]]),(OutputTable[GroupByKey]=OutputTable[[#This Row],[GroupByKey]])*OutputTable[RecordedValue])),0)</f>
        <v>109.53061123574736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52.79206474085742</v>
      </c>
      <c r="O32" s="5" cm="1">
        <f t="array" ref="O32">MIN(IF((OutputTable[GroupByKey]=OutputTable[[#This Row],[GroupByKey]]),(OutputTable[GroupByKey]=OutputTable[[#This Row],[GroupByKey]])*OutputTable[RecordedValue]))</f>
        <v>22.316256244919199</v>
      </c>
      <c r="P32" s="5" cm="1">
        <f t="array" ref="P32">MAX(IF((OutputTable[GroupByKey]=OutputTable[[#This Row],[GroupByKey]]),(OutputTable[GroupByKey]=OutputTable[[#This Row],[GroupByKey]])*OutputTable[RecordedValue]))</f>
        <v>514.987116007179</v>
      </c>
    </row>
    <row r="33" spans="1:16" x14ac:dyDescent="0.25">
      <c r="A33" t="s">
        <v>67</v>
      </c>
      <c r="B33" t="s">
        <v>69</v>
      </c>
      <c r="C33">
        <v>2</v>
      </c>
      <c r="D33" t="s">
        <v>158</v>
      </c>
      <c r="E33" t="s">
        <v>145</v>
      </c>
      <c r="F33" t="s">
        <v>86</v>
      </c>
      <c r="G33">
        <v>111</v>
      </c>
      <c r="H33">
        <v>0</v>
      </c>
      <c r="I33" s="5" t="str">
        <f>OutputTable[[#This Row],[ProjectName]]&amp;OutputTable[[#This Row],[Name]]&amp;OutputTable[[#This Row],[Type]]&amp;OutputTable[[#This Row],[Source]]</f>
        <v>Friday (Solucion: datafono, gofre, cocina y caja compartida)Preparacion Number InNumber InProcess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19</v>
      </c>
      <c r="K33" s="5" cm="1">
        <f t="array" ref="K33">IFERROR(AVERAGE(IF((OutputTable[GroupByKey]=OutputTable[[#This Row],[GroupByKey]]),(OutputTable[GroupByKey]=OutputTable[[#This Row],[GroupByKey]])*OutputTable[RecordedValue])),0)</f>
        <v>121.89473684210526</v>
      </c>
      <c r="L33" s="5" cm="1">
        <f t="array" ref="L33">IFERROR(_xlfn.STDEV.S(IF((OutputTable[GroupByKey]=OutputTable[[#This Row],[GroupByKey]]),(OutputTable[GroupByKey]=OutputTable[[#This Row],[GroupByKey]])*OutputTable[RecordedValue])),0)</f>
        <v>9.971597090637573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33" s="5" cm="1">
        <f t="array" ref="O33">MIN(IF((OutputTable[GroupByKey]=OutputTable[[#This Row],[GroupByKey]]),(OutputTable[GroupByKey]=OutputTable[[#This Row],[GroupByKey]])*OutputTable[RecordedValue]))</f>
        <v>109</v>
      </c>
      <c r="P33" s="5" cm="1">
        <f t="array" ref="P33">MAX(IF((OutputTable[GroupByKey]=OutputTable[[#This Row],[GroupByKey]]),(OutputTable[GroupByKey]=OutputTable[[#This Row],[GroupByKey]])*OutputTable[RecordedValue]))</f>
        <v>143</v>
      </c>
    </row>
    <row r="34" spans="1:16" x14ac:dyDescent="0.25">
      <c r="A34" t="s">
        <v>67</v>
      </c>
      <c r="B34" t="s">
        <v>69</v>
      </c>
      <c r="C34">
        <v>2</v>
      </c>
      <c r="D34" t="s">
        <v>159</v>
      </c>
      <c r="E34" t="s">
        <v>147</v>
      </c>
      <c r="F34" t="s">
        <v>86</v>
      </c>
      <c r="G34">
        <v>111</v>
      </c>
      <c r="H34">
        <v>0</v>
      </c>
      <c r="I34" s="5" t="str">
        <f>OutputTable[[#This Row],[ProjectName]]&amp;OutputTable[[#This Row],[Name]]&amp;OutputTable[[#This Row],[Type]]&amp;OutputTable[[#This Row],[Source]]</f>
        <v>Friday (Solucion: datafono, gofre, cocina y caja compartida)Preparacion Number OutNumber OutProcess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19</v>
      </c>
      <c r="K34" s="5" cm="1">
        <f t="array" ref="K34">IFERROR(AVERAGE(IF((OutputTable[GroupByKey]=OutputTable[[#This Row],[GroupByKey]]),(OutputTable[GroupByKey]=OutputTable[[#This Row],[GroupByKey]])*OutputTable[RecordedValue])),0)</f>
        <v>122.31578947368421</v>
      </c>
      <c r="L34" s="5" cm="1">
        <f t="array" ref="L34">IFERROR(_xlfn.STDEV.S(IF((OutputTable[GroupByKey]=OutputTable[[#This Row],[GroupByKey]]),(OutputTable[GroupByKey]=OutputTable[[#This Row],[GroupByKey]])*OutputTable[RecordedValue])),0)</f>
        <v>10.127260414780096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4.8811832731752718</v>
      </c>
      <c r="O34" s="5" cm="1">
        <f t="array" ref="O34">MIN(IF((OutputTable[GroupByKey]=OutputTable[[#This Row],[GroupByKey]]),(OutputTable[GroupByKey]=OutputTable[[#This Row],[GroupByKey]])*OutputTable[RecordedValue]))</f>
        <v>111</v>
      </c>
      <c r="P34" s="5" cm="1">
        <f t="array" ref="P34">MAX(IF((OutputTable[GroupByKey]=OutputTable[[#This Row],[GroupByKey]]),(OutputTable[GroupByKey]=OutputTable[[#This Row],[GroupByKey]])*OutputTable[RecordedValue]))</f>
        <v>150</v>
      </c>
    </row>
    <row r="35" spans="1:16" x14ac:dyDescent="0.25">
      <c r="A35" t="s">
        <v>67</v>
      </c>
      <c r="B35" t="s">
        <v>69</v>
      </c>
      <c r="C35">
        <v>2</v>
      </c>
      <c r="D35" t="s">
        <v>160</v>
      </c>
      <c r="E35" t="s">
        <v>147</v>
      </c>
      <c r="F35" t="s">
        <v>161</v>
      </c>
      <c r="G35">
        <v>112</v>
      </c>
      <c r="H35">
        <v>0</v>
      </c>
      <c r="I35" s="5" t="str">
        <f>OutputTable[[#This Row],[ProjectName]]&amp;OutputTable[[#This Row],[Name]]&amp;OutputTable[[#This Row],[Type]]&amp;OutputTable[[#This Row],[Source]]</f>
        <v>Friday (Solucion: datafono, gofre, cocina y caja compartida)System.NumberOutNumber OutSystem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19</v>
      </c>
      <c r="K35" s="5" cm="1">
        <f t="array" ref="K35">IFERROR(AVERAGE(IF((OutputTable[GroupByKey]=OutputTable[[#This Row],[GroupByKey]]),(OutputTable[GroupByKey]=OutputTable[[#This Row],[GroupByKey]])*OutputTable[RecordedValue])),0)</f>
        <v>125.36842105263158</v>
      </c>
      <c r="L35" s="5" cm="1">
        <f t="array" ref="L35">IFERROR(_xlfn.STDEV.S(IF((OutputTable[GroupByKey]=OutputTable[[#This Row],[GroupByKey]]),(OutputTable[GroupByKey]=OutputTable[[#This Row],[GroupByKey]])*OutputTable[RecordedValue])),0)</f>
        <v>10.160984894934533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35" s="5" cm="1">
        <f t="array" ref="O35">MIN(IF((OutputTable[GroupByKey]=OutputTable[[#This Row],[GroupByKey]]),(OutputTable[GroupByKey]=OutputTable[[#This Row],[GroupByKey]])*OutputTable[RecordedValue]))</f>
        <v>112</v>
      </c>
      <c r="P35" s="5" cm="1">
        <f t="array" ref="P35">MAX(IF((OutputTable[GroupByKey]=OutputTable[[#This Row],[GroupByKey]]),(OutputTable[GroupByKey]=OutputTable[[#This Row],[GroupByKey]])*OutputTable[RecordedValue]))</f>
        <v>153</v>
      </c>
    </row>
    <row r="36" spans="1:16" x14ac:dyDescent="0.25">
      <c r="A36" t="s">
        <v>67</v>
      </c>
      <c r="B36" t="s">
        <v>69</v>
      </c>
      <c r="C36">
        <v>2</v>
      </c>
      <c r="D36" t="s">
        <v>162</v>
      </c>
      <c r="E36" t="s">
        <v>163</v>
      </c>
      <c r="F36" t="s">
        <v>136</v>
      </c>
      <c r="G36">
        <v>113</v>
      </c>
      <c r="H36">
        <v>0</v>
      </c>
      <c r="I36" s="5" t="str">
        <f>OutputTable[[#This Row],[ProjectName]]&amp;OutputTable[[#This Row],[Name]]&amp;OutputTable[[#This Row],[Type]]&amp;OutputTable[[#This Row],[Source]]</f>
        <v>Friday (Solucion: datafono, gofre, cocina y caja compartida)rCajero.NumberSeizedTotal Number SeizedResource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19</v>
      </c>
      <c r="K36" s="5" cm="1">
        <f t="array" ref="K36">IFERROR(AVERAGE(IF((OutputTable[GroupByKey]=OutputTable[[#This Row],[GroupByKey]]),(OutputTable[GroupByKey]=OutputTable[[#This Row],[GroupByKey]])*OutputTable[RecordedValue])),0)</f>
        <v>131.63157894736841</v>
      </c>
      <c r="L36" s="5" cm="1">
        <f t="array" ref="L36">IFERROR(_xlfn.STDEV.S(IF((OutputTable[GroupByKey]=OutputTable[[#This Row],[GroupByKey]]),(OutputTable[GroupByKey]=OutputTable[[#This Row],[GroupByKey]])*OutputTable[RecordedValue])),0)</f>
        <v>13.988926280438102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6.7424466413544986</v>
      </c>
      <c r="O36" s="5" cm="1">
        <f t="array" ref="O36">MIN(IF((OutputTable[GroupByKey]=OutputTable[[#This Row],[GroupByKey]]),(OutputTable[GroupByKey]=OutputTable[[#This Row],[GroupByKey]])*OutputTable[RecordedValue]))</f>
        <v>113</v>
      </c>
      <c r="P36" s="5" cm="1">
        <f t="array" ref="P36">MAX(IF((OutputTable[GroupByKey]=OutputTable[[#This Row],[GroupByKey]]),(OutputTable[GroupByKey]=OutputTable[[#This Row],[GroupByKey]])*OutputTable[RecordedValue]))</f>
        <v>157</v>
      </c>
    </row>
    <row r="37" spans="1:16" x14ac:dyDescent="0.25">
      <c r="A37" t="s">
        <v>67</v>
      </c>
      <c r="B37" t="s">
        <v>69</v>
      </c>
      <c r="C37">
        <v>2</v>
      </c>
      <c r="D37" t="s">
        <v>164</v>
      </c>
      <c r="E37" t="s">
        <v>165</v>
      </c>
      <c r="F37" t="s">
        <v>136</v>
      </c>
      <c r="G37">
        <v>0.63054559860404802</v>
      </c>
      <c r="H37">
        <v>0</v>
      </c>
      <c r="I37" s="5" t="str">
        <f>OutputTable[[#This Row],[ProjectName]]&amp;OutputTable[[#This Row],[Name]]&amp;OutputTable[[#This Row],[Type]]&amp;OutputTable[[#This Row],[Source]]</f>
        <v>Friday (Solucion: datafono, gofre, cocina y caja compartida)rCajero.ScheduledUtilizationScheduled UtilizationResource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19</v>
      </c>
      <c r="K37" s="5" cm="1">
        <f t="array" ref="K37">IFERROR(AVERAGE(IF((OutputTable[GroupByKey]=OutputTable[[#This Row],[GroupByKey]]),(OutputTable[GroupByKey]=OutputTable[[#This Row],[GroupByKey]])*OutputTable[RecordedValue])),0)</f>
        <v>0.68474836505339687</v>
      </c>
      <c r="L37" s="5" cm="1">
        <f t="array" ref="L37">IFERROR(_xlfn.STDEV.S(IF((OutputTable[GroupByKey]=OutputTable[[#This Row],[GroupByKey]]),(OutputTable[GroupByKey]=OutputTable[[#This Row],[GroupByKey]])*OutputTable[RecordedValue])),0)</f>
        <v>6.2272947935973065E-2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3.0014600137344902E-2</v>
      </c>
      <c r="O37" s="5" cm="1">
        <f t="array" ref="O37">MIN(IF((OutputTable[GroupByKey]=OutputTable[[#This Row],[GroupByKey]]),(OutputTable[GroupByKey]=OutputTable[[#This Row],[GroupByKey]])*OutputTable[RecordedValue]))</f>
        <v>0.59592290927233305</v>
      </c>
      <c r="P37" s="5" cm="1">
        <f t="array" ref="P37">MAX(IF((OutputTable[GroupByKey]=OutputTable[[#This Row],[GroupByKey]]),(OutputTable[GroupByKey]=OutputTable[[#This Row],[GroupByKey]])*OutputTable[RecordedValue]))</f>
        <v>0.82897119936997599</v>
      </c>
    </row>
    <row r="38" spans="1:16" x14ac:dyDescent="0.25">
      <c r="A38" t="s">
        <v>67</v>
      </c>
      <c r="B38" t="s">
        <v>69</v>
      </c>
      <c r="C38">
        <v>2</v>
      </c>
      <c r="D38" t="s">
        <v>166</v>
      </c>
      <c r="E38" t="s">
        <v>163</v>
      </c>
      <c r="F38" t="s">
        <v>136</v>
      </c>
      <c r="G38">
        <v>109</v>
      </c>
      <c r="H38">
        <v>0</v>
      </c>
      <c r="I38" s="5" t="str">
        <f>OutputTable[[#This Row],[ProjectName]]&amp;OutputTable[[#This Row],[Name]]&amp;OutputTable[[#This Row],[Type]]&amp;OutputTable[[#This Row],[Source]]</f>
        <v>Friday (Solucion: datafono, gofre, cocina y caja compartida)rCocina.NumberSeizedTotal Number SeizedResource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19</v>
      </c>
      <c r="K38" s="5" cm="1">
        <f t="array" ref="K38">IFERROR(AVERAGE(IF((OutputTable[GroupByKey]=OutputTable[[#This Row],[GroupByKey]]),(OutputTable[GroupByKey]=OutputTable[[#This Row],[GroupByKey]])*OutputTable[RecordedValue])),0)</f>
        <v>112.73684210526316</v>
      </c>
      <c r="L38" s="5" cm="1">
        <f t="array" ref="L38">IFERROR(_xlfn.STDEV.S(IF((OutputTable[GroupByKey]=OutputTable[[#This Row],[GroupByKey]]),(OutputTable[GroupByKey]=OutputTable[[#This Row],[GroupByKey]])*OutputTable[RecordedValue])),0)</f>
        <v>9.1155673027772668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4.3935628019284003</v>
      </c>
      <c r="O38" s="5" cm="1">
        <f t="array" ref="O38">MIN(IF((OutputTable[GroupByKey]=OutputTable[[#This Row],[GroupByKey]]),(OutputTable[GroupByKey]=OutputTable[[#This Row],[GroupByKey]])*OutputTable[RecordedValue]))</f>
        <v>102</v>
      </c>
      <c r="P38" s="5" cm="1">
        <f t="array" ref="P38">MAX(IF((OutputTable[GroupByKey]=OutputTable[[#This Row],[GroupByKey]]),(OutputTable[GroupByKey]=OutputTable[[#This Row],[GroupByKey]])*OutputTable[RecordedValue]))</f>
        <v>135</v>
      </c>
    </row>
    <row r="39" spans="1:16" x14ac:dyDescent="0.25">
      <c r="A39" t="s">
        <v>67</v>
      </c>
      <c r="B39" t="s">
        <v>69</v>
      </c>
      <c r="C39">
        <v>2</v>
      </c>
      <c r="D39" t="s">
        <v>167</v>
      </c>
      <c r="E39" t="s">
        <v>165</v>
      </c>
      <c r="F39" t="s">
        <v>136</v>
      </c>
      <c r="G39">
        <v>0.62735626430673996</v>
      </c>
      <c r="H39">
        <v>0</v>
      </c>
      <c r="I39" s="5" t="str">
        <f>OutputTable[[#This Row],[ProjectName]]&amp;OutputTable[[#This Row],[Name]]&amp;OutputTable[[#This Row],[Type]]&amp;OutputTable[[#This Row],[Source]]</f>
        <v>Friday (Solucion: datafono, gofre, cocina y caja compartida)rCocina.ScheduledUtilizationScheduled UtilizationResource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19</v>
      </c>
      <c r="K39" s="5" cm="1">
        <f t="array" ref="K39">IFERROR(AVERAGE(IF((OutputTable[GroupByKey]=OutputTable[[#This Row],[GroupByKey]]),(OutputTable[GroupByKey]=OutputTable[[#This Row],[GroupByKey]])*OutputTable[RecordedValue])),0)</f>
        <v>0.71670342302257706</v>
      </c>
      <c r="L39" s="5" cm="1">
        <f t="array" ref="L39">IFERROR(_xlfn.STDEV.S(IF((OutputTable[GroupByKey]=OutputTable[[#This Row],[GroupByKey]]),(OutputTable[GroupByKey]=OutputTable[[#This Row],[GroupByKey]])*OutputTable[RecordedValue])),0)</f>
        <v>7.0907274842727658E-2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3.4176212493127585E-2</v>
      </c>
      <c r="O39" s="5" cm="1">
        <f t="array" ref="O39">MIN(IF((OutputTable[GroupByKey]=OutputTable[[#This Row],[GroupByKey]]),(OutputTable[GroupByKey]=OutputTable[[#This Row],[GroupByKey]])*OutputTable[RecordedValue]))</f>
        <v>0.60463940272025996</v>
      </c>
      <c r="P39" s="5" cm="1">
        <f t="array" ref="P39">MAX(IF((OutputTable[GroupByKey]=OutputTable[[#This Row],[GroupByKey]]),(OutputTable[GroupByKey]=OutputTable[[#This Row],[GroupByKey]])*OutputTable[RecordedValue]))</f>
        <v>0.86361037821575004</v>
      </c>
    </row>
    <row r="40" spans="1:16" x14ac:dyDescent="0.25">
      <c r="A40" t="s">
        <v>67</v>
      </c>
      <c r="B40" t="s">
        <v>69</v>
      </c>
      <c r="C40">
        <v>2</v>
      </c>
      <c r="D40" t="s">
        <v>168</v>
      </c>
      <c r="E40" t="s">
        <v>163</v>
      </c>
      <c r="F40" t="s">
        <v>136</v>
      </c>
      <c r="G40">
        <v>9</v>
      </c>
      <c r="H40">
        <v>0</v>
      </c>
      <c r="I40" s="5" t="str">
        <f>OutputTable[[#This Row],[ProjectName]]&amp;OutputTable[[#This Row],[Name]]&amp;OutputTable[[#This Row],[Type]]&amp;OutputTable[[#This Row],[Source]]</f>
        <v>Friday (Solucion: datafono, gofre, cocina y caja compartida)rMesa.NumberSeizedTotal Number SeizedResource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19</v>
      </c>
      <c r="K40" s="5" cm="1">
        <f t="array" ref="K40">IFERROR(AVERAGE(IF((OutputTable[GroupByKey]=OutputTable[[#This Row],[GroupByKey]]),(OutputTable[GroupByKey]=OutputTable[[#This Row],[GroupByKey]])*OutputTable[RecordedValue])),0)</f>
        <v>16.157894736842106</v>
      </c>
      <c r="L40" s="5" cm="1">
        <f t="array" ref="L40">IFERROR(_xlfn.STDEV.S(IF((OutputTable[GroupByKey]=OutputTable[[#This Row],[GroupByKey]]),(OutputTable[GroupByKey]=OutputTable[[#This Row],[GroupByKey]])*OutputTable[RecordedValue])),0)</f>
        <v>3.8044295512634076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40" s="5" cm="1">
        <f t="array" ref="O40">MIN(IF((OutputTable[GroupByKey]=OutputTable[[#This Row],[GroupByKey]]),(OutputTable[GroupByKey]=OutputTable[[#This Row],[GroupByKey]])*OutputTable[RecordedValue]))</f>
        <v>9</v>
      </c>
      <c r="P40" s="5" cm="1">
        <f t="array" ref="P40">MAX(IF((OutputTable[GroupByKey]=OutputTable[[#This Row],[GroupByKey]]),(OutputTable[GroupByKey]=OutputTable[[#This Row],[GroupByKey]])*OutputTable[RecordedValue]))</f>
        <v>24</v>
      </c>
    </row>
    <row r="41" spans="1:16" x14ac:dyDescent="0.25">
      <c r="A41" t="s">
        <v>67</v>
      </c>
      <c r="B41" t="s">
        <v>69</v>
      </c>
      <c r="C41">
        <v>2</v>
      </c>
      <c r="D41" t="s">
        <v>169</v>
      </c>
      <c r="E41" t="s">
        <v>165</v>
      </c>
      <c r="F41" t="s">
        <v>136</v>
      </c>
      <c r="G41">
        <v>0.156206445320244</v>
      </c>
      <c r="H41">
        <v>0</v>
      </c>
      <c r="I41" s="5" t="str">
        <f>OutputTable[[#This Row],[ProjectName]]&amp;OutputTable[[#This Row],[Name]]&amp;OutputTable[[#This Row],[Type]]&amp;OutputTable[[#This Row],[Source]]</f>
        <v>Friday (Solucion: datafono, gofre, cocina y caja compartida)rMesa.ScheduledUtilizationScheduled UtilizationResource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19</v>
      </c>
      <c r="K41" s="5" cm="1">
        <f t="array" ref="K41">IFERROR(AVERAGE(IF((OutputTable[GroupByKey]=OutputTable[[#This Row],[GroupByKey]]),(OutputTable[GroupByKey]=OutputTable[[#This Row],[GroupByKey]])*OutputTable[RecordedValue])),0)</f>
        <v>0.30850610959128744</v>
      </c>
      <c r="L41" s="5" cm="1">
        <f t="array" ref="L41">IFERROR(_xlfn.STDEV.S(IF((OutputTable[GroupByKey]=OutputTable[[#This Row],[GroupByKey]]),(OutputTable[GroupByKey]=OutputTable[[#This Row],[GroupByKey]])*OutputTable[RecordedValue])),0)</f>
        <v>6.2586127702931107E-2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3.0165547953176861E-2</v>
      </c>
      <c r="O41" s="5" cm="1">
        <f t="array" ref="O41">MIN(IF((OutputTable[GroupByKey]=OutputTable[[#This Row],[GroupByKey]]),(OutputTable[GroupByKey]=OutputTable[[#This Row],[GroupByKey]])*OutputTable[RecordedValue]))</f>
        <v>0.156206445320244</v>
      </c>
      <c r="P41" s="5" cm="1">
        <f t="array" ref="P41">MAX(IF((OutputTable[GroupByKey]=OutputTable[[#This Row],[GroupByKey]]),(OutputTable[GroupByKey]=OutputTable[[#This Row],[GroupByKey]])*OutputTable[RecordedValue]))</f>
        <v>0.44942505379986802</v>
      </c>
    </row>
    <row r="42" spans="1:16" x14ac:dyDescent="0.25">
      <c r="A42" t="s">
        <v>67</v>
      </c>
      <c r="B42" t="s">
        <v>69</v>
      </c>
      <c r="C42">
        <v>2</v>
      </c>
      <c r="D42" t="s">
        <v>170</v>
      </c>
      <c r="E42" t="s">
        <v>145</v>
      </c>
      <c r="F42" t="s">
        <v>72</v>
      </c>
      <c r="G42">
        <v>3</v>
      </c>
      <c r="H42">
        <v>0</v>
      </c>
      <c r="I42" s="5" t="str">
        <f>OutputTable[[#This Row],[ProjectName]]&amp;OutputTable[[#This Row],[Name]]&amp;OutputTable[[#This Row],[Type]]&amp;OutputTable[[#This Row],[Source]]</f>
        <v>Friday (Solucion: datafono, gofre, cocina y caja compartida)reloj.NumberInNumber InEntity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19</v>
      </c>
      <c r="K42" s="5" cm="1">
        <f t="array" ref="K42">IFERROR(AVERAGE(IF((OutputTable[GroupByKey]=OutputTable[[#This Row],[GroupByKey]]),(OutputTable[GroupByKey]=OutputTable[[#This Row],[GroupByKey]])*OutputTable[RecordedValue])),0)</f>
        <v>3</v>
      </c>
      <c r="L42" s="5" cm="1">
        <f t="array" ref="L42">IFERROR(_xlfn.STDEV.S(IF((OutputTable[GroupByKey]=OutputTable[[#This Row],[GroupByKey]]),(OutputTable[GroupByKey]=OutputTable[[#This Row],[GroupByKey]])*OutputTable[RecordedValue])),0)</f>
        <v>0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" s="5" cm="1">
        <f t="array" ref="O42">MIN(IF((OutputTable[GroupByKey]=OutputTable[[#This Row],[GroupByKey]]),(OutputTable[GroupByKey]=OutputTable[[#This Row],[GroupByKey]])*OutputTable[RecordedValue]))</f>
        <v>3</v>
      </c>
      <c r="P42" s="5" cm="1">
        <f t="array" ref="P42">MAX(IF((OutputTable[GroupByKey]=OutputTable[[#This Row],[GroupByKey]]),(OutputTable[GroupByKey]=OutputTable[[#This Row],[GroupByKey]])*OutputTable[RecordedValue]))</f>
        <v>3</v>
      </c>
    </row>
    <row r="43" spans="1:16" x14ac:dyDescent="0.25">
      <c r="A43" t="s">
        <v>67</v>
      </c>
      <c r="B43" t="s">
        <v>69</v>
      </c>
      <c r="C43">
        <v>2</v>
      </c>
      <c r="D43" t="s">
        <v>171</v>
      </c>
      <c r="E43" t="s">
        <v>147</v>
      </c>
      <c r="F43" t="s">
        <v>72</v>
      </c>
      <c r="G43">
        <v>3</v>
      </c>
      <c r="H43">
        <v>0</v>
      </c>
      <c r="I43" s="5" t="str">
        <f>OutputTable[[#This Row],[ProjectName]]&amp;OutputTable[[#This Row],[Name]]&amp;OutputTable[[#This Row],[Type]]&amp;OutputTable[[#This Row],[Source]]</f>
        <v>Friday (Solucion: datafono, gofre, cocina y caja compartida)reloj.NumberOutNumber OutEntity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19</v>
      </c>
      <c r="K43" s="5" cm="1">
        <f t="array" ref="K43">IFERROR(AVERAGE(IF((OutputTable[GroupByKey]=OutputTable[[#This Row],[GroupByKey]]),(OutputTable[GroupByKey]=OutputTable[[#This Row],[GroupByKey]])*OutputTable[RecordedValue])),0)</f>
        <v>3</v>
      </c>
      <c r="L43" s="5" cm="1">
        <f t="array" ref="L43">IFERROR(_xlfn.STDEV.S(IF((OutputTable[GroupByKey]=OutputTable[[#This Row],[GroupByKey]]),(OutputTable[GroupByKey]=OutputTable[[#This Row],[GroupByKey]])*OutputTable[RecordedValue])),0)</f>
        <v>0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" s="5" cm="1">
        <f t="array" ref="O43">MIN(IF((OutputTable[GroupByKey]=OutputTable[[#This Row],[GroupByKey]]),(OutputTable[GroupByKey]=OutputTable[[#This Row],[GroupByKey]])*OutputTable[RecordedValue]))</f>
        <v>3</v>
      </c>
      <c r="P43" s="5" cm="1">
        <f t="array" ref="P43">MAX(IF((OutputTable[GroupByKey]=OutputTable[[#This Row],[GroupByKey]]),(OutputTable[GroupByKey]=OutputTable[[#This Row],[GroupByKey]])*OutputTable[RecordedValue]))</f>
        <v>3</v>
      </c>
    </row>
    <row r="44" spans="1:16" x14ac:dyDescent="0.25">
      <c r="A44" t="s">
        <v>67</v>
      </c>
      <c r="B44" t="s">
        <v>69</v>
      </c>
      <c r="C44">
        <v>3</v>
      </c>
      <c r="D44" t="s">
        <v>144</v>
      </c>
      <c r="E44" t="s">
        <v>145</v>
      </c>
      <c r="F44" t="s">
        <v>72</v>
      </c>
      <c r="G44">
        <v>331</v>
      </c>
      <c r="H44">
        <v>0</v>
      </c>
      <c r="I44" s="5" t="str">
        <f>OutputTable[[#This Row],[ProjectName]]&amp;OutputTable[[#This Row],[Name]]&amp;OutputTable[[#This Row],[Type]]&amp;OutputTable[[#This Row],[Source]]</f>
        <v>Friday (Solucion: datafono, gofre, cocina y caja compartida)Cliente.NumberInNumber InEntity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19</v>
      </c>
      <c r="K44" s="5" cm="1">
        <f t="array" ref="K44">IFERROR(AVERAGE(IF((OutputTable[GroupByKey]=OutputTable[[#This Row],[GroupByKey]]),(OutputTable[GroupByKey]=OutputTable[[#This Row],[GroupByKey]])*OutputTable[RecordedValue])),0)</f>
        <v>366.21052631578948</v>
      </c>
      <c r="L44" s="5" cm="1">
        <f t="array" ref="L44">IFERROR(_xlfn.STDEV.S(IF((OutputTable[GroupByKey]=OutputTable[[#This Row],[GroupByKey]]),(OutputTable[GroupByKey]=OutputTable[[#This Row],[GroupByKey]])*OutputTable[RecordedValue])),0)</f>
        <v>28.665850661580702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13.816497752584581</v>
      </c>
      <c r="O44" s="5" cm="1">
        <f t="array" ref="O44">MIN(IF((OutputTable[GroupByKey]=OutputTable[[#This Row],[GroupByKey]]),(OutputTable[GroupByKey]=OutputTable[[#This Row],[GroupByKey]])*OutputTable[RecordedValue]))</f>
        <v>331</v>
      </c>
      <c r="P44" s="5" cm="1">
        <f t="array" ref="P44">MAX(IF((OutputTable[GroupByKey]=OutputTable[[#This Row],[GroupByKey]]),(OutputTable[GroupByKey]=OutputTable[[#This Row],[GroupByKey]])*OutputTable[RecordedValue]))</f>
        <v>427</v>
      </c>
    </row>
    <row r="45" spans="1:16" x14ac:dyDescent="0.25">
      <c r="A45" t="s">
        <v>67</v>
      </c>
      <c r="B45" t="s">
        <v>69</v>
      </c>
      <c r="C45">
        <v>3</v>
      </c>
      <c r="D45" t="s">
        <v>146</v>
      </c>
      <c r="E45" t="s">
        <v>147</v>
      </c>
      <c r="F45" t="s">
        <v>72</v>
      </c>
      <c r="G45">
        <v>339</v>
      </c>
      <c r="H45">
        <v>0</v>
      </c>
      <c r="I45" s="5" t="str">
        <f>OutputTable[[#This Row],[ProjectName]]&amp;OutputTable[[#This Row],[Name]]&amp;OutputTable[[#This Row],[Type]]&amp;OutputTable[[#This Row],[Source]]</f>
        <v>Friday (Solucion: datafono, gofre, cocina y caja compartida)Cliente.NumberOutNumber OutEntity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19</v>
      </c>
      <c r="K45" s="5" cm="1">
        <f t="array" ref="K45">IFERROR(AVERAGE(IF((OutputTable[GroupByKey]=OutputTable[[#This Row],[GroupByKey]]),(OutputTable[GroupByKey]=OutputTable[[#This Row],[GroupByKey]])*OutputTable[RecordedValue])),0)</f>
        <v>366.63157894736844</v>
      </c>
      <c r="L45" s="5" cm="1">
        <f t="array" ref="L45">IFERROR(_xlfn.STDEV.S(IF((OutputTable[GroupByKey]=OutputTable[[#This Row],[GroupByKey]]),(OutputTable[GroupByKey]=OutputTable[[#This Row],[GroupByKey]])*OutputTable[RecordedValue])),0)</f>
        <v>29.957767544617038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14.439181758083874</v>
      </c>
      <c r="O45" s="5" cm="1">
        <f t="array" ref="O45">MIN(IF((OutputTable[GroupByKey]=OutputTable[[#This Row],[GroupByKey]]),(OutputTable[GroupByKey]=OutputTable[[#This Row],[GroupByKey]])*OutputTable[RecordedValue]))</f>
        <v>329</v>
      </c>
      <c r="P45" s="5" cm="1">
        <f t="array" ref="P45">MAX(IF((OutputTable[GroupByKey]=OutputTable[[#This Row],[GroupByKey]]),(OutputTable[GroupByKey]=OutputTable[[#This Row],[GroupByKey]])*OutputTable[RecordedValue]))</f>
        <v>443</v>
      </c>
    </row>
    <row r="46" spans="1:16" x14ac:dyDescent="0.25">
      <c r="A46" t="s">
        <v>67</v>
      </c>
      <c r="B46" t="s">
        <v>69</v>
      </c>
      <c r="C46">
        <v>3</v>
      </c>
      <c r="D46" t="s">
        <v>148</v>
      </c>
      <c r="E46" t="s">
        <v>149</v>
      </c>
      <c r="F46" t="s">
        <v>86</v>
      </c>
      <c r="G46">
        <v>328.13266969253198</v>
      </c>
      <c r="H46">
        <v>0</v>
      </c>
      <c r="I46" s="5" t="str">
        <f>OutputTable[[#This Row],[ProjectName]]&amp;OutputTable[[#This Row],[Name]]&amp;OutputTable[[#This Row],[Type]]&amp;OutputTable[[#This Row],[Source]]</f>
        <v>Friday (Solucion: datafono, gofre, cocina y caja compartida)Comer en Mesa Accum VA TimeAccum VA TimeProcess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19</v>
      </c>
      <c r="K46" s="5" cm="1">
        <f t="array" ref="K46">IFERROR(AVERAGE(IF((OutputTable[GroupByKey]=OutputTable[[#This Row],[GroupByKey]]),(OutputTable[GroupByKey]=OutputTable[[#This Row],[GroupByKey]])*OutputTable[RecordedValue])),0)</f>
        <v>283.12549562397913</v>
      </c>
      <c r="L46" s="5" cm="1">
        <f t="array" ref="L46">IFERROR(_xlfn.STDEV.S(IF((OutputTable[GroupByKey]=OutputTable[[#This Row],[GroupByKey]]),(OutputTable[GroupByKey]=OutputTable[[#This Row],[GroupByKey]])*OutputTable[RecordedValue])),0)</f>
        <v>55.763238037894645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26.877020400444863</v>
      </c>
      <c r="O46" s="5" cm="1">
        <f t="array" ref="O46">MIN(IF((OutputTable[GroupByKey]=OutputTable[[#This Row],[GroupByKey]]),(OutputTable[GroupByKey]=OutputTable[[#This Row],[GroupByKey]])*OutputTable[RecordedValue]))</f>
        <v>157.05073652574001</v>
      </c>
      <c r="P46" s="5" cm="1">
        <f t="array" ref="P46">MAX(IF((OutputTable[GroupByKey]=OutputTable[[#This Row],[GroupByKey]]),(OutputTable[GroupByKey]=OutputTable[[#This Row],[GroupByKey]])*OutputTable[RecordedValue]))</f>
        <v>402.97015039838902</v>
      </c>
    </row>
    <row r="47" spans="1:16" x14ac:dyDescent="0.25">
      <c r="A47" t="s">
        <v>67</v>
      </c>
      <c r="B47" t="s">
        <v>69</v>
      </c>
      <c r="C47">
        <v>3</v>
      </c>
      <c r="D47" t="s">
        <v>150</v>
      </c>
      <c r="E47" t="s">
        <v>151</v>
      </c>
      <c r="F47" t="s">
        <v>86</v>
      </c>
      <c r="G47">
        <v>0</v>
      </c>
      <c r="H47">
        <v>0</v>
      </c>
      <c r="I47" s="5" t="str">
        <f>OutputTable[[#This Row],[ProjectName]]&amp;OutputTable[[#This Row],[Name]]&amp;OutputTable[[#This Row],[Type]]&amp;OutputTable[[#This Row],[Source]]</f>
        <v>Friday (Solucion: datafono, gofre, cocina y caja compartida)Comer en Mesa Accum Wait TimeAccum Wait TimeProcess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19</v>
      </c>
      <c r="K47" s="5" cm="1">
        <f t="array" ref="K47">IFERROR(AVERAGE(IF((OutputTable[GroupByKey]=OutputTable[[#This Row],[GroupByKey]]),(OutputTable[GroupByKey]=OutputTable[[#This Row],[GroupByKey]])*OutputTable[RecordedValue])),0)</f>
        <v>0</v>
      </c>
      <c r="L47" s="5" cm="1">
        <f t="array" ref="L47">IFERROR(_xlfn.STDEV.S(IF((OutputTable[GroupByKey]=OutputTable[[#This Row],[GroupByKey]]),(OutputTable[GroupByKey]=OutputTable[[#This Row],[GroupByKey]])*OutputTable[RecordedValue])),0)</f>
        <v>0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" s="5" cm="1">
        <f t="array" ref="O47">MIN(IF((OutputTable[GroupByKey]=OutputTable[[#This Row],[GroupByKey]]),(OutputTable[GroupByKey]=OutputTable[[#This Row],[GroupByKey]])*OutputTable[RecordedValue]))</f>
        <v>0</v>
      </c>
      <c r="P47" s="5" cm="1">
        <f t="array" ref="P47">MAX(IF((OutputTable[GroupByKey]=OutputTable[[#This Row],[GroupByKey]]),(OutputTable[GroupByKey]=OutputTable[[#This Row],[GroupByKey]])*OutputTable[RecordedValue]))</f>
        <v>0</v>
      </c>
    </row>
    <row r="48" spans="1:16" x14ac:dyDescent="0.25">
      <c r="A48" t="s">
        <v>67</v>
      </c>
      <c r="B48" t="s">
        <v>69</v>
      </c>
      <c r="C48">
        <v>3</v>
      </c>
      <c r="D48" t="s">
        <v>152</v>
      </c>
      <c r="E48" t="s">
        <v>145</v>
      </c>
      <c r="F48" t="s">
        <v>86</v>
      </c>
      <c r="G48">
        <v>14</v>
      </c>
      <c r="H48">
        <v>0</v>
      </c>
      <c r="I48" s="5" t="str">
        <f>OutputTable[[#This Row],[ProjectName]]&amp;OutputTable[[#This Row],[Name]]&amp;OutputTable[[#This Row],[Type]]&amp;OutputTable[[#This Row],[Source]]</f>
        <v>Friday (Solucion: datafono, gofre, cocina y caja compartida)Comer en Mesa Number InNumber InProcess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19</v>
      </c>
      <c r="K48" s="5" cm="1">
        <f t="array" ref="K48">IFERROR(AVERAGE(IF((OutputTable[GroupByKey]=OutputTable[[#This Row],[GroupByKey]]),(OutputTable[GroupByKey]=OutputTable[[#This Row],[GroupByKey]])*OutputTable[RecordedValue])),0)</f>
        <v>16.157894736842106</v>
      </c>
      <c r="L48" s="5" cm="1">
        <f t="array" ref="L48">IFERROR(_xlfn.STDEV.S(IF((OutputTable[GroupByKey]=OutputTable[[#This Row],[GroupByKey]]),(OutputTable[GroupByKey]=OutputTable[[#This Row],[GroupByKey]])*OutputTable[RecordedValue])),0)</f>
        <v>3.8044295512634076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48" s="5" cm="1">
        <f t="array" ref="O48">MIN(IF((OutputTable[GroupByKey]=OutputTable[[#This Row],[GroupByKey]]),(OutputTable[GroupByKey]=OutputTable[[#This Row],[GroupByKey]])*OutputTable[RecordedValue]))</f>
        <v>9</v>
      </c>
      <c r="P48" s="5" cm="1">
        <f t="array" ref="P48">MAX(IF((OutputTable[GroupByKey]=OutputTable[[#This Row],[GroupByKey]]),(OutputTable[GroupByKey]=OutputTable[[#This Row],[GroupByKey]])*OutputTable[RecordedValue]))</f>
        <v>24</v>
      </c>
    </row>
    <row r="49" spans="1:16" x14ac:dyDescent="0.25">
      <c r="A49" t="s">
        <v>67</v>
      </c>
      <c r="B49" t="s">
        <v>69</v>
      </c>
      <c r="C49">
        <v>3</v>
      </c>
      <c r="D49" t="s">
        <v>153</v>
      </c>
      <c r="E49" t="s">
        <v>147</v>
      </c>
      <c r="F49" t="s">
        <v>86</v>
      </c>
      <c r="G49">
        <v>16</v>
      </c>
      <c r="H49">
        <v>0</v>
      </c>
      <c r="I49" s="5" t="str">
        <f>OutputTable[[#This Row],[ProjectName]]&amp;OutputTable[[#This Row],[Name]]&amp;OutputTable[[#This Row],[Type]]&amp;OutputTable[[#This Row],[Source]]</f>
        <v>Friday (Solucion: datafono, gofre, cocina y caja compartida)Comer en Mesa Number OutNumber OutProcess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19</v>
      </c>
      <c r="K49" s="5" cm="1">
        <f t="array" ref="K49">IFERROR(AVERAGE(IF((OutputTable[GroupByKey]=OutputTable[[#This Row],[GroupByKey]]),(OutputTable[GroupByKey]=OutputTable[[#This Row],[GroupByKey]])*OutputTable[RecordedValue])),0)</f>
        <v>16.263157894736842</v>
      </c>
      <c r="L49" s="5" cm="1">
        <f t="array" ref="L49">IFERROR(_xlfn.STDEV.S(IF((OutputTable[GroupByKey]=OutputTable[[#This Row],[GroupByKey]]),(OutputTable[GroupByKey]=OutputTable[[#This Row],[GroupByKey]])*OutputTable[RecordedValue])),0)</f>
        <v>3.3803698887540881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1.6292861329062698</v>
      </c>
      <c r="O49" s="5" cm="1">
        <f t="array" ref="O49">MIN(IF((OutputTable[GroupByKey]=OutputTable[[#This Row],[GroupByKey]]),(OutputTable[GroupByKey]=OutputTable[[#This Row],[GroupByKey]])*OutputTable[RecordedValue]))</f>
        <v>8</v>
      </c>
      <c r="P49" s="5" cm="1">
        <f t="array" ref="P49">MAX(IF((OutputTable[GroupByKey]=OutputTable[[#This Row],[GroupByKey]]),(OutputTable[GroupByKey]=OutputTable[[#This Row],[GroupByKey]])*OutputTable[RecordedValue]))</f>
        <v>22</v>
      </c>
    </row>
    <row r="50" spans="1:16" x14ac:dyDescent="0.25">
      <c r="A50" t="s">
        <v>67</v>
      </c>
      <c r="B50" t="s">
        <v>69</v>
      </c>
      <c r="C50">
        <v>3</v>
      </c>
      <c r="D50" t="s">
        <v>154</v>
      </c>
      <c r="E50" t="s">
        <v>145</v>
      </c>
      <c r="F50" t="s">
        <v>72</v>
      </c>
      <c r="G50">
        <v>109</v>
      </c>
      <c r="H50">
        <v>0</v>
      </c>
      <c r="I50" s="5" t="str">
        <f>OutputTable[[#This Row],[ProjectName]]&amp;OutputTable[[#This Row],[Name]]&amp;OutputTable[[#This Row],[Type]]&amp;OutputTable[[#This Row],[Source]]</f>
        <v>Friday (Solucion: datafono, gofre, cocina y caja compartida)Orden.NumberInNumber InEntity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19</v>
      </c>
      <c r="K50" s="5" cm="1">
        <f t="array" ref="K50">IFERROR(AVERAGE(IF((OutputTable[GroupByKey]=OutputTable[[#This Row],[GroupByKey]]),(OutputTable[GroupByKey]=OutputTable[[#This Row],[GroupByKey]])*OutputTable[RecordedValue])),0)</f>
        <v>121.89473684210526</v>
      </c>
      <c r="L50" s="5" cm="1">
        <f t="array" ref="L50">IFERROR(_xlfn.STDEV.S(IF((OutputTable[GroupByKey]=OutputTable[[#This Row],[GroupByKey]]),(OutputTable[GroupByKey]=OutputTable[[#This Row],[GroupByKey]])*OutputTable[RecordedValue])),0)</f>
        <v>9.971597090637573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50" s="5" cm="1">
        <f t="array" ref="O50">MIN(IF((OutputTable[GroupByKey]=OutputTable[[#This Row],[GroupByKey]]),(OutputTable[GroupByKey]=OutputTable[[#This Row],[GroupByKey]])*OutputTable[RecordedValue]))</f>
        <v>109</v>
      </c>
      <c r="P50" s="5" cm="1">
        <f t="array" ref="P50">MAX(IF((OutputTable[GroupByKey]=OutputTable[[#This Row],[GroupByKey]]),(OutputTable[GroupByKey]=OutputTable[[#This Row],[GroupByKey]])*OutputTable[RecordedValue]))</f>
        <v>143</v>
      </c>
    </row>
    <row r="51" spans="1:16" x14ac:dyDescent="0.25">
      <c r="A51" t="s">
        <v>67</v>
      </c>
      <c r="B51" t="s">
        <v>69</v>
      </c>
      <c r="C51">
        <v>3</v>
      </c>
      <c r="D51" t="s">
        <v>155</v>
      </c>
      <c r="E51" t="s">
        <v>147</v>
      </c>
      <c r="F51" t="s">
        <v>72</v>
      </c>
      <c r="G51">
        <v>115</v>
      </c>
      <c r="H51">
        <v>0</v>
      </c>
      <c r="I51" s="5" t="str">
        <f>OutputTable[[#This Row],[ProjectName]]&amp;OutputTable[[#This Row],[Name]]&amp;OutputTable[[#This Row],[Type]]&amp;OutputTable[[#This Row],[Source]]</f>
        <v>Friday (Solucion: datafono, gofre, cocina y caja compartida)Orden.NumberOutNumber OutEntity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19</v>
      </c>
      <c r="K51" s="5" cm="1">
        <f t="array" ref="K51">IFERROR(AVERAGE(IF((OutputTable[GroupByKey]=OutputTable[[#This Row],[GroupByKey]]),(OutputTable[GroupByKey]=OutputTable[[#This Row],[GroupByKey]])*OutputTable[RecordedValue])),0)</f>
        <v>122.36842105263158</v>
      </c>
      <c r="L51" s="5" cm="1">
        <f t="array" ref="L51">IFERROR(_xlfn.STDEV.S(IF((OutputTable[GroupByKey]=OutputTable[[#This Row],[GroupByKey]]),(OutputTable[GroupByKey]=OutputTable[[#This Row],[GroupByKey]])*OutputTable[RecordedValue])),0)</f>
        <v>10.160984894934533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51" s="5" cm="1">
        <f t="array" ref="O51">MIN(IF((OutputTable[GroupByKey]=OutputTable[[#This Row],[GroupByKey]]),(OutputTable[GroupByKey]=OutputTable[[#This Row],[GroupByKey]])*OutputTable[RecordedValue]))</f>
        <v>109</v>
      </c>
      <c r="P51" s="5" cm="1">
        <f t="array" ref="P51">MAX(IF((OutputTable[GroupByKey]=OutputTable[[#This Row],[GroupByKey]]),(OutputTable[GroupByKey]=OutputTable[[#This Row],[GroupByKey]])*OutputTable[RecordedValue]))</f>
        <v>150</v>
      </c>
    </row>
    <row r="52" spans="1:16" x14ac:dyDescent="0.25">
      <c r="A52" t="s">
        <v>67</v>
      </c>
      <c r="B52" t="s">
        <v>69</v>
      </c>
      <c r="C52">
        <v>3</v>
      </c>
      <c r="D52" t="s">
        <v>156</v>
      </c>
      <c r="E52" t="s">
        <v>149</v>
      </c>
      <c r="F52" t="s">
        <v>86</v>
      </c>
      <c r="G52">
        <v>193.295793025514</v>
      </c>
      <c r="H52">
        <v>0</v>
      </c>
      <c r="I52" s="5" t="str">
        <f>OutputTable[[#This Row],[ProjectName]]&amp;OutputTable[[#This Row],[Name]]&amp;OutputTable[[#This Row],[Type]]&amp;OutputTable[[#This Row],[Source]]</f>
        <v>Friday (Solucion: datafono, gofre, cocina y caja compartida)Preparacion Accum VA TimeAccum VA TimeProcess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19</v>
      </c>
      <c r="K52" s="5" cm="1">
        <f t="array" ref="K52">IFERROR(AVERAGE(IF((OutputTable[GroupByKey]=OutputTable[[#This Row],[GroupByKey]]),(OutputTable[GroupByKey]=OutputTable[[#This Row],[GroupByKey]])*OutputTable[RecordedValue])),0)</f>
        <v>174.13537587676447</v>
      </c>
      <c r="L52" s="5" cm="1">
        <f t="array" ref="L52">IFERROR(_xlfn.STDEV.S(IF((OutputTable[GroupByKey]=OutputTable[[#This Row],[GroupByKey]]),(OutputTable[GroupByKey]=OutputTable[[#This Row],[GroupByKey]])*OutputTable[RecordedValue])),0)</f>
        <v>19.65074675456297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9.4713567574295272</v>
      </c>
      <c r="O52" s="5" cm="1">
        <f t="array" ref="O52">MIN(IF((OutputTable[GroupByKey]=OutputTable[[#This Row],[GroupByKey]]),(OutputTable[GroupByKey]=OutputTable[[#This Row],[GroupByKey]])*OutputTable[RecordedValue]))</f>
        <v>139.22471453685199</v>
      </c>
      <c r="P52" s="5" cm="1">
        <f t="array" ref="P52">MAX(IF((OutputTable[GroupByKey]=OutputTable[[#This Row],[GroupByKey]]),(OutputTable[GroupByKey]=OutputTable[[#This Row],[GroupByKey]])*OutputTable[RecordedValue]))</f>
        <v>210.18722493890999</v>
      </c>
    </row>
    <row r="53" spans="1:16" x14ac:dyDescent="0.25">
      <c r="A53" t="s">
        <v>67</v>
      </c>
      <c r="B53" t="s">
        <v>69</v>
      </c>
      <c r="C53">
        <v>3</v>
      </c>
      <c r="D53" t="s">
        <v>157</v>
      </c>
      <c r="E53" t="s">
        <v>151</v>
      </c>
      <c r="F53" t="s">
        <v>86</v>
      </c>
      <c r="G53">
        <v>169.183485654809</v>
      </c>
      <c r="H53">
        <v>0</v>
      </c>
      <c r="I53" s="5" t="str">
        <f>OutputTable[[#This Row],[ProjectName]]&amp;OutputTable[[#This Row],[Name]]&amp;OutputTable[[#This Row],[Type]]&amp;OutputTable[[#This Row],[Source]]</f>
        <v>Friday (Solucion: datafono, gofre, cocina y caja compartida)Preparacion Accum Wait TimeAccum Wait TimeProcess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19</v>
      </c>
      <c r="K53" s="5" cm="1">
        <f t="array" ref="K53">IFERROR(AVERAGE(IF((OutputTable[GroupByKey]=OutputTable[[#This Row],[GroupByKey]]),(OutputTable[GroupByKey]=OutputTable[[#This Row],[GroupByKey]])*OutputTable[RecordedValue])),0)</f>
        <v>89.754366677107924</v>
      </c>
      <c r="L53" s="5" cm="1">
        <f t="array" ref="L53">IFERROR(_xlfn.STDEV.S(IF((OutputTable[GroupByKey]=OutputTable[[#This Row],[GroupByKey]]),(OutputTable[GroupByKey]=OutputTable[[#This Row],[GroupByKey]])*OutputTable[RecordedValue])),0)</f>
        <v>109.53061123574736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52.79206474085742</v>
      </c>
      <c r="O53" s="5" cm="1">
        <f t="array" ref="O53">MIN(IF((OutputTable[GroupByKey]=OutputTable[[#This Row],[GroupByKey]]),(OutputTable[GroupByKey]=OutputTable[[#This Row],[GroupByKey]])*OutputTable[RecordedValue]))</f>
        <v>22.316256244919199</v>
      </c>
      <c r="P53" s="5" cm="1">
        <f t="array" ref="P53">MAX(IF((OutputTable[GroupByKey]=OutputTable[[#This Row],[GroupByKey]]),(OutputTable[GroupByKey]=OutputTable[[#This Row],[GroupByKey]])*OutputTable[RecordedValue]))</f>
        <v>514.987116007179</v>
      </c>
    </row>
    <row r="54" spans="1:16" x14ac:dyDescent="0.25">
      <c r="A54" t="s">
        <v>67</v>
      </c>
      <c r="B54" t="s">
        <v>69</v>
      </c>
      <c r="C54">
        <v>3</v>
      </c>
      <c r="D54" t="s">
        <v>158</v>
      </c>
      <c r="E54" t="s">
        <v>145</v>
      </c>
      <c r="F54" t="s">
        <v>86</v>
      </c>
      <c r="G54">
        <v>109</v>
      </c>
      <c r="H54">
        <v>0</v>
      </c>
      <c r="I54" s="5" t="str">
        <f>OutputTable[[#This Row],[ProjectName]]&amp;OutputTable[[#This Row],[Name]]&amp;OutputTable[[#This Row],[Type]]&amp;OutputTable[[#This Row],[Source]]</f>
        <v>Friday (Solucion: datafono, gofre, cocina y caja compartida)Preparacion Number InNumber InProcess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19</v>
      </c>
      <c r="K54" s="5" cm="1">
        <f t="array" ref="K54">IFERROR(AVERAGE(IF((OutputTable[GroupByKey]=OutputTable[[#This Row],[GroupByKey]]),(OutputTable[GroupByKey]=OutputTable[[#This Row],[GroupByKey]])*OutputTable[RecordedValue])),0)</f>
        <v>121.89473684210526</v>
      </c>
      <c r="L54" s="5" cm="1">
        <f t="array" ref="L54">IFERROR(_xlfn.STDEV.S(IF((OutputTable[GroupByKey]=OutputTable[[#This Row],[GroupByKey]]),(OutputTable[GroupByKey]=OutputTable[[#This Row],[GroupByKey]])*OutputTable[RecordedValue])),0)</f>
        <v>9.971597090637573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54" s="5" cm="1">
        <f t="array" ref="O54">MIN(IF((OutputTable[GroupByKey]=OutputTable[[#This Row],[GroupByKey]]),(OutputTable[GroupByKey]=OutputTable[[#This Row],[GroupByKey]])*OutputTable[RecordedValue]))</f>
        <v>109</v>
      </c>
      <c r="P54" s="5" cm="1">
        <f t="array" ref="P54">MAX(IF((OutputTable[GroupByKey]=OutputTable[[#This Row],[GroupByKey]]),(OutputTable[GroupByKey]=OutputTable[[#This Row],[GroupByKey]])*OutputTable[RecordedValue]))</f>
        <v>143</v>
      </c>
    </row>
    <row r="55" spans="1:16" x14ac:dyDescent="0.25">
      <c r="A55" t="s">
        <v>67</v>
      </c>
      <c r="B55" t="s">
        <v>69</v>
      </c>
      <c r="C55">
        <v>3</v>
      </c>
      <c r="D55" t="s">
        <v>159</v>
      </c>
      <c r="E55" t="s">
        <v>147</v>
      </c>
      <c r="F55" t="s">
        <v>86</v>
      </c>
      <c r="G55">
        <v>114</v>
      </c>
      <c r="H55">
        <v>0</v>
      </c>
      <c r="I55" s="5" t="str">
        <f>OutputTable[[#This Row],[ProjectName]]&amp;OutputTable[[#This Row],[Name]]&amp;OutputTable[[#This Row],[Type]]&amp;OutputTable[[#This Row],[Source]]</f>
        <v>Friday (Solucion: datafono, gofre, cocina y caja compartida)Preparacion Number OutNumber OutProcess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19</v>
      </c>
      <c r="K55" s="5" cm="1">
        <f t="array" ref="K55">IFERROR(AVERAGE(IF((OutputTable[GroupByKey]=OutputTable[[#This Row],[GroupByKey]]),(OutputTable[GroupByKey]=OutputTable[[#This Row],[GroupByKey]])*OutputTable[RecordedValue])),0)</f>
        <v>122.31578947368421</v>
      </c>
      <c r="L55" s="5" cm="1">
        <f t="array" ref="L55">IFERROR(_xlfn.STDEV.S(IF((OutputTable[GroupByKey]=OutputTable[[#This Row],[GroupByKey]]),(OutputTable[GroupByKey]=OutputTable[[#This Row],[GroupByKey]])*OutputTable[RecordedValue])),0)</f>
        <v>10.127260414780096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4.8811832731752718</v>
      </c>
      <c r="O55" s="5" cm="1">
        <f t="array" ref="O55">MIN(IF((OutputTable[GroupByKey]=OutputTable[[#This Row],[GroupByKey]]),(OutputTable[GroupByKey]=OutputTable[[#This Row],[GroupByKey]])*OutputTable[RecordedValue]))</f>
        <v>111</v>
      </c>
      <c r="P55" s="5" cm="1">
        <f t="array" ref="P55">MAX(IF((OutputTable[GroupByKey]=OutputTable[[#This Row],[GroupByKey]]),(OutputTable[GroupByKey]=OutputTable[[#This Row],[GroupByKey]])*OutputTable[RecordedValue]))</f>
        <v>150</v>
      </c>
    </row>
    <row r="56" spans="1:16" x14ac:dyDescent="0.25">
      <c r="A56" t="s">
        <v>67</v>
      </c>
      <c r="B56" t="s">
        <v>69</v>
      </c>
      <c r="C56">
        <v>3</v>
      </c>
      <c r="D56" t="s">
        <v>160</v>
      </c>
      <c r="E56" t="s">
        <v>147</v>
      </c>
      <c r="F56" t="s">
        <v>161</v>
      </c>
      <c r="G56">
        <v>118</v>
      </c>
      <c r="H56">
        <v>0</v>
      </c>
      <c r="I56" s="5" t="str">
        <f>OutputTable[[#This Row],[ProjectName]]&amp;OutputTable[[#This Row],[Name]]&amp;OutputTable[[#This Row],[Type]]&amp;OutputTable[[#This Row],[Source]]</f>
        <v>Friday (Solucion: datafono, gofre, cocina y caja compartida)System.NumberOutNumber OutSystem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19</v>
      </c>
      <c r="K56" s="5" cm="1">
        <f t="array" ref="K56">IFERROR(AVERAGE(IF((OutputTable[GroupByKey]=OutputTable[[#This Row],[GroupByKey]]),(OutputTable[GroupByKey]=OutputTable[[#This Row],[GroupByKey]])*OutputTable[RecordedValue])),0)</f>
        <v>125.36842105263158</v>
      </c>
      <c r="L56" s="5" cm="1">
        <f t="array" ref="L56">IFERROR(_xlfn.STDEV.S(IF((OutputTable[GroupByKey]=OutputTable[[#This Row],[GroupByKey]]),(OutputTable[GroupByKey]=OutputTable[[#This Row],[GroupByKey]])*OutputTable[RecordedValue])),0)</f>
        <v>10.160984894934533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56" s="5" cm="1">
        <f t="array" ref="O56">MIN(IF((OutputTable[GroupByKey]=OutputTable[[#This Row],[GroupByKey]]),(OutputTable[GroupByKey]=OutputTable[[#This Row],[GroupByKey]])*OutputTable[RecordedValue]))</f>
        <v>112</v>
      </c>
      <c r="P56" s="5" cm="1">
        <f t="array" ref="P56">MAX(IF((OutputTable[GroupByKey]=OutputTable[[#This Row],[GroupByKey]]),(OutputTable[GroupByKey]=OutputTable[[#This Row],[GroupByKey]])*OutputTable[RecordedValue]))</f>
        <v>153</v>
      </c>
    </row>
    <row r="57" spans="1:16" x14ac:dyDescent="0.25">
      <c r="A57" t="s">
        <v>67</v>
      </c>
      <c r="B57" t="s">
        <v>69</v>
      </c>
      <c r="C57">
        <v>3</v>
      </c>
      <c r="D57" t="s">
        <v>162</v>
      </c>
      <c r="E57" t="s">
        <v>163</v>
      </c>
      <c r="F57" t="s">
        <v>136</v>
      </c>
      <c r="G57">
        <v>117</v>
      </c>
      <c r="H57">
        <v>0</v>
      </c>
      <c r="I57" s="5" t="str">
        <f>OutputTable[[#This Row],[ProjectName]]&amp;OutputTable[[#This Row],[Name]]&amp;OutputTable[[#This Row],[Type]]&amp;OutputTable[[#This Row],[Source]]</f>
        <v>Friday (Solucion: datafono, gofre, cocina y caja compartida)rCajero.NumberSeizedTotal Number SeizedResource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19</v>
      </c>
      <c r="K57" s="5" cm="1">
        <f t="array" ref="K57">IFERROR(AVERAGE(IF((OutputTable[GroupByKey]=OutputTable[[#This Row],[GroupByKey]]),(OutputTable[GroupByKey]=OutputTable[[#This Row],[GroupByKey]])*OutputTable[RecordedValue])),0)</f>
        <v>131.63157894736841</v>
      </c>
      <c r="L57" s="5" cm="1">
        <f t="array" ref="L57">IFERROR(_xlfn.STDEV.S(IF((OutputTable[GroupByKey]=OutputTable[[#This Row],[GroupByKey]]),(OutputTable[GroupByKey]=OutputTable[[#This Row],[GroupByKey]])*OutputTable[RecordedValue])),0)</f>
        <v>13.988926280438102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6.7424466413544986</v>
      </c>
      <c r="O57" s="5" cm="1">
        <f t="array" ref="O57">MIN(IF((OutputTable[GroupByKey]=OutputTable[[#This Row],[GroupByKey]]),(OutputTable[GroupByKey]=OutputTable[[#This Row],[GroupByKey]])*OutputTable[RecordedValue]))</f>
        <v>113</v>
      </c>
      <c r="P57" s="5" cm="1">
        <f t="array" ref="P57">MAX(IF((OutputTable[GroupByKey]=OutputTable[[#This Row],[GroupByKey]]),(OutputTable[GroupByKey]=OutputTable[[#This Row],[GroupByKey]])*OutputTable[RecordedValue]))</f>
        <v>157</v>
      </c>
    </row>
    <row r="58" spans="1:16" x14ac:dyDescent="0.25">
      <c r="A58" t="s">
        <v>67</v>
      </c>
      <c r="B58" t="s">
        <v>69</v>
      </c>
      <c r="C58">
        <v>3</v>
      </c>
      <c r="D58" t="s">
        <v>164</v>
      </c>
      <c r="E58" t="s">
        <v>165</v>
      </c>
      <c r="F58" t="s">
        <v>136</v>
      </c>
      <c r="G58">
        <v>0.71651890712748101</v>
      </c>
      <c r="H58">
        <v>0</v>
      </c>
      <c r="I58" s="5" t="str">
        <f>OutputTable[[#This Row],[ProjectName]]&amp;OutputTable[[#This Row],[Name]]&amp;OutputTable[[#This Row],[Type]]&amp;OutputTable[[#This Row],[Source]]</f>
        <v>Friday (Solucion: datafono, gofre, cocina y caja compartida)rCajero.ScheduledUtilizationScheduled UtilizationResource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19</v>
      </c>
      <c r="K58" s="5" cm="1">
        <f t="array" ref="K58">IFERROR(AVERAGE(IF((OutputTable[GroupByKey]=OutputTable[[#This Row],[GroupByKey]]),(OutputTable[GroupByKey]=OutputTable[[#This Row],[GroupByKey]])*OutputTable[RecordedValue])),0)</f>
        <v>0.68474836505339687</v>
      </c>
      <c r="L58" s="5" cm="1">
        <f t="array" ref="L58">IFERROR(_xlfn.STDEV.S(IF((OutputTable[GroupByKey]=OutputTable[[#This Row],[GroupByKey]]),(OutputTable[GroupByKey]=OutputTable[[#This Row],[GroupByKey]])*OutputTable[RecordedValue])),0)</f>
        <v>6.2272947935973065E-2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3.0014600137344902E-2</v>
      </c>
      <c r="O58" s="5" cm="1">
        <f t="array" ref="O58">MIN(IF((OutputTable[GroupByKey]=OutputTable[[#This Row],[GroupByKey]]),(OutputTable[GroupByKey]=OutputTable[[#This Row],[GroupByKey]])*OutputTable[RecordedValue]))</f>
        <v>0.59592290927233305</v>
      </c>
      <c r="P58" s="5" cm="1">
        <f t="array" ref="P58">MAX(IF((OutputTable[GroupByKey]=OutputTable[[#This Row],[GroupByKey]]),(OutputTable[GroupByKey]=OutputTable[[#This Row],[GroupByKey]])*OutputTable[RecordedValue]))</f>
        <v>0.82897119936997599</v>
      </c>
    </row>
    <row r="59" spans="1:16" x14ac:dyDescent="0.25">
      <c r="A59" t="s">
        <v>67</v>
      </c>
      <c r="B59" t="s">
        <v>69</v>
      </c>
      <c r="C59">
        <v>3</v>
      </c>
      <c r="D59" t="s">
        <v>166</v>
      </c>
      <c r="E59" t="s">
        <v>163</v>
      </c>
      <c r="F59" t="s">
        <v>136</v>
      </c>
      <c r="G59">
        <v>106</v>
      </c>
      <c r="H59">
        <v>0</v>
      </c>
      <c r="I59" s="5" t="str">
        <f>OutputTable[[#This Row],[ProjectName]]&amp;OutputTable[[#This Row],[Name]]&amp;OutputTable[[#This Row],[Type]]&amp;OutputTable[[#This Row],[Source]]</f>
        <v>Friday (Solucion: datafono, gofre, cocina y caja compartida)rCocina.NumberSeizedTotal Number SeizedResource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19</v>
      </c>
      <c r="K59" s="5" cm="1">
        <f t="array" ref="K59">IFERROR(AVERAGE(IF((OutputTable[GroupByKey]=OutputTable[[#This Row],[GroupByKey]]),(OutputTable[GroupByKey]=OutputTable[[#This Row],[GroupByKey]])*OutputTable[RecordedValue])),0)</f>
        <v>112.73684210526316</v>
      </c>
      <c r="L59" s="5" cm="1">
        <f t="array" ref="L59">IFERROR(_xlfn.STDEV.S(IF((OutputTable[GroupByKey]=OutputTable[[#This Row],[GroupByKey]]),(OutputTable[GroupByKey]=OutputTable[[#This Row],[GroupByKey]])*OutputTable[RecordedValue])),0)</f>
        <v>9.1155673027772668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4.3935628019284003</v>
      </c>
      <c r="O59" s="5" cm="1">
        <f t="array" ref="O59">MIN(IF((OutputTable[GroupByKey]=OutputTable[[#This Row],[GroupByKey]]),(OutputTable[GroupByKey]=OutputTable[[#This Row],[GroupByKey]])*OutputTable[RecordedValue]))</f>
        <v>102</v>
      </c>
      <c r="P59" s="5" cm="1">
        <f t="array" ref="P59">MAX(IF((OutputTable[GroupByKey]=OutputTable[[#This Row],[GroupByKey]]),(OutputTable[GroupByKey]=OutputTable[[#This Row],[GroupByKey]])*OutputTable[RecordedValue]))</f>
        <v>135</v>
      </c>
    </row>
    <row r="60" spans="1:16" x14ac:dyDescent="0.25">
      <c r="A60" t="s">
        <v>67</v>
      </c>
      <c r="B60" t="s">
        <v>69</v>
      </c>
      <c r="C60">
        <v>3</v>
      </c>
      <c r="D60" t="s">
        <v>167</v>
      </c>
      <c r="E60" t="s">
        <v>165</v>
      </c>
      <c r="F60" t="s">
        <v>136</v>
      </c>
      <c r="G60">
        <v>0.74862036628543105</v>
      </c>
      <c r="H60">
        <v>0</v>
      </c>
      <c r="I60" s="5" t="str">
        <f>OutputTable[[#This Row],[ProjectName]]&amp;OutputTable[[#This Row],[Name]]&amp;OutputTable[[#This Row],[Type]]&amp;OutputTable[[#This Row],[Source]]</f>
        <v>Friday (Solucion: datafono, gofre, cocina y caja compartida)rCocina.ScheduledUtilizationScheduled UtilizationResource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19</v>
      </c>
      <c r="K60" s="5" cm="1">
        <f t="array" ref="K60">IFERROR(AVERAGE(IF((OutputTable[GroupByKey]=OutputTable[[#This Row],[GroupByKey]]),(OutputTable[GroupByKey]=OutputTable[[#This Row],[GroupByKey]])*OutputTable[RecordedValue])),0)</f>
        <v>0.71670342302257706</v>
      </c>
      <c r="L60" s="5" cm="1">
        <f t="array" ref="L60">IFERROR(_xlfn.STDEV.S(IF((OutputTable[GroupByKey]=OutputTable[[#This Row],[GroupByKey]]),(OutputTable[GroupByKey]=OutputTable[[#This Row],[GroupByKey]])*OutputTable[RecordedValue])),0)</f>
        <v>7.0907274842727658E-2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3.4176212493127585E-2</v>
      </c>
      <c r="O60" s="5" cm="1">
        <f t="array" ref="O60">MIN(IF((OutputTable[GroupByKey]=OutputTable[[#This Row],[GroupByKey]]),(OutputTable[GroupByKey]=OutputTable[[#This Row],[GroupByKey]])*OutputTable[RecordedValue]))</f>
        <v>0.60463940272025996</v>
      </c>
      <c r="P60" s="5" cm="1">
        <f t="array" ref="P60">MAX(IF((OutputTable[GroupByKey]=OutputTable[[#This Row],[GroupByKey]]),(OutputTable[GroupByKey]=OutputTable[[#This Row],[GroupByKey]])*OutputTable[RecordedValue]))</f>
        <v>0.86361037821575004</v>
      </c>
    </row>
    <row r="61" spans="1:16" x14ac:dyDescent="0.25">
      <c r="A61" t="s">
        <v>67</v>
      </c>
      <c r="B61" t="s">
        <v>69</v>
      </c>
      <c r="C61">
        <v>3</v>
      </c>
      <c r="D61" t="s">
        <v>168</v>
      </c>
      <c r="E61" t="s">
        <v>163</v>
      </c>
      <c r="F61" t="s">
        <v>136</v>
      </c>
      <c r="G61">
        <v>14</v>
      </c>
      <c r="H61">
        <v>0</v>
      </c>
      <c r="I61" s="5" t="str">
        <f>OutputTable[[#This Row],[ProjectName]]&amp;OutputTable[[#This Row],[Name]]&amp;OutputTable[[#This Row],[Type]]&amp;OutputTable[[#This Row],[Source]]</f>
        <v>Friday (Solucion: datafono, gofre, cocina y caja compartida)rMesa.NumberSeizedTotal Number SeizedResource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19</v>
      </c>
      <c r="K61" s="5" cm="1">
        <f t="array" ref="K61">IFERROR(AVERAGE(IF((OutputTable[GroupByKey]=OutputTable[[#This Row],[GroupByKey]]),(OutputTable[GroupByKey]=OutputTable[[#This Row],[GroupByKey]])*OutputTable[RecordedValue])),0)</f>
        <v>16.157894736842106</v>
      </c>
      <c r="L61" s="5" cm="1">
        <f t="array" ref="L61">IFERROR(_xlfn.STDEV.S(IF((OutputTable[GroupByKey]=OutputTable[[#This Row],[GroupByKey]]),(OutputTable[GroupByKey]=OutputTable[[#This Row],[GroupByKey]])*OutputTable[RecordedValue])),0)</f>
        <v>3.8044295512634076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61" s="5" cm="1">
        <f t="array" ref="O61">MIN(IF((OutputTable[GroupByKey]=OutputTable[[#This Row],[GroupByKey]]),(OutputTable[GroupByKey]=OutputTable[[#This Row],[GroupByKey]])*OutputTable[RecordedValue]))</f>
        <v>9</v>
      </c>
      <c r="P61" s="5" cm="1">
        <f t="array" ref="P61">MAX(IF((OutputTable[GroupByKey]=OutputTable[[#This Row],[GroupByKey]]),(OutputTable[GroupByKey]=OutputTable[[#This Row],[GroupByKey]])*OutputTable[RecordedValue]))</f>
        <v>24</v>
      </c>
    </row>
    <row r="62" spans="1:16" x14ac:dyDescent="0.25">
      <c r="A62" t="s">
        <v>67</v>
      </c>
      <c r="B62" t="s">
        <v>69</v>
      </c>
      <c r="C62">
        <v>3</v>
      </c>
      <c r="D62" t="s">
        <v>169</v>
      </c>
      <c r="E62" t="s">
        <v>165</v>
      </c>
      <c r="F62" t="s">
        <v>136</v>
      </c>
      <c r="G62">
        <v>0.34120312107449902</v>
      </c>
      <c r="H62">
        <v>0</v>
      </c>
      <c r="I62" s="5" t="str">
        <f>OutputTable[[#This Row],[ProjectName]]&amp;OutputTable[[#This Row],[Name]]&amp;OutputTable[[#This Row],[Type]]&amp;OutputTable[[#This Row],[Source]]</f>
        <v>Friday (Solucion: datafono, gofre, cocina y caja compartida)rMesa.ScheduledUtilizationScheduled UtilizationResource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19</v>
      </c>
      <c r="K62" s="5" cm="1">
        <f t="array" ref="K62">IFERROR(AVERAGE(IF((OutputTable[GroupByKey]=OutputTable[[#This Row],[GroupByKey]]),(OutputTable[GroupByKey]=OutputTable[[#This Row],[GroupByKey]])*OutputTable[RecordedValue])),0)</f>
        <v>0.30850610959128744</v>
      </c>
      <c r="L62" s="5" cm="1">
        <f t="array" ref="L62">IFERROR(_xlfn.STDEV.S(IF((OutputTable[GroupByKey]=OutputTable[[#This Row],[GroupByKey]]),(OutputTable[GroupByKey]=OutputTable[[#This Row],[GroupByKey]])*OutputTable[RecordedValue])),0)</f>
        <v>6.2586127702931107E-2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3.0165547953176861E-2</v>
      </c>
      <c r="O62" s="5" cm="1">
        <f t="array" ref="O62">MIN(IF((OutputTable[GroupByKey]=OutputTable[[#This Row],[GroupByKey]]),(OutputTable[GroupByKey]=OutputTable[[#This Row],[GroupByKey]])*OutputTable[RecordedValue]))</f>
        <v>0.156206445320244</v>
      </c>
      <c r="P62" s="5" cm="1">
        <f t="array" ref="P62">MAX(IF((OutputTable[GroupByKey]=OutputTable[[#This Row],[GroupByKey]]),(OutputTable[GroupByKey]=OutputTable[[#This Row],[GroupByKey]])*OutputTable[RecordedValue]))</f>
        <v>0.44942505379986802</v>
      </c>
    </row>
    <row r="63" spans="1:16" x14ac:dyDescent="0.25">
      <c r="A63" t="s">
        <v>67</v>
      </c>
      <c r="B63" t="s">
        <v>69</v>
      </c>
      <c r="C63">
        <v>3</v>
      </c>
      <c r="D63" t="s">
        <v>170</v>
      </c>
      <c r="E63" t="s">
        <v>145</v>
      </c>
      <c r="F63" t="s">
        <v>72</v>
      </c>
      <c r="G63">
        <v>3</v>
      </c>
      <c r="H63">
        <v>0</v>
      </c>
      <c r="I63" s="5" t="str">
        <f>OutputTable[[#This Row],[ProjectName]]&amp;OutputTable[[#This Row],[Name]]&amp;OutputTable[[#This Row],[Type]]&amp;OutputTable[[#This Row],[Source]]</f>
        <v>Friday (Solucion: datafono, gofre, cocina y caja compartida)reloj.NumberInNumber InEntity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19</v>
      </c>
      <c r="K63" s="5" cm="1">
        <f t="array" ref="K63">IFERROR(AVERAGE(IF((OutputTable[GroupByKey]=OutputTable[[#This Row],[GroupByKey]]),(OutputTable[GroupByKey]=OutputTable[[#This Row],[GroupByKey]])*OutputTable[RecordedValue])),0)</f>
        <v>3</v>
      </c>
      <c r="L63" s="5" cm="1">
        <f t="array" ref="L63">IFERROR(_xlfn.STDEV.S(IF((OutputTable[GroupByKey]=OutputTable[[#This Row],[GroupByKey]]),(OutputTable[GroupByKey]=OutputTable[[#This Row],[GroupByKey]])*OutputTable[RecordedValue])),0)</f>
        <v>0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" s="5" cm="1">
        <f t="array" ref="O63">MIN(IF((OutputTable[GroupByKey]=OutputTable[[#This Row],[GroupByKey]]),(OutputTable[GroupByKey]=OutputTable[[#This Row],[GroupByKey]])*OutputTable[RecordedValue]))</f>
        <v>3</v>
      </c>
      <c r="P63" s="5" cm="1">
        <f t="array" ref="P63">MAX(IF((OutputTable[GroupByKey]=OutputTable[[#This Row],[GroupByKey]]),(OutputTable[GroupByKey]=OutputTable[[#This Row],[GroupByKey]])*OutputTable[RecordedValue]))</f>
        <v>3</v>
      </c>
    </row>
    <row r="64" spans="1:16" x14ac:dyDescent="0.25">
      <c r="A64" t="s">
        <v>67</v>
      </c>
      <c r="B64" t="s">
        <v>69</v>
      </c>
      <c r="C64">
        <v>3</v>
      </c>
      <c r="D64" t="s">
        <v>171</v>
      </c>
      <c r="E64" t="s">
        <v>147</v>
      </c>
      <c r="F64" t="s">
        <v>72</v>
      </c>
      <c r="G64">
        <v>3</v>
      </c>
      <c r="H64">
        <v>0</v>
      </c>
      <c r="I64" s="5" t="str">
        <f>OutputTable[[#This Row],[ProjectName]]&amp;OutputTable[[#This Row],[Name]]&amp;OutputTable[[#This Row],[Type]]&amp;OutputTable[[#This Row],[Source]]</f>
        <v>Friday (Solucion: datafono, gofre, cocina y caja compartida)reloj.NumberOutNumber OutEntity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19</v>
      </c>
      <c r="K64" s="5" cm="1">
        <f t="array" ref="K64">IFERROR(AVERAGE(IF((OutputTable[GroupByKey]=OutputTable[[#This Row],[GroupByKey]]),(OutputTable[GroupByKey]=OutputTable[[#This Row],[GroupByKey]])*OutputTable[RecordedValue])),0)</f>
        <v>3</v>
      </c>
      <c r="L64" s="5" cm="1">
        <f t="array" ref="L64">IFERROR(_xlfn.STDEV.S(IF((OutputTable[GroupByKey]=OutputTable[[#This Row],[GroupByKey]]),(OutputTable[GroupByKey]=OutputTable[[#This Row],[GroupByKey]])*OutputTable[RecordedValue])),0)</f>
        <v>0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" s="5" cm="1">
        <f t="array" ref="O64">MIN(IF((OutputTable[GroupByKey]=OutputTable[[#This Row],[GroupByKey]]),(OutputTable[GroupByKey]=OutputTable[[#This Row],[GroupByKey]])*OutputTable[RecordedValue]))</f>
        <v>3</v>
      </c>
      <c r="P64" s="5" cm="1">
        <f t="array" ref="P64">MAX(IF((OutputTable[GroupByKey]=OutputTable[[#This Row],[GroupByKey]]),(OutputTable[GroupByKey]=OutputTable[[#This Row],[GroupByKey]])*OutputTable[RecordedValue]))</f>
        <v>3</v>
      </c>
    </row>
    <row r="65" spans="1:16" x14ac:dyDescent="0.25">
      <c r="A65" t="s">
        <v>67</v>
      </c>
      <c r="B65" t="s">
        <v>69</v>
      </c>
      <c r="C65">
        <v>4</v>
      </c>
      <c r="D65" t="s">
        <v>144</v>
      </c>
      <c r="E65" t="s">
        <v>145</v>
      </c>
      <c r="F65" t="s">
        <v>72</v>
      </c>
      <c r="G65">
        <v>351</v>
      </c>
      <c r="H65">
        <v>0</v>
      </c>
      <c r="I65" s="5" t="str">
        <f>OutputTable[[#This Row],[ProjectName]]&amp;OutputTable[[#This Row],[Name]]&amp;OutputTable[[#This Row],[Type]]&amp;OutputTable[[#This Row],[Source]]</f>
        <v>Friday (Solucion: datafono, gofre, cocina y caja compartida)Cliente.NumberInNumber InEntity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19</v>
      </c>
      <c r="K65" s="5" cm="1">
        <f t="array" ref="K65">IFERROR(AVERAGE(IF((OutputTable[GroupByKey]=OutputTable[[#This Row],[GroupByKey]]),(OutputTable[GroupByKey]=OutputTable[[#This Row],[GroupByKey]])*OutputTable[RecordedValue])),0)</f>
        <v>366.21052631578948</v>
      </c>
      <c r="L65" s="5" cm="1">
        <f t="array" ref="L65">IFERROR(_xlfn.STDEV.S(IF((OutputTable[GroupByKey]=OutputTable[[#This Row],[GroupByKey]]),(OutputTable[GroupByKey]=OutputTable[[#This Row],[GroupByKey]])*OutputTable[RecordedValue])),0)</f>
        <v>28.665850661580702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13.816497752584581</v>
      </c>
      <c r="O65" s="5" cm="1">
        <f t="array" ref="O65">MIN(IF((OutputTable[GroupByKey]=OutputTable[[#This Row],[GroupByKey]]),(OutputTable[GroupByKey]=OutputTable[[#This Row],[GroupByKey]])*OutputTable[RecordedValue]))</f>
        <v>331</v>
      </c>
      <c r="P65" s="5" cm="1">
        <f t="array" ref="P65">MAX(IF((OutputTable[GroupByKey]=OutputTable[[#This Row],[GroupByKey]]),(OutputTable[GroupByKey]=OutputTable[[#This Row],[GroupByKey]])*OutputTable[RecordedValue]))</f>
        <v>427</v>
      </c>
    </row>
    <row r="66" spans="1:16" x14ac:dyDescent="0.25">
      <c r="A66" t="s">
        <v>67</v>
      </c>
      <c r="B66" t="s">
        <v>69</v>
      </c>
      <c r="C66">
        <v>4</v>
      </c>
      <c r="D66" t="s">
        <v>146</v>
      </c>
      <c r="E66" t="s">
        <v>147</v>
      </c>
      <c r="F66" t="s">
        <v>72</v>
      </c>
      <c r="G66">
        <v>349</v>
      </c>
      <c r="H66">
        <v>0</v>
      </c>
      <c r="I66" s="5" t="str">
        <f>OutputTable[[#This Row],[ProjectName]]&amp;OutputTable[[#This Row],[Name]]&amp;OutputTable[[#This Row],[Type]]&amp;OutputTable[[#This Row],[Source]]</f>
        <v>Friday (Solucion: datafono, gofre, cocina y caja compartida)Cliente.NumberOutNumber OutEntity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19</v>
      </c>
      <c r="K66" s="5" cm="1">
        <f t="array" ref="K66">IFERROR(AVERAGE(IF((OutputTable[GroupByKey]=OutputTable[[#This Row],[GroupByKey]]),(OutputTable[GroupByKey]=OutputTable[[#This Row],[GroupByKey]])*OutputTable[RecordedValue])),0)</f>
        <v>366.63157894736844</v>
      </c>
      <c r="L66" s="5" cm="1">
        <f t="array" ref="L66">IFERROR(_xlfn.STDEV.S(IF((OutputTable[GroupByKey]=OutputTable[[#This Row],[GroupByKey]]),(OutputTable[GroupByKey]=OutputTable[[#This Row],[GroupByKey]])*OutputTable[RecordedValue])),0)</f>
        <v>29.957767544617038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14.439181758083874</v>
      </c>
      <c r="O66" s="5" cm="1">
        <f t="array" ref="O66">MIN(IF((OutputTable[GroupByKey]=OutputTable[[#This Row],[GroupByKey]]),(OutputTable[GroupByKey]=OutputTable[[#This Row],[GroupByKey]])*OutputTable[RecordedValue]))</f>
        <v>329</v>
      </c>
      <c r="P66" s="5" cm="1">
        <f t="array" ref="P66">MAX(IF((OutputTable[GroupByKey]=OutputTable[[#This Row],[GroupByKey]]),(OutputTable[GroupByKey]=OutputTable[[#This Row],[GroupByKey]])*OutputTable[RecordedValue]))</f>
        <v>443</v>
      </c>
    </row>
    <row r="67" spans="1:16" x14ac:dyDescent="0.25">
      <c r="A67" t="s">
        <v>67</v>
      </c>
      <c r="B67" t="s">
        <v>69</v>
      </c>
      <c r="C67">
        <v>4</v>
      </c>
      <c r="D67" t="s">
        <v>148</v>
      </c>
      <c r="E67" t="s">
        <v>149</v>
      </c>
      <c r="F67" t="s">
        <v>86</v>
      </c>
      <c r="G67">
        <v>216.21678192778501</v>
      </c>
      <c r="H67">
        <v>0</v>
      </c>
      <c r="I67" s="5" t="str">
        <f>OutputTable[[#This Row],[ProjectName]]&amp;OutputTable[[#This Row],[Name]]&amp;OutputTable[[#This Row],[Type]]&amp;OutputTable[[#This Row],[Source]]</f>
        <v>Friday (Solucion: datafono, gofre, cocina y caja compartida)Comer en Mesa Accum VA TimeAccum VA TimeProcess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19</v>
      </c>
      <c r="K67" s="5" cm="1">
        <f t="array" ref="K67">IFERROR(AVERAGE(IF((OutputTable[GroupByKey]=OutputTable[[#This Row],[GroupByKey]]),(OutputTable[GroupByKey]=OutputTable[[#This Row],[GroupByKey]])*OutputTable[RecordedValue])),0)</f>
        <v>283.12549562397913</v>
      </c>
      <c r="L67" s="5" cm="1">
        <f t="array" ref="L67">IFERROR(_xlfn.STDEV.S(IF((OutputTable[GroupByKey]=OutputTable[[#This Row],[GroupByKey]]),(OutputTable[GroupByKey]=OutputTable[[#This Row],[GroupByKey]])*OutputTable[RecordedValue])),0)</f>
        <v>55.763238037894645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26.877020400444863</v>
      </c>
      <c r="O67" s="5" cm="1">
        <f t="array" ref="O67">MIN(IF((OutputTable[GroupByKey]=OutputTable[[#This Row],[GroupByKey]]),(OutputTable[GroupByKey]=OutputTable[[#This Row],[GroupByKey]])*OutputTable[RecordedValue]))</f>
        <v>157.05073652574001</v>
      </c>
      <c r="P67" s="5" cm="1">
        <f t="array" ref="P67">MAX(IF((OutputTable[GroupByKey]=OutputTable[[#This Row],[GroupByKey]]),(OutputTable[GroupByKey]=OutputTable[[#This Row],[GroupByKey]])*OutputTable[RecordedValue]))</f>
        <v>402.97015039838902</v>
      </c>
    </row>
    <row r="68" spans="1:16" x14ac:dyDescent="0.25">
      <c r="A68" t="s">
        <v>67</v>
      </c>
      <c r="B68" t="s">
        <v>69</v>
      </c>
      <c r="C68">
        <v>4</v>
      </c>
      <c r="D68" t="s">
        <v>150</v>
      </c>
      <c r="E68" t="s">
        <v>151</v>
      </c>
      <c r="F68" t="s">
        <v>86</v>
      </c>
      <c r="G68">
        <v>0</v>
      </c>
      <c r="H68">
        <v>0</v>
      </c>
      <c r="I68" s="5" t="str">
        <f>OutputTable[[#This Row],[ProjectName]]&amp;OutputTable[[#This Row],[Name]]&amp;OutputTable[[#This Row],[Type]]&amp;OutputTable[[#This Row],[Source]]</f>
        <v>Friday (Solucion: datafono, gofre, cocina y caja compartida)Comer en Mesa Accum Wait TimeAccum Wait TimeProcess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19</v>
      </c>
      <c r="K68" s="5" cm="1">
        <f t="array" ref="K68">IFERROR(AVERAGE(IF((OutputTable[GroupByKey]=OutputTable[[#This Row],[GroupByKey]]),(OutputTable[GroupByKey]=OutputTable[[#This Row],[GroupByKey]])*OutputTable[RecordedValue])),0)</f>
        <v>0</v>
      </c>
      <c r="L68" s="5" cm="1">
        <f t="array" ref="L68">IFERROR(_xlfn.STDEV.S(IF((OutputTable[GroupByKey]=OutputTable[[#This Row],[GroupByKey]]),(OutputTable[GroupByKey]=OutputTable[[#This Row],[GroupByKey]])*OutputTable[RecordedValue])),0)</f>
        <v>0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" s="5" cm="1">
        <f t="array" ref="O68">MIN(IF((OutputTable[GroupByKey]=OutputTable[[#This Row],[GroupByKey]]),(OutputTable[GroupByKey]=OutputTable[[#This Row],[GroupByKey]])*OutputTable[RecordedValue]))</f>
        <v>0</v>
      </c>
      <c r="P68" s="5" cm="1">
        <f t="array" ref="P68">MAX(IF((OutputTable[GroupByKey]=OutputTable[[#This Row],[GroupByKey]]),(OutputTable[GroupByKey]=OutputTable[[#This Row],[GroupByKey]])*OutputTable[RecordedValue]))</f>
        <v>0</v>
      </c>
    </row>
    <row r="69" spans="1:16" x14ac:dyDescent="0.25">
      <c r="A69" t="s">
        <v>67</v>
      </c>
      <c r="B69" t="s">
        <v>69</v>
      </c>
      <c r="C69">
        <v>4</v>
      </c>
      <c r="D69" t="s">
        <v>152</v>
      </c>
      <c r="E69" t="s">
        <v>145</v>
      </c>
      <c r="F69" t="s">
        <v>86</v>
      </c>
      <c r="G69">
        <v>17</v>
      </c>
      <c r="H69">
        <v>0</v>
      </c>
      <c r="I69" s="5" t="str">
        <f>OutputTable[[#This Row],[ProjectName]]&amp;OutputTable[[#This Row],[Name]]&amp;OutputTable[[#This Row],[Type]]&amp;OutputTable[[#This Row],[Source]]</f>
        <v>Friday (Solucion: datafono, gofre, cocina y caja compartida)Comer en Mesa Number InNumber InProcess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19</v>
      </c>
      <c r="K69" s="5" cm="1">
        <f t="array" ref="K69">IFERROR(AVERAGE(IF((OutputTable[GroupByKey]=OutputTable[[#This Row],[GroupByKey]]),(OutputTable[GroupByKey]=OutputTable[[#This Row],[GroupByKey]])*OutputTable[RecordedValue])),0)</f>
        <v>16.157894736842106</v>
      </c>
      <c r="L69" s="5" cm="1">
        <f t="array" ref="L69">IFERROR(_xlfn.STDEV.S(IF((OutputTable[GroupByKey]=OutputTable[[#This Row],[GroupByKey]]),(OutputTable[GroupByKey]=OutputTable[[#This Row],[GroupByKey]])*OutputTable[RecordedValue])),0)</f>
        <v>3.8044295512634076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69" s="5" cm="1">
        <f t="array" ref="O69">MIN(IF((OutputTable[GroupByKey]=OutputTable[[#This Row],[GroupByKey]]),(OutputTable[GroupByKey]=OutputTable[[#This Row],[GroupByKey]])*OutputTable[RecordedValue]))</f>
        <v>9</v>
      </c>
      <c r="P69" s="5" cm="1">
        <f t="array" ref="P69">MAX(IF((OutputTable[GroupByKey]=OutputTable[[#This Row],[GroupByKey]]),(OutputTable[GroupByKey]=OutputTable[[#This Row],[GroupByKey]])*OutputTable[RecordedValue]))</f>
        <v>24</v>
      </c>
    </row>
    <row r="70" spans="1:16" x14ac:dyDescent="0.25">
      <c r="A70" t="s">
        <v>67</v>
      </c>
      <c r="B70" t="s">
        <v>69</v>
      </c>
      <c r="C70">
        <v>4</v>
      </c>
      <c r="D70" t="s">
        <v>153</v>
      </c>
      <c r="E70" t="s">
        <v>147</v>
      </c>
      <c r="F70" t="s">
        <v>86</v>
      </c>
      <c r="G70">
        <v>15</v>
      </c>
      <c r="H70">
        <v>0</v>
      </c>
      <c r="I70" s="5" t="str">
        <f>OutputTable[[#This Row],[ProjectName]]&amp;OutputTable[[#This Row],[Name]]&amp;OutputTable[[#This Row],[Type]]&amp;OutputTable[[#This Row],[Source]]</f>
        <v>Friday (Solucion: datafono, gofre, cocina y caja compartida)Comer en Mesa Number OutNumber OutProcess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19</v>
      </c>
      <c r="K70" s="5" cm="1">
        <f t="array" ref="K70">IFERROR(AVERAGE(IF((OutputTable[GroupByKey]=OutputTable[[#This Row],[GroupByKey]]),(OutputTable[GroupByKey]=OutputTable[[#This Row],[GroupByKey]])*OutputTable[RecordedValue])),0)</f>
        <v>16.263157894736842</v>
      </c>
      <c r="L70" s="5" cm="1">
        <f t="array" ref="L70">IFERROR(_xlfn.STDEV.S(IF((OutputTable[GroupByKey]=OutputTable[[#This Row],[GroupByKey]]),(OutputTable[GroupByKey]=OutputTable[[#This Row],[GroupByKey]])*OutputTable[RecordedValue])),0)</f>
        <v>3.3803698887540881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1.6292861329062698</v>
      </c>
      <c r="O70" s="5" cm="1">
        <f t="array" ref="O70">MIN(IF((OutputTable[GroupByKey]=OutputTable[[#This Row],[GroupByKey]]),(OutputTable[GroupByKey]=OutputTable[[#This Row],[GroupByKey]])*OutputTable[RecordedValue]))</f>
        <v>8</v>
      </c>
      <c r="P70" s="5" cm="1">
        <f t="array" ref="P70">MAX(IF((OutputTable[GroupByKey]=OutputTable[[#This Row],[GroupByKey]]),(OutputTable[GroupByKey]=OutputTable[[#This Row],[GroupByKey]])*OutputTable[RecordedValue]))</f>
        <v>22</v>
      </c>
    </row>
    <row r="71" spans="1:16" x14ac:dyDescent="0.25">
      <c r="A71" t="s">
        <v>67</v>
      </c>
      <c r="B71" t="s">
        <v>69</v>
      </c>
      <c r="C71">
        <v>4</v>
      </c>
      <c r="D71" t="s">
        <v>154</v>
      </c>
      <c r="E71" t="s">
        <v>145</v>
      </c>
      <c r="F71" t="s">
        <v>72</v>
      </c>
      <c r="G71">
        <v>117</v>
      </c>
      <c r="H71">
        <v>0</v>
      </c>
      <c r="I71" s="5" t="str">
        <f>OutputTable[[#This Row],[ProjectName]]&amp;OutputTable[[#This Row],[Name]]&amp;OutputTable[[#This Row],[Type]]&amp;OutputTable[[#This Row],[Source]]</f>
        <v>Friday (Solucion: datafono, gofre, cocina y caja compartida)Orden.NumberInNumber InEntity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19</v>
      </c>
      <c r="K71" s="5" cm="1">
        <f t="array" ref="K71">IFERROR(AVERAGE(IF((OutputTable[GroupByKey]=OutputTable[[#This Row],[GroupByKey]]),(OutputTable[GroupByKey]=OutputTable[[#This Row],[GroupByKey]])*OutputTable[RecordedValue])),0)</f>
        <v>121.89473684210526</v>
      </c>
      <c r="L71" s="5" cm="1">
        <f t="array" ref="L71">IFERROR(_xlfn.STDEV.S(IF((OutputTable[GroupByKey]=OutputTable[[#This Row],[GroupByKey]]),(OutputTable[GroupByKey]=OutputTable[[#This Row],[GroupByKey]])*OutputTable[RecordedValue])),0)</f>
        <v>9.971597090637573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71" s="5" cm="1">
        <f t="array" ref="O71">MIN(IF((OutputTable[GroupByKey]=OutputTable[[#This Row],[GroupByKey]]),(OutputTable[GroupByKey]=OutputTable[[#This Row],[GroupByKey]])*OutputTable[RecordedValue]))</f>
        <v>109</v>
      </c>
      <c r="P71" s="5" cm="1">
        <f t="array" ref="P71">MAX(IF((OutputTable[GroupByKey]=OutputTable[[#This Row],[GroupByKey]]),(OutputTable[GroupByKey]=OutputTable[[#This Row],[GroupByKey]])*OutputTable[RecordedValue]))</f>
        <v>143</v>
      </c>
    </row>
    <row r="72" spans="1:16" x14ac:dyDescent="0.25">
      <c r="A72" t="s">
        <v>67</v>
      </c>
      <c r="B72" t="s">
        <v>69</v>
      </c>
      <c r="C72">
        <v>4</v>
      </c>
      <c r="D72" t="s">
        <v>155</v>
      </c>
      <c r="E72" t="s">
        <v>147</v>
      </c>
      <c r="F72" t="s">
        <v>72</v>
      </c>
      <c r="G72">
        <v>116</v>
      </c>
      <c r="H72">
        <v>0</v>
      </c>
      <c r="I72" s="5" t="str">
        <f>OutputTable[[#This Row],[ProjectName]]&amp;OutputTable[[#This Row],[Name]]&amp;OutputTable[[#This Row],[Type]]&amp;OutputTable[[#This Row],[Source]]</f>
        <v>Friday (Solucion: datafono, gofre, cocina y caja compartida)Orden.NumberOutNumber OutEntity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19</v>
      </c>
      <c r="K72" s="5" cm="1">
        <f t="array" ref="K72">IFERROR(AVERAGE(IF((OutputTable[GroupByKey]=OutputTable[[#This Row],[GroupByKey]]),(OutputTable[GroupByKey]=OutputTable[[#This Row],[GroupByKey]])*OutputTable[RecordedValue])),0)</f>
        <v>122.36842105263158</v>
      </c>
      <c r="L72" s="5" cm="1">
        <f t="array" ref="L72">IFERROR(_xlfn.STDEV.S(IF((OutputTable[GroupByKey]=OutputTable[[#This Row],[GroupByKey]]),(OutputTable[GroupByKey]=OutputTable[[#This Row],[GroupByKey]])*OutputTable[RecordedValue])),0)</f>
        <v>10.160984894934533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72" s="5" cm="1">
        <f t="array" ref="O72">MIN(IF((OutputTable[GroupByKey]=OutputTable[[#This Row],[GroupByKey]]),(OutputTable[GroupByKey]=OutputTable[[#This Row],[GroupByKey]])*OutputTable[RecordedValue]))</f>
        <v>109</v>
      </c>
      <c r="P72" s="5" cm="1">
        <f t="array" ref="P72">MAX(IF((OutputTable[GroupByKey]=OutputTable[[#This Row],[GroupByKey]]),(OutputTable[GroupByKey]=OutputTable[[#This Row],[GroupByKey]])*OutputTable[RecordedValue]))</f>
        <v>150</v>
      </c>
    </row>
    <row r="73" spans="1:16" x14ac:dyDescent="0.25">
      <c r="A73" t="s">
        <v>67</v>
      </c>
      <c r="B73" t="s">
        <v>69</v>
      </c>
      <c r="C73">
        <v>4</v>
      </c>
      <c r="D73" t="s">
        <v>156</v>
      </c>
      <c r="E73" t="s">
        <v>149</v>
      </c>
      <c r="F73" t="s">
        <v>86</v>
      </c>
      <c r="G73">
        <v>177.77474485518101</v>
      </c>
      <c r="H73">
        <v>0</v>
      </c>
      <c r="I73" s="5" t="str">
        <f>OutputTable[[#This Row],[ProjectName]]&amp;OutputTable[[#This Row],[Name]]&amp;OutputTable[[#This Row],[Type]]&amp;OutputTable[[#This Row],[Source]]</f>
        <v>Friday (Solucion: datafono, gofre, cocina y caja compartida)Preparacion Accum VA TimeAccum VA TimeProcess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19</v>
      </c>
      <c r="K73" s="5" cm="1">
        <f t="array" ref="K73">IFERROR(AVERAGE(IF((OutputTable[GroupByKey]=OutputTable[[#This Row],[GroupByKey]]),(OutputTable[GroupByKey]=OutputTable[[#This Row],[GroupByKey]])*OutputTable[RecordedValue])),0)</f>
        <v>174.13537587676447</v>
      </c>
      <c r="L73" s="5" cm="1">
        <f t="array" ref="L73">IFERROR(_xlfn.STDEV.S(IF((OutputTable[GroupByKey]=OutputTable[[#This Row],[GroupByKey]]),(OutputTable[GroupByKey]=OutputTable[[#This Row],[GroupByKey]])*OutputTable[RecordedValue])),0)</f>
        <v>19.65074675456297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9.4713567574295272</v>
      </c>
      <c r="O73" s="5" cm="1">
        <f t="array" ref="O73">MIN(IF((OutputTable[GroupByKey]=OutputTable[[#This Row],[GroupByKey]]),(OutputTable[GroupByKey]=OutputTable[[#This Row],[GroupByKey]])*OutputTable[RecordedValue]))</f>
        <v>139.22471453685199</v>
      </c>
      <c r="P73" s="5" cm="1">
        <f t="array" ref="P73">MAX(IF((OutputTable[GroupByKey]=OutputTable[[#This Row],[GroupByKey]]),(OutputTable[GroupByKey]=OutputTable[[#This Row],[GroupByKey]])*OutputTable[RecordedValue]))</f>
        <v>210.18722493890999</v>
      </c>
    </row>
    <row r="74" spans="1:16" x14ac:dyDescent="0.25">
      <c r="A74" t="s">
        <v>67</v>
      </c>
      <c r="B74" t="s">
        <v>69</v>
      </c>
      <c r="C74">
        <v>4</v>
      </c>
      <c r="D74" t="s">
        <v>157</v>
      </c>
      <c r="E74" t="s">
        <v>151</v>
      </c>
      <c r="F74" t="s">
        <v>86</v>
      </c>
      <c r="G74">
        <v>24.0910383948241</v>
      </c>
      <c r="H74">
        <v>0</v>
      </c>
      <c r="I74" s="5" t="str">
        <f>OutputTable[[#This Row],[ProjectName]]&amp;OutputTable[[#This Row],[Name]]&amp;OutputTable[[#This Row],[Type]]&amp;OutputTable[[#This Row],[Source]]</f>
        <v>Friday (Solucion: datafono, gofre, cocina y caja compartida)Preparacion Accum Wait TimeAccum Wait TimeProcess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19</v>
      </c>
      <c r="K74" s="5" cm="1">
        <f t="array" ref="K74">IFERROR(AVERAGE(IF((OutputTable[GroupByKey]=OutputTable[[#This Row],[GroupByKey]]),(OutputTable[GroupByKey]=OutputTable[[#This Row],[GroupByKey]])*OutputTable[RecordedValue])),0)</f>
        <v>89.754366677107924</v>
      </c>
      <c r="L74" s="5" cm="1">
        <f t="array" ref="L74">IFERROR(_xlfn.STDEV.S(IF((OutputTable[GroupByKey]=OutputTable[[#This Row],[GroupByKey]]),(OutputTable[GroupByKey]=OutputTable[[#This Row],[GroupByKey]])*OutputTable[RecordedValue])),0)</f>
        <v>109.53061123574736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52.79206474085742</v>
      </c>
      <c r="O74" s="5" cm="1">
        <f t="array" ref="O74">MIN(IF((OutputTable[GroupByKey]=OutputTable[[#This Row],[GroupByKey]]),(OutputTable[GroupByKey]=OutputTable[[#This Row],[GroupByKey]])*OutputTable[RecordedValue]))</f>
        <v>22.316256244919199</v>
      </c>
      <c r="P74" s="5" cm="1">
        <f t="array" ref="P74">MAX(IF((OutputTable[GroupByKey]=OutputTable[[#This Row],[GroupByKey]]),(OutputTable[GroupByKey]=OutputTable[[#This Row],[GroupByKey]])*OutputTable[RecordedValue]))</f>
        <v>514.987116007179</v>
      </c>
    </row>
    <row r="75" spans="1:16" x14ac:dyDescent="0.25">
      <c r="A75" t="s">
        <v>67</v>
      </c>
      <c r="B75" t="s">
        <v>69</v>
      </c>
      <c r="C75">
        <v>4</v>
      </c>
      <c r="D75" t="s">
        <v>158</v>
      </c>
      <c r="E75" t="s">
        <v>145</v>
      </c>
      <c r="F75" t="s">
        <v>86</v>
      </c>
      <c r="G75">
        <v>117</v>
      </c>
      <c r="H75">
        <v>0</v>
      </c>
      <c r="I75" s="5" t="str">
        <f>OutputTable[[#This Row],[ProjectName]]&amp;OutputTable[[#This Row],[Name]]&amp;OutputTable[[#This Row],[Type]]&amp;OutputTable[[#This Row],[Source]]</f>
        <v>Friday (Solucion: datafono, gofre, cocina y caja compartida)Preparacion Number InNumber InProcess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19</v>
      </c>
      <c r="K75" s="5" cm="1">
        <f t="array" ref="K75">IFERROR(AVERAGE(IF((OutputTable[GroupByKey]=OutputTable[[#This Row],[GroupByKey]]),(OutputTable[GroupByKey]=OutputTable[[#This Row],[GroupByKey]])*OutputTable[RecordedValue])),0)</f>
        <v>121.89473684210526</v>
      </c>
      <c r="L75" s="5" cm="1">
        <f t="array" ref="L75">IFERROR(_xlfn.STDEV.S(IF((OutputTable[GroupByKey]=OutputTable[[#This Row],[GroupByKey]]),(OutputTable[GroupByKey]=OutputTable[[#This Row],[GroupByKey]])*OutputTable[RecordedValue])),0)</f>
        <v>9.971597090637573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75" s="5" cm="1">
        <f t="array" ref="O75">MIN(IF((OutputTable[GroupByKey]=OutputTable[[#This Row],[GroupByKey]]),(OutputTable[GroupByKey]=OutputTable[[#This Row],[GroupByKey]])*OutputTable[RecordedValue]))</f>
        <v>109</v>
      </c>
      <c r="P75" s="5" cm="1">
        <f t="array" ref="P75">MAX(IF((OutputTable[GroupByKey]=OutputTable[[#This Row],[GroupByKey]]),(OutputTable[GroupByKey]=OutputTable[[#This Row],[GroupByKey]])*OutputTable[RecordedValue]))</f>
        <v>143</v>
      </c>
    </row>
    <row r="76" spans="1:16" x14ac:dyDescent="0.25">
      <c r="A76" t="s">
        <v>67</v>
      </c>
      <c r="B76" t="s">
        <v>69</v>
      </c>
      <c r="C76">
        <v>4</v>
      </c>
      <c r="D76" t="s">
        <v>159</v>
      </c>
      <c r="E76" t="s">
        <v>147</v>
      </c>
      <c r="F76" t="s">
        <v>86</v>
      </c>
      <c r="G76">
        <v>117</v>
      </c>
      <c r="H76">
        <v>0</v>
      </c>
      <c r="I76" s="5" t="str">
        <f>OutputTable[[#This Row],[ProjectName]]&amp;OutputTable[[#This Row],[Name]]&amp;OutputTable[[#This Row],[Type]]&amp;OutputTable[[#This Row],[Source]]</f>
        <v>Friday (Solucion: datafono, gofre, cocina y caja compartida)Preparacion Number OutNumber OutProcess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19</v>
      </c>
      <c r="K76" s="5" cm="1">
        <f t="array" ref="K76">IFERROR(AVERAGE(IF((OutputTable[GroupByKey]=OutputTable[[#This Row],[GroupByKey]]),(OutputTable[GroupByKey]=OutputTable[[#This Row],[GroupByKey]])*OutputTable[RecordedValue])),0)</f>
        <v>122.31578947368421</v>
      </c>
      <c r="L76" s="5" cm="1">
        <f t="array" ref="L76">IFERROR(_xlfn.STDEV.S(IF((OutputTable[GroupByKey]=OutputTable[[#This Row],[GroupByKey]]),(OutputTable[GroupByKey]=OutputTable[[#This Row],[GroupByKey]])*OutputTable[RecordedValue])),0)</f>
        <v>10.127260414780096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4.8811832731752718</v>
      </c>
      <c r="O76" s="5" cm="1">
        <f t="array" ref="O76">MIN(IF((OutputTable[GroupByKey]=OutputTable[[#This Row],[GroupByKey]]),(OutputTable[GroupByKey]=OutputTable[[#This Row],[GroupByKey]])*OutputTable[RecordedValue]))</f>
        <v>111</v>
      </c>
      <c r="P76" s="5" cm="1">
        <f t="array" ref="P76">MAX(IF((OutputTable[GroupByKey]=OutputTable[[#This Row],[GroupByKey]]),(OutputTable[GroupByKey]=OutputTable[[#This Row],[GroupByKey]])*OutputTable[RecordedValue]))</f>
        <v>150</v>
      </c>
    </row>
    <row r="77" spans="1:16" x14ac:dyDescent="0.25">
      <c r="A77" t="s">
        <v>67</v>
      </c>
      <c r="B77" t="s">
        <v>69</v>
      </c>
      <c r="C77">
        <v>4</v>
      </c>
      <c r="D77" t="s">
        <v>160</v>
      </c>
      <c r="E77" t="s">
        <v>147</v>
      </c>
      <c r="F77" t="s">
        <v>161</v>
      </c>
      <c r="G77">
        <v>119</v>
      </c>
      <c r="H77">
        <v>0</v>
      </c>
      <c r="I77" s="5" t="str">
        <f>OutputTable[[#This Row],[ProjectName]]&amp;OutputTable[[#This Row],[Name]]&amp;OutputTable[[#This Row],[Type]]&amp;OutputTable[[#This Row],[Source]]</f>
        <v>Friday (Solucion: datafono, gofre, cocina y caja compartida)System.NumberOutNumber OutSystem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19</v>
      </c>
      <c r="K77" s="5" cm="1">
        <f t="array" ref="K77">IFERROR(AVERAGE(IF((OutputTable[GroupByKey]=OutputTable[[#This Row],[GroupByKey]]),(OutputTable[GroupByKey]=OutputTable[[#This Row],[GroupByKey]])*OutputTable[RecordedValue])),0)</f>
        <v>125.36842105263158</v>
      </c>
      <c r="L77" s="5" cm="1">
        <f t="array" ref="L77">IFERROR(_xlfn.STDEV.S(IF((OutputTable[GroupByKey]=OutputTable[[#This Row],[GroupByKey]]),(OutputTable[GroupByKey]=OutputTable[[#This Row],[GroupByKey]])*OutputTable[RecordedValue])),0)</f>
        <v>10.160984894934533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77" s="5" cm="1">
        <f t="array" ref="O77">MIN(IF((OutputTable[GroupByKey]=OutputTable[[#This Row],[GroupByKey]]),(OutputTable[GroupByKey]=OutputTable[[#This Row],[GroupByKey]])*OutputTable[RecordedValue]))</f>
        <v>112</v>
      </c>
      <c r="P77" s="5" cm="1">
        <f t="array" ref="P77">MAX(IF((OutputTable[GroupByKey]=OutputTable[[#This Row],[GroupByKey]]),(OutputTable[GroupByKey]=OutputTable[[#This Row],[GroupByKey]])*OutputTable[RecordedValue]))</f>
        <v>153</v>
      </c>
    </row>
    <row r="78" spans="1:16" x14ac:dyDescent="0.25">
      <c r="A78" t="s">
        <v>67</v>
      </c>
      <c r="B78" t="s">
        <v>69</v>
      </c>
      <c r="C78">
        <v>4</v>
      </c>
      <c r="D78" t="s">
        <v>162</v>
      </c>
      <c r="E78" t="s">
        <v>163</v>
      </c>
      <c r="F78" t="s">
        <v>136</v>
      </c>
      <c r="G78">
        <v>129</v>
      </c>
      <c r="H78">
        <v>0</v>
      </c>
      <c r="I78" s="5" t="str">
        <f>OutputTable[[#This Row],[ProjectName]]&amp;OutputTable[[#This Row],[Name]]&amp;OutputTable[[#This Row],[Type]]&amp;OutputTable[[#This Row],[Source]]</f>
        <v>Friday (Solucion: datafono, gofre, cocina y caja compartida)rCajero.NumberSeizedTotal Number SeizedResource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19</v>
      </c>
      <c r="K78" s="5" cm="1">
        <f t="array" ref="K78">IFERROR(AVERAGE(IF((OutputTable[GroupByKey]=OutputTable[[#This Row],[GroupByKey]]),(OutputTable[GroupByKey]=OutputTable[[#This Row],[GroupByKey]])*OutputTable[RecordedValue])),0)</f>
        <v>131.63157894736841</v>
      </c>
      <c r="L78" s="5" cm="1">
        <f t="array" ref="L78">IFERROR(_xlfn.STDEV.S(IF((OutputTable[GroupByKey]=OutputTable[[#This Row],[GroupByKey]]),(OutputTable[GroupByKey]=OutputTable[[#This Row],[GroupByKey]])*OutputTable[RecordedValue])),0)</f>
        <v>13.988926280438102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6.7424466413544986</v>
      </c>
      <c r="O78" s="5" cm="1">
        <f t="array" ref="O78">MIN(IF((OutputTable[GroupByKey]=OutputTable[[#This Row],[GroupByKey]]),(OutputTable[GroupByKey]=OutputTable[[#This Row],[GroupByKey]])*OutputTable[RecordedValue]))</f>
        <v>113</v>
      </c>
      <c r="P78" s="5" cm="1">
        <f t="array" ref="P78">MAX(IF((OutputTable[GroupByKey]=OutputTable[[#This Row],[GroupByKey]]),(OutputTable[GroupByKey]=OutputTable[[#This Row],[GroupByKey]])*OutputTable[RecordedValue]))</f>
        <v>157</v>
      </c>
    </row>
    <row r="79" spans="1:16" x14ac:dyDescent="0.25">
      <c r="A79" t="s">
        <v>67</v>
      </c>
      <c r="B79" t="s">
        <v>69</v>
      </c>
      <c r="C79">
        <v>4</v>
      </c>
      <c r="D79" t="s">
        <v>164</v>
      </c>
      <c r="E79" t="s">
        <v>165</v>
      </c>
      <c r="F79" t="s">
        <v>136</v>
      </c>
      <c r="G79">
        <v>0.65540630966095803</v>
      </c>
      <c r="H79">
        <v>0</v>
      </c>
      <c r="I79" s="5" t="str">
        <f>OutputTable[[#This Row],[ProjectName]]&amp;OutputTable[[#This Row],[Name]]&amp;OutputTable[[#This Row],[Type]]&amp;OutputTable[[#This Row],[Source]]</f>
        <v>Friday (Solucion: datafono, gofre, cocina y caja compartida)rCajero.ScheduledUtilizationScheduled UtilizationResource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19</v>
      </c>
      <c r="K79" s="5" cm="1">
        <f t="array" ref="K79">IFERROR(AVERAGE(IF((OutputTable[GroupByKey]=OutputTable[[#This Row],[GroupByKey]]),(OutputTable[GroupByKey]=OutputTable[[#This Row],[GroupByKey]])*OutputTable[RecordedValue])),0)</f>
        <v>0.68474836505339687</v>
      </c>
      <c r="L79" s="5" cm="1">
        <f t="array" ref="L79">IFERROR(_xlfn.STDEV.S(IF((OutputTable[GroupByKey]=OutputTable[[#This Row],[GroupByKey]]),(OutputTable[GroupByKey]=OutputTable[[#This Row],[GroupByKey]])*OutputTable[RecordedValue])),0)</f>
        <v>6.2272947935973065E-2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3.0014600137344902E-2</v>
      </c>
      <c r="O79" s="5" cm="1">
        <f t="array" ref="O79">MIN(IF((OutputTable[GroupByKey]=OutputTable[[#This Row],[GroupByKey]]),(OutputTable[GroupByKey]=OutputTable[[#This Row],[GroupByKey]])*OutputTable[RecordedValue]))</f>
        <v>0.59592290927233305</v>
      </c>
      <c r="P79" s="5" cm="1">
        <f t="array" ref="P79">MAX(IF((OutputTable[GroupByKey]=OutputTable[[#This Row],[GroupByKey]]),(OutputTable[GroupByKey]=OutputTable[[#This Row],[GroupByKey]])*OutputTable[RecordedValue]))</f>
        <v>0.82897119936997599</v>
      </c>
    </row>
    <row r="80" spans="1:16" x14ac:dyDescent="0.25">
      <c r="A80" t="s">
        <v>67</v>
      </c>
      <c r="B80" t="s">
        <v>69</v>
      </c>
      <c r="C80">
        <v>4</v>
      </c>
      <c r="D80" t="s">
        <v>166</v>
      </c>
      <c r="E80" t="s">
        <v>163</v>
      </c>
      <c r="F80" t="s">
        <v>136</v>
      </c>
      <c r="G80">
        <v>105</v>
      </c>
      <c r="H80">
        <v>0</v>
      </c>
      <c r="I80" s="5" t="str">
        <f>OutputTable[[#This Row],[ProjectName]]&amp;OutputTable[[#This Row],[Name]]&amp;OutputTable[[#This Row],[Type]]&amp;OutputTable[[#This Row],[Source]]</f>
        <v>Friday (Solucion: datafono, gofre, cocina y caja compartida)rCocina.NumberSeizedTotal Number SeizedResource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19</v>
      </c>
      <c r="K80" s="5" cm="1">
        <f t="array" ref="K80">IFERROR(AVERAGE(IF((OutputTable[GroupByKey]=OutputTable[[#This Row],[GroupByKey]]),(OutputTable[GroupByKey]=OutputTable[[#This Row],[GroupByKey]])*OutputTable[RecordedValue])),0)</f>
        <v>112.73684210526316</v>
      </c>
      <c r="L80" s="5" cm="1">
        <f t="array" ref="L80">IFERROR(_xlfn.STDEV.S(IF((OutputTable[GroupByKey]=OutputTable[[#This Row],[GroupByKey]]),(OutputTable[GroupByKey]=OutputTable[[#This Row],[GroupByKey]])*OutputTable[RecordedValue])),0)</f>
        <v>9.1155673027772668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4.3935628019284003</v>
      </c>
      <c r="O80" s="5" cm="1">
        <f t="array" ref="O80">MIN(IF((OutputTable[GroupByKey]=OutputTable[[#This Row],[GroupByKey]]),(OutputTable[GroupByKey]=OutputTable[[#This Row],[GroupByKey]])*OutputTable[RecordedValue]))</f>
        <v>102</v>
      </c>
      <c r="P80" s="5" cm="1">
        <f t="array" ref="P80">MAX(IF((OutputTable[GroupByKey]=OutputTable[[#This Row],[GroupByKey]]),(OutputTable[GroupByKey]=OutputTable[[#This Row],[GroupByKey]])*OutputTable[RecordedValue]))</f>
        <v>135</v>
      </c>
    </row>
    <row r="81" spans="1:16" x14ac:dyDescent="0.25">
      <c r="A81" t="s">
        <v>67</v>
      </c>
      <c r="B81" t="s">
        <v>69</v>
      </c>
      <c r="C81">
        <v>4</v>
      </c>
      <c r="D81" t="s">
        <v>167</v>
      </c>
      <c r="E81" t="s">
        <v>165</v>
      </c>
      <c r="F81" t="s">
        <v>136</v>
      </c>
      <c r="G81">
        <v>0.75258580226755301</v>
      </c>
      <c r="H81">
        <v>0</v>
      </c>
      <c r="I81" s="5" t="str">
        <f>OutputTable[[#This Row],[ProjectName]]&amp;OutputTable[[#This Row],[Name]]&amp;OutputTable[[#This Row],[Type]]&amp;OutputTable[[#This Row],[Source]]</f>
        <v>Friday (Solucion: datafono, gofre, cocina y caja compartida)rCocina.ScheduledUtilizationScheduled UtilizationResource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19</v>
      </c>
      <c r="K81" s="5" cm="1">
        <f t="array" ref="K81">IFERROR(AVERAGE(IF((OutputTable[GroupByKey]=OutputTable[[#This Row],[GroupByKey]]),(OutputTable[GroupByKey]=OutputTable[[#This Row],[GroupByKey]])*OutputTable[RecordedValue])),0)</f>
        <v>0.71670342302257706</v>
      </c>
      <c r="L81" s="5" cm="1">
        <f t="array" ref="L81">IFERROR(_xlfn.STDEV.S(IF((OutputTable[GroupByKey]=OutputTable[[#This Row],[GroupByKey]]),(OutputTable[GroupByKey]=OutputTable[[#This Row],[GroupByKey]])*OutputTable[RecordedValue])),0)</f>
        <v>7.0907274842727658E-2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3.4176212493127585E-2</v>
      </c>
      <c r="O81" s="5" cm="1">
        <f t="array" ref="O81">MIN(IF((OutputTable[GroupByKey]=OutputTable[[#This Row],[GroupByKey]]),(OutputTable[GroupByKey]=OutputTable[[#This Row],[GroupByKey]])*OutputTable[RecordedValue]))</f>
        <v>0.60463940272025996</v>
      </c>
      <c r="P81" s="5" cm="1">
        <f t="array" ref="P81">MAX(IF((OutputTable[GroupByKey]=OutputTable[[#This Row],[GroupByKey]]),(OutputTable[GroupByKey]=OutputTable[[#This Row],[GroupByKey]])*OutputTable[RecordedValue]))</f>
        <v>0.86361037821575004</v>
      </c>
    </row>
    <row r="82" spans="1:16" x14ac:dyDescent="0.25">
      <c r="A82" t="s">
        <v>67</v>
      </c>
      <c r="B82" t="s">
        <v>69</v>
      </c>
      <c r="C82">
        <v>4</v>
      </c>
      <c r="D82" t="s">
        <v>168</v>
      </c>
      <c r="E82" t="s">
        <v>163</v>
      </c>
      <c r="F82" t="s">
        <v>136</v>
      </c>
      <c r="G82">
        <v>17</v>
      </c>
      <c r="H82">
        <v>0</v>
      </c>
      <c r="I82" s="5" t="str">
        <f>OutputTable[[#This Row],[ProjectName]]&amp;OutputTable[[#This Row],[Name]]&amp;OutputTable[[#This Row],[Type]]&amp;OutputTable[[#This Row],[Source]]</f>
        <v>Friday (Solucion: datafono, gofre, cocina y caja compartida)rMesa.NumberSeizedTotal Number SeizedResource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19</v>
      </c>
      <c r="K82" s="5" cm="1">
        <f t="array" ref="K82">IFERROR(AVERAGE(IF((OutputTable[GroupByKey]=OutputTable[[#This Row],[GroupByKey]]),(OutputTable[GroupByKey]=OutputTable[[#This Row],[GroupByKey]])*OutputTable[RecordedValue])),0)</f>
        <v>16.157894736842106</v>
      </c>
      <c r="L82" s="5" cm="1">
        <f t="array" ref="L82">IFERROR(_xlfn.STDEV.S(IF((OutputTable[GroupByKey]=OutputTable[[#This Row],[GroupByKey]]),(OutputTable[GroupByKey]=OutputTable[[#This Row],[GroupByKey]])*OutputTable[RecordedValue])),0)</f>
        <v>3.8044295512634076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82" s="5" cm="1">
        <f t="array" ref="O82">MIN(IF((OutputTable[GroupByKey]=OutputTable[[#This Row],[GroupByKey]]),(OutputTable[GroupByKey]=OutputTable[[#This Row],[GroupByKey]])*OutputTable[RecordedValue]))</f>
        <v>9</v>
      </c>
      <c r="P82" s="5" cm="1">
        <f t="array" ref="P82">MAX(IF((OutputTable[GroupByKey]=OutputTable[[#This Row],[GroupByKey]]),(OutputTable[GroupByKey]=OutputTable[[#This Row],[GroupByKey]])*OutputTable[RecordedValue]))</f>
        <v>24</v>
      </c>
    </row>
    <row r="83" spans="1:16" x14ac:dyDescent="0.25">
      <c r="A83" t="s">
        <v>67</v>
      </c>
      <c r="B83" t="s">
        <v>69</v>
      </c>
      <c r="C83">
        <v>4</v>
      </c>
      <c r="D83" t="s">
        <v>169</v>
      </c>
      <c r="E83" t="s">
        <v>165</v>
      </c>
      <c r="F83" t="s">
        <v>136</v>
      </c>
      <c r="G83">
        <v>0.26300608836325801</v>
      </c>
      <c r="H83">
        <v>0</v>
      </c>
      <c r="I83" s="5" t="str">
        <f>OutputTable[[#This Row],[ProjectName]]&amp;OutputTable[[#This Row],[Name]]&amp;OutputTable[[#This Row],[Type]]&amp;OutputTable[[#This Row],[Source]]</f>
        <v>Friday (Solucion: datafono, gofre, cocina y caja compartida)rMesa.ScheduledUtilizationScheduled UtilizationResource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19</v>
      </c>
      <c r="K83" s="5" cm="1">
        <f t="array" ref="K83">IFERROR(AVERAGE(IF((OutputTable[GroupByKey]=OutputTable[[#This Row],[GroupByKey]]),(OutputTable[GroupByKey]=OutputTable[[#This Row],[GroupByKey]])*OutputTable[RecordedValue])),0)</f>
        <v>0.30850610959128744</v>
      </c>
      <c r="L83" s="5" cm="1">
        <f t="array" ref="L83">IFERROR(_xlfn.STDEV.S(IF((OutputTable[GroupByKey]=OutputTable[[#This Row],[GroupByKey]]),(OutputTable[GroupByKey]=OutputTable[[#This Row],[GroupByKey]])*OutputTable[RecordedValue])),0)</f>
        <v>6.2586127702931107E-2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3.0165547953176861E-2</v>
      </c>
      <c r="O83" s="5" cm="1">
        <f t="array" ref="O83">MIN(IF((OutputTable[GroupByKey]=OutputTable[[#This Row],[GroupByKey]]),(OutputTable[GroupByKey]=OutputTable[[#This Row],[GroupByKey]])*OutputTable[RecordedValue]))</f>
        <v>0.156206445320244</v>
      </c>
      <c r="P83" s="5" cm="1">
        <f t="array" ref="P83">MAX(IF((OutputTable[GroupByKey]=OutputTable[[#This Row],[GroupByKey]]),(OutputTable[GroupByKey]=OutputTable[[#This Row],[GroupByKey]])*OutputTable[RecordedValue]))</f>
        <v>0.44942505379986802</v>
      </c>
    </row>
    <row r="84" spans="1:16" x14ac:dyDescent="0.25">
      <c r="A84" t="s">
        <v>67</v>
      </c>
      <c r="B84" t="s">
        <v>69</v>
      </c>
      <c r="C84">
        <v>4</v>
      </c>
      <c r="D84" t="s">
        <v>170</v>
      </c>
      <c r="E84" t="s">
        <v>145</v>
      </c>
      <c r="F84" t="s">
        <v>72</v>
      </c>
      <c r="G84">
        <v>3</v>
      </c>
      <c r="H84">
        <v>0</v>
      </c>
      <c r="I84" s="5" t="str">
        <f>OutputTable[[#This Row],[ProjectName]]&amp;OutputTable[[#This Row],[Name]]&amp;OutputTable[[#This Row],[Type]]&amp;OutputTable[[#This Row],[Source]]</f>
        <v>Friday (Solucion: datafono, gofre, cocina y caja compartida)reloj.NumberInNumber InEntity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19</v>
      </c>
      <c r="K84" s="5" cm="1">
        <f t="array" ref="K84">IFERROR(AVERAGE(IF((OutputTable[GroupByKey]=OutputTable[[#This Row],[GroupByKey]]),(OutputTable[GroupByKey]=OutputTable[[#This Row],[GroupByKey]])*OutputTable[RecordedValue])),0)</f>
        <v>3</v>
      </c>
      <c r="L84" s="5" cm="1">
        <f t="array" ref="L84">IFERROR(_xlfn.STDEV.S(IF((OutputTable[GroupByKey]=OutputTable[[#This Row],[GroupByKey]]),(OutputTable[GroupByKey]=OutputTable[[#This Row],[GroupByKey]])*OutputTable[RecordedValue])),0)</f>
        <v>0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" s="5" cm="1">
        <f t="array" ref="O84">MIN(IF((OutputTable[GroupByKey]=OutputTable[[#This Row],[GroupByKey]]),(OutputTable[GroupByKey]=OutputTable[[#This Row],[GroupByKey]])*OutputTable[RecordedValue]))</f>
        <v>3</v>
      </c>
      <c r="P84" s="5" cm="1">
        <f t="array" ref="P84">MAX(IF((OutputTable[GroupByKey]=OutputTable[[#This Row],[GroupByKey]]),(OutputTable[GroupByKey]=OutputTable[[#This Row],[GroupByKey]])*OutputTable[RecordedValue]))</f>
        <v>3</v>
      </c>
    </row>
    <row r="85" spans="1:16" x14ac:dyDescent="0.25">
      <c r="A85" t="s">
        <v>67</v>
      </c>
      <c r="B85" t="s">
        <v>69</v>
      </c>
      <c r="C85">
        <v>4</v>
      </c>
      <c r="D85" t="s">
        <v>171</v>
      </c>
      <c r="E85" t="s">
        <v>147</v>
      </c>
      <c r="F85" t="s">
        <v>72</v>
      </c>
      <c r="G85">
        <v>3</v>
      </c>
      <c r="H85">
        <v>0</v>
      </c>
      <c r="I85" s="5" t="str">
        <f>OutputTable[[#This Row],[ProjectName]]&amp;OutputTable[[#This Row],[Name]]&amp;OutputTable[[#This Row],[Type]]&amp;OutputTable[[#This Row],[Source]]</f>
        <v>Friday (Solucion: datafono, gofre, cocina y caja compartida)reloj.NumberOutNumber OutEntity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19</v>
      </c>
      <c r="K85" s="5" cm="1">
        <f t="array" ref="K85">IFERROR(AVERAGE(IF((OutputTable[GroupByKey]=OutputTable[[#This Row],[GroupByKey]]),(OutputTable[GroupByKey]=OutputTable[[#This Row],[GroupByKey]])*OutputTable[RecordedValue])),0)</f>
        <v>3</v>
      </c>
      <c r="L85" s="5" cm="1">
        <f t="array" ref="L85">IFERROR(_xlfn.STDEV.S(IF((OutputTable[GroupByKey]=OutputTable[[#This Row],[GroupByKey]]),(OutputTable[GroupByKey]=OutputTable[[#This Row],[GroupByKey]])*OutputTable[RecordedValue])),0)</f>
        <v>0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" s="5" cm="1">
        <f t="array" ref="O85">MIN(IF((OutputTable[GroupByKey]=OutputTable[[#This Row],[GroupByKey]]),(OutputTable[GroupByKey]=OutputTable[[#This Row],[GroupByKey]])*OutputTable[RecordedValue]))</f>
        <v>3</v>
      </c>
      <c r="P85" s="5" cm="1">
        <f t="array" ref="P85">MAX(IF((OutputTable[GroupByKey]=OutputTable[[#This Row],[GroupByKey]]),(OutputTable[GroupByKey]=OutputTable[[#This Row],[GroupByKey]])*OutputTable[RecordedValue]))</f>
        <v>3</v>
      </c>
    </row>
    <row r="86" spans="1:16" x14ac:dyDescent="0.25">
      <c r="A86" t="s">
        <v>67</v>
      </c>
      <c r="B86" t="s">
        <v>69</v>
      </c>
      <c r="C86">
        <v>5</v>
      </c>
      <c r="D86" t="s">
        <v>144</v>
      </c>
      <c r="E86" t="s">
        <v>145</v>
      </c>
      <c r="F86" t="s">
        <v>72</v>
      </c>
      <c r="G86">
        <v>393</v>
      </c>
      <c r="H86">
        <v>0</v>
      </c>
      <c r="I86" s="5" t="str">
        <f>OutputTable[[#This Row],[ProjectName]]&amp;OutputTable[[#This Row],[Name]]&amp;OutputTable[[#This Row],[Type]]&amp;OutputTable[[#This Row],[Source]]</f>
        <v>Friday (Solucion: datafono, gofre, cocina y caja compartida)Cliente.NumberInNumber InEntity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19</v>
      </c>
      <c r="K86" s="5" cm="1">
        <f t="array" ref="K86">IFERROR(AVERAGE(IF((OutputTable[GroupByKey]=OutputTable[[#This Row],[GroupByKey]]),(OutputTable[GroupByKey]=OutputTable[[#This Row],[GroupByKey]])*OutputTable[RecordedValue])),0)</f>
        <v>366.21052631578948</v>
      </c>
      <c r="L86" s="5" cm="1">
        <f t="array" ref="L86">IFERROR(_xlfn.STDEV.S(IF((OutputTable[GroupByKey]=OutputTable[[#This Row],[GroupByKey]]),(OutputTable[GroupByKey]=OutputTable[[#This Row],[GroupByKey]])*OutputTable[RecordedValue])),0)</f>
        <v>28.665850661580702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13.816497752584581</v>
      </c>
      <c r="O86" s="5" cm="1">
        <f t="array" ref="O86">MIN(IF((OutputTable[GroupByKey]=OutputTable[[#This Row],[GroupByKey]]),(OutputTable[GroupByKey]=OutputTable[[#This Row],[GroupByKey]])*OutputTable[RecordedValue]))</f>
        <v>331</v>
      </c>
      <c r="P86" s="5" cm="1">
        <f t="array" ref="P86">MAX(IF((OutputTable[GroupByKey]=OutputTable[[#This Row],[GroupByKey]]),(OutputTable[GroupByKey]=OutputTable[[#This Row],[GroupByKey]])*OutputTable[RecordedValue]))</f>
        <v>427</v>
      </c>
    </row>
    <row r="87" spans="1:16" x14ac:dyDescent="0.25">
      <c r="A87" t="s">
        <v>67</v>
      </c>
      <c r="B87" t="s">
        <v>69</v>
      </c>
      <c r="C87">
        <v>5</v>
      </c>
      <c r="D87" t="s">
        <v>146</v>
      </c>
      <c r="E87" t="s">
        <v>147</v>
      </c>
      <c r="F87" t="s">
        <v>72</v>
      </c>
      <c r="G87">
        <v>389</v>
      </c>
      <c r="H87">
        <v>0</v>
      </c>
      <c r="I87" s="5" t="str">
        <f>OutputTable[[#This Row],[ProjectName]]&amp;OutputTable[[#This Row],[Name]]&amp;OutputTable[[#This Row],[Type]]&amp;OutputTable[[#This Row],[Source]]</f>
        <v>Friday (Solucion: datafono, gofre, cocina y caja compartida)Cliente.NumberOutNumber OutEntity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19</v>
      </c>
      <c r="K87" s="5" cm="1">
        <f t="array" ref="K87">IFERROR(AVERAGE(IF((OutputTable[GroupByKey]=OutputTable[[#This Row],[GroupByKey]]),(OutputTable[GroupByKey]=OutputTable[[#This Row],[GroupByKey]])*OutputTable[RecordedValue])),0)</f>
        <v>366.63157894736844</v>
      </c>
      <c r="L87" s="5" cm="1">
        <f t="array" ref="L87">IFERROR(_xlfn.STDEV.S(IF((OutputTable[GroupByKey]=OutputTable[[#This Row],[GroupByKey]]),(OutputTable[GroupByKey]=OutputTable[[#This Row],[GroupByKey]])*OutputTable[RecordedValue])),0)</f>
        <v>29.957767544617038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14.439181758083874</v>
      </c>
      <c r="O87" s="5" cm="1">
        <f t="array" ref="O87">MIN(IF((OutputTable[GroupByKey]=OutputTable[[#This Row],[GroupByKey]]),(OutputTable[GroupByKey]=OutputTable[[#This Row],[GroupByKey]])*OutputTable[RecordedValue]))</f>
        <v>329</v>
      </c>
      <c r="P87" s="5" cm="1">
        <f t="array" ref="P87">MAX(IF((OutputTable[GroupByKey]=OutputTable[[#This Row],[GroupByKey]]),(OutputTable[GroupByKey]=OutputTable[[#This Row],[GroupByKey]])*OutputTable[RecordedValue]))</f>
        <v>443</v>
      </c>
    </row>
    <row r="88" spans="1:16" x14ac:dyDescent="0.25">
      <c r="A88" t="s">
        <v>67</v>
      </c>
      <c r="B88" t="s">
        <v>69</v>
      </c>
      <c r="C88">
        <v>5</v>
      </c>
      <c r="D88" t="s">
        <v>148</v>
      </c>
      <c r="E88" t="s">
        <v>149</v>
      </c>
      <c r="F88" t="s">
        <v>86</v>
      </c>
      <c r="G88">
        <v>286.92332040460002</v>
      </c>
      <c r="H88">
        <v>0</v>
      </c>
      <c r="I88" s="5" t="str">
        <f>OutputTable[[#This Row],[ProjectName]]&amp;OutputTable[[#This Row],[Name]]&amp;OutputTable[[#This Row],[Type]]&amp;OutputTable[[#This Row],[Source]]</f>
        <v>Friday (Solucion: datafono, gofre, cocina y caja compartida)Comer en Mesa Accum VA TimeAccum VA TimeProcess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19</v>
      </c>
      <c r="K88" s="5" cm="1">
        <f t="array" ref="K88">IFERROR(AVERAGE(IF((OutputTable[GroupByKey]=OutputTable[[#This Row],[GroupByKey]]),(OutputTable[GroupByKey]=OutputTable[[#This Row],[GroupByKey]])*OutputTable[RecordedValue])),0)</f>
        <v>283.12549562397913</v>
      </c>
      <c r="L88" s="5" cm="1">
        <f t="array" ref="L88">IFERROR(_xlfn.STDEV.S(IF((OutputTable[GroupByKey]=OutputTable[[#This Row],[GroupByKey]]),(OutputTable[GroupByKey]=OutputTable[[#This Row],[GroupByKey]])*OutputTable[RecordedValue])),0)</f>
        <v>55.763238037894645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26.877020400444863</v>
      </c>
      <c r="O88" s="5" cm="1">
        <f t="array" ref="O88">MIN(IF((OutputTable[GroupByKey]=OutputTable[[#This Row],[GroupByKey]]),(OutputTable[GroupByKey]=OutputTable[[#This Row],[GroupByKey]])*OutputTable[RecordedValue]))</f>
        <v>157.05073652574001</v>
      </c>
      <c r="P88" s="5" cm="1">
        <f t="array" ref="P88">MAX(IF((OutputTable[GroupByKey]=OutputTable[[#This Row],[GroupByKey]]),(OutputTable[GroupByKey]=OutputTable[[#This Row],[GroupByKey]])*OutputTable[RecordedValue]))</f>
        <v>402.97015039838902</v>
      </c>
    </row>
    <row r="89" spans="1:16" x14ac:dyDescent="0.25">
      <c r="A89" t="s">
        <v>67</v>
      </c>
      <c r="B89" t="s">
        <v>69</v>
      </c>
      <c r="C89">
        <v>5</v>
      </c>
      <c r="D89" t="s">
        <v>150</v>
      </c>
      <c r="E89" t="s">
        <v>151</v>
      </c>
      <c r="F89" t="s">
        <v>86</v>
      </c>
      <c r="G89">
        <v>0</v>
      </c>
      <c r="H89">
        <v>0</v>
      </c>
      <c r="I89" s="5" t="str">
        <f>OutputTable[[#This Row],[ProjectName]]&amp;OutputTable[[#This Row],[Name]]&amp;OutputTable[[#This Row],[Type]]&amp;OutputTable[[#This Row],[Source]]</f>
        <v>Friday (Solucion: datafono, gofre, cocina y caja compartida)Comer en Mesa Accum Wait TimeAccum Wait TimeProcess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19</v>
      </c>
      <c r="K89" s="5" cm="1">
        <f t="array" ref="K89">IFERROR(AVERAGE(IF((OutputTable[GroupByKey]=OutputTable[[#This Row],[GroupByKey]]),(OutputTable[GroupByKey]=OutputTable[[#This Row],[GroupByKey]])*OutputTable[RecordedValue])),0)</f>
        <v>0</v>
      </c>
      <c r="L89" s="5" cm="1">
        <f t="array" ref="L89">IFERROR(_xlfn.STDEV.S(IF((OutputTable[GroupByKey]=OutputTable[[#This Row],[GroupByKey]]),(OutputTable[GroupByKey]=OutputTable[[#This Row],[GroupByKey]])*OutputTable[RecordedValue])),0)</f>
        <v>0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" s="5" cm="1">
        <f t="array" ref="O89">MIN(IF((OutputTable[GroupByKey]=OutputTable[[#This Row],[GroupByKey]]),(OutputTable[GroupByKey]=OutputTable[[#This Row],[GroupByKey]])*OutputTable[RecordedValue]))</f>
        <v>0</v>
      </c>
      <c r="P89" s="5" cm="1">
        <f t="array" ref="P89">MAX(IF((OutputTable[GroupByKey]=OutputTable[[#This Row],[GroupByKey]]),(OutputTable[GroupByKey]=OutputTable[[#This Row],[GroupByKey]])*OutputTable[RecordedValue]))</f>
        <v>0</v>
      </c>
    </row>
    <row r="90" spans="1:16" x14ac:dyDescent="0.25">
      <c r="A90" t="s">
        <v>67</v>
      </c>
      <c r="B90" t="s">
        <v>69</v>
      </c>
      <c r="C90">
        <v>5</v>
      </c>
      <c r="D90" t="s">
        <v>152</v>
      </c>
      <c r="E90" t="s">
        <v>145</v>
      </c>
      <c r="F90" t="s">
        <v>86</v>
      </c>
      <c r="G90">
        <v>17</v>
      </c>
      <c r="H90">
        <v>0</v>
      </c>
      <c r="I90" s="5" t="str">
        <f>OutputTable[[#This Row],[ProjectName]]&amp;OutputTable[[#This Row],[Name]]&amp;OutputTable[[#This Row],[Type]]&amp;OutputTable[[#This Row],[Source]]</f>
        <v>Friday (Solucion: datafono, gofre, cocina y caja compartida)Comer en Mesa Number InNumber InProcess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19</v>
      </c>
      <c r="K90" s="5" cm="1">
        <f t="array" ref="K90">IFERROR(AVERAGE(IF((OutputTable[GroupByKey]=OutputTable[[#This Row],[GroupByKey]]),(OutputTable[GroupByKey]=OutputTable[[#This Row],[GroupByKey]])*OutputTable[RecordedValue])),0)</f>
        <v>16.157894736842106</v>
      </c>
      <c r="L90" s="5" cm="1">
        <f t="array" ref="L90">IFERROR(_xlfn.STDEV.S(IF((OutputTable[GroupByKey]=OutputTable[[#This Row],[GroupByKey]]),(OutputTable[GroupByKey]=OutputTable[[#This Row],[GroupByKey]])*OutputTable[RecordedValue])),0)</f>
        <v>3.8044295512634076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90" s="5" cm="1">
        <f t="array" ref="O90">MIN(IF((OutputTable[GroupByKey]=OutputTable[[#This Row],[GroupByKey]]),(OutputTable[GroupByKey]=OutputTable[[#This Row],[GroupByKey]])*OutputTable[RecordedValue]))</f>
        <v>9</v>
      </c>
      <c r="P90" s="5" cm="1">
        <f t="array" ref="P90">MAX(IF((OutputTable[GroupByKey]=OutputTable[[#This Row],[GroupByKey]]),(OutputTable[GroupByKey]=OutputTable[[#This Row],[GroupByKey]])*OutputTable[RecordedValue]))</f>
        <v>24</v>
      </c>
    </row>
    <row r="91" spans="1:16" x14ac:dyDescent="0.25">
      <c r="A91" t="s">
        <v>67</v>
      </c>
      <c r="B91" t="s">
        <v>69</v>
      </c>
      <c r="C91">
        <v>5</v>
      </c>
      <c r="D91" t="s">
        <v>153</v>
      </c>
      <c r="E91" t="s">
        <v>147</v>
      </c>
      <c r="F91" t="s">
        <v>86</v>
      </c>
      <c r="G91">
        <v>15</v>
      </c>
      <c r="H91">
        <v>0</v>
      </c>
      <c r="I91" s="5" t="str">
        <f>OutputTable[[#This Row],[ProjectName]]&amp;OutputTable[[#This Row],[Name]]&amp;OutputTable[[#This Row],[Type]]&amp;OutputTable[[#This Row],[Source]]</f>
        <v>Friday (Solucion: datafono, gofre, cocina y caja compartida)Comer en Mesa Number OutNumber OutProcess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19</v>
      </c>
      <c r="K91" s="5" cm="1">
        <f t="array" ref="K91">IFERROR(AVERAGE(IF((OutputTable[GroupByKey]=OutputTable[[#This Row],[GroupByKey]]),(OutputTable[GroupByKey]=OutputTable[[#This Row],[GroupByKey]])*OutputTable[RecordedValue])),0)</f>
        <v>16.263157894736842</v>
      </c>
      <c r="L91" s="5" cm="1">
        <f t="array" ref="L91">IFERROR(_xlfn.STDEV.S(IF((OutputTable[GroupByKey]=OutputTable[[#This Row],[GroupByKey]]),(OutputTable[GroupByKey]=OutputTable[[#This Row],[GroupByKey]])*OutputTable[RecordedValue])),0)</f>
        <v>3.3803698887540881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1.6292861329062698</v>
      </c>
      <c r="O91" s="5" cm="1">
        <f t="array" ref="O91">MIN(IF((OutputTable[GroupByKey]=OutputTable[[#This Row],[GroupByKey]]),(OutputTable[GroupByKey]=OutputTable[[#This Row],[GroupByKey]])*OutputTable[RecordedValue]))</f>
        <v>8</v>
      </c>
      <c r="P91" s="5" cm="1">
        <f t="array" ref="P91">MAX(IF((OutputTable[GroupByKey]=OutputTable[[#This Row],[GroupByKey]]),(OutputTable[GroupByKey]=OutputTable[[#This Row],[GroupByKey]])*OutputTable[RecordedValue]))</f>
        <v>22</v>
      </c>
    </row>
    <row r="92" spans="1:16" x14ac:dyDescent="0.25">
      <c r="A92" t="s">
        <v>67</v>
      </c>
      <c r="B92" t="s">
        <v>69</v>
      </c>
      <c r="C92">
        <v>5</v>
      </c>
      <c r="D92" t="s">
        <v>154</v>
      </c>
      <c r="E92" t="s">
        <v>145</v>
      </c>
      <c r="F92" t="s">
        <v>72</v>
      </c>
      <c r="G92">
        <v>131</v>
      </c>
      <c r="H92">
        <v>0</v>
      </c>
      <c r="I92" s="5" t="str">
        <f>OutputTable[[#This Row],[ProjectName]]&amp;OutputTable[[#This Row],[Name]]&amp;OutputTable[[#This Row],[Type]]&amp;OutputTable[[#This Row],[Source]]</f>
        <v>Friday (Solucion: datafono, gofre, cocina y caja compartida)Orden.NumberInNumber InEntity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19</v>
      </c>
      <c r="K92" s="5" cm="1">
        <f t="array" ref="K92">IFERROR(AVERAGE(IF((OutputTable[GroupByKey]=OutputTable[[#This Row],[GroupByKey]]),(OutputTable[GroupByKey]=OutputTable[[#This Row],[GroupByKey]])*OutputTable[RecordedValue])),0)</f>
        <v>121.89473684210526</v>
      </c>
      <c r="L92" s="5" cm="1">
        <f t="array" ref="L92">IFERROR(_xlfn.STDEV.S(IF((OutputTable[GroupByKey]=OutputTable[[#This Row],[GroupByKey]]),(OutputTable[GroupByKey]=OutputTable[[#This Row],[GroupByKey]])*OutputTable[RecordedValue])),0)</f>
        <v>9.971597090637573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92" s="5" cm="1">
        <f t="array" ref="O92">MIN(IF((OutputTable[GroupByKey]=OutputTable[[#This Row],[GroupByKey]]),(OutputTable[GroupByKey]=OutputTable[[#This Row],[GroupByKey]])*OutputTable[RecordedValue]))</f>
        <v>109</v>
      </c>
      <c r="P92" s="5" cm="1">
        <f t="array" ref="P92">MAX(IF((OutputTable[GroupByKey]=OutputTable[[#This Row],[GroupByKey]]),(OutputTable[GroupByKey]=OutputTable[[#This Row],[GroupByKey]])*OutputTable[RecordedValue]))</f>
        <v>143</v>
      </c>
    </row>
    <row r="93" spans="1:16" x14ac:dyDescent="0.25">
      <c r="A93" t="s">
        <v>67</v>
      </c>
      <c r="B93" t="s">
        <v>69</v>
      </c>
      <c r="C93">
        <v>5</v>
      </c>
      <c r="D93" t="s">
        <v>155</v>
      </c>
      <c r="E93" t="s">
        <v>147</v>
      </c>
      <c r="F93" t="s">
        <v>72</v>
      </c>
      <c r="G93">
        <v>129</v>
      </c>
      <c r="H93">
        <v>0</v>
      </c>
      <c r="I93" s="5" t="str">
        <f>OutputTable[[#This Row],[ProjectName]]&amp;OutputTable[[#This Row],[Name]]&amp;OutputTable[[#This Row],[Type]]&amp;OutputTable[[#This Row],[Source]]</f>
        <v>Friday (Solucion: datafono, gofre, cocina y caja compartida)Orden.NumberOutNumber OutEntity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19</v>
      </c>
      <c r="K93" s="5" cm="1">
        <f t="array" ref="K93">IFERROR(AVERAGE(IF((OutputTable[GroupByKey]=OutputTable[[#This Row],[GroupByKey]]),(OutputTable[GroupByKey]=OutputTable[[#This Row],[GroupByKey]])*OutputTable[RecordedValue])),0)</f>
        <v>122.36842105263158</v>
      </c>
      <c r="L93" s="5" cm="1">
        <f t="array" ref="L93">IFERROR(_xlfn.STDEV.S(IF((OutputTable[GroupByKey]=OutputTable[[#This Row],[GroupByKey]]),(OutputTable[GroupByKey]=OutputTable[[#This Row],[GroupByKey]])*OutputTable[RecordedValue])),0)</f>
        <v>10.160984894934533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93" s="5" cm="1">
        <f t="array" ref="O93">MIN(IF((OutputTable[GroupByKey]=OutputTable[[#This Row],[GroupByKey]]),(OutputTable[GroupByKey]=OutputTable[[#This Row],[GroupByKey]])*OutputTable[RecordedValue]))</f>
        <v>109</v>
      </c>
      <c r="P93" s="5" cm="1">
        <f t="array" ref="P93">MAX(IF((OutputTable[GroupByKey]=OutputTable[[#This Row],[GroupByKey]]),(OutputTable[GroupByKey]=OutputTable[[#This Row],[GroupByKey]])*OutputTable[RecordedValue]))</f>
        <v>150</v>
      </c>
    </row>
    <row r="94" spans="1:16" x14ac:dyDescent="0.25">
      <c r="A94" t="s">
        <v>67</v>
      </c>
      <c r="B94" t="s">
        <v>69</v>
      </c>
      <c r="C94">
        <v>5</v>
      </c>
      <c r="D94" t="s">
        <v>156</v>
      </c>
      <c r="E94" t="s">
        <v>149</v>
      </c>
      <c r="F94" t="s">
        <v>86</v>
      </c>
      <c r="G94">
        <v>155.75036908148701</v>
      </c>
      <c r="H94">
        <v>0</v>
      </c>
      <c r="I94" s="5" t="str">
        <f>OutputTable[[#This Row],[ProjectName]]&amp;OutputTable[[#This Row],[Name]]&amp;OutputTable[[#This Row],[Type]]&amp;OutputTable[[#This Row],[Source]]</f>
        <v>Friday (Solucion: datafono, gofre, cocina y caja compartida)Preparacion Accum VA TimeAccum VA TimeProcess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19</v>
      </c>
      <c r="K94" s="5" cm="1">
        <f t="array" ref="K94">IFERROR(AVERAGE(IF((OutputTable[GroupByKey]=OutputTable[[#This Row],[GroupByKey]]),(OutputTable[GroupByKey]=OutputTable[[#This Row],[GroupByKey]])*OutputTable[RecordedValue])),0)</f>
        <v>174.13537587676447</v>
      </c>
      <c r="L94" s="5" cm="1">
        <f t="array" ref="L94">IFERROR(_xlfn.STDEV.S(IF((OutputTable[GroupByKey]=OutputTable[[#This Row],[GroupByKey]]),(OutputTable[GroupByKey]=OutputTable[[#This Row],[GroupByKey]])*OutputTable[RecordedValue])),0)</f>
        <v>19.65074675456297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9.4713567574295272</v>
      </c>
      <c r="O94" s="5" cm="1">
        <f t="array" ref="O94">MIN(IF((OutputTable[GroupByKey]=OutputTable[[#This Row],[GroupByKey]]),(OutputTable[GroupByKey]=OutputTable[[#This Row],[GroupByKey]])*OutputTable[RecordedValue]))</f>
        <v>139.22471453685199</v>
      </c>
      <c r="P94" s="5" cm="1">
        <f t="array" ref="P94">MAX(IF((OutputTable[GroupByKey]=OutputTable[[#This Row],[GroupByKey]]),(OutputTable[GroupByKey]=OutputTable[[#This Row],[GroupByKey]])*OutputTable[RecordedValue]))</f>
        <v>210.18722493890999</v>
      </c>
    </row>
    <row r="95" spans="1:16" x14ac:dyDescent="0.25">
      <c r="A95" t="s">
        <v>67</v>
      </c>
      <c r="B95" t="s">
        <v>69</v>
      </c>
      <c r="C95">
        <v>5</v>
      </c>
      <c r="D95" t="s">
        <v>157</v>
      </c>
      <c r="E95" t="s">
        <v>151</v>
      </c>
      <c r="F95" t="s">
        <v>86</v>
      </c>
      <c r="G95">
        <v>38.598690272104399</v>
      </c>
      <c r="H95">
        <v>0</v>
      </c>
      <c r="I95" s="5" t="str">
        <f>OutputTable[[#This Row],[ProjectName]]&amp;OutputTable[[#This Row],[Name]]&amp;OutputTable[[#This Row],[Type]]&amp;OutputTable[[#This Row],[Source]]</f>
        <v>Friday (Solucion: datafono, gofre, cocina y caja compartida)Preparacion Accum Wait TimeAccum Wait TimeProcess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19</v>
      </c>
      <c r="K95" s="5" cm="1">
        <f t="array" ref="K95">IFERROR(AVERAGE(IF((OutputTable[GroupByKey]=OutputTable[[#This Row],[GroupByKey]]),(OutputTable[GroupByKey]=OutputTable[[#This Row],[GroupByKey]])*OutputTable[RecordedValue])),0)</f>
        <v>89.754366677107924</v>
      </c>
      <c r="L95" s="5" cm="1">
        <f t="array" ref="L95">IFERROR(_xlfn.STDEV.S(IF((OutputTable[GroupByKey]=OutputTable[[#This Row],[GroupByKey]]),(OutputTable[GroupByKey]=OutputTable[[#This Row],[GroupByKey]])*OutputTable[RecordedValue])),0)</f>
        <v>109.53061123574736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52.79206474085742</v>
      </c>
      <c r="O95" s="5" cm="1">
        <f t="array" ref="O95">MIN(IF((OutputTable[GroupByKey]=OutputTable[[#This Row],[GroupByKey]]),(OutputTable[GroupByKey]=OutputTable[[#This Row],[GroupByKey]])*OutputTable[RecordedValue]))</f>
        <v>22.316256244919199</v>
      </c>
      <c r="P95" s="5" cm="1">
        <f t="array" ref="P95">MAX(IF((OutputTable[GroupByKey]=OutputTable[[#This Row],[GroupByKey]]),(OutputTable[GroupByKey]=OutputTable[[#This Row],[GroupByKey]])*OutputTable[RecordedValue]))</f>
        <v>514.987116007179</v>
      </c>
    </row>
    <row r="96" spans="1:16" x14ac:dyDescent="0.25">
      <c r="A96" t="s">
        <v>67</v>
      </c>
      <c r="B96" t="s">
        <v>69</v>
      </c>
      <c r="C96">
        <v>5</v>
      </c>
      <c r="D96" t="s">
        <v>158</v>
      </c>
      <c r="E96" t="s">
        <v>145</v>
      </c>
      <c r="F96" t="s">
        <v>86</v>
      </c>
      <c r="G96">
        <v>131</v>
      </c>
      <c r="H96">
        <v>0</v>
      </c>
      <c r="I96" s="5" t="str">
        <f>OutputTable[[#This Row],[ProjectName]]&amp;OutputTable[[#This Row],[Name]]&amp;OutputTable[[#This Row],[Type]]&amp;OutputTable[[#This Row],[Source]]</f>
        <v>Friday (Solucion: datafono, gofre, cocina y caja compartida)Preparacion Number InNumber InProcess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19</v>
      </c>
      <c r="K96" s="5" cm="1">
        <f t="array" ref="K96">IFERROR(AVERAGE(IF((OutputTable[GroupByKey]=OutputTable[[#This Row],[GroupByKey]]),(OutputTable[GroupByKey]=OutputTable[[#This Row],[GroupByKey]])*OutputTable[RecordedValue])),0)</f>
        <v>121.89473684210526</v>
      </c>
      <c r="L96" s="5" cm="1">
        <f t="array" ref="L96">IFERROR(_xlfn.STDEV.S(IF((OutputTable[GroupByKey]=OutputTable[[#This Row],[GroupByKey]]),(OutputTable[GroupByKey]=OutputTable[[#This Row],[GroupByKey]])*OutputTable[RecordedValue])),0)</f>
        <v>9.971597090637573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96" s="5" cm="1">
        <f t="array" ref="O96">MIN(IF((OutputTable[GroupByKey]=OutputTable[[#This Row],[GroupByKey]]),(OutputTable[GroupByKey]=OutputTable[[#This Row],[GroupByKey]])*OutputTable[RecordedValue]))</f>
        <v>109</v>
      </c>
      <c r="P96" s="5" cm="1">
        <f t="array" ref="P96">MAX(IF((OutputTable[GroupByKey]=OutputTable[[#This Row],[GroupByKey]]),(OutputTable[GroupByKey]=OutputTable[[#This Row],[GroupByKey]])*OutputTable[RecordedValue]))</f>
        <v>143</v>
      </c>
    </row>
    <row r="97" spans="1:16" x14ac:dyDescent="0.25">
      <c r="A97" t="s">
        <v>67</v>
      </c>
      <c r="B97" t="s">
        <v>69</v>
      </c>
      <c r="C97">
        <v>5</v>
      </c>
      <c r="D97" t="s">
        <v>159</v>
      </c>
      <c r="E97" t="s">
        <v>147</v>
      </c>
      <c r="F97" t="s">
        <v>86</v>
      </c>
      <c r="G97">
        <v>131</v>
      </c>
      <c r="H97">
        <v>0</v>
      </c>
      <c r="I97" s="5" t="str">
        <f>OutputTable[[#This Row],[ProjectName]]&amp;OutputTable[[#This Row],[Name]]&amp;OutputTable[[#This Row],[Type]]&amp;OutputTable[[#This Row],[Source]]</f>
        <v>Friday (Solucion: datafono, gofre, cocina y caja compartida)Preparacion Number OutNumber OutProcess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19</v>
      </c>
      <c r="K97" s="5" cm="1">
        <f t="array" ref="K97">IFERROR(AVERAGE(IF((OutputTable[GroupByKey]=OutputTable[[#This Row],[GroupByKey]]),(OutputTable[GroupByKey]=OutputTable[[#This Row],[GroupByKey]])*OutputTable[RecordedValue])),0)</f>
        <v>122.31578947368421</v>
      </c>
      <c r="L97" s="5" cm="1">
        <f t="array" ref="L97">IFERROR(_xlfn.STDEV.S(IF((OutputTable[GroupByKey]=OutputTable[[#This Row],[GroupByKey]]),(OutputTable[GroupByKey]=OutputTable[[#This Row],[GroupByKey]])*OutputTable[RecordedValue])),0)</f>
        <v>10.127260414780096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4.8811832731752718</v>
      </c>
      <c r="O97" s="5" cm="1">
        <f t="array" ref="O97">MIN(IF((OutputTable[GroupByKey]=OutputTable[[#This Row],[GroupByKey]]),(OutputTable[GroupByKey]=OutputTable[[#This Row],[GroupByKey]])*OutputTable[RecordedValue]))</f>
        <v>111</v>
      </c>
      <c r="P97" s="5" cm="1">
        <f t="array" ref="P97">MAX(IF((OutputTable[GroupByKey]=OutputTable[[#This Row],[GroupByKey]]),(OutputTable[GroupByKey]=OutputTable[[#This Row],[GroupByKey]])*OutputTable[RecordedValue]))</f>
        <v>150</v>
      </c>
    </row>
    <row r="98" spans="1:16" x14ac:dyDescent="0.25">
      <c r="A98" t="s">
        <v>67</v>
      </c>
      <c r="B98" t="s">
        <v>69</v>
      </c>
      <c r="C98">
        <v>5</v>
      </c>
      <c r="D98" t="s">
        <v>160</v>
      </c>
      <c r="E98" t="s">
        <v>147</v>
      </c>
      <c r="F98" t="s">
        <v>161</v>
      </c>
      <c r="G98">
        <v>132</v>
      </c>
      <c r="H98">
        <v>0</v>
      </c>
      <c r="I98" s="5" t="str">
        <f>OutputTable[[#This Row],[ProjectName]]&amp;OutputTable[[#This Row],[Name]]&amp;OutputTable[[#This Row],[Type]]&amp;OutputTable[[#This Row],[Source]]</f>
        <v>Friday (Solucion: datafono, gofre, cocina y caja compartida)System.NumberOutNumber OutSystem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19</v>
      </c>
      <c r="K98" s="5" cm="1">
        <f t="array" ref="K98">IFERROR(AVERAGE(IF((OutputTable[GroupByKey]=OutputTable[[#This Row],[GroupByKey]]),(OutputTable[GroupByKey]=OutputTable[[#This Row],[GroupByKey]])*OutputTable[RecordedValue])),0)</f>
        <v>125.36842105263158</v>
      </c>
      <c r="L98" s="5" cm="1">
        <f t="array" ref="L98">IFERROR(_xlfn.STDEV.S(IF((OutputTable[GroupByKey]=OutputTable[[#This Row],[GroupByKey]]),(OutputTable[GroupByKey]=OutputTable[[#This Row],[GroupByKey]])*OutputTable[RecordedValue])),0)</f>
        <v>10.160984894934533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98" s="5" cm="1">
        <f t="array" ref="O98">MIN(IF((OutputTable[GroupByKey]=OutputTable[[#This Row],[GroupByKey]]),(OutputTable[GroupByKey]=OutputTable[[#This Row],[GroupByKey]])*OutputTable[RecordedValue]))</f>
        <v>112</v>
      </c>
      <c r="P98" s="5" cm="1">
        <f t="array" ref="P98">MAX(IF((OutputTable[GroupByKey]=OutputTable[[#This Row],[GroupByKey]]),(OutputTable[GroupByKey]=OutputTable[[#This Row],[GroupByKey]])*OutputTable[RecordedValue]))</f>
        <v>153</v>
      </c>
    </row>
    <row r="99" spans="1:16" x14ac:dyDescent="0.25">
      <c r="A99" t="s">
        <v>67</v>
      </c>
      <c r="B99" t="s">
        <v>69</v>
      </c>
      <c r="C99">
        <v>5</v>
      </c>
      <c r="D99" t="s">
        <v>162</v>
      </c>
      <c r="E99" t="s">
        <v>163</v>
      </c>
      <c r="F99" t="s">
        <v>136</v>
      </c>
      <c r="G99">
        <v>147</v>
      </c>
      <c r="H99">
        <v>0</v>
      </c>
      <c r="I99" s="5" t="str">
        <f>OutputTable[[#This Row],[ProjectName]]&amp;OutputTable[[#This Row],[Name]]&amp;OutputTable[[#This Row],[Type]]&amp;OutputTable[[#This Row],[Source]]</f>
        <v>Friday (Solucion: datafono, gofre, cocina y caja compartida)rCajero.NumberSeizedTotal Number SeizedResource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19</v>
      </c>
      <c r="K99" s="5" cm="1">
        <f t="array" ref="K99">IFERROR(AVERAGE(IF((OutputTable[GroupByKey]=OutputTable[[#This Row],[GroupByKey]]),(OutputTable[GroupByKey]=OutputTable[[#This Row],[GroupByKey]])*OutputTable[RecordedValue])),0)</f>
        <v>131.63157894736841</v>
      </c>
      <c r="L99" s="5" cm="1">
        <f t="array" ref="L99">IFERROR(_xlfn.STDEV.S(IF((OutputTable[GroupByKey]=OutputTable[[#This Row],[GroupByKey]]),(OutputTable[GroupByKey]=OutputTable[[#This Row],[GroupByKey]])*OutputTable[RecordedValue])),0)</f>
        <v>13.988926280438102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6.7424466413544986</v>
      </c>
      <c r="O99" s="5" cm="1">
        <f t="array" ref="O99">MIN(IF((OutputTable[GroupByKey]=OutputTable[[#This Row],[GroupByKey]]),(OutputTable[GroupByKey]=OutputTable[[#This Row],[GroupByKey]])*OutputTable[RecordedValue]))</f>
        <v>113</v>
      </c>
      <c r="P99" s="5" cm="1">
        <f t="array" ref="P99">MAX(IF((OutputTable[GroupByKey]=OutputTable[[#This Row],[GroupByKey]]),(OutputTable[GroupByKey]=OutputTable[[#This Row],[GroupByKey]])*OutputTable[RecordedValue]))</f>
        <v>157</v>
      </c>
    </row>
    <row r="100" spans="1:16" x14ac:dyDescent="0.25">
      <c r="A100" t="s">
        <v>67</v>
      </c>
      <c r="B100" t="s">
        <v>69</v>
      </c>
      <c r="C100">
        <v>5</v>
      </c>
      <c r="D100" t="s">
        <v>164</v>
      </c>
      <c r="E100" t="s">
        <v>165</v>
      </c>
      <c r="F100" t="s">
        <v>136</v>
      </c>
      <c r="G100">
        <v>0.59861794843566096</v>
      </c>
      <c r="H100">
        <v>0</v>
      </c>
      <c r="I100" s="5" t="str">
        <f>OutputTable[[#This Row],[ProjectName]]&amp;OutputTable[[#This Row],[Name]]&amp;OutputTable[[#This Row],[Type]]&amp;OutputTable[[#This Row],[Source]]</f>
        <v>Friday (Solucion: datafono, gofre, cocina y caja compartida)rCajero.ScheduledUtilizationScheduled UtilizationResource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19</v>
      </c>
      <c r="K100" s="5" cm="1">
        <f t="array" ref="K100">IFERROR(AVERAGE(IF((OutputTable[GroupByKey]=OutputTable[[#This Row],[GroupByKey]]),(OutputTable[GroupByKey]=OutputTable[[#This Row],[GroupByKey]])*OutputTable[RecordedValue])),0)</f>
        <v>0.68474836505339687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6.2272947935973065E-2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3.0014600137344902E-2</v>
      </c>
      <c r="O100" s="5" cm="1">
        <f t="array" ref="O100">MIN(IF((OutputTable[GroupByKey]=OutputTable[[#This Row],[GroupByKey]]),(OutputTable[GroupByKey]=OutputTable[[#This Row],[GroupByKey]])*OutputTable[RecordedValue]))</f>
        <v>0.59592290927233305</v>
      </c>
      <c r="P100" s="5" cm="1">
        <f t="array" ref="P100">MAX(IF((OutputTable[GroupByKey]=OutputTable[[#This Row],[GroupByKey]]),(OutputTable[GroupByKey]=OutputTable[[#This Row],[GroupByKey]])*OutputTable[RecordedValue]))</f>
        <v>0.82897119936997599</v>
      </c>
    </row>
    <row r="101" spans="1:16" x14ac:dyDescent="0.25">
      <c r="A101" t="s">
        <v>67</v>
      </c>
      <c r="B101" t="s">
        <v>69</v>
      </c>
      <c r="C101">
        <v>5</v>
      </c>
      <c r="D101" t="s">
        <v>166</v>
      </c>
      <c r="E101" t="s">
        <v>163</v>
      </c>
      <c r="F101" t="s">
        <v>136</v>
      </c>
      <c r="G101">
        <v>115</v>
      </c>
      <c r="H101">
        <v>0</v>
      </c>
      <c r="I101" s="5" t="str">
        <f>OutputTable[[#This Row],[ProjectName]]&amp;OutputTable[[#This Row],[Name]]&amp;OutputTable[[#This Row],[Type]]&amp;OutputTable[[#This Row],[Source]]</f>
        <v>Friday (Solucion: datafono, gofre, cocina y caja compartida)rCocina.NumberSeizedTotal Number SeizedResource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19</v>
      </c>
      <c r="K101" s="5" cm="1">
        <f t="array" ref="K101">IFERROR(AVERAGE(IF((OutputTable[GroupByKey]=OutputTable[[#This Row],[GroupByKey]]),(OutputTable[GroupByKey]=OutputTable[[#This Row],[GroupByKey]])*OutputTable[RecordedValue])),0)</f>
        <v>112.73684210526316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9.1155673027772668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4.3935628019284003</v>
      </c>
      <c r="O101" s="5" cm="1">
        <f t="array" ref="O101">MIN(IF((OutputTable[GroupByKey]=OutputTable[[#This Row],[GroupByKey]]),(OutputTable[GroupByKey]=OutputTable[[#This Row],[GroupByKey]])*OutputTable[RecordedValue]))</f>
        <v>102</v>
      </c>
      <c r="P101" s="5" cm="1">
        <f t="array" ref="P101">MAX(IF((OutputTable[GroupByKey]=OutputTable[[#This Row],[GroupByKey]]),(OutputTable[GroupByKey]=OutputTable[[#This Row],[GroupByKey]])*OutputTable[RecordedValue]))</f>
        <v>135</v>
      </c>
    </row>
    <row r="102" spans="1:16" x14ac:dyDescent="0.25">
      <c r="A102" t="s">
        <v>67</v>
      </c>
      <c r="B102" t="s">
        <v>69</v>
      </c>
      <c r="C102">
        <v>5</v>
      </c>
      <c r="D102" t="s">
        <v>167</v>
      </c>
      <c r="E102" t="s">
        <v>165</v>
      </c>
      <c r="F102" t="s">
        <v>136</v>
      </c>
      <c r="G102">
        <v>0.66997210543508001</v>
      </c>
      <c r="H102">
        <v>0</v>
      </c>
      <c r="I102" s="5" t="str">
        <f>OutputTable[[#This Row],[ProjectName]]&amp;OutputTable[[#This Row],[Name]]&amp;OutputTable[[#This Row],[Type]]&amp;OutputTable[[#This Row],[Source]]</f>
        <v>Friday (Solucion: datafono, gofre, cocina y caja compartida)rCocina.ScheduledUtilizationScheduled UtilizationResource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19</v>
      </c>
      <c r="K102" s="5" cm="1">
        <f t="array" ref="K102">IFERROR(AVERAGE(IF((OutputTable[GroupByKey]=OutputTable[[#This Row],[GroupByKey]]),(OutputTable[GroupByKey]=OutputTable[[#This Row],[GroupByKey]])*OutputTable[RecordedValue])),0)</f>
        <v>0.71670342302257706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7.0907274842727658E-2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3.4176212493127585E-2</v>
      </c>
      <c r="O102" s="5" cm="1">
        <f t="array" ref="O102">MIN(IF((OutputTable[GroupByKey]=OutputTable[[#This Row],[GroupByKey]]),(OutputTable[GroupByKey]=OutputTable[[#This Row],[GroupByKey]])*OutputTable[RecordedValue]))</f>
        <v>0.60463940272025996</v>
      </c>
      <c r="P102" s="5" cm="1">
        <f t="array" ref="P102">MAX(IF((OutputTable[GroupByKey]=OutputTable[[#This Row],[GroupByKey]]),(OutputTable[GroupByKey]=OutputTable[[#This Row],[GroupByKey]])*OutputTable[RecordedValue]))</f>
        <v>0.86361037821575004</v>
      </c>
    </row>
    <row r="103" spans="1:16" x14ac:dyDescent="0.25">
      <c r="A103" t="s">
        <v>67</v>
      </c>
      <c r="B103" t="s">
        <v>69</v>
      </c>
      <c r="C103">
        <v>5</v>
      </c>
      <c r="D103" t="s">
        <v>168</v>
      </c>
      <c r="E103" t="s">
        <v>163</v>
      </c>
      <c r="F103" t="s">
        <v>136</v>
      </c>
      <c r="G103">
        <v>17</v>
      </c>
      <c r="H103">
        <v>0</v>
      </c>
      <c r="I103" s="5" t="str">
        <f>OutputTable[[#This Row],[ProjectName]]&amp;OutputTable[[#This Row],[Name]]&amp;OutputTable[[#This Row],[Type]]&amp;OutputTable[[#This Row],[Source]]</f>
        <v>Friday (Solucion: datafono, gofre, cocina y caja compartida)rMesa.NumberSeizedTotal Number SeizedResource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19</v>
      </c>
      <c r="K103" s="5" cm="1">
        <f t="array" ref="K103">IFERROR(AVERAGE(IF((OutputTable[GroupByKey]=OutputTable[[#This Row],[GroupByKey]]),(OutputTable[GroupByKey]=OutputTable[[#This Row],[GroupByKey]])*OutputTable[RecordedValue])),0)</f>
        <v>16.157894736842106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3.8044295512634076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103" s="5" cm="1">
        <f t="array" ref="O103">MIN(IF((OutputTable[GroupByKey]=OutputTable[[#This Row],[GroupByKey]]),(OutputTable[GroupByKey]=OutputTable[[#This Row],[GroupByKey]])*OutputTable[RecordedValue]))</f>
        <v>9</v>
      </c>
      <c r="P103" s="5" cm="1">
        <f t="array" ref="P103">MAX(IF((OutputTable[GroupByKey]=OutputTable[[#This Row],[GroupByKey]]),(OutputTable[GroupByKey]=OutputTable[[#This Row],[GroupByKey]])*OutputTable[RecordedValue]))</f>
        <v>24</v>
      </c>
    </row>
    <row r="104" spans="1:16" x14ac:dyDescent="0.25">
      <c r="A104" t="s">
        <v>67</v>
      </c>
      <c r="B104" t="s">
        <v>69</v>
      </c>
      <c r="C104">
        <v>5</v>
      </c>
      <c r="D104" t="s">
        <v>169</v>
      </c>
      <c r="E104" t="s">
        <v>165</v>
      </c>
      <c r="F104" t="s">
        <v>136</v>
      </c>
      <c r="G104">
        <v>0.33058218989107502</v>
      </c>
      <c r="H104">
        <v>0</v>
      </c>
      <c r="I104" s="5" t="str">
        <f>OutputTable[[#This Row],[ProjectName]]&amp;OutputTable[[#This Row],[Name]]&amp;OutputTable[[#This Row],[Type]]&amp;OutputTable[[#This Row],[Source]]</f>
        <v>Friday (Solucion: datafono, gofre, cocina y caja compartida)rMesa.ScheduledUtilizationScheduled UtilizationResource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19</v>
      </c>
      <c r="K104" s="5" cm="1">
        <f t="array" ref="K104">IFERROR(AVERAGE(IF((OutputTable[GroupByKey]=OutputTable[[#This Row],[GroupByKey]]),(OutputTable[GroupByKey]=OutputTable[[#This Row],[GroupByKey]])*OutputTable[RecordedValue])),0)</f>
        <v>0.30850610959128744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6.2586127702931107E-2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3.0165547953176861E-2</v>
      </c>
      <c r="O104" s="5" cm="1">
        <f t="array" ref="O104">MIN(IF((OutputTable[GroupByKey]=OutputTable[[#This Row],[GroupByKey]]),(OutputTable[GroupByKey]=OutputTable[[#This Row],[GroupByKey]])*OutputTable[RecordedValue]))</f>
        <v>0.156206445320244</v>
      </c>
      <c r="P104" s="5" cm="1">
        <f t="array" ref="P104">MAX(IF((OutputTable[GroupByKey]=OutputTable[[#This Row],[GroupByKey]]),(OutputTable[GroupByKey]=OutputTable[[#This Row],[GroupByKey]])*OutputTable[RecordedValue]))</f>
        <v>0.44942505379986802</v>
      </c>
    </row>
    <row r="105" spans="1:16" x14ac:dyDescent="0.25">
      <c r="A105" t="s">
        <v>67</v>
      </c>
      <c r="B105" t="s">
        <v>69</v>
      </c>
      <c r="C105">
        <v>5</v>
      </c>
      <c r="D105" t="s">
        <v>170</v>
      </c>
      <c r="E105" t="s">
        <v>145</v>
      </c>
      <c r="F105" t="s">
        <v>72</v>
      </c>
      <c r="G105">
        <v>3</v>
      </c>
      <c r="H105">
        <v>0</v>
      </c>
      <c r="I105" s="5" t="str">
        <f>OutputTable[[#This Row],[ProjectName]]&amp;OutputTable[[#This Row],[Name]]&amp;OutputTable[[#This Row],[Type]]&amp;OutputTable[[#This Row],[Source]]</f>
        <v>Friday (Solucion: datafono, gofre, cocina y caja compartida)reloj.NumberInNumber InEntity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19</v>
      </c>
      <c r="K105" s="5" cm="1">
        <f t="array" ref="K105">IFERROR(AVERAGE(IF((OutputTable[GroupByKey]=OutputTable[[#This Row],[GroupByKey]]),(OutputTable[GroupByKey]=OutputTable[[#This Row],[GroupByKey]])*OutputTable[RecordedValue])),0)</f>
        <v>3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0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5" s="5" cm="1">
        <f t="array" ref="O105">MIN(IF((OutputTable[GroupByKey]=OutputTable[[#This Row],[GroupByKey]]),(OutputTable[GroupByKey]=OutputTable[[#This Row],[GroupByKey]])*OutputTable[RecordedValue]))</f>
        <v>3</v>
      </c>
      <c r="P105" s="5" cm="1">
        <f t="array" ref="P105">MAX(IF((OutputTable[GroupByKey]=OutputTable[[#This Row],[GroupByKey]]),(OutputTable[GroupByKey]=OutputTable[[#This Row],[GroupByKey]])*OutputTable[RecordedValue]))</f>
        <v>3</v>
      </c>
    </row>
    <row r="106" spans="1:16" x14ac:dyDescent="0.25">
      <c r="A106" t="s">
        <v>67</v>
      </c>
      <c r="B106" t="s">
        <v>69</v>
      </c>
      <c r="C106">
        <v>5</v>
      </c>
      <c r="D106" t="s">
        <v>171</v>
      </c>
      <c r="E106" t="s">
        <v>147</v>
      </c>
      <c r="F106" t="s">
        <v>72</v>
      </c>
      <c r="G106">
        <v>3</v>
      </c>
      <c r="H106">
        <v>0</v>
      </c>
      <c r="I106" s="5" t="str">
        <f>OutputTable[[#This Row],[ProjectName]]&amp;OutputTable[[#This Row],[Name]]&amp;OutputTable[[#This Row],[Type]]&amp;OutputTable[[#This Row],[Source]]</f>
        <v>Friday (Solucion: datafono, gofre, cocina y caja compartida)reloj.NumberOutNumber OutEntity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19</v>
      </c>
      <c r="K106" s="5" cm="1">
        <f t="array" ref="K106">IFERROR(AVERAGE(IF((OutputTable[GroupByKey]=OutputTable[[#This Row],[GroupByKey]]),(OutputTable[GroupByKey]=OutputTable[[#This Row],[GroupByKey]])*OutputTable[RecordedValue])),0)</f>
        <v>3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0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" s="5" cm="1">
        <f t="array" ref="O106">MIN(IF((OutputTable[GroupByKey]=OutputTable[[#This Row],[GroupByKey]]),(OutputTable[GroupByKey]=OutputTable[[#This Row],[GroupByKey]])*OutputTable[RecordedValue]))</f>
        <v>3</v>
      </c>
      <c r="P106" s="5" cm="1">
        <f t="array" ref="P106">MAX(IF((OutputTable[GroupByKey]=OutputTable[[#This Row],[GroupByKey]]),(OutputTable[GroupByKey]=OutputTable[[#This Row],[GroupByKey]])*OutputTable[RecordedValue]))</f>
        <v>3</v>
      </c>
    </row>
    <row r="107" spans="1:16" x14ac:dyDescent="0.25">
      <c r="A107" t="s">
        <v>67</v>
      </c>
      <c r="B107" t="s">
        <v>69</v>
      </c>
      <c r="C107">
        <v>6</v>
      </c>
      <c r="D107" t="s">
        <v>144</v>
      </c>
      <c r="E107" t="s">
        <v>145</v>
      </c>
      <c r="F107" t="s">
        <v>72</v>
      </c>
      <c r="G107">
        <v>352</v>
      </c>
      <c r="H107">
        <v>0</v>
      </c>
      <c r="I107" s="5" t="str">
        <f>OutputTable[[#This Row],[ProjectName]]&amp;OutputTable[[#This Row],[Name]]&amp;OutputTable[[#This Row],[Type]]&amp;OutputTable[[#This Row],[Source]]</f>
        <v>Friday (Solucion: datafono, gofre, cocina y caja compartida)Cliente.NumberInNumber InEntity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19</v>
      </c>
      <c r="K107" s="5" cm="1">
        <f t="array" ref="K107">IFERROR(AVERAGE(IF((OutputTable[GroupByKey]=OutputTable[[#This Row],[GroupByKey]]),(OutputTable[GroupByKey]=OutputTable[[#This Row],[GroupByKey]])*OutputTable[RecordedValue])),0)</f>
        <v>366.21052631578948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28.665850661580702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13.816497752584581</v>
      </c>
      <c r="O107" s="5" cm="1">
        <f t="array" ref="O107">MIN(IF((OutputTable[GroupByKey]=OutputTable[[#This Row],[GroupByKey]]),(OutputTable[GroupByKey]=OutputTable[[#This Row],[GroupByKey]])*OutputTable[RecordedValue]))</f>
        <v>331</v>
      </c>
      <c r="P107" s="5" cm="1">
        <f t="array" ref="P107">MAX(IF((OutputTable[GroupByKey]=OutputTable[[#This Row],[GroupByKey]]),(OutputTable[GroupByKey]=OutputTable[[#This Row],[GroupByKey]])*OutputTable[RecordedValue]))</f>
        <v>427</v>
      </c>
    </row>
    <row r="108" spans="1:16" x14ac:dyDescent="0.25">
      <c r="A108" t="s">
        <v>67</v>
      </c>
      <c r="B108" t="s">
        <v>69</v>
      </c>
      <c r="C108">
        <v>6</v>
      </c>
      <c r="D108" t="s">
        <v>146</v>
      </c>
      <c r="E108" t="s">
        <v>147</v>
      </c>
      <c r="F108" t="s">
        <v>72</v>
      </c>
      <c r="G108">
        <v>352</v>
      </c>
      <c r="H108">
        <v>0</v>
      </c>
      <c r="I108" s="5" t="str">
        <f>OutputTable[[#This Row],[ProjectName]]&amp;OutputTable[[#This Row],[Name]]&amp;OutputTable[[#This Row],[Type]]&amp;OutputTable[[#This Row],[Source]]</f>
        <v>Friday (Solucion: datafono, gofre, cocina y caja compartida)Cliente.NumberOutNumber OutEntity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19</v>
      </c>
      <c r="K108" s="5" cm="1">
        <f t="array" ref="K108">IFERROR(AVERAGE(IF((OutputTable[GroupByKey]=OutputTable[[#This Row],[GroupByKey]]),(OutputTable[GroupByKey]=OutputTable[[#This Row],[GroupByKey]])*OutputTable[RecordedValue])),0)</f>
        <v>366.63157894736844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29.957767544617038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14.439181758083874</v>
      </c>
      <c r="O108" s="5" cm="1">
        <f t="array" ref="O108">MIN(IF((OutputTable[GroupByKey]=OutputTable[[#This Row],[GroupByKey]]),(OutputTable[GroupByKey]=OutputTable[[#This Row],[GroupByKey]])*OutputTable[RecordedValue]))</f>
        <v>329</v>
      </c>
      <c r="P108" s="5" cm="1">
        <f t="array" ref="P108">MAX(IF((OutputTable[GroupByKey]=OutputTable[[#This Row],[GroupByKey]]),(OutputTable[GroupByKey]=OutputTable[[#This Row],[GroupByKey]])*OutputTable[RecordedValue]))</f>
        <v>443</v>
      </c>
    </row>
    <row r="109" spans="1:16" x14ac:dyDescent="0.25">
      <c r="A109" t="s">
        <v>67</v>
      </c>
      <c r="B109" t="s">
        <v>69</v>
      </c>
      <c r="C109">
        <v>6</v>
      </c>
      <c r="D109" t="s">
        <v>148</v>
      </c>
      <c r="E109" t="s">
        <v>149</v>
      </c>
      <c r="F109" t="s">
        <v>86</v>
      </c>
      <c r="G109">
        <v>271.26666091773001</v>
      </c>
      <c r="H109">
        <v>0</v>
      </c>
      <c r="I109" s="5" t="str">
        <f>OutputTable[[#This Row],[ProjectName]]&amp;OutputTable[[#This Row],[Name]]&amp;OutputTable[[#This Row],[Type]]&amp;OutputTable[[#This Row],[Source]]</f>
        <v>Friday (Solucion: datafono, gofre, cocina y caja compartida)Comer en Mesa Accum VA TimeAccum VA TimeProcess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19</v>
      </c>
      <c r="K109" s="5" cm="1">
        <f t="array" ref="K109">IFERROR(AVERAGE(IF((OutputTable[GroupByKey]=OutputTable[[#This Row],[GroupByKey]]),(OutputTable[GroupByKey]=OutputTable[[#This Row],[GroupByKey]])*OutputTable[RecordedValue])),0)</f>
        <v>283.12549562397913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55.763238037894645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26.877020400444863</v>
      </c>
      <c r="O109" s="5" cm="1">
        <f t="array" ref="O109">MIN(IF((OutputTable[GroupByKey]=OutputTable[[#This Row],[GroupByKey]]),(OutputTable[GroupByKey]=OutputTable[[#This Row],[GroupByKey]])*OutputTable[RecordedValue]))</f>
        <v>157.05073652574001</v>
      </c>
      <c r="P109" s="5" cm="1">
        <f t="array" ref="P109">MAX(IF((OutputTable[GroupByKey]=OutputTable[[#This Row],[GroupByKey]]),(OutputTable[GroupByKey]=OutputTable[[#This Row],[GroupByKey]])*OutputTable[RecordedValue]))</f>
        <v>402.97015039838902</v>
      </c>
    </row>
    <row r="110" spans="1:16" x14ac:dyDescent="0.25">
      <c r="A110" t="s">
        <v>67</v>
      </c>
      <c r="B110" t="s">
        <v>69</v>
      </c>
      <c r="C110">
        <v>6</v>
      </c>
      <c r="D110" t="s">
        <v>150</v>
      </c>
      <c r="E110" t="s">
        <v>151</v>
      </c>
      <c r="F110" t="s">
        <v>86</v>
      </c>
      <c r="G110">
        <v>0</v>
      </c>
      <c r="H110">
        <v>0</v>
      </c>
      <c r="I110" s="5" t="str">
        <f>OutputTable[[#This Row],[ProjectName]]&amp;OutputTable[[#This Row],[Name]]&amp;OutputTable[[#This Row],[Type]]&amp;OutputTable[[#This Row],[Source]]</f>
        <v>Friday (Solucion: datafono, gofre, cocina y caja compartida)Comer en Mesa Accum Wait TimeAccum Wait TimeProcess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19</v>
      </c>
      <c r="K110" s="5" cm="1">
        <f t="array" ref="K110">IFERROR(AVERAGE(IF((OutputTable[GroupByKey]=OutputTable[[#This Row],[GroupByKey]]),(OutputTable[GroupByKey]=OutputTable[[#This Row],[GroupByKey]])*OutputTable[RecordedValue])),0)</f>
        <v>0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0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" s="5" cm="1">
        <f t="array" ref="O110">MIN(IF((OutputTable[GroupByKey]=OutputTable[[#This Row],[GroupByKey]]),(OutputTable[GroupByKey]=OutputTable[[#This Row],[GroupByKey]])*OutputTable[RecordedValue]))</f>
        <v>0</v>
      </c>
      <c r="P110" s="5" cm="1">
        <f t="array" ref="P110">MAX(IF((OutputTable[GroupByKey]=OutputTable[[#This Row],[GroupByKey]]),(OutputTable[GroupByKey]=OutputTable[[#This Row],[GroupByKey]])*OutputTable[RecordedValue]))</f>
        <v>0</v>
      </c>
    </row>
    <row r="111" spans="1:16" x14ac:dyDescent="0.25">
      <c r="A111" t="s">
        <v>67</v>
      </c>
      <c r="B111" t="s">
        <v>69</v>
      </c>
      <c r="C111">
        <v>6</v>
      </c>
      <c r="D111" t="s">
        <v>152</v>
      </c>
      <c r="E111" t="s">
        <v>145</v>
      </c>
      <c r="F111" t="s">
        <v>86</v>
      </c>
      <c r="G111">
        <v>15</v>
      </c>
      <c r="H111">
        <v>0</v>
      </c>
      <c r="I111" s="5" t="str">
        <f>OutputTable[[#This Row],[ProjectName]]&amp;OutputTable[[#This Row],[Name]]&amp;OutputTable[[#This Row],[Type]]&amp;OutputTable[[#This Row],[Source]]</f>
        <v>Friday (Solucion: datafono, gofre, cocina y caja compartida)Comer en Mesa Number InNumber InProcess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19</v>
      </c>
      <c r="K111" s="5" cm="1">
        <f t="array" ref="K111">IFERROR(AVERAGE(IF((OutputTable[GroupByKey]=OutputTable[[#This Row],[GroupByKey]]),(OutputTable[GroupByKey]=OutputTable[[#This Row],[GroupByKey]])*OutputTable[RecordedValue])),0)</f>
        <v>16.157894736842106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3.8044295512634076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111" s="5" cm="1">
        <f t="array" ref="O111">MIN(IF((OutputTable[GroupByKey]=OutputTable[[#This Row],[GroupByKey]]),(OutputTable[GroupByKey]=OutputTable[[#This Row],[GroupByKey]])*OutputTable[RecordedValue]))</f>
        <v>9</v>
      </c>
      <c r="P111" s="5" cm="1">
        <f t="array" ref="P111">MAX(IF((OutputTable[GroupByKey]=OutputTable[[#This Row],[GroupByKey]]),(OutputTable[GroupByKey]=OutputTable[[#This Row],[GroupByKey]])*OutputTable[RecordedValue]))</f>
        <v>24</v>
      </c>
    </row>
    <row r="112" spans="1:16" x14ac:dyDescent="0.25">
      <c r="A112" t="s">
        <v>67</v>
      </c>
      <c r="B112" t="s">
        <v>69</v>
      </c>
      <c r="C112">
        <v>6</v>
      </c>
      <c r="D112" t="s">
        <v>153</v>
      </c>
      <c r="E112" t="s">
        <v>147</v>
      </c>
      <c r="F112" t="s">
        <v>86</v>
      </c>
      <c r="G112">
        <v>17</v>
      </c>
      <c r="H112">
        <v>0</v>
      </c>
      <c r="I112" s="5" t="str">
        <f>OutputTable[[#This Row],[ProjectName]]&amp;OutputTable[[#This Row],[Name]]&amp;OutputTable[[#This Row],[Type]]&amp;OutputTable[[#This Row],[Source]]</f>
        <v>Friday (Solucion: datafono, gofre, cocina y caja compartida)Comer en Mesa Number OutNumber OutProcess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19</v>
      </c>
      <c r="K112" s="5" cm="1">
        <f t="array" ref="K112">IFERROR(AVERAGE(IF((OutputTable[GroupByKey]=OutputTable[[#This Row],[GroupByKey]]),(OutputTable[GroupByKey]=OutputTable[[#This Row],[GroupByKey]])*OutputTable[RecordedValue])),0)</f>
        <v>16.263157894736842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3.3803698887540881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1.6292861329062698</v>
      </c>
      <c r="O112" s="5" cm="1">
        <f t="array" ref="O112">MIN(IF((OutputTable[GroupByKey]=OutputTable[[#This Row],[GroupByKey]]),(OutputTable[GroupByKey]=OutputTable[[#This Row],[GroupByKey]])*OutputTable[RecordedValue]))</f>
        <v>8</v>
      </c>
      <c r="P112" s="5" cm="1">
        <f t="array" ref="P112">MAX(IF((OutputTable[GroupByKey]=OutputTable[[#This Row],[GroupByKey]]),(OutputTable[GroupByKey]=OutputTable[[#This Row],[GroupByKey]])*OutputTable[RecordedValue]))</f>
        <v>22</v>
      </c>
    </row>
    <row r="113" spans="1:16" x14ac:dyDescent="0.25">
      <c r="A113" t="s">
        <v>67</v>
      </c>
      <c r="B113" t="s">
        <v>69</v>
      </c>
      <c r="C113">
        <v>6</v>
      </c>
      <c r="D113" t="s">
        <v>154</v>
      </c>
      <c r="E113" t="s">
        <v>145</v>
      </c>
      <c r="F113" t="s">
        <v>72</v>
      </c>
      <c r="G113">
        <v>118</v>
      </c>
      <c r="H113">
        <v>0</v>
      </c>
      <c r="I113" s="5" t="str">
        <f>OutputTable[[#This Row],[ProjectName]]&amp;OutputTable[[#This Row],[Name]]&amp;OutputTable[[#This Row],[Type]]&amp;OutputTable[[#This Row],[Source]]</f>
        <v>Friday (Solucion: datafono, gofre, cocina y caja compartida)Orden.NumberInNumber InEntity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19</v>
      </c>
      <c r="K113" s="5" cm="1">
        <f t="array" ref="K113">IFERROR(AVERAGE(IF((OutputTable[GroupByKey]=OutputTable[[#This Row],[GroupByKey]]),(OutputTable[GroupByKey]=OutputTable[[#This Row],[GroupByKey]])*OutputTable[RecordedValue])),0)</f>
        <v>121.89473684210526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9.971597090637573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113" s="5" cm="1">
        <f t="array" ref="O113">MIN(IF((OutputTable[GroupByKey]=OutputTable[[#This Row],[GroupByKey]]),(OutputTable[GroupByKey]=OutputTable[[#This Row],[GroupByKey]])*OutputTable[RecordedValue]))</f>
        <v>109</v>
      </c>
      <c r="P113" s="5" cm="1">
        <f t="array" ref="P113">MAX(IF((OutputTable[GroupByKey]=OutputTable[[#This Row],[GroupByKey]]),(OutputTable[GroupByKey]=OutputTable[[#This Row],[GroupByKey]])*OutputTable[RecordedValue]))</f>
        <v>143</v>
      </c>
    </row>
    <row r="114" spans="1:16" x14ac:dyDescent="0.25">
      <c r="A114" t="s">
        <v>67</v>
      </c>
      <c r="B114" t="s">
        <v>69</v>
      </c>
      <c r="C114">
        <v>6</v>
      </c>
      <c r="D114" t="s">
        <v>155</v>
      </c>
      <c r="E114" t="s">
        <v>147</v>
      </c>
      <c r="F114" t="s">
        <v>72</v>
      </c>
      <c r="G114">
        <v>117</v>
      </c>
      <c r="H114">
        <v>0</v>
      </c>
      <c r="I114" s="5" t="str">
        <f>OutputTable[[#This Row],[ProjectName]]&amp;OutputTable[[#This Row],[Name]]&amp;OutputTable[[#This Row],[Type]]&amp;OutputTable[[#This Row],[Source]]</f>
        <v>Friday (Solucion: datafono, gofre, cocina y caja compartida)Orden.NumberOutNumber OutEntity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19</v>
      </c>
      <c r="K114" s="5" cm="1">
        <f t="array" ref="K114">IFERROR(AVERAGE(IF((OutputTable[GroupByKey]=OutputTable[[#This Row],[GroupByKey]]),(OutputTable[GroupByKey]=OutputTable[[#This Row],[GroupByKey]])*OutputTable[RecordedValue])),0)</f>
        <v>122.36842105263158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10.160984894934533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114" s="5" cm="1">
        <f t="array" ref="O114">MIN(IF((OutputTable[GroupByKey]=OutputTable[[#This Row],[GroupByKey]]),(OutputTable[GroupByKey]=OutputTable[[#This Row],[GroupByKey]])*OutputTable[RecordedValue]))</f>
        <v>109</v>
      </c>
      <c r="P114" s="5" cm="1">
        <f t="array" ref="P114">MAX(IF((OutputTable[GroupByKey]=OutputTable[[#This Row],[GroupByKey]]),(OutputTable[GroupByKey]=OutputTable[[#This Row],[GroupByKey]])*OutputTable[RecordedValue]))</f>
        <v>150</v>
      </c>
    </row>
    <row r="115" spans="1:16" x14ac:dyDescent="0.25">
      <c r="A115" t="s">
        <v>67</v>
      </c>
      <c r="B115" t="s">
        <v>69</v>
      </c>
      <c r="C115">
        <v>6</v>
      </c>
      <c r="D115" t="s">
        <v>156</v>
      </c>
      <c r="E115" t="s">
        <v>149</v>
      </c>
      <c r="F115" t="s">
        <v>86</v>
      </c>
      <c r="G115">
        <v>147.67848873215999</v>
      </c>
      <c r="H115">
        <v>0</v>
      </c>
      <c r="I115" s="5" t="str">
        <f>OutputTable[[#This Row],[ProjectName]]&amp;OutputTable[[#This Row],[Name]]&amp;OutputTable[[#This Row],[Type]]&amp;OutputTable[[#This Row],[Source]]</f>
        <v>Friday (Solucion: datafono, gofre, cocina y caja compartida)Preparacion Accum VA TimeAccum VA TimeProcess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19</v>
      </c>
      <c r="K115" s="5" cm="1">
        <f t="array" ref="K115">IFERROR(AVERAGE(IF((OutputTable[GroupByKey]=OutputTable[[#This Row],[GroupByKey]]),(OutputTable[GroupByKey]=OutputTable[[#This Row],[GroupByKey]])*OutputTable[RecordedValue])),0)</f>
        <v>174.13537587676447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19.65074675456297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9.4713567574295272</v>
      </c>
      <c r="O115" s="5" cm="1">
        <f t="array" ref="O115">MIN(IF((OutputTable[GroupByKey]=OutputTable[[#This Row],[GroupByKey]]),(OutputTable[GroupByKey]=OutputTable[[#This Row],[GroupByKey]])*OutputTable[RecordedValue]))</f>
        <v>139.22471453685199</v>
      </c>
      <c r="P115" s="5" cm="1">
        <f t="array" ref="P115">MAX(IF((OutputTable[GroupByKey]=OutputTable[[#This Row],[GroupByKey]]),(OutputTable[GroupByKey]=OutputTable[[#This Row],[GroupByKey]])*OutputTable[RecordedValue]))</f>
        <v>210.18722493890999</v>
      </c>
    </row>
    <row r="116" spans="1:16" x14ac:dyDescent="0.25">
      <c r="A116" t="s">
        <v>67</v>
      </c>
      <c r="B116" t="s">
        <v>69</v>
      </c>
      <c r="C116">
        <v>6</v>
      </c>
      <c r="D116" t="s">
        <v>157</v>
      </c>
      <c r="E116" t="s">
        <v>151</v>
      </c>
      <c r="F116" t="s">
        <v>86</v>
      </c>
      <c r="G116">
        <v>22.316256244919199</v>
      </c>
      <c r="H116">
        <v>0</v>
      </c>
      <c r="I116" s="5" t="str">
        <f>OutputTable[[#This Row],[ProjectName]]&amp;OutputTable[[#This Row],[Name]]&amp;OutputTable[[#This Row],[Type]]&amp;OutputTable[[#This Row],[Source]]</f>
        <v>Friday (Solucion: datafono, gofre, cocina y caja compartida)Preparacion Accum Wait TimeAccum Wait TimeProcess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19</v>
      </c>
      <c r="K116" s="5" cm="1">
        <f t="array" ref="K116">IFERROR(AVERAGE(IF((OutputTable[GroupByKey]=OutputTable[[#This Row],[GroupByKey]]),(OutputTable[GroupByKey]=OutputTable[[#This Row],[GroupByKey]])*OutputTable[RecordedValue])),0)</f>
        <v>89.754366677107924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109.53061123574736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52.79206474085742</v>
      </c>
      <c r="O116" s="5" cm="1">
        <f t="array" ref="O116">MIN(IF((OutputTable[GroupByKey]=OutputTable[[#This Row],[GroupByKey]]),(OutputTable[GroupByKey]=OutputTable[[#This Row],[GroupByKey]])*OutputTable[RecordedValue]))</f>
        <v>22.316256244919199</v>
      </c>
      <c r="P116" s="5" cm="1">
        <f t="array" ref="P116">MAX(IF((OutputTable[GroupByKey]=OutputTable[[#This Row],[GroupByKey]]),(OutputTable[GroupByKey]=OutputTable[[#This Row],[GroupByKey]])*OutputTable[RecordedValue]))</f>
        <v>514.987116007179</v>
      </c>
    </row>
    <row r="117" spans="1:16" x14ac:dyDescent="0.25">
      <c r="A117" t="s">
        <v>67</v>
      </c>
      <c r="B117" t="s">
        <v>69</v>
      </c>
      <c r="C117">
        <v>6</v>
      </c>
      <c r="D117" t="s">
        <v>158</v>
      </c>
      <c r="E117" t="s">
        <v>145</v>
      </c>
      <c r="F117" t="s">
        <v>86</v>
      </c>
      <c r="G117">
        <v>118</v>
      </c>
      <c r="H117">
        <v>0</v>
      </c>
      <c r="I117" s="5" t="str">
        <f>OutputTable[[#This Row],[ProjectName]]&amp;OutputTable[[#This Row],[Name]]&amp;OutputTable[[#This Row],[Type]]&amp;OutputTable[[#This Row],[Source]]</f>
        <v>Friday (Solucion: datafono, gofre, cocina y caja compartida)Preparacion Number InNumber InProcess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19</v>
      </c>
      <c r="K117" s="5" cm="1">
        <f t="array" ref="K117">IFERROR(AVERAGE(IF((OutputTable[GroupByKey]=OutputTable[[#This Row],[GroupByKey]]),(OutputTable[GroupByKey]=OutputTable[[#This Row],[GroupByKey]])*OutputTable[RecordedValue])),0)</f>
        <v>121.89473684210526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9.971597090637573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117" s="5" cm="1">
        <f t="array" ref="O117">MIN(IF((OutputTable[GroupByKey]=OutputTable[[#This Row],[GroupByKey]]),(OutputTable[GroupByKey]=OutputTable[[#This Row],[GroupByKey]])*OutputTable[RecordedValue]))</f>
        <v>109</v>
      </c>
      <c r="P117" s="5" cm="1">
        <f t="array" ref="P117">MAX(IF((OutputTable[GroupByKey]=OutputTable[[#This Row],[GroupByKey]]),(OutputTable[GroupByKey]=OutputTable[[#This Row],[GroupByKey]])*OutputTable[RecordedValue]))</f>
        <v>143</v>
      </c>
    </row>
    <row r="118" spans="1:16" x14ac:dyDescent="0.25">
      <c r="A118" t="s">
        <v>67</v>
      </c>
      <c r="B118" t="s">
        <v>69</v>
      </c>
      <c r="C118">
        <v>6</v>
      </c>
      <c r="D118" t="s">
        <v>159</v>
      </c>
      <c r="E118" t="s">
        <v>147</v>
      </c>
      <c r="F118" t="s">
        <v>86</v>
      </c>
      <c r="G118">
        <v>115</v>
      </c>
      <c r="H118">
        <v>0</v>
      </c>
      <c r="I118" s="5" t="str">
        <f>OutputTable[[#This Row],[ProjectName]]&amp;OutputTable[[#This Row],[Name]]&amp;OutputTable[[#This Row],[Type]]&amp;OutputTable[[#This Row],[Source]]</f>
        <v>Friday (Solucion: datafono, gofre, cocina y caja compartida)Preparacion Number OutNumber OutProcess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19</v>
      </c>
      <c r="K118" s="5" cm="1">
        <f t="array" ref="K118">IFERROR(AVERAGE(IF((OutputTable[GroupByKey]=OutputTable[[#This Row],[GroupByKey]]),(OutputTable[GroupByKey]=OutputTable[[#This Row],[GroupByKey]])*OutputTable[RecordedValue])),0)</f>
        <v>122.31578947368421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10.127260414780096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4.8811832731752718</v>
      </c>
      <c r="O118" s="5" cm="1">
        <f t="array" ref="O118">MIN(IF((OutputTable[GroupByKey]=OutputTable[[#This Row],[GroupByKey]]),(OutputTable[GroupByKey]=OutputTable[[#This Row],[GroupByKey]])*OutputTable[RecordedValue]))</f>
        <v>111</v>
      </c>
      <c r="P118" s="5" cm="1">
        <f t="array" ref="P118">MAX(IF((OutputTable[GroupByKey]=OutputTable[[#This Row],[GroupByKey]]),(OutputTable[GroupByKey]=OutputTable[[#This Row],[GroupByKey]])*OutputTable[RecordedValue]))</f>
        <v>150</v>
      </c>
    </row>
    <row r="119" spans="1:16" x14ac:dyDescent="0.25">
      <c r="A119" t="s">
        <v>67</v>
      </c>
      <c r="B119" t="s">
        <v>69</v>
      </c>
      <c r="C119">
        <v>6</v>
      </c>
      <c r="D119" t="s">
        <v>160</v>
      </c>
      <c r="E119" t="s">
        <v>147</v>
      </c>
      <c r="F119" t="s">
        <v>161</v>
      </c>
      <c r="G119">
        <v>120</v>
      </c>
      <c r="H119">
        <v>0</v>
      </c>
      <c r="I119" s="5" t="str">
        <f>OutputTable[[#This Row],[ProjectName]]&amp;OutputTable[[#This Row],[Name]]&amp;OutputTable[[#This Row],[Type]]&amp;OutputTable[[#This Row],[Source]]</f>
        <v>Friday (Solucion: datafono, gofre, cocina y caja compartida)System.NumberOutNumber OutSystem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19</v>
      </c>
      <c r="K119" s="5" cm="1">
        <f t="array" ref="K119">IFERROR(AVERAGE(IF((OutputTable[GroupByKey]=OutputTable[[#This Row],[GroupByKey]]),(OutputTable[GroupByKey]=OutputTable[[#This Row],[GroupByKey]])*OutputTable[RecordedValue])),0)</f>
        <v>125.36842105263158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10.160984894934533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119" s="5" cm="1">
        <f t="array" ref="O119">MIN(IF((OutputTable[GroupByKey]=OutputTable[[#This Row],[GroupByKey]]),(OutputTable[GroupByKey]=OutputTable[[#This Row],[GroupByKey]])*OutputTable[RecordedValue]))</f>
        <v>112</v>
      </c>
      <c r="P119" s="5" cm="1">
        <f t="array" ref="P119">MAX(IF((OutputTable[GroupByKey]=OutputTable[[#This Row],[GroupByKey]]),(OutputTable[GroupByKey]=OutputTable[[#This Row],[GroupByKey]])*OutputTable[RecordedValue]))</f>
        <v>153</v>
      </c>
    </row>
    <row r="120" spans="1:16" x14ac:dyDescent="0.25">
      <c r="A120" t="s">
        <v>67</v>
      </c>
      <c r="B120" t="s">
        <v>69</v>
      </c>
      <c r="C120">
        <v>6</v>
      </c>
      <c r="D120" t="s">
        <v>162</v>
      </c>
      <c r="E120" t="s">
        <v>163</v>
      </c>
      <c r="F120" t="s">
        <v>136</v>
      </c>
      <c r="G120">
        <v>128</v>
      </c>
      <c r="H120">
        <v>0</v>
      </c>
      <c r="I120" s="5" t="str">
        <f>OutputTable[[#This Row],[ProjectName]]&amp;OutputTable[[#This Row],[Name]]&amp;OutputTable[[#This Row],[Type]]&amp;OutputTable[[#This Row],[Source]]</f>
        <v>Friday (Solucion: datafono, gofre, cocina y caja compartida)rCajero.NumberSeizedTotal Number SeizedResource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19</v>
      </c>
      <c r="K120" s="5" cm="1">
        <f t="array" ref="K120">IFERROR(AVERAGE(IF((OutputTable[GroupByKey]=OutputTable[[#This Row],[GroupByKey]]),(OutputTable[GroupByKey]=OutputTable[[#This Row],[GroupByKey]])*OutputTable[RecordedValue])),0)</f>
        <v>131.63157894736841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13.988926280438102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6.7424466413544986</v>
      </c>
      <c r="O120" s="5" cm="1">
        <f t="array" ref="O120">MIN(IF((OutputTable[GroupByKey]=OutputTable[[#This Row],[GroupByKey]]),(OutputTable[GroupByKey]=OutputTable[[#This Row],[GroupByKey]])*OutputTable[RecordedValue]))</f>
        <v>113</v>
      </c>
      <c r="P120" s="5" cm="1">
        <f t="array" ref="P120">MAX(IF((OutputTable[GroupByKey]=OutputTable[[#This Row],[GroupByKey]]),(OutputTable[GroupByKey]=OutputTable[[#This Row],[GroupByKey]])*OutputTable[RecordedValue]))</f>
        <v>157</v>
      </c>
    </row>
    <row r="121" spans="1:16" x14ac:dyDescent="0.25">
      <c r="A121" t="s">
        <v>67</v>
      </c>
      <c r="B121" t="s">
        <v>69</v>
      </c>
      <c r="C121">
        <v>6</v>
      </c>
      <c r="D121" t="s">
        <v>164</v>
      </c>
      <c r="E121" t="s">
        <v>165</v>
      </c>
      <c r="F121" t="s">
        <v>136</v>
      </c>
      <c r="G121">
        <v>0.64480330756614701</v>
      </c>
      <c r="H121">
        <v>0</v>
      </c>
      <c r="I121" s="5" t="str">
        <f>OutputTable[[#This Row],[ProjectName]]&amp;OutputTable[[#This Row],[Name]]&amp;OutputTable[[#This Row],[Type]]&amp;OutputTable[[#This Row],[Source]]</f>
        <v>Friday (Solucion: datafono, gofre, cocina y caja compartida)rCajero.ScheduledUtilizationScheduled UtilizationResource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19</v>
      </c>
      <c r="K121" s="5" cm="1">
        <f t="array" ref="K121">IFERROR(AVERAGE(IF((OutputTable[GroupByKey]=OutputTable[[#This Row],[GroupByKey]]),(OutputTable[GroupByKey]=OutputTable[[#This Row],[GroupByKey]])*OutputTable[RecordedValue])),0)</f>
        <v>0.68474836505339687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6.2272947935973065E-2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3.0014600137344902E-2</v>
      </c>
      <c r="O121" s="5" cm="1">
        <f t="array" ref="O121">MIN(IF((OutputTable[GroupByKey]=OutputTable[[#This Row],[GroupByKey]]),(OutputTable[GroupByKey]=OutputTable[[#This Row],[GroupByKey]])*OutputTable[RecordedValue]))</f>
        <v>0.59592290927233305</v>
      </c>
      <c r="P121" s="5" cm="1">
        <f t="array" ref="P121">MAX(IF((OutputTable[GroupByKey]=OutputTable[[#This Row],[GroupByKey]]),(OutputTable[GroupByKey]=OutputTable[[#This Row],[GroupByKey]])*OutputTable[RecordedValue]))</f>
        <v>0.82897119936997599</v>
      </c>
    </row>
    <row r="122" spans="1:16" x14ac:dyDescent="0.25">
      <c r="A122" t="s">
        <v>67</v>
      </c>
      <c r="B122" t="s">
        <v>69</v>
      </c>
      <c r="C122">
        <v>6</v>
      </c>
      <c r="D122" t="s">
        <v>166</v>
      </c>
      <c r="E122" t="s">
        <v>163</v>
      </c>
      <c r="F122" t="s">
        <v>136</v>
      </c>
      <c r="G122">
        <v>105</v>
      </c>
      <c r="H122">
        <v>0</v>
      </c>
      <c r="I122" s="5" t="str">
        <f>OutputTable[[#This Row],[ProjectName]]&amp;OutputTable[[#This Row],[Name]]&amp;OutputTable[[#This Row],[Type]]&amp;OutputTable[[#This Row],[Source]]</f>
        <v>Friday (Solucion: datafono, gofre, cocina y caja compartida)rCocina.NumberSeizedTotal Number SeizedResource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19</v>
      </c>
      <c r="K122" s="5" cm="1">
        <f t="array" ref="K122">IFERROR(AVERAGE(IF((OutputTable[GroupByKey]=OutputTable[[#This Row],[GroupByKey]]),(OutputTable[GroupByKey]=OutputTable[[#This Row],[GroupByKey]])*OutputTable[RecordedValue])),0)</f>
        <v>112.73684210526316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9.1155673027772668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4.3935628019284003</v>
      </c>
      <c r="O122" s="5" cm="1">
        <f t="array" ref="O122">MIN(IF((OutputTable[GroupByKey]=OutputTable[[#This Row],[GroupByKey]]),(OutputTable[GroupByKey]=OutputTable[[#This Row],[GroupByKey]])*OutputTable[RecordedValue]))</f>
        <v>102</v>
      </c>
      <c r="P122" s="5" cm="1">
        <f t="array" ref="P122">MAX(IF((OutputTable[GroupByKey]=OutputTable[[#This Row],[GroupByKey]]),(OutputTable[GroupByKey]=OutputTable[[#This Row],[GroupByKey]])*OutputTable[RecordedValue]))</f>
        <v>135</v>
      </c>
    </row>
    <row r="123" spans="1:16" x14ac:dyDescent="0.25">
      <c r="A123" t="s">
        <v>67</v>
      </c>
      <c r="B123" t="s">
        <v>69</v>
      </c>
      <c r="C123">
        <v>6</v>
      </c>
      <c r="D123" t="s">
        <v>167</v>
      </c>
      <c r="E123" t="s">
        <v>165</v>
      </c>
      <c r="F123" t="s">
        <v>136</v>
      </c>
      <c r="G123">
        <v>0.61204789609759702</v>
      </c>
      <c r="H123">
        <v>0</v>
      </c>
      <c r="I123" s="5" t="str">
        <f>OutputTable[[#This Row],[ProjectName]]&amp;OutputTable[[#This Row],[Name]]&amp;OutputTable[[#This Row],[Type]]&amp;OutputTable[[#This Row],[Source]]</f>
        <v>Friday (Solucion: datafono, gofre, cocina y caja compartida)rCocina.ScheduledUtilizationScheduled UtilizationResource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19</v>
      </c>
      <c r="K123" s="5" cm="1">
        <f t="array" ref="K123">IFERROR(AVERAGE(IF((OutputTable[GroupByKey]=OutputTable[[#This Row],[GroupByKey]]),(OutputTable[GroupByKey]=OutputTable[[#This Row],[GroupByKey]])*OutputTable[RecordedValue])),0)</f>
        <v>0.71670342302257706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7.0907274842727658E-2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3.4176212493127585E-2</v>
      </c>
      <c r="O123" s="5" cm="1">
        <f t="array" ref="O123">MIN(IF((OutputTable[GroupByKey]=OutputTable[[#This Row],[GroupByKey]]),(OutputTable[GroupByKey]=OutputTable[[#This Row],[GroupByKey]])*OutputTable[RecordedValue]))</f>
        <v>0.60463940272025996</v>
      </c>
      <c r="P123" s="5" cm="1">
        <f t="array" ref="P123">MAX(IF((OutputTable[GroupByKey]=OutputTable[[#This Row],[GroupByKey]]),(OutputTable[GroupByKey]=OutputTable[[#This Row],[GroupByKey]])*OutputTable[RecordedValue]))</f>
        <v>0.86361037821575004</v>
      </c>
    </row>
    <row r="124" spans="1:16" x14ac:dyDescent="0.25">
      <c r="A124" t="s">
        <v>67</v>
      </c>
      <c r="B124" t="s">
        <v>69</v>
      </c>
      <c r="C124">
        <v>6</v>
      </c>
      <c r="D124" t="s">
        <v>168</v>
      </c>
      <c r="E124" t="s">
        <v>163</v>
      </c>
      <c r="F124" t="s">
        <v>136</v>
      </c>
      <c r="G124">
        <v>15</v>
      </c>
      <c r="H124">
        <v>0</v>
      </c>
      <c r="I124" s="5" t="str">
        <f>OutputTable[[#This Row],[ProjectName]]&amp;OutputTable[[#This Row],[Name]]&amp;OutputTable[[#This Row],[Type]]&amp;OutputTable[[#This Row],[Source]]</f>
        <v>Friday (Solucion: datafono, gofre, cocina y caja compartida)rMesa.NumberSeizedTotal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19</v>
      </c>
      <c r="K124" s="5" cm="1">
        <f t="array" ref="K124">IFERROR(AVERAGE(IF((OutputTable[GroupByKey]=OutputTable[[#This Row],[GroupByKey]]),(OutputTable[GroupByKey]=OutputTable[[#This Row],[GroupByKey]])*OutputTable[RecordedValue])),0)</f>
        <v>16.157894736842106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3.8044295512634076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124" s="5" cm="1">
        <f t="array" ref="O124">MIN(IF((OutputTable[GroupByKey]=OutputTable[[#This Row],[GroupByKey]]),(OutputTable[GroupByKey]=OutputTable[[#This Row],[GroupByKey]])*OutputTable[RecordedValue]))</f>
        <v>9</v>
      </c>
      <c r="P124" s="5" cm="1">
        <f t="array" ref="P124">MAX(IF((OutputTable[GroupByKey]=OutputTable[[#This Row],[GroupByKey]]),(OutputTable[GroupByKey]=OutputTable[[#This Row],[GroupByKey]])*OutputTable[RecordedValue]))</f>
        <v>24</v>
      </c>
    </row>
    <row r="125" spans="1:16" x14ac:dyDescent="0.25">
      <c r="A125" t="s">
        <v>67</v>
      </c>
      <c r="B125" t="s">
        <v>69</v>
      </c>
      <c r="C125">
        <v>6</v>
      </c>
      <c r="D125" t="s">
        <v>169</v>
      </c>
      <c r="E125" t="s">
        <v>165</v>
      </c>
      <c r="F125" t="s">
        <v>136</v>
      </c>
      <c r="G125">
        <v>0.29119375209356801</v>
      </c>
      <c r="H125">
        <v>0</v>
      </c>
      <c r="I125" s="5" t="str">
        <f>OutputTable[[#This Row],[ProjectName]]&amp;OutputTable[[#This Row],[Name]]&amp;OutputTable[[#This Row],[Type]]&amp;OutputTable[[#This Row],[Source]]</f>
        <v>Friday (Solucion: datafono, gofre, cocina y caja compartida)rMesa.ScheduledUtilizationScheduled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19</v>
      </c>
      <c r="K125" s="5" cm="1">
        <f t="array" ref="K125">IFERROR(AVERAGE(IF((OutputTable[GroupByKey]=OutputTable[[#This Row],[GroupByKey]]),(OutputTable[GroupByKey]=OutputTable[[#This Row],[GroupByKey]])*OutputTable[RecordedValue])),0)</f>
        <v>0.30850610959128744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6.2586127702931107E-2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3.0165547953176861E-2</v>
      </c>
      <c r="O125" s="5" cm="1">
        <f t="array" ref="O125">MIN(IF((OutputTable[GroupByKey]=OutputTable[[#This Row],[GroupByKey]]),(OutputTable[GroupByKey]=OutputTable[[#This Row],[GroupByKey]])*OutputTable[RecordedValue]))</f>
        <v>0.156206445320244</v>
      </c>
      <c r="P125" s="5" cm="1">
        <f t="array" ref="P125">MAX(IF((OutputTable[GroupByKey]=OutputTable[[#This Row],[GroupByKey]]),(OutputTable[GroupByKey]=OutputTable[[#This Row],[GroupByKey]])*OutputTable[RecordedValue]))</f>
        <v>0.44942505379986802</v>
      </c>
    </row>
    <row r="126" spans="1:16" x14ac:dyDescent="0.25">
      <c r="A126" t="s">
        <v>67</v>
      </c>
      <c r="B126" t="s">
        <v>69</v>
      </c>
      <c r="C126">
        <v>6</v>
      </c>
      <c r="D126" t="s">
        <v>170</v>
      </c>
      <c r="E126" t="s">
        <v>145</v>
      </c>
      <c r="F126" t="s">
        <v>72</v>
      </c>
      <c r="G126">
        <v>3</v>
      </c>
      <c r="H126">
        <v>0</v>
      </c>
      <c r="I126" s="5" t="str">
        <f>OutputTable[[#This Row],[ProjectName]]&amp;OutputTable[[#This Row],[Name]]&amp;OutputTable[[#This Row],[Type]]&amp;OutputTable[[#This Row],[Source]]</f>
        <v>Friday (Solucion: datafono, gofre, cocina y caja compartida)reloj.NumberInNumber InEntity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19</v>
      </c>
      <c r="K126" s="5" cm="1">
        <f t="array" ref="K126">IFERROR(AVERAGE(IF((OutputTable[GroupByKey]=OutputTable[[#This Row],[GroupByKey]]),(OutputTable[GroupByKey]=OutputTable[[#This Row],[GroupByKey]])*OutputTable[RecordedValue])),0)</f>
        <v>3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0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" s="5" cm="1">
        <f t="array" ref="O126">MIN(IF((OutputTable[GroupByKey]=OutputTable[[#This Row],[GroupByKey]]),(OutputTable[GroupByKey]=OutputTable[[#This Row],[GroupByKey]])*OutputTable[RecordedValue]))</f>
        <v>3</v>
      </c>
      <c r="P126" s="5" cm="1">
        <f t="array" ref="P126">MAX(IF((OutputTable[GroupByKey]=OutputTable[[#This Row],[GroupByKey]]),(OutputTable[GroupByKey]=OutputTable[[#This Row],[GroupByKey]])*OutputTable[RecordedValue]))</f>
        <v>3</v>
      </c>
    </row>
    <row r="127" spans="1:16" x14ac:dyDescent="0.25">
      <c r="A127" t="s">
        <v>67</v>
      </c>
      <c r="B127" t="s">
        <v>69</v>
      </c>
      <c r="C127">
        <v>6</v>
      </c>
      <c r="D127" t="s">
        <v>171</v>
      </c>
      <c r="E127" t="s">
        <v>147</v>
      </c>
      <c r="F127" t="s">
        <v>72</v>
      </c>
      <c r="G127">
        <v>3</v>
      </c>
      <c r="H127">
        <v>0</v>
      </c>
      <c r="I127" s="5" t="str">
        <f>OutputTable[[#This Row],[ProjectName]]&amp;OutputTable[[#This Row],[Name]]&amp;OutputTable[[#This Row],[Type]]&amp;OutputTable[[#This Row],[Source]]</f>
        <v>Friday (Solucion: datafono, gofre, cocina y caja compartida)reloj.NumberOutNumber OutEntity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19</v>
      </c>
      <c r="K127" s="5" cm="1">
        <f t="array" ref="K127">IFERROR(AVERAGE(IF((OutputTable[GroupByKey]=OutputTable[[#This Row],[GroupByKey]]),(OutputTable[GroupByKey]=OutputTable[[#This Row],[GroupByKey]])*OutputTable[RecordedValue])),0)</f>
        <v>3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0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7" s="5" cm="1">
        <f t="array" ref="O127">MIN(IF((OutputTable[GroupByKey]=OutputTable[[#This Row],[GroupByKey]]),(OutputTable[GroupByKey]=OutputTable[[#This Row],[GroupByKey]])*OutputTable[RecordedValue]))</f>
        <v>3</v>
      </c>
      <c r="P127" s="5" cm="1">
        <f t="array" ref="P127">MAX(IF((OutputTable[GroupByKey]=OutputTable[[#This Row],[GroupByKey]]),(OutputTable[GroupByKey]=OutputTable[[#This Row],[GroupByKey]])*OutputTable[RecordedValue]))</f>
        <v>3</v>
      </c>
    </row>
    <row r="128" spans="1:16" x14ac:dyDescent="0.25">
      <c r="A128" t="s">
        <v>67</v>
      </c>
      <c r="B128" t="s">
        <v>69</v>
      </c>
      <c r="C128">
        <v>7</v>
      </c>
      <c r="D128" t="s">
        <v>144</v>
      </c>
      <c r="E128" t="s">
        <v>145</v>
      </c>
      <c r="F128" t="s">
        <v>72</v>
      </c>
      <c r="G128">
        <v>336</v>
      </c>
      <c r="H128">
        <v>0</v>
      </c>
      <c r="I128" s="5" t="str">
        <f>OutputTable[[#This Row],[ProjectName]]&amp;OutputTable[[#This Row],[Name]]&amp;OutputTable[[#This Row],[Type]]&amp;OutputTable[[#This Row],[Source]]</f>
        <v>Friday (Solucion: datafono, gofre, cocina y caja compartida)Cliente.NumberInNumber InEntity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19</v>
      </c>
      <c r="K128" s="5" cm="1">
        <f t="array" ref="K128">IFERROR(AVERAGE(IF((OutputTable[GroupByKey]=OutputTable[[#This Row],[GroupByKey]]),(OutputTable[GroupByKey]=OutputTable[[#This Row],[GroupByKey]])*OutputTable[RecordedValue])),0)</f>
        <v>366.21052631578948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28.665850661580702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13.816497752584581</v>
      </c>
      <c r="O128" s="5" cm="1">
        <f t="array" ref="O128">MIN(IF((OutputTable[GroupByKey]=OutputTable[[#This Row],[GroupByKey]]),(OutputTable[GroupByKey]=OutputTable[[#This Row],[GroupByKey]])*OutputTable[RecordedValue]))</f>
        <v>331</v>
      </c>
      <c r="P128" s="5" cm="1">
        <f t="array" ref="P128">MAX(IF((OutputTable[GroupByKey]=OutputTable[[#This Row],[GroupByKey]]),(OutputTable[GroupByKey]=OutputTable[[#This Row],[GroupByKey]])*OutputTable[RecordedValue]))</f>
        <v>427</v>
      </c>
    </row>
    <row r="129" spans="1:16" x14ac:dyDescent="0.25">
      <c r="A129" t="s">
        <v>67</v>
      </c>
      <c r="B129" t="s">
        <v>69</v>
      </c>
      <c r="C129">
        <v>7</v>
      </c>
      <c r="D129" t="s">
        <v>146</v>
      </c>
      <c r="E129" t="s">
        <v>147</v>
      </c>
      <c r="F129" t="s">
        <v>72</v>
      </c>
      <c r="G129">
        <v>335</v>
      </c>
      <c r="H129">
        <v>0</v>
      </c>
      <c r="I129" s="5" t="str">
        <f>OutputTable[[#This Row],[ProjectName]]&amp;OutputTable[[#This Row],[Name]]&amp;OutputTable[[#This Row],[Type]]&amp;OutputTable[[#This Row],[Source]]</f>
        <v>Friday (Solucion: datafono, gofre, cocina y caja compartida)Cliente.NumberOutNumber OutEntity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19</v>
      </c>
      <c r="K129" s="5" cm="1">
        <f t="array" ref="K129">IFERROR(AVERAGE(IF((OutputTable[GroupByKey]=OutputTable[[#This Row],[GroupByKey]]),(OutputTable[GroupByKey]=OutputTable[[#This Row],[GroupByKey]])*OutputTable[RecordedValue])),0)</f>
        <v>366.63157894736844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29.957767544617038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14.439181758083874</v>
      </c>
      <c r="O129" s="5" cm="1">
        <f t="array" ref="O129">MIN(IF((OutputTable[GroupByKey]=OutputTable[[#This Row],[GroupByKey]]),(OutputTable[GroupByKey]=OutputTable[[#This Row],[GroupByKey]])*OutputTable[RecordedValue]))</f>
        <v>329</v>
      </c>
      <c r="P129" s="5" cm="1">
        <f t="array" ref="P129">MAX(IF((OutputTable[GroupByKey]=OutputTable[[#This Row],[GroupByKey]]),(OutputTable[GroupByKey]=OutputTable[[#This Row],[GroupByKey]])*OutputTable[RecordedValue]))</f>
        <v>443</v>
      </c>
    </row>
    <row r="130" spans="1:16" x14ac:dyDescent="0.25">
      <c r="A130" t="s">
        <v>67</v>
      </c>
      <c r="B130" t="s">
        <v>69</v>
      </c>
      <c r="C130">
        <v>7</v>
      </c>
      <c r="D130" t="s">
        <v>148</v>
      </c>
      <c r="E130" t="s">
        <v>149</v>
      </c>
      <c r="F130" t="s">
        <v>86</v>
      </c>
      <c r="G130">
        <v>265.09835716446099</v>
      </c>
      <c r="H130">
        <v>0</v>
      </c>
      <c r="I130" s="5" t="str">
        <f>OutputTable[[#This Row],[ProjectName]]&amp;OutputTable[[#This Row],[Name]]&amp;OutputTable[[#This Row],[Type]]&amp;OutputTable[[#This Row],[Source]]</f>
        <v>Friday (Solucion: datafono, gofre, cocina y caja compartida)Comer en Mesa Accum VA TimeAccum VA TimeProcess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19</v>
      </c>
      <c r="K130" s="5" cm="1">
        <f t="array" ref="K130">IFERROR(AVERAGE(IF((OutputTable[GroupByKey]=OutputTable[[#This Row],[GroupByKey]]),(OutputTable[GroupByKey]=OutputTable[[#This Row],[GroupByKey]])*OutputTable[RecordedValue])),0)</f>
        <v>283.12549562397913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55.763238037894645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26.877020400444863</v>
      </c>
      <c r="O130" s="5" cm="1">
        <f t="array" ref="O130">MIN(IF((OutputTable[GroupByKey]=OutputTable[[#This Row],[GroupByKey]]),(OutputTable[GroupByKey]=OutputTable[[#This Row],[GroupByKey]])*OutputTable[RecordedValue]))</f>
        <v>157.05073652574001</v>
      </c>
      <c r="P130" s="5" cm="1">
        <f t="array" ref="P130">MAX(IF((OutputTable[GroupByKey]=OutputTable[[#This Row],[GroupByKey]]),(OutputTable[GroupByKey]=OutputTable[[#This Row],[GroupByKey]])*OutputTable[RecordedValue]))</f>
        <v>402.97015039838902</v>
      </c>
    </row>
    <row r="131" spans="1:16" x14ac:dyDescent="0.25">
      <c r="A131" t="s">
        <v>67</v>
      </c>
      <c r="B131" t="s">
        <v>69</v>
      </c>
      <c r="C131">
        <v>7</v>
      </c>
      <c r="D131" t="s">
        <v>150</v>
      </c>
      <c r="E131" t="s">
        <v>151</v>
      </c>
      <c r="F131" t="s">
        <v>86</v>
      </c>
      <c r="G131">
        <v>0</v>
      </c>
      <c r="H131">
        <v>0</v>
      </c>
      <c r="I131" s="5" t="str">
        <f>OutputTable[[#This Row],[ProjectName]]&amp;OutputTable[[#This Row],[Name]]&amp;OutputTable[[#This Row],[Type]]&amp;OutputTable[[#This Row],[Source]]</f>
        <v>Friday (Solucion: datafono, gofre, cocina y caja compartida)Comer en Mesa Accum Wait TimeAccum Wait TimeProcess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19</v>
      </c>
      <c r="K131" s="5" cm="1">
        <f t="array" ref="K131">IFERROR(AVERAGE(IF((OutputTable[GroupByKey]=OutputTable[[#This Row],[GroupByKey]]),(OutputTable[GroupByKey]=OutputTable[[#This Row],[GroupByKey]])*OutputTable[RecordedValue])),0)</f>
        <v>0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0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1" s="5" cm="1">
        <f t="array" ref="O131">MIN(IF((OutputTable[GroupByKey]=OutputTable[[#This Row],[GroupByKey]]),(OutputTable[GroupByKey]=OutputTable[[#This Row],[GroupByKey]])*OutputTable[RecordedValue]))</f>
        <v>0</v>
      </c>
      <c r="P131" s="5" cm="1">
        <f t="array" ref="P131">MAX(IF((OutputTable[GroupByKey]=OutputTable[[#This Row],[GroupByKey]]),(OutputTable[GroupByKey]=OutputTable[[#This Row],[GroupByKey]])*OutputTable[RecordedValue]))</f>
        <v>0</v>
      </c>
    </row>
    <row r="132" spans="1:16" x14ac:dyDescent="0.25">
      <c r="A132" t="s">
        <v>67</v>
      </c>
      <c r="B132" t="s">
        <v>69</v>
      </c>
      <c r="C132">
        <v>7</v>
      </c>
      <c r="D132" t="s">
        <v>152</v>
      </c>
      <c r="E132" t="s">
        <v>145</v>
      </c>
      <c r="F132" t="s">
        <v>86</v>
      </c>
      <c r="G132">
        <v>21</v>
      </c>
      <c r="H132">
        <v>0</v>
      </c>
      <c r="I132" s="5" t="str">
        <f>OutputTable[[#This Row],[ProjectName]]&amp;OutputTable[[#This Row],[Name]]&amp;OutputTable[[#This Row],[Type]]&amp;OutputTable[[#This Row],[Source]]</f>
        <v>Friday (Solucion: datafono, gofre, cocina y caja compartida)Comer en Mesa Number InNumber InProcess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19</v>
      </c>
      <c r="K132" s="5" cm="1">
        <f t="array" ref="K132">IFERROR(AVERAGE(IF((OutputTable[GroupByKey]=OutputTable[[#This Row],[GroupByKey]]),(OutputTable[GroupByKey]=OutputTable[[#This Row],[GroupByKey]])*OutputTable[RecordedValue])),0)</f>
        <v>16.157894736842106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3.8044295512634076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132" s="5" cm="1">
        <f t="array" ref="O132">MIN(IF((OutputTable[GroupByKey]=OutputTable[[#This Row],[GroupByKey]]),(OutputTable[GroupByKey]=OutputTable[[#This Row],[GroupByKey]])*OutputTable[RecordedValue]))</f>
        <v>9</v>
      </c>
      <c r="P132" s="5" cm="1">
        <f t="array" ref="P132">MAX(IF((OutputTable[GroupByKey]=OutputTable[[#This Row],[GroupByKey]]),(OutputTable[GroupByKey]=OutputTable[[#This Row],[GroupByKey]])*OutputTable[RecordedValue]))</f>
        <v>24</v>
      </c>
    </row>
    <row r="133" spans="1:16" x14ac:dyDescent="0.25">
      <c r="A133" t="s">
        <v>67</v>
      </c>
      <c r="B133" t="s">
        <v>69</v>
      </c>
      <c r="C133">
        <v>7</v>
      </c>
      <c r="D133" t="s">
        <v>153</v>
      </c>
      <c r="E133" t="s">
        <v>147</v>
      </c>
      <c r="F133" t="s">
        <v>86</v>
      </c>
      <c r="G133">
        <v>19</v>
      </c>
      <c r="H133">
        <v>0</v>
      </c>
      <c r="I133" s="5" t="str">
        <f>OutputTable[[#This Row],[ProjectName]]&amp;OutputTable[[#This Row],[Name]]&amp;OutputTable[[#This Row],[Type]]&amp;OutputTable[[#This Row],[Source]]</f>
        <v>Friday (Solucion: datafono, gofre, cocina y caja compartida)Comer en Mesa Number OutNumber OutProcess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19</v>
      </c>
      <c r="K133" s="5" cm="1">
        <f t="array" ref="K133">IFERROR(AVERAGE(IF((OutputTable[GroupByKey]=OutputTable[[#This Row],[GroupByKey]]),(OutputTable[GroupByKey]=OutputTable[[#This Row],[GroupByKey]])*OutputTable[RecordedValue])),0)</f>
        <v>16.263157894736842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3.3803698887540881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1.6292861329062698</v>
      </c>
      <c r="O133" s="5" cm="1">
        <f t="array" ref="O133">MIN(IF((OutputTable[GroupByKey]=OutputTable[[#This Row],[GroupByKey]]),(OutputTable[GroupByKey]=OutputTable[[#This Row],[GroupByKey]])*OutputTable[RecordedValue]))</f>
        <v>8</v>
      </c>
      <c r="P133" s="5" cm="1">
        <f t="array" ref="P133">MAX(IF((OutputTable[GroupByKey]=OutputTable[[#This Row],[GroupByKey]]),(OutputTable[GroupByKey]=OutputTable[[#This Row],[GroupByKey]])*OutputTable[RecordedValue]))</f>
        <v>22</v>
      </c>
    </row>
    <row r="134" spans="1:16" x14ac:dyDescent="0.25">
      <c r="A134" t="s">
        <v>67</v>
      </c>
      <c r="B134" t="s">
        <v>69</v>
      </c>
      <c r="C134">
        <v>7</v>
      </c>
      <c r="D134" t="s">
        <v>154</v>
      </c>
      <c r="E134" t="s">
        <v>145</v>
      </c>
      <c r="F134" t="s">
        <v>72</v>
      </c>
      <c r="G134">
        <v>111</v>
      </c>
      <c r="H134">
        <v>0</v>
      </c>
      <c r="I134" s="5" t="str">
        <f>OutputTable[[#This Row],[ProjectName]]&amp;OutputTable[[#This Row],[Name]]&amp;OutputTable[[#This Row],[Type]]&amp;OutputTable[[#This Row],[Source]]</f>
        <v>Friday (Solucion: datafono, gofre, cocina y caja compartida)Orden.NumberInNumber InEntity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19</v>
      </c>
      <c r="K134" s="5" cm="1">
        <f t="array" ref="K134">IFERROR(AVERAGE(IF((OutputTable[GroupByKey]=OutputTable[[#This Row],[GroupByKey]]),(OutputTable[GroupByKey]=OutputTable[[#This Row],[GroupByKey]])*OutputTable[RecordedValue])),0)</f>
        <v>121.89473684210526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9.971597090637573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134" s="5" cm="1">
        <f t="array" ref="O134">MIN(IF((OutputTable[GroupByKey]=OutputTable[[#This Row],[GroupByKey]]),(OutputTable[GroupByKey]=OutputTable[[#This Row],[GroupByKey]])*OutputTable[RecordedValue]))</f>
        <v>109</v>
      </c>
      <c r="P134" s="5" cm="1">
        <f t="array" ref="P134">MAX(IF((OutputTable[GroupByKey]=OutputTable[[#This Row],[GroupByKey]]),(OutputTable[GroupByKey]=OutputTable[[#This Row],[GroupByKey]])*OutputTable[RecordedValue]))</f>
        <v>143</v>
      </c>
    </row>
    <row r="135" spans="1:16" x14ac:dyDescent="0.25">
      <c r="A135" t="s">
        <v>67</v>
      </c>
      <c r="B135" t="s">
        <v>69</v>
      </c>
      <c r="C135">
        <v>7</v>
      </c>
      <c r="D135" t="s">
        <v>155</v>
      </c>
      <c r="E135" t="s">
        <v>147</v>
      </c>
      <c r="F135" t="s">
        <v>72</v>
      </c>
      <c r="G135">
        <v>112</v>
      </c>
      <c r="H135">
        <v>0</v>
      </c>
      <c r="I135" s="5" t="str">
        <f>OutputTable[[#This Row],[ProjectName]]&amp;OutputTable[[#This Row],[Name]]&amp;OutputTable[[#This Row],[Type]]&amp;OutputTable[[#This Row],[Source]]</f>
        <v>Friday (Solucion: datafono, gofre, cocina y caja compartida)Orden.NumberOutNumber OutEntity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19</v>
      </c>
      <c r="K135" s="5" cm="1">
        <f t="array" ref="K135">IFERROR(AVERAGE(IF((OutputTable[GroupByKey]=OutputTable[[#This Row],[GroupByKey]]),(OutputTable[GroupByKey]=OutputTable[[#This Row],[GroupByKey]])*OutputTable[RecordedValue])),0)</f>
        <v>122.36842105263158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10.160984894934533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135" s="5" cm="1">
        <f t="array" ref="O135">MIN(IF((OutputTable[GroupByKey]=OutputTable[[#This Row],[GroupByKey]]),(OutputTable[GroupByKey]=OutputTable[[#This Row],[GroupByKey]])*OutputTable[RecordedValue]))</f>
        <v>109</v>
      </c>
      <c r="P135" s="5" cm="1">
        <f t="array" ref="P135">MAX(IF((OutputTable[GroupByKey]=OutputTable[[#This Row],[GroupByKey]]),(OutputTable[GroupByKey]=OutputTable[[#This Row],[GroupByKey]])*OutputTable[RecordedValue]))</f>
        <v>150</v>
      </c>
    </row>
    <row r="136" spans="1:16" x14ac:dyDescent="0.25">
      <c r="A136" t="s">
        <v>67</v>
      </c>
      <c r="B136" t="s">
        <v>69</v>
      </c>
      <c r="C136">
        <v>7</v>
      </c>
      <c r="D136" t="s">
        <v>156</v>
      </c>
      <c r="E136" t="s">
        <v>149</v>
      </c>
      <c r="F136" t="s">
        <v>86</v>
      </c>
      <c r="G136">
        <v>139.22471453685199</v>
      </c>
      <c r="H136">
        <v>0</v>
      </c>
      <c r="I136" s="5" t="str">
        <f>OutputTable[[#This Row],[ProjectName]]&amp;OutputTable[[#This Row],[Name]]&amp;OutputTable[[#This Row],[Type]]&amp;OutputTable[[#This Row],[Source]]</f>
        <v>Friday (Solucion: datafono, gofre, cocina y caja compartida)Preparacion Accum VA TimeAccum VA TimeProcess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19</v>
      </c>
      <c r="K136" s="5" cm="1">
        <f t="array" ref="K136">IFERROR(AVERAGE(IF((OutputTable[GroupByKey]=OutputTable[[#This Row],[GroupByKey]]),(OutputTable[GroupByKey]=OutputTable[[#This Row],[GroupByKey]])*OutputTable[RecordedValue])),0)</f>
        <v>174.13537587676447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19.65074675456297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9.4713567574295272</v>
      </c>
      <c r="O136" s="5" cm="1">
        <f t="array" ref="O136">MIN(IF((OutputTable[GroupByKey]=OutputTable[[#This Row],[GroupByKey]]),(OutputTable[GroupByKey]=OutputTable[[#This Row],[GroupByKey]])*OutputTable[RecordedValue]))</f>
        <v>139.22471453685199</v>
      </c>
      <c r="P136" s="5" cm="1">
        <f t="array" ref="P136">MAX(IF((OutputTable[GroupByKey]=OutputTable[[#This Row],[GroupByKey]]),(OutputTable[GroupByKey]=OutputTable[[#This Row],[GroupByKey]])*OutputTable[RecordedValue]))</f>
        <v>210.18722493890999</v>
      </c>
    </row>
    <row r="137" spans="1:16" x14ac:dyDescent="0.25">
      <c r="A137" t="s">
        <v>67</v>
      </c>
      <c r="B137" t="s">
        <v>69</v>
      </c>
      <c r="C137">
        <v>7</v>
      </c>
      <c r="D137" t="s">
        <v>157</v>
      </c>
      <c r="E137" t="s">
        <v>151</v>
      </c>
      <c r="F137" t="s">
        <v>86</v>
      </c>
      <c r="G137">
        <v>44.997053936535998</v>
      </c>
      <c r="H137">
        <v>0</v>
      </c>
      <c r="I137" s="5" t="str">
        <f>OutputTable[[#This Row],[ProjectName]]&amp;OutputTable[[#This Row],[Name]]&amp;OutputTable[[#This Row],[Type]]&amp;OutputTable[[#This Row],[Source]]</f>
        <v>Friday (Solucion: datafono, gofre, cocina y caja compartida)Preparacion Accum Wait TimeAccum Wait TimeProcess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19</v>
      </c>
      <c r="K137" s="5" cm="1">
        <f t="array" ref="K137">IFERROR(AVERAGE(IF((OutputTable[GroupByKey]=OutputTable[[#This Row],[GroupByKey]]),(OutputTable[GroupByKey]=OutputTable[[#This Row],[GroupByKey]])*OutputTable[RecordedValue])),0)</f>
        <v>89.754366677107924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109.53061123574736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52.79206474085742</v>
      </c>
      <c r="O137" s="5" cm="1">
        <f t="array" ref="O137">MIN(IF((OutputTable[GroupByKey]=OutputTable[[#This Row],[GroupByKey]]),(OutputTable[GroupByKey]=OutputTable[[#This Row],[GroupByKey]])*OutputTable[RecordedValue]))</f>
        <v>22.316256244919199</v>
      </c>
      <c r="P137" s="5" cm="1">
        <f t="array" ref="P137">MAX(IF((OutputTable[GroupByKey]=OutputTable[[#This Row],[GroupByKey]]),(OutputTable[GroupByKey]=OutputTable[[#This Row],[GroupByKey]])*OutputTable[RecordedValue]))</f>
        <v>514.987116007179</v>
      </c>
    </row>
    <row r="138" spans="1:16" x14ac:dyDescent="0.25">
      <c r="A138" t="s">
        <v>67</v>
      </c>
      <c r="B138" t="s">
        <v>69</v>
      </c>
      <c r="C138">
        <v>7</v>
      </c>
      <c r="D138" t="s">
        <v>158</v>
      </c>
      <c r="E138" t="s">
        <v>145</v>
      </c>
      <c r="F138" t="s">
        <v>86</v>
      </c>
      <c r="G138">
        <v>111</v>
      </c>
      <c r="H138">
        <v>0</v>
      </c>
      <c r="I138" s="5" t="str">
        <f>OutputTable[[#This Row],[ProjectName]]&amp;OutputTable[[#This Row],[Name]]&amp;OutputTable[[#This Row],[Type]]&amp;OutputTable[[#This Row],[Source]]</f>
        <v>Friday (Solucion: datafono, gofre, cocina y caja compartida)Preparacion Number InNumber InProcess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19</v>
      </c>
      <c r="K138" s="5" cm="1">
        <f t="array" ref="K138">IFERROR(AVERAGE(IF((OutputTable[GroupByKey]=OutputTable[[#This Row],[GroupByKey]]),(OutputTable[GroupByKey]=OutputTable[[#This Row],[GroupByKey]])*OutputTable[RecordedValue])),0)</f>
        <v>121.89473684210526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9.971597090637573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138" s="5" cm="1">
        <f t="array" ref="O138">MIN(IF((OutputTable[GroupByKey]=OutputTable[[#This Row],[GroupByKey]]),(OutputTable[GroupByKey]=OutputTable[[#This Row],[GroupByKey]])*OutputTable[RecordedValue]))</f>
        <v>109</v>
      </c>
      <c r="P138" s="5" cm="1">
        <f t="array" ref="P138">MAX(IF((OutputTable[GroupByKey]=OutputTable[[#This Row],[GroupByKey]]),(OutputTable[GroupByKey]=OutputTable[[#This Row],[GroupByKey]])*OutputTable[RecordedValue]))</f>
        <v>143</v>
      </c>
    </row>
    <row r="139" spans="1:16" x14ac:dyDescent="0.25">
      <c r="A139" t="s">
        <v>67</v>
      </c>
      <c r="B139" t="s">
        <v>69</v>
      </c>
      <c r="C139">
        <v>7</v>
      </c>
      <c r="D139" t="s">
        <v>159</v>
      </c>
      <c r="E139" t="s">
        <v>147</v>
      </c>
      <c r="F139" t="s">
        <v>86</v>
      </c>
      <c r="G139">
        <v>114</v>
      </c>
      <c r="H139">
        <v>0</v>
      </c>
      <c r="I139" s="5" t="str">
        <f>OutputTable[[#This Row],[ProjectName]]&amp;OutputTable[[#This Row],[Name]]&amp;OutputTable[[#This Row],[Type]]&amp;OutputTable[[#This Row],[Source]]</f>
        <v>Friday (Solucion: datafono, gofre, cocina y caja compartida)Preparacion Number OutNumber OutProcess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19</v>
      </c>
      <c r="K139" s="5" cm="1">
        <f t="array" ref="K139">IFERROR(AVERAGE(IF((OutputTable[GroupByKey]=OutputTable[[#This Row],[GroupByKey]]),(OutputTable[GroupByKey]=OutputTable[[#This Row],[GroupByKey]])*OutputTable[RecordedValue])),0)</f>
        <v>122.31578947368421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10.127260414780096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4.8811832731752718</v>
      </c>
      <c r="O139" s="5" cm="1">
        <f t="array" ref="O139">MIN(IF((OutputTable[GroupByKey]=OutputTable[[#This Row],[GroupByKey]]),(OutputTable[GroupByKey]=OutputTable[[#This Row],[GroupByKey]])*OutputTable[RecordedValue]))</f>
        <v>111</v>
      </c>
      <c r="P139" s="5" cm="1">
        <f t="array" ref="P139">MAX(IF((OutputTable[GroupByKey]=OutputTable[[#This Row],[GroupByKey]]),(OutputTable[GroupByKey]=OutputTable[[#This Row],[GroupByKey]])*OutputTable[RecordedValue]))</f>
        <v>150</v>
      </c>
    </row>
    <row r="140" spans="1:16" x14ac:dyDescent="0.25">
      <c r="A140" t="s">
        <v>67</v>
      </c>
      <c r="B140" t="s">
        <v>69</v>
      </c>
      <c r="C140">
        <v>7</v>
      </c>
      <c r="D140" t="s">
        <v>160</v>
      </c>
      <c r="E140" t="s">
        <v>147</v>
      </c>
      <c r="F140" t="s">
        <v>161</v>
      </c>
      <c r="G140">
        <v>115</v>
      </c>
      <c r="H140">
        <v>0</v>
      </c>
      <c r="I140" s="5" t="str">
        <f>OutputTable[[#This Row],[ProjectName]]&amp;OutputTable[[#This Row],[Name]]&amp;OutputTable[[#This Row],[Type]]&amp;OutputTable[[#This Row],[Source]]</f>
        <v>Friday (Solucion: datafono, gofre, cocina y caja compartida)System.NumberOutNumber OutSystem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19</v>
      </c>
      <c r="K140" s="5" cm="1">
        <f t="array" ref="K140">IFERROR(AVERAGE(IF((OutputTable[GroupByKey]=OutputTable[[#This Row],[GroupByKey]]),(OutputTable[GroupByKey]=OutputTable[[#This Row],[GroupByKey]])*OutputTable[RecordedValue])),0)</f>
        <v>125.36842105263158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10.160984894934533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140" s="5" cm="1">
        <f t="array" ref="O140">MIN(IF((OutputTable[GroupByKey]=OutputTable[[#This Row],[GroupByKey]]),(OutputTable[GroupByKey]=OutputTable[[#This Row],[GroupByKey]])*OutputTable[RecordedValue]))</f>
        <v>112</v>
      </c>
      <c r="P140" s="5" cm="1">
        <f t="array" ref="P140">MAX(IF((OutputTable[GroupByKey]=OutputTable[[#This Row],[GroupByKey]]),(OutputTable[GroupByKey]=OutputTable[[#This Row],[GroupByKey]])*OutputTable[RecordedValue]))</f>
        <v>153</v>
      </c>
    </row>
    <row r="141" spans="1:16" x14ac:dyDescent="0.25">
      <c r="A141" t="s">
        <v>67</v>
      </c>
      <c r="B141" t="s">
        <v>69</v>
      </c>
      <c r="C141">
        <v>7</v>
      </c>
      <c r="D141" t="s">
        <v>162</v>
      </c>
      <c r="E141" t="s">
        <v>163</v>
      </c>
      <c r="F141" t="s">
        <v>136</v>
      </c>
      <c r="G141">
        <v>120</v>
      </c>
      <c r="H141">
        <v>0</v>
      </c>
      <c r="I141" s="5" t="str">
        <f>OutputTable[[#This Row],[ProjectName]]&amp;OutputTable[[#This Row],[Name]]&amp;OutputTable[[#This Row],[Type]]&amp;OutputTable[[#This Row],[Source]]</f>
        <v>Friday (Solucion: datafono, gofre, cocina y caja compartida)rCajero.NumberSeizedTotal Number SeizedResource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19</v>
      </c>
      <c r="K141" s="5" cm="1">
        <f t="array" ref="K141">IFERROR(AVERAGE(IF((OutputTable[GroupByKey]=OutputTable[[#This Row],[GroupByKey]]),(OutputTable[GroupByKey]=OutputTable[[#This Row],[GroupByKey]])*OutputTable[RecordedValue])),0)</f>
        <v>131.63157894736841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13.988926280438102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6.7424466413544986</v>
      </c>
      <c r="O141" s="5" cm="1">
        <f t="array" ref="O141">MIN(IF((OutputTable[GroupByKey]=OutputTable[[#This Row],[GroupByKey]]),(OutputTable[GroupByKey]=OutputTable[[#This Row],[GroupByKey]])*OutputTable[RecordedValue]))</f>
        <v>113</v>
      </c>
      <c r="P141" s="5" cm="1">
        <f t="array" ref="P141">MAX(IF((OutputTable[GroupByKey]=OutputTable[[#This Row],[GroupByKey]]),(OutputTable[GroupByKey]=OutputTable[[#This Row],[GroupByKey]])*OutputTable[RecordedValue]))</f>
        <v>157</v>
      </c>
    </row>
    <row r="142" spans="1:16" x14ac:dyDescent="0.25">
      <c r="A142" t="s">
        <v>67</v>
      </c>
      <c r="B142" t="s">
        <v>69</v>
      </c>
      <c r="C142">
        <v>7</v>
      </c>
      <c r="D142" t="s">
        <v>164</v>
      </c>
      <c r="E142" t="s">
        <v>165</v>
      </c>
      <c r="F142" t="s">
        <v>136</v>
      </c>
      <c r="G142">
        <v>0.59592290927233305</v>
      </c>
      <c r="H142">
        <v>0</v>
      </c>
      <c r="I142" s="5" t="str">
        <f>OutputTable[[#This Row],[ProjectName]]&amp;OutputTable[[#This Row],[Name]]&amp;OutputTable[[#This Row],[Type]]&amp;OutputTable[[#This Row],[Source]]</f>
        <v>Friday (Solucion: datafono, gofre, cocina y caja compartida)rCajero.ScheduledUtilizationScheduled UtilizationResource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19</v>
      </c>
      <c r="K142" s="5" cm="1">
        <f t="array" ref="K142">IFERROR(AVERAGE(IF((OutputTable[GroupByKey]=OutputTable[[#This Row],[GroupByKey]]),(OutputTable[GroupByKey]=OutputTable[[#This Row],[GroupByKey]])*OutputTable[RecordedValue])),0)</f>
        <v>0.68474836505339687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6.2272947935973065E-2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3.0014600137344902E-2</v>
      </c>
      <c r="O142" s="5" cm="1">
        <f t="array" ref="O142">MIN(IF((OutputTable[GroupByKey]=OutputTable[[#This Row],[GroupByKey]]),(OutputTable[GroupByKey]=OutputTable[[#This Row],[GroupByKey]])*OutputTable[RecordedValue]))</f>
        <v>0.59592290927233305</v>
      </c>
      <c r="P142" s="5" cm="1">
        <f t="array" ref="P142">MAX(IF((OutputTable[GroupByKey]=OutputTable[[#This Row],[GroupByKey]]),(OutputTable[GroupByKey]=OutputTable[[#This Row],[GroupByKey]])*OutputTable[RecordedValue]))</f>
        <v>0.82897119936997599</v>
      </c>
    </row>
    <row r="143" spans="1:16" x14ac:dyDescent="0.25">
      <c r="A143" t="s">
        <v>67</v>
      </c>
      <c r="B143" t="s">
        <v>69</v>
      </c>
      <c r="C143">
        <v>7</v>
      </c>
      <c r="D143" t="s">
        <v>166</v>
      </c>
      <c r="E143" t="s">
        <v>163</v>
      </c>
      <c r="F143" t="s">
        <v>136</v>
      </c>
      <c r="G143">
        <v>103</v>
      </c>
      <c r="H143">
        <v>0</v>
      </c>
      <c r="I143" s="5" t="str">
        <f>OutputTable[[#This Row],[ProjectName]]&amp;OutputTable[[#This Row],[Name]]&amp;OutputTable[[#This Row],[Type]]&amp;OutputTable[[#This Row],[Source]]</f>
        <v>Friday (Solucion: datafono, gofre, cocina y caja compartida)rCocina.NumberSeizedTotal Number SeizedResource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19</v>
      </c>
      <c r="K143" s="5" cm="1">
        <f t="array" ref="K143">IFERROR(AVERAGE(IF((OutputTable[GroupByKey]=OutputTable[[#This Row],[GroupByKey]]),(OutputTable[GroupByKey]=OutputTable[[#This Row],[GroupByKey]])*OutputTable[RecordedValue])),0)</f>
        <v>112.73684210526316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9.1155673027772668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4.3935628019284003</v>
      </c>
      <c r="O143" s="5" cm="1">
        <f t="array" ref="O143">MIN(IF((OutputTable[GroupByKey]=OutputTable[[#This Row],[GroupByKey]]),(OutputTable[GroupByKey]=OutputTable[[#This Row],[GroupByKey]])*OutputTable[RecordedValue]))</f>
        <v>102</v>
      </c>
      <c r="P143" s="5" cm="1">
        <f t="array" ref="P143">MAX(IF((OutputTable[GroupByKey]=OutputTable[[#This Row],[GroupByKey]]),(OutputTable[GroupByKey]=OutputTable[[#This Row],[GroupByKey]])*OutputTable[RecordedValue]))</f>
        <v>135</v>
      </c>
    </row>
    <row r="144" spans="1:16" x14ac:dyDescent="0.25">
      <c r="A144" t="s">
        <v>67</v>
      </c>
      <c r="B144" t="s">
        <v>69</v>
      </c>
      <c r="C144">
        <v>7</v>
      </c>
      <c r="D144" t="s">
        <v>167</v>
      </c>
      <c r="E144" t="s">
        <v>165</v>
      </c>
      <c r="F144" t="s">
        <v>136</v>
      </c>
      <c r="G144">
        <v>0.60463940272025996</v>
      </c>
      <c r="H144">
        <v>0</v>
      </c>
      <c r="I144" s="5" t="str">
        <f>OutputTable[[#This Row],[ProjectName]]&amp;OutputTable[[#This Row],[Name]]&amp;OutputTable[[#This Row],[Type]]&amp;OutputTable[[#This Row],[Source]]</f>
        <v>Friday (Solucion: datafono, gofre, cocina y caja compartida)rCocina.ScheduledUtilizationScheduled UtilizationResource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19</v>
      </c>
      <c r="K144" s="5" cm="1">
        <f t="array" ref="K144">IFERROR(AVERAGE(IF((OutputTable[GroupByKey]=OutputTable[[#This Row],[GroupByKey]]),(OutputTable[GroupByKey]=OutputTable[[#This Row],[GroupByKey]])*OutputTable[RecordedValue])),0)</f>
        <v>0.71670342302257706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7.0907274842727658E-2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3.4176212493127585E-2</v>
      </c>
      <c r="O144" s="5" cm="1">
        <f t="array" ref="O144">MIN(IF((OutputTable[GroupByKey]=OutputTable[[#This Row],[GroupByKey]]),(OutputTable[GroupByKey]=OutputTable[[#This Row],[GroupByKey]])*OutputTable[RecordedValue]))</f>
        <v>0.60463940272025996</v>
      </c>
      <c r="P144" s="5" cm="1">
        <f t="array" ref="P144">MAX(IF((OutputTable[GroupByKey]=OutputTable[[#This Row],[GroupByKey]]),(OutputTable[GroupByKey]=OutputTable[[#This Row],[GroupByKey]])*OutputTable[RecordedValue]))</f>
        <v>0.86361037821575004</v>
      </c>
    </row>
    <row r="145" spans="1:16" x14ac:dyDescent="0.25">
      <c r="A145" t="s">
        <v>67</v>
      </c>
      <c r="B145" t="s">
        <v>69</v>
      </c>
      <c r="C145">
        <v>7</v>
      </c>
      <c r="D145" t="s">
        <v>168</v>
      </c>
      <c r="E145" t="s">
        <v>163</v>
      </c>
      <c r="F145" t="s">
        <v>136</v>
      </c>
      <c r="G145">
        <v>21</v>
      </c>
      <c r="H145">
        <v>0</v>
      </c>
      <c r="I145" s="5" t="str">
        <f>OutputTable[[#This Row],[ProjectName]]&amp;OutputTable[[#This Row],[Name]]&amp;OutputTable[[#This Row],[Type]]&amp;OutputTable[[#This Row],[Source]]</f>
        <v>Friday (Solucion: datafono, gofre, cocina y caja compartida)rMesa.NumberSeizedTotal Number SeizedResource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19</v>
      </c>
      <c r="K145" s="5" cm="1">
        <f t="array" ref="K145">IFERROR(AVERAGE(IF((OutputTable[GroupByKey]=OutputTable[[#This Row],[GroupByKey]]),(OutputTable[GroupByKey]=OutputTable[[#This Row],[GroupByKey]])*OutputTable[RecordedValue])),0)</f>
        <v>16.157894736842106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3.8044295512634076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145" s="5" cm="1">
        <f t="array" ref="O145">MIN(IF((OutputTable[GroupByKey]=OutputTable[[#This Row],[GroupByKey]]),(OutputTable[GroupByKey]=OutputTable[[#This Row],[GroupByKey]])*OutputTable[RecordedValue]))</f>
        <v>9</v>
      </c>
      <c r="P145" s="5" cm="1">
        <f t="array" ref="P145">MAX(IF((OutputTable[GroupByKey]=OutputTable[[#This Row],[GroupByKey]]),(OutputTable[GroupByKey]=OutputTable[[#This Row],[GroupByKey]])*OutputTable[RecordedValue]))</f>
        <v>24</v>
      </c>
    </row>
    <row r="146" spans="1:16" x14ac:dyDescent="0.25">
      <c r="A146" t="s">
        <v>67</v>
      </c>
      <c r="B146" t="s">
        <v>69</v>
      </c>
      <c r="C146">
        <v>7</v>
      </c>
      <c r="D146" t="s">
        <v>169</v>
      </c>
      <c r="E146" t="s">
        <v>165</v>
      </c>
      <c r="F146" t="s">
        <v>136</v>
      </c>
      <c r="G146">
        <v>0.323274100726959</v>
      </c>
      <c r="H146">
        <v>0</v>
      </c>
      <c r="I146" s="5" t="str">
        <f>OutputTable[[#This Row],[ProjectName]]&amp;OutputTable[[#This Row],[Name]]&amp;OutputTable[[#This Row],[Type]]&amp;OutputTable[[#This Row],[Source]]</f>
        <v>Friday (Solucion: datafono, gofre, cocina y caja compartida)rMesa.ScheduledUtilizationScheduled UtilizationResource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19</v>
      </c>
      <c r="K146" s="5" cm="1">
        <f t="array" ref="K146">IFERROR(AVERAGE(IF((OutputTable[GroupByKey]=OutputTable[[#This Row],[GroupByKey]]),(OutputTable[GroupByKey]=OutputTable[[#This Row],[GroupByKey]])*OutputTable[RecordedValue])),0)</f>
        <v>0.30850610959128744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6.2586127702931107E-2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3.0165547953176861E-2</v>
      </c>
      <c r="O146" s="5" cm="1">
        <f t="array" ref="O146">MIN(IF((OutputTable[GroupByKey]=OutputTable[[#This Row],[GroupByKey]]),(OutputTable[GroupByKey]=OutputTable[[#This Row],[GroupByKey]])*OutputTable[RecordedValue]))</f>
        <v>0.156206445320244</v>
      </c>
      <c r="P146" s="5" cm="1">
        <f t="array" ref="P146">MAX(IF((OutputTable[GroupByKey]=OutputTable[[#This Row],[GroupByKey]]),(OutputTable[GroupByKey]=OutputTable[[#This Row],[GroupByKey]])*OutputTable[RecordedValue]))</f>
        <v>0.44942505379986802</v>
      </c>
    </row>
    <row r="147" spans="1:16" x14ac:dyDescent="0.25">
      <c r="A147" t="s">
        <v>67</v>
      </c>
      <c r="B147" t="s">
        <v>69</v>
      </c>
      <c r="C147">
        <v>7</v>
      </c>
      <c r="D147" t="s">
        <v>170</v>
      </c>
      <c r="E147" t="s">
        <v>145</v>
      </c>
      <c r="F147" t="s">
        <v>72</v>
      </c>
      <c r="G147">
        <v>3</v>
      </c>
      <c r="H147">
        <v>0</v>
      </c>
      <c r="I147" s="5" t="str">
        <f>OutputTable[[#This Row],[ProjectName]]&amp;OutputTable[[#This Row],[Name]]&amp;OutputTable[[#This Row],[Type]]&amp;OutputTable[[#This Row],[Source]]</f>
        <v>Friday (Solucion: datafono, gofre, cocina y caja compartida)reloj.NumberInNumber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19</v>
      </c>
      <c r="K147" s="5" cm="1">
        <f t="array" ref="K147">IFERROR(AVERAGE(IF((OutputTable[GroupByKey]=OutputTable[[#This Row],[GroupByKey]]),(OutputTable[GroupByKey]=OutputTable[[#This Row],[GroupByKey]])*OutputTable[RecordedValue])),0)</f>
        <v>3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0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" s="5" cm="1">
        <f t="array" ref="O147">MIN(IF((OutputTable[GroupByKey]=OutputTable[[#This Row],[GroupByKey]]),(OutputTable[GroupByKey]=OutputTable[[#This Row],[GroupByKey]])*OutputTable[RecordedValue]))</f>
        <v>3</v>
      </c>
      <c r="P147" s="5" cm="1">
        <f t="array" ref="P147">MAX(IF((OutputTable[GroupByKey]=OutputTable[[#This Row],[GroupByKey]]),(OutputTable[GroupByKey]=OutputTable[[#This Row],[GroupByKey]])*OutputTable[RecordedValue]))</f>
        <v>3</v>
      </c>
    </row>
    <row r="148" spans="1:16" x14ac:dyDescent="0.25">
      <c r="A148" t="s">
        <v>67</v>
      </c>
      <c r="B148" t="s">
        <v>69</v>
      </c>
      <c r="C148">
        <v>7</v>
      </c>
      <c r="D148" t="s">
        <v>171</v>
      </c>
      <c r="E148" t="s">
        <v>147</v>
      </c>
      <c r="F148" t="s">
        <v>72</v>
      </c>
      <c r="G148">
        <v>3</v>
      </c>
      <c r="H148">
        <v>0</v>
      </c>
      <c r="I148" s="5" t="str">
        <f>OutputTable[[#This Row],[ProjectName]]&amp;OutputTable[[#This Row],[Name]]&amp;OutputTable[[#This Row],[Type]]&amp;OutputTable[[#This Row],[Source]]</f>
        <v>Friday (Solucion: datafono, gofre, cocina y caja compartida)reloj.NumberOutNumber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19</v>
      </c>
      <c r="K148" s="5" cm="1">
        <f t="array" ref="K148">IFERROR(AVERAGE(IF((OutputTable[GroupByKey]=OutputTable[[#This Row],[GroupByKey]]),(OutputTable[GroupByKey]=OutputTable[[#This Row],[GroupByKey]])*OutputTable[RecordedValue])),0)</f>
        <v>3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0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" s="5" cm="1">
        <f t="array" ref="O148">MIN(IF((OutputTable[GroupByKey]=OutputTable[[#This Row],[GroupByKey]]),(OutputTable[GroupByKey]=OutputTable[[#This Row],[GroupByKey]])*OutputTable[RecordedValue]))</f>
        <v>3</v>
      </c>
      <c r="P148" s="5" cm="1">
        <f t="array" ref="P148">MAX(IF((OutputTable[GroupByKey]=OutputTable[[#This Row],[GroupByKey]]),(OutputTable[GroupByKey]=OutputTable[[#This Row],[GroupByKey]])*OutputTable[RecordedValue]))</f>
        <v>3</v>
      </c>
    </row>
    <row r="149" spans="1:16" x14ac:dyDescent="0.25">
      <c r="A149" t="s">
        <v>67</v>
      </c>
      <c r="B149" t="s">
        <v>69</v>
      </c>
      <c r="C149">
        <v>8</v>
      </c>
      <c r="D149" t="s">
        <v>144</v>
      </c>
      <c r="E149" t="s">
        <v>145</v>
      </c>
      <c r="F149" t="s">
        <v>72</v>
      </c>
      <c r="G149">
        <v>409</v>
      </c>
      <c r="H149">
        <v>0</v>
      </c>
      <c r="I149" s="5" t="str">
        <f>OutputTable[[#This Row],[ProjectName]]&amp;OutputTable[[#This Row],[Name]]&amp;OutputTable[[#This Row],[Type]]&amp;OutputTable[[#This Row],[Source]]</f>
        <v>Friday (Solucion: datafono, gofre, cocina y caja compartida)Cliente.NumberInNumber InEntity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19</v>
      </c>
      <c r="K149" s="5" cm="1">
        <f t="array" ref="K149">IFERROR(AVERAGE(IF((OutputTable[GroupByKey]=OutputTable[[#This Row],[GroupByKey]]),(OutputTable[GroupByKey]=OutputTable[[#This Row],[GroupByKey]])*OutputTable[RecordedValue])),0)</f>
        <v>366.21052631578948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28.665850661580702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13.816497752584581</v>
      </c>
      <c r="O149" s="5" cm="1">
        <f t="array" ref="O149">MIN(IF((OutputTable[GroupByKey]=OutputTable[[#This Row],[GroupByKey]]),(OutputTable[GroupByKey]=OutputTable[[#This Row],[GroupByKey]])*OutputTable[RecordedValue]))</f>
        <v>331</v>
      </c>
      <c r="P149" s="5" cm="1">
        <f t="array" ref="P149">MAX(IF((OutputTable[GroupByKey]=OutputTable[[#This Row],[GroupByKey]]),(OutputTable[GroupByKey]=OutputTable[[#This Row],[GroupByKey]])*OutputTable[RecordedValue]))</f>
        <v>427</v>
      </c>
    </row>
    <row r="150" spans="1:16" x14ac:dyDescent="0.25">
      <c r="A150" t="s">
        <v>67</v>
      </c>
      <c r="B150" t="s">
        <v>69</v>
      </c>
      <c r="C150">
        <v>8</v>
      </c>
      <c r="D150" t="s">
        <v>146</v>
      </c>
      <c r="E150" t="s">
        <v>147</v>
      </c>
      <c r="F150" t="s">
        <v>72</v>
      </c>
      <c r="G150">
        <v>406</v>
      </c>
      <c r="H150">
        <v>0</v>
      </c>
      <c r="I150" s="5" t="str">
        <f>OutputTable[[#This Row],[ProjectName]]&amp;OutputTable[[#This Row],[Name]]&amp;OutputTable[[#This Row],[Type]]&amp;OutputTable[[#This Row],[Source]]</f>
        <v>Friday (Solucion: datafono, gofre, cocina y caja compartida)Cliente.NumberOutNumber OutEntity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19</v>
      </c>
      <c r="K150" s="5" cm="1">
        <f t="array" ref="K150">IFERROR(AVERAGE(IF((OutputTable[GroupByKey]=OutputTable[[#This Row],[GroupByKey]]),(OutputTable[GroupByKey]=OutputTable[[#This Row],[GroupByKey]])*OutputTable[RecordedValue])),0)</f>
        <v>366.63157894736844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29.957767544617038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14.439181758083874</v>
      </c>
      <c r="O150" s="5" cm="1">
        <f t="array" ref="O150">MIN(IF((OutputTable[GroupByKey]=OutputTable[[#This Row],[GroupByKey]]),(OutputTable[GroupByKey]=OutputTable[[#This Row],[GroupByKey]])*OutputTable[RecordedValue]))</f>
        <v>329</v>
      </c>
      <c r="P150" s="5" cm="1">
        <f t="array" ref="P150">MAX(IF((OutputTable[GroupByKey]=OutputTable[[#This Row],[GroupByKey]]),(OutputTable[GroupByKey]=OutputTable[[#This Row],[GroupByKey]])*OutputTable[RecordedValue]))</f>
        <v>443</v>
      </c>
    </row>
    <row r="151" spans="1:16" x14ac:dyDescent="0.25">
      <c r="A151" t="s">
        <v>67</v>
      </c>
      <c r="B151" t="s">
        <v>69</v>
      </c>
      <c r="C151">
        <v>8</v>
      </c>
      <c r="D151" t="s">
        <v>148</v>
      </c>
      <c r="E151" t="s">
        <v>149</v>
      </c>
      <c r="F151" t="s">
        <v>86</v>
      </c>
      <c r="G151">
        <v>283.58952750524401</v>
      </c>
      <c r="H151">
        <v>0</v>
      </c>
      <c r="I151" s="5" t="str">
        <f>OutputTable[[#This Row],[ProjectName]]&amp;OutputTable[[#This Row],[Name]]&amp;OutputTable[[#This Row],[Type]]&amp;OutputTable[[#This Row],[Source]]</f>
        <v>Friday (Solucion: datafono, gofre, cocina y caja compartida)Comer en Mesa Accum VA TimeAccum VA TimeProcess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19</v>
      </c>
      <c r="K151" s="5" cm="1">
        <f t="array" ref="K151">IFERROR(AVERAGE(IF((OutputTable[GroupByKey]=OutputTable[[#This Row],[GroupByKey]]),(OutputTable[GroupByKey]=OutputTable[[#This Row],[GroupByKey]])*OutputTable[RecordedValue])),0)</f>
        <v>283.12549562397913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55.763238037894645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26.877020400444863</v>
      </c>
      <c r="O151" s="5" cm="1">
        <f t="array" ref="O151">MIN(IF((OutputTable[GroupByKey]=OutputTable[[#This Row],[GroupByKey]]),(OutputTable[GroupByKey]=OutputTable[[#This Row],[GroupByKey]])*OutputTable[RecordedValue]))</f>
        <v>157.05073652574001</v>
      </c>
      <c r="P151" s="5" cm="1">
        <f t="array" ref="P151">MAX(IF((OutputTable[GroupByKey]=OutputTable[[#This Row],[GroupByKey]]),(OutputTable[GroupByKey]=OutputTable[[#This Row],[GroupByKey]])*OutputTable[RecordedValue]))</f>
        <v>402.97015039838902</v>
      </c>
    </row>
    <row r="152" spans="1:16" x14ac:dyDescent="0.25">
      <c r="A152" t="s">
        <v>67</v>
      </c>
      <c r="B152" t="s">
        <v>69</v>
      </c>
      <c r="C152">
        <v>8</v>
      </c>
      <c r="D152" t="s">
        <v>150</v>
      </c>
      <c r="E152" t="s">
        <v>151</v>
      </c>
      <c r="F152" t="s">
        <v>86</v>
      </c>
      <c r="G152">
        <v>0</v>
      </c>
      <c r="H152">
        <v>0</v>
      </c>
      <c r="I152" s="5" t="str">
        <f>OutputTable[[#This Row],[ProjectName]]&amp;OutputTable[[#This Row],[Name]]&amp;OutputTable[[#This Row],[Type]]&amp;OutputTable[[#This Row],[Source]]</f>
        <v>Friday (Solucion: datafono, gofre, cocina y caja compartida)Comer en Mesa Accum Wait TimeAccum Wait TimeProcess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19</v>
      </c>
      <c r="K152" s="5" cm="1">
        <f t="array" ref="K152">IFERROR(AVERAGE(IF((OutputTable[GroupByKey]=OutputTable[[#This Row],[GroupByKey]]),(OutputTable[GroupByKey]=OutputTable[[#This Row],[GroupByKey]])*OutputTable[RecordedValue])),0)</f>
        <v>0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0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2" s="5" cm="1">
        <f t="array" ref="O152">MIN(IF((OutputTable[GroupByKey]=OutputTable[[#This Row],[GroupByKey]]),(OutputTable[GroupByKey]=OutputTable[[#This Row],[GroupByKey]])*OutputTable[RecordedValue]))</f>
        <v>0</v>
      </c>
      <c r="P152" s="5" cm="1">
        <f t="array" ref="P152">MAX(IF((OutputTable[GroupByKey]=OutputTable[[#This Row],[GroupByKey]]),(OutputTable[GroupByKey]=OutputTable[[#This Row],[GroupByKey]])*OutputTable[RecordedValue]))</f>
        <v>0</v>
      </c>
    </row>
    <row r="153" spans="1:16" x14ac:dyDescent="0.25">
      <c r="A153" t="s">
        <v>67</v>
      </c>
      <c r="B153" t="s">
        <v>69</v>
      </c>
      <c r="C153">
        <v>8</v>
      </c>
      <c r="D153" t="s">
        <v>152</v>
      </c>
      <c r="E153" t="s">
        <v>145</v>
      </c>
      <c r="F153" t="s">
        <v>86</v>
      </c>
      <c r="G153">
        <v>17</v>
      </c>
      <c r="H153">
        <v>0</v>
      </c>
      <c r="I153" s="5" t="str">
        <f>OutputTable[[#This Row],[ProjectName]]&amp;OutputTable[[#This Row],[Name]]&amp;OutputTable[[#This Row],[Type]]&amp;OutputTable[[#This Row],[Source]]</f>
        <v>Friday (Solucion: datafono, gofre, cocina y caja compartida)Comer en Mesa Number InNumber InProcess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19</v>
      </c>
      <c r="K153" s="5" cm="1">
        <f t="array" ref="K153">IFERROR(AVERAGE(IF((OutputTable[GroupByKey]=OutputTable[[#This Row],[GroupByKey]]),(OutputTable[GroupByKey]=OutputTable[[#This Row],[GroupByKey]])*OutputTable[RecordedValue])),0)</f>
        <v>16.157894736842106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3.8044295512634076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153" s="5" cm="1">
        <f t="array" ref="O153">MIN(IF((OutputTable[GroupByKey]=OutputTable[[#This Row],[GroupByKey]]),(OutputTable[GroupByKey]=OutputTable[[#This Row],[GroupByKey]])*OutputTable[RecordedValue]))</f>
        <v>9</v>
      </c>
      <c r="P153" s="5" cm="1">
        <f t="array" ref="P153">MAX(IF((OutputTable[GroupByKey]=OutputTable[[#This Row],[GroupByKey]]),(OutputTable[GroupByKey]=OutputTable[[#This Row],[GroupByKey]])*OutputTable[RecordedValue]))</f>
        <v>24</v>
      </c>
    </row>
    <row r="154" spans="1:16" x14ac:dyDescent="0.25">
      <c r="A154" t="s">
        <v>67</v>
      </c>
      <c r="B154" t="s">
        <v>69</v>
      </c>
      <c r="C154">
        <v>8</v>
      </c>
      <c r="D154" t="s">
        <v>153</v>
      </c>
      <c r="E154" t="s">
        <v>147</v>
      </c>
      <c r="F154" t="s">
        <v>86</v>
      </c>
      <c r="G154">
        <v>16</v>
      </c>
      <c r="H154">
        <v>0</v>
      </c>
      <c r="I154" s="5" t="str">
        <f>OutputTable[[#This Row],[ProjectName]]&amp;OutputTable[[#This Row],[Name]]&amp;OutputTable[[#This Row],[Type]]&amp;OutputTable[[#This Row],[Source]]</f>
        <v>Friday (Solucion: datafono, gofre, cocina y caja compartida)Comer en Mesa Number OutNumber OutProcess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19</v>
      </c>
      <c r="K154" s="5" cm="1">
        <f t="array" ref="K154">IFERROR(AVERAGE(IF((OutputTable[GroupByKey]=OutputTable[[#This Row],[GroupByKey]]),(OutputTable[GroupByKey]=OutputTable[[#This Row],[GroupByKey]])*OutputTable[RecordedValue])),0)</f>
        <v>16.263157894736842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3.3803698887540881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1.6292861329062698</v>
      </c>
      <c r="O154" s="5" cm="1">
        <f t="array" ref="O154">MIN(IF((OutputTable[GroupByKey]=OutputTable[[#This Row],[GroupByKey]]),(OutputTable[GroupByKey]=OutputTable[[#This Row],[GroupByKey]])*OutputTable[RecordedValue]))</f>
        <v>8</v>
      </c>
      <c r="P154" s="5" cm="1">
        <f t="array" ref="P154">MAX(IF((OutputTable[GroupByKey]=OutputTable[[#This Row],[GroupByKey]]),(OutputTable[GroupByKey]=OutputTable[[#This Row],[GroupByKey]])*OutputTable[RecordedValue]))</f>
        <v>22</v>
      </c>
    </row>
    <row r="155" spans="1:16" x14ac:dyDescent="0.25">
      <c r="A155" t="s">
        <v>67</v>
      </c>
      <c r="B155" t="s">
        <v>69</v>
      </c>
      <c r="C155">
        <v>8</v>
      </c>
      <c r="D155" t="s">
        <v>154</v>
      </c>
      <c r="E155" t="s">
        <v>145</v>
      </c>
      <c r="F155" t="s">
        <v>72</v>
      </c>
      <c r="G155">
        <v>136</v>
      </c>
      <c r="H155">
        <v>0</v>
      </c>
      <c r="I155" s="5" t="str">
        <f>OutputTable[[#This Row],[ProjectName]]&amp;OutputTable[[#This Row],[Name]]&amp;OutputTable[[#This Row],[Type]]&amp;OutputTable[[#This Row],[Source]]</f>
        <v>Friday (Solucion: datafono, gofre, cocina y caja compartida)Orden.NumberInNumber InEntity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19</v>
      </c>
      <c r="K155" s="5" cm="1">
        <f t="array" ref="K155">IFERROR(AVERAGE(IF((OutputTable[GroupByKey]=OutputTable[[#This Row],[GroupByKey]]),(OutputTable[GroupByKey]=OutputTable[[#This Row],[GroupByKey]])*OutputTable[RecordedValue])),0)</f>
        <v>121.89473684210526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9.971597090637573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155" s="5" cm="1">
        <f t="array" ref="O155">MIN(IF((OutputTable[GroupByKey]=OutputTable[[#This Row],[GroupByKey]]),(OutputTable[GroupByKey]=OutputTable[[#This Row],[GroupByKey]])*OutputTable[RecordedValue]))</f>
        <v>109</v>
      </c>
      <c r="P155" s="5" cm="1">
        <f t="array" ref="P155">MAX(IF((OutputTable[GroupByKey]=OutputTable[[#This Row],[GroupByKey]]),(OutputTable[GroupByKey]=OutputTable[[#This Row],[GroupByKey]])*OutputTable[RecordedValue]))</f>
        <v>143</v>
      </c>
    </row>
    <row r="156" spans="1:16" x14ac:dyDescent="0.25">
      <c r="A156" t="s">
        <v>67</v>
      </c>
      <c r="B156" t="s">
        <v>69</v>
      </c>
      <c r="C156">
        <v>8</v>
      </c>
      <c r="D156" t="s">
        <v>155</v>
      </c>
      <c r="E156" t="s">
        <v>147</v>
      </c>
      <c r="F156" t="s">
        <v>72</v>
      </c>
      <c r="G156">
        <v>135</v>
      </c>
      <c r="H156">
        <v>0</v>
      </c>
      <c r="I156" s="5" t="str">
        <f>OutputTable[[#This Row],[ProjectName]]&amp;OutputTable[[#This Row],[Name]]&amp;OutputTable[[#This Row],[Type]]&amp;OutputTable[[#This Row],[Source]]</f>
        <v>Friday (Solucion: datafono, gofre, cocina y caja compartida)Orden.NumberOutNumber OutEntity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19</v>
      </c>
      <c r="K156" s="5" cm="1">
        <f t="array" ref="K156">IFERROR(AVERAGE(IF((OutputTable[GroupByKey]=OutputTable[[#This Row],[GroupByKey]]),(OutputTable[GroupByKey]=OutputTable[[#This Row],[GroupByKey]])*OutputTable[RecordedValue])),0)</f>
        <v>122.36842105263158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10.160984894934533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156" s="5" cm="1">
        <f t="array" ref="O156">MIN(IF((OutputTable[GroupByKey]=OutputTable[[#This Row],[GroupByKey]]),(OutputTable[GroupByKey]=OutputTable[[#This Row],[GroupByKey]])*OutputTable[RecordedValue]))</f>
        <v>109</v>
      </c>
      <c r="P156" s="5" cm="1">
        <f t="array" ref="P156">MAX(IF((OutputTable[GroupByKey]=OutputTable[[#This Row],[GroupByKey]]),(OutputTable[GroupByKey]=OutputTable[[#This Row],[GroupByKey]])*OutputTable[RecordedValue]))</f>
        <v>150</v>
      </c>
    </row>
    <row r="157" spans="1:16" x14ac:dyDescent="0.25">
      <c r="A157" t="s">
        <v>67</v>
      </c>
      <c r="B157" t="s">
        <v>69</v>
      </c>
      <c r="C157">
        <v>8</v>
      </c>
      <c r="D157" t="s">
        <v>156</v>
      </c>
      <c r="E157" t="s">
        <v>149</v>
      </c>
      <c r="F157" t="s">
        <v>86</v>
      </c>
      <c r="G157">
        <v>198.204210985218</v>
      </c>
      <c r="H157">
        <v>0</v>
      </c>
      <c r="I157" s="5" t="str">
        <f>OutputTable[[#This Row],[ProjectName]]&amp;OutputTable[[#This Row],[Name]]&amp;OutputTable[[#This Row],[Type]]&amp;OutputTable[[#This Row],[Source]]</f>
        <v>Friday (Solucion: datafono, gofre, cocina y caja compartida)Preparacion Accum VA TimeAccum VA TimeProcess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19</v>
      </c>
      <c r="K157" s="5" cm="1">
        <f t="array" ref="K157">IFERROR(AVERAGE(IF((OutputTable[GroupByKey]=OutputTable[[#This Row],[GroupByKey]]),(OutputTable[GroupByKey]=OutputTable[[#This Row],[GroupByKey]])*OutputTable[RecordedValue])),0)</f>
        <v>174.13537587676447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19.65074675456297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9.4713567574295272</v>
      </c>
      <c r="O157" s="5" cm="1">
        <f t="array" ref="O157">MIN(IF((OutputTable[GroupByKey]=OutputTable[[#This Row],[GroupByKey]]),(OutputTable[GroupByKey]=OutputTable[[#This Row],[GroupByKey]])*OutputTable[RecordedValue]))</f>
        <v>139.22471453685199</v>
      </c>
      <c r="P157" s="5" cm="1">
        <f t="array" ref="P157">MAX(IF((OutputTable[GroupByKey]=OutputTable[[#This Row],[GroupByKey]]),(OutputTable[GroupByKey]=OutputTable[[#This Row],[GroupByKey]])*OutputTable[RecordedValue]))</f>
        <v>210.18722493890999</v>
      </c>
    </row>
    <row r="158" spans="1:16" x14ac:dyDescent="0.25">
      <c r="A158" t="s">
        <v>67</v>
      </c>
      <c r="B158" t="s">
        <v>69</v>
      </c>
      <c r="C158">
        <v>8</v>
      </c>
      <c r="D158" t="s">
        <v>157</v>
      </c>
      <c r="E158" t="s">
        <v>151</v>
      </c>
      <c r="F158" t="s">
        <v>86</v>
      </c>
      <c r="G158">
        <v>92.085764179473102</v>
      </c>
      <c r="H158">
        <v>0</v>
      </c>
      <c r="I158" s="5" t="str">
        <f>OutputTable[[#This Row],[ProjectName]]&amp;OutputTable[[#This Row],[Name]]&amp;OutputTable[[#This Row],[Type]]&amp;OutputTable[[#This Row],[Source]]</f>
        <v>Friday (Solucion: datafono, gofre, cocina y caja compartida)Preparacion Accum Wait TimeAccum Wait TimeProcess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19</v>
      </c>
      <c r="K158" s="5" cm="1">
        <f t="array" ref="K158">IFERROR(AVERAGE(IF((OutputTable[GroupByKey]=OutputTable[[#This Row],[GroupByKey]]),(OutputTable[GroupByKey]=OutputTable[[#This Row],[GroupByKey]])*OutputTable[RecordedValue])),0)</f>
        <v>89.754366677107924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109.53061123574736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52.79206474085742</v>
      </c>
      <c r="O158" s="5" cm="1">
        <f t="array" ref="O158">MIN(IF((OutputTable[GroupByKey]=OutputTable[[#This Row],[GroupByKey]]),(OutputTable[GroupByKey]=OutputTable[[#This Row],[GroupByKey]])*OutputTable[RecordedValue]))</f>
        <v>22.316256244919199</v>
      </c>
      <c r="P158" s="5" cm="1">
        <f t="array" ref="P158">MAX(IF((OutputTable[GroupByKey]=OutputTable[[#This Row],[GroupByKey]]),(OutputTable[GroupByKey]=OutputTable[[#This Row],[GroupByKey]])*OutputTable[RecordedValue]))</f>
        <v>514.987116007179</v>
      </c>
    </row>
    <row r="159" spans="1:16" x14ac:dyDescent="0.25">
      <c r="A159" t="s">
        <v>67</v>
      </c>
      <c r="B159" t="s">
        <v>69</v>
      </c>
      <c r="C159">
        <v>8</v>
      </c>
      <c r="D159" t="s">
        <v>158</v>
      </c>
      <c r="E159" t="s">
        <v>145</v>
      </c>
      <c r="F159" t="s">
        <v>86</v>
      </c>
      <c r="G159">
        <v>136</v>
      </c>
      <c r="H159">
        <v>0</v>
      </c>
      <c r="I159" s="5" t="str">
        <f>OutputTable[[#This Row],[ProjectName]]&amp;OutputTable[[#This Row],[Name]]&amp;OutputTable[[#This Row],[Type]]&amp;OutputTable[[#This Row],[Source]]</f>
        <v>Friday (Solucion: datafono, gofre, cocina y caja compartida)Preparacion Number InNumber InProcess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19</v>
      </c>
      <c r="K159" s="5" cm="1">
        <f t="array" ref="K159">IFERROR(AVERAGE(IF((OutputTable[GroupByKey]=OutputTable[[#This Row],[GroupByKey]]),(OutputTable[GroupByKey]=OutputTable[[#This Row],[GroupByKey]])*OutputTable[RecordedValue])),0)</f>
        <v>121.89473684210526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9.971597090637573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159" s="5" cm="1">
        <f t="array" ref="O159">MIN(IF((OutputTable[GroupByKey]=OutputTable[[#This Row],[GroupByKey]]),(OutputTable[GroupByKey]=OutputTable[[#This Row],[GroupByKey]])*OutputTable[RecordedValue]))</f>
        <v>109</v>
      </c>
      <c r="P159" s="5" cm="1">
        <f t="array" ref="P159">MAX(IF((OutputTable[GroupByKey]=OutputTable[[#This Row],[GroupByKey]]),(OutputTable[GroupByKey]=OutputTable[[#This Row],[GroupByKey]])*OutputTable[RecordedValue]))</f>
        <v>143</v>
      </c>
    </row>
    <row r="160" spans="1:16" x14ac:dyDescent="0.25">
      <c r="A160" t="s">
        <v>67</v>
      </c>
      <c r="B160" t="s">
        <v>69</v>
      </c>
      <c r="C160">
        <v>8</v>
      </c>
      <c r="D160" t="s">
        <v>159</v>
      </c>
      <c r="E160" t="s">
        <v>147</v>
      </c>
      <c r="F160" t="s">
        <v>86</v>
      </c>
      <c r="G160">
        <v>136</v>
      </c>
      <c r="H160">
        <v>0</v>
      </c>
      <c r="I160" s="5" t="str">
        <f>OutputTable[[#This Row],[ProjectName]]&amp;OutputTable[[#This Row],[Name]]&amp;OutputTable[[#This Row],[Type]]&amp;OutputTable[[#This Row],[Source]]</f>
        <v>Friday (Solucion: datafono, gofre, cocina y caja compartida)Preparacion Number OutNumber OutProcess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19</v>
      </c>
      <c r="K160" s="5" cm="1">
        <f t="array" ref="K160">IFERROR(AVERAGE(IF((OutputTable[GroupByKey]=OutputTable[[#This Row],[GroupByKey]]),(OutputTable[GroupByKey]=OutputTable[[#This Row],[GroupByKey]])*OutputTable[RecordedValue])),0)</f>
        <v>122.31578947368421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10.127260414780096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4.8811832731752718</v>
      </c>
      <c r="O160" s="5" cm="1">
        <f t="array" ref="O160">MIN(IF((OutputTable[GroupByKey]=OutputTable[[#This Row],[GroupByKey]]),(OutputTable[GroupByKey]=OutputTable[[#This Row],[GroupByKey]])*OutputTable[RecordedValue]))</f>
        <v>111</v>
      </c>
      <c r="P160" s="5" cm="1">
        <f t="array" ref="P160">MAX(IF((OutputTable[GroupByKey]=OutputTable[[#This Row],[GroupByKey]]),(OutputTable[GroupByKey]=OutputTable[[#This Row],[GroupByKey]])*OutputTable[RecordedValue]))</f>
        <v>150</v>
      </c>
    </row>
    <row r="161" spans="1:16" x14ac:dyDescent="0.25">
      <c r="A161" t="s">
        <v>67</v>
      </c>
      <c r="B161" t="s">
        <v>69</v>
      </c>
      <c r="C161">
        <v>8</v>
      </c>
      <c r="D161" t="s">
        <v>160</v>
      </c>
      <c r="E161" t="s">
        <v>147</v>
      </c>
      <c r="F161" t="s">
        <v>161</v>
      </c>
      <c r="G161">
        <v>138</v>
      </c>
      <c r="H161">
        <v>0</v>
      </c>
      <c r="I161" s="5" t="str">
        <f>OutputTable[[#This Row],[ProjectName]]&amp;OutputTable[[#This Row],[Name]]&amp;OutputTable[[#This Row],[Type]]&amp;OutputTable[[#This Row],[Source]]</f>
        <v>Friday (Solucion: datafono, gofre, cocina y caja compartida)System.NumberOutNumber OutSystem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19</v>
      </c>
      <c r="K161" s="5" cm="1">
        <f t="array" ref="K161">IFERROR(AVERAGE(IF((OutputTable[GroupByKey]=OutputTable[[#This Row],[GroupByKey]]),(OutputTable[GroupByKey]=OutputTable[[#This Row],[GroupByKey]])*OutputTable[RecordedValue])),0)</f>
        <v>125.36842105263158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10.160984894934533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161" s="5" cm="1">
        <f t="array" ref="O161">MIN(IF((OutputTable[GroupByKey]=OutputTable[[#This Row],[GroupByKey]]),(OutputTable[GroupByKey]=OutputTable[[#This Row],[GroupByKey]])*OutputTable[RecordedValue]))</f>
        <v>112</v>
      </c>
      <c r="P161" s="5" cm="1">
        <f t="array" ref="P161">MAX(IF((OutputTable[GroupByKey]=OutputTable[[#This Row],[GroupByKey]]),(OutputTable[GroupByKey]=OutputTable[[#This Row],[GroupByKey]])*OutputTable[RecordedValue]))</f>
        <v>153</v>
      </c>
    </row>
    <row r="162" spans="1:16" x14ac:dyDescent="0.25">
      <c r="A162" t="s">
        <v>67</v>
      </c>
      <c r="B162" t="s">
        <v>69</v>
      </c>
      <c r="C162">
        <v>8</v>
      </c>
      <c r="D162" t="s">
        <v>162</v>
      </c>
      <c r="E162" t="s">
        <v>163</v>
      </c>
      <c r="F162" t="s">
        <v>136</v>
      </c>
      <c r="G162">
        <v>144</v>
      </c>
      <c r="H162">
        <v>0</v>
      </c>
      <c r="I162" s="5" t="str">
        <f>OutputTable[[#This Row],[ProjectName]]&amp;OutputTable[[#This Row],[Name]]&amp;OutputTable[[#This Row],[Type]]&amp;OutputTable[[#This Row],[Source]]</f>
        <v>Friday (Solucion: datafono, gofre, cocina y caja compartida)rCajero.NumberSeizedTotal Number SeizedResource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19</v>
      </c>
      <c r="K162" s="5" cm="1">
        <f t="array" ref="K162">IFERROR(AVERAGE(IF((OutputTable[GroupByKey]=OutputTable[[#This Row],[GroupByKey]]),(OutputTable[GroupByKey]=OutputTable[[#This Row],[GroupByKey]])*OutputTable[RecordedValue])),0)</f>
        <v>131.63157894736841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13.988926280438102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6.7424466413544986</v>
      </c>
      <c r="O162" s="5" cm="1">
        <f t="array" ref="O162">MIN(IF((OutputTable[GroupByKey]=OutputTable[[#This Row],[GroupByKey]]),(OutputTable[GroupByKey]=OutputTable[[#This Row],[GroupByKey]])*OutputTable[RecordedValue]))</f>
        <v>113</v>
      </c>
      <c r="P162" s="5" cm="1">
        <f t="array" ref="P162">MAX(IF((OutputTable[GroupByKey]=OutputTable[[#This Row],[GroupByKey]]),(OutputTable[GroupByKey]=OutputTable[[#This Row],[GroupByKey]])*OutputTable[RecordedValue]))</f>
        <v>157</v>
      </c>
    </row>
    <row r="163" spans="1:16" x14ac:dyDescent="0.25">
      <c r="A163" t="s">
        <v>67</v>
      </c>
      <c r="B163" t="s">
        <v>69</v>
      </c>
      <c r="C163">
        <v>8</v>
      </c>
      <c r="D163" t="s">
        <v>164</v>
      </c>
      <c r="E163" t="s">
        <v>165</v>
      </c>
      <c r="F163" t="s">
        <v>136</v>
      </c>
      <c r="G163">
        <v>0.77465536357210296</v>
      </c>
      <c r="H163">
        <v>0</v>
      </c>
      <c r="I163" s="5" t="str">
        <f>OutputTable[[#This Row],[ProjectName]]&amp;OutputTable[[#This Row],[Name]]&amp;OutputTable[[#This Row],[Type]]&amp;OutputTable[[#This Row],[Source]]</f>
        <v>Friday (Solucion: datafono, gofre, cocina y caja compartida)rCajero.ScheduledUtilizationScheduled UtilizationResource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19</v>
      </c>
      <c r="K163" s="5" cm="1">
        <f t="array" ref="K163">IFERROR(AVERAGE(IF((OutputTable[GroupByKey]=OutputTable[[#This Row],[GroupByKey]]),(OutputTable[GroupByKey]=OutputTable[[#This Row],[GroupByKey]])*OutputTable[RecordedValue])),0)</f>
        <v>0.68474836505339687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6.2272947935973065E-2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3.0014600137344902E-2</v>
      </c>
      <c r="O163" s="5" cm="1">
        <f t="array" ref="O163">MIN(IF((OutputTable[GroupByKey]=OutputTable[[#This Row],[GroupByKey]]),(OutputTable[GroupByKey]=OutputTable[[#This Row],[GroupByKey]])*OutputTable[RecordedValue]))</f>
        <v>0.59592290927233305</v>
      </c>
      <c r="P163" s="5" cm="1">
        <f t="array" ref="P163">MAX(IF((OutputTable[GroupByKey]=OutputTable[[#This Row],[GroupByKey]]),(OutputTable[GroupByKey]=OutputTable[[#This Row],[GroupByKey]])*OutputTable[RecordedValue]))</f>
        <v>0.82897119936997599</v>
      </c>
    </row>
    <row r="164" spans="1:16" x14ac:dyDescent="0.25">
      <c r="A164" t="s">
        <v>67</v>
      </c>
      <c r="B164" t="s">
        <v>69</v>
      </c>
      <c r="C164">
        <v>8</v>
      </c>
      <c r="D164" t="s">
        <v>166</v>
      </c>
      <c r="E164" t="s">
        <v>163</v>
      </c>
      <c r="F164" t="s">
        <v>136</v>
      </c>
      <c r="G164">
        <v>129</v>
      </c>
      <c r="H164">
        <v>0</v>
      </c>
      <c r="I164" s="5" t="str">
        <f>OutputTable[[#This Row],[ProjectName]]&amp;OutputTable[[#This Row],[Name]]&amp;OutputTable[[#This Row],[Type]]&amp;OutputTable[[#This Row],[Source]]</f>
        <v>Friday (Solucion: datafono, gofre, cocina y caja compartida)rCocina.NumberSeizedTotal Number SeizedResource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19</v>
      </c>
      <c r="K164" s="5" cm="1">
        <f t="array" ref="K164">IFERROR(AVERAGE(IF((OutputTable[GroupByKey]=OutputTable[[#This Row],[GroupByKey]]),(OutputTable[GroupByKey]=OutputTable[[#This Row],[GroupByKey]])*OutputTable[RecordedValue])),0)</f>
        <v>112.73684210526316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9.1155673027772668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4.3935628019284003</v>
      </c>
      <c r="O164" s="5" cm="1">
        <f t="array" ref="O164">MIN(IF((OutputTable[GroupByKey]=OutputTable[[#This Row],[GroupByKey]]),(OutputTable[GroupByKey]=OutputTable[[#This Row],[GroupByKey]])*OutputTable[RecordedValue]))</f>
        <v>102</v>
      </c>
      <c r="P164" s="5" cm="1">
        <f t="array" ref="P164">MAX(IF((OutputTable[GroupByKey]=OutputTable[[#This Row],[GroupByKey]]),(OutputTable[GroupByKey]=OutputTable[[#This Row],[GroupByKey]])*OutputTable[RecordedValue]))</f>
        <v>135</v>
      </c>
    </row>
    <row r="165" spans="1:16" x14ac:dyDescent="0.25">
      <c r="A165" t="s">
        <v>67</v>
      </c>
      <c r="B165" t="s">
        <v>69</v>
      </c>
      <c r="C165">
        <v>8</v>
      </c>
      <c r="D165" t="s">
        <v>167</v>
      </c>
      <c r="E165" t="s">
        <v>165</v>
      </c>
      <c r="F165" t="s">
        <v>136</v>
      </c>
      <c r="G165">
        <v>0.82790473697885303</v>
      </c>
      <c r="H165">
        <v>0</v>
      </c>
      <c r="I165" s="5" t="str">
        <f>OutputTable[[#This Row],[ProjectName]]&amp;OutputTable[[#This Row],[Name]]&amp;OutputTable[[#This Row],[Type]]&amp;OutputTable[[#This Row],[Source]]</f>
        <v>Friday (Solucion: datafono, gofre, cocina y caja compartida)rCocina.ScheduledUtilizationScheduled UtilizationResource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19</v>
      </c>
      <c r="K165" s="5" cm="1">
        <f t="array" ref="K165">IFERROR(AVERAGE(IF((OutputTable[GroupByKey]=OutputTable[[#This Row],[GroupByKey]]),(OutputTable[GroupByKey]=OutputTable[[#This Row],[GroupByKey]])*OutputTable[RecordedValue])),0)</f>
        <v>0.71670342302257706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7.0907274842727658E-2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3.4176212493127585E-2</v>
      </c>
      <c r="O165" s="5" cm="1">
        <f t="array" ref="O165">MIN(IF((OutputTable[GroupByKey]=OutputTable[[#This Row],[GroupByKey]]),(OutputTable[GroupByKey]=OutputTable[[#This Row],[GroupByKey]])*OutputTable[RecordedValue]))</f>
        <v>0.60463940272025996</v>
      </c>
      <c r="P165" s="5" cm="1">
        <f t="array" ref="P165">MAX(IF((OutputTable[GroupByKey]=OutputTable[[#This Row],[GroupByKey]]),(OutputTable[GroupByKey]=OutputTable[[#This Row],[GroupByKey]])*OutputTable[RecordedValue]))</f>
        <v>0.86361037821575004</v>
      </c>
    </row>
    <row r="166" spans="1:16" x14ac:dyDescent="0.25">
      <c r="A166" t="s">
        <v>67</v>
      </c>
      <c r="B166" t="s">
        <v>69</v>
      </c>
      <c r="C166">
        <v>8</v>
      </c>
      <c r="D166" t="s">
        <v>168</v>
      </c>
      <c r="E166" t="s">
        <v>163</v>
      </c>
      <c r="F166" t="s">
        <v>136</v>
      </c>
      <c r="G166">
        <v>17</v>
      </c>
      <c r="H166">
        <v>0</v>
      </c>
      <c r="I166" s="5" t="str">
        <f>OutputTable[[#This Row],[ProjectName]]&amp;OutputTable[[#This Row],[Name]]&amp;OutputTable[[#This Row],[Type]]&amp;OutputTable[[#This Row],[Source]]</f>
        <v>Friday (Solucion: datafono, gofre, cocina y caja compartida)rMesa.NumberSeizedTotal Number SeizedResource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19</v>
      </c>
      <c r="K166" s="5" cm="1">
        <f t="array" ref="K166">IFERROR(AVERAGE(IF((OutputTable[GroupByKey]=OutputTable[[#This Row],[GroupByKey]]),(OutputTable[GroupByKey]=OutputTable[[#This Row],[GroupByKey]])*OutputTable[RecordedValue])),0)</f>
        <v>16.157894736842106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3.8044295512634076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166" s="5" cm="1">
        <f t="array" ref="O166">MIN(IF((OutputTable[GroupByKey]=OutputTable[[#This Row],[GroupByKey]]),(OutputTable[GroupByKey]=OutputTable[[#This Row],[GroupByKey]])*OutputTable[RecordedValue]))</f>
        <v>9</v>
      </c>
      <c r="P166" s="5" cm="1">
        <f t="array" ref="P166">MAX(IF((OutputTable[GroupByKey]=OutputTable[[#This Row],[GroupByKey]]),(OutputTable[GroupByKey]=OutputTable[[#This Row],[GroupByKey]])*OutputTable[RecordedValue]))</f>
        <v>24</v>
      </c>
    </row>
    <row r="167" spans="1:16" x14ac:dyDescent="0.25">
      <c r="A167" t="s">
        <v>67</v>
      </c>
      <c r="B167" t="s">
        <v>69</v>
      </c>
      <c r="C167">
        <v>8</v>
      </c>
      <c r="D167" t="s">
        <v>169</v>
      </c>
      <c r="E167" t="s">
        <v>165</v>
      </c>
      <c r="F167" t="s">
        <v>136</v>
      </c>
      <c r="G167">
        <v>0.31656196184782198</v>
      </c>
      <c r="H167">
        <v>0</v>
      </c>
      <c r="I167" s="5" t="str">
        <f>OutputTable[[#This Row],[ProjectName]]&amp;OutputTable[[#This Row],[Name]]&amp;OutputTable[[#This Row],[Type]]&amp;OutputTable[[#This Row],[Source]]</f>
        <v>Friday (Solucion: datafono, gofre, cocina y caja compartida)rMesa.ScheduledUtilizationScheduled UtilizationResource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19</v>
      </c>
      <c r="K167" s="5" cm="1">
        <f t="array" ref="K167">IFERROR(AVERAGE(IF((OutputTable[GroupByKey]=OutputTable[[#This Row],[GroupByKey]]),(OutputTable[GroupByKey]=OutputTable[[#This Row],[GroupByKey]])*OutputTable[RecordedValue])),0)</f>
        <v>0.30850610959128744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6.2586127702931107E-2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3.0165547953176861E-2</v>
      </c>
      <c r="O167" s="5" cm="1">
        <f t="array" ref="O167">MIN(IF((OutputTable[GroupByKey]=OutputTable[[#This Row],[GroupByKey]]),(OutputTable[GroupByKey]=OutputTable[[#This Row],[GroupByKey]])*OutputTable[RecordedValue]))</f>
        <v>0.156206445320244</v>
      </c>
      <c r="P167" s="5" cm="1">
        <f t="array" ref="P167">MAX(IF((OutputTable[GroupByKey]=OutputTable[[#This Row],[GroupByKey]]),(OutputTable[GroupByKey]=OutputTable[[#This Row],[GroupByKey]])*OutputTable[RecordedValue]))</f>
        <v>0.44942505379986802</v>
      </c>
    </row>
    <row r="168" spans="1:16" x14ac:dyDescent="0.25">
      <c r="A168" t="s">
        <v>67</v>
      </c>
      <c r="B168" t="s">
        <v>69</v>
      </c>
      <c r="C168">
        <v>8</v>
      </c>
      <c r="D168" t="s">
        <v>170</v>
      </c>
      <c r="E168" t="s">
        <v>145</v>
      </c>
      <c r="F168" t="s">
        <v>72</v>
      </c>
      <c r="G168">
        <v>3</v>
      </c>
      <c r="H168">
        <v>0</v>
      </c>
      <c r="I168" s="5" t="str">
        <f>OutputTable[[#This Row],[ProjectName]]&amp;OutputTable[[#This Row],[Name]]&amp;OutputTable[[#This Row],[Type]]&amp;OutputTable[[#This Row],[Source]]</f>
        <v>Friday (Solucion: datafono, gofre, cocina y caja compartida)reloj.NumberInNumber InEntity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19</v>
      </c>
      <c r="K168" s="5" cm="1">
        <f t="array" ref="K168">IFERROR(AVERAGE(IF((OutputTable[GroupByKey]=OutputTable[[#This Row],[GroupByKey]]),(OutputTable[GroupByKey]=OutputTable[[#This Row],[GroupByKey]])*OutputTable[RecordedValue])),0)</f>
        <v>3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0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8" s="5" cm="1">
        <f t="array" ref="O168">MIN(IF((OutputTable[GroupByKey]=OutputTable[[#This Row],[GroupByKey]]),(OutputTable[GroupByKey]=OutputTable[[#This Row],[GroupByKey]])*OutputTable[RecordedValue]))</f>
        <v>3</v>
      </c>
      <c r="P168" s="5" cm="1">
        <f t="array" ref="P168">MAX(IF((OutputTable[GroupByKey]=OutputTable[[#This Row],[GroupByKey]]),(OutputTable[GroupByKey]=OutputTable[[#This Row],[GroupByKey]])*OutputTable[RecordedValue]))</f>
        <v>3</v>
      </c>
    </row>
    <row r="169" spans="1:16" x14ac:dyDescent="0.25">
      <c r="A169" t="s">
        <v>67</v>
      </c>
      <c r="B169" t="s">
        <v>69</v>
      </c>
      <c r="C169">
        <v>8</v>
      </c>
      <c r="D169" t="s">
        <v>171</v>
      </c>
      <c r="E169" t="s">
        <v>147</v>
      </c>
      <c r="F169" t="s">
        <v>72</v>
      </c>
      <c r="G169">
        <v>3</v>
      </c>
      <c r="H169">
        <v>0</v>
      </c>
      <c r="I169" s="5" t="str">
        <f>OutputTable[[#This Row],[ProjectName]]&amp;OutputTable[[#This Row],[Name]]&amp;OutputTable[[#This Row],[Type]]&amp;OutputTable[[#This Row],[Source]]</f>
        <v>Friday (Solucion: datafono, gofre, cocina y caja compartida)reloj.NumberOutNumber OutEntity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19</v>
      </c>
      <c r="K169" s="5" cm="1">
        <f t="array" ref="K169">IFERROR(AVERAGE(IF((OutputTable[GroupByKey]=OutputTable[[#This Row],[GroupByKey]]),(OutputTable[GroupByKey]=OutputTable[[#This Row],[GroupByKey]])*OutputTable[RecordedValue])),0)</f>
        <v>3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0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9" s="5" cm="1">
        <f t="array" ref="O169">MIN(IF((OutputTable[GroupByKey]=OutputTable[[#This Row],[GroupByKey]]),(OutputTable[GroupByKey]=OutputTable[[#This Row],[GroupByKey]])*OutputTable[RecordedValue]))</f>
        <v>3</v>
      </c>
      <c r="P169" s="5" cm="1">
        <f t="array" ref="P169">MAX(IF((OutputTable[GroupByKey]=OutputTable[[#This Row],[GroupByKey]]),(OutputTable[GroupByKey]=OutputTable[[#This Row],[GroupByKey]])*OutputTable[RecordedValue]))</f>
        <v>3</v>
      </c>
    </row>
    <row r="170" spans="1:16" x14ac:dyDescent="0.25">
      <c r="A170" t="s">
        <v>67</v>
      </c>
      <c r="B170" t="s">
        <v>69</v>
      </c>
      <c r="C170">
        <v>9</v>
      </c>
      <c r="D170" t="s">
        <v>144</v>
      </c>
      <c r="E170" t="s">
        <v>145</v>
      </c>
      <c r="F170" t="s">
        <v>72</v>
      </c>
      <c r="G170">
        <v>339</v>
      </c>
      <c r="H170">
        <v>0</v>
      </c>
      <c r="I170" s="5" t="str">
        <f>OutputTable[[#This Row],[ProjectName]]&amp;OutputTable[[#This Row],[Name]]&amp;OutputTable[[#This Row],[Type]]&amp;OutputTable[[#This Row],[Source]]</f>
        <v>Friday (Solucion: datafono, gofre, cocina y caja compartida)Cliente.NumberInNumber InEntity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19</v>
      </c>
      <c r="K170" s="5" cm="1">
        <f t="array" ref="K170">IFERROR(AVERAGE(IF((OutputTable[GroupByKey]=OutputTable[[#This Row],[GroupByKey]]),(OutputTable[GroupByKey]=OutputTable[[#This Row],[GroupByKey]])*OutputTable[RecordedValue])),0)</f>
        <v>366.21052631578948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28.665850661580702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13.816497752584581</v>
      </c>
      <c r="O170" s="5" cm="1">
        <f t="array" ref="O170">MIN(IF((OutputTable[GroupByKey]=OutputTable[[#This Row],[GroupByKey]]),(OutputTable[GroupByKey]=OutputTable[[#This Row],[GroupByKey]])*OutputTable[RecordedValue]))</f>
        <v>331</v>
      </c>
      <c r="P170" s="5" cm="1">
        <f t="array" ref="P170">MAX(IF((OutputTable[GroupByKey]=OutputTable[[#This Row],[GroupByKey]]),(OutputTable[GroupByKey]=OutputTable[[#This Row],[GroupByKey]])*OutputTable[RecordedValue]))</f>
        <v>427</v>
      </c>
    </row>
    <row r="171" spans="1:16" x14ac:dyDescent="0.25">
      <c r="A171" t="s">
        <v>67</v>
      </c>
      <c r="B171" t="s">
        <v>69</v>
      </c>
      <c r="C171">
        <v>9</v>
      </c>
      <c r="D171" t="s">
        <v>146</v>
      </c>
      <c r="E171" t="s">
        <v>147</v>
      </c>
      <c r="F171" t="s">
        <v>72</v>
      </c>
      <c r="G171">
        <v>341</v>
      </c>
      <c r="H171">
        <v>0</v>
      </c>
      <c r="I171" s="5" t="str">
        <f>OutputTable[[#This Row],[ProjectName]]&amp;OutputTable[[#This Row],[Name]]&amp;OutputTable[[#This Row],[Type]]&amp;OutputTable[[#This Row],[Source]]</f>
        <v>Friday (Solucion: datafono, gofre, cocina y caja compartida)Cliente.NumberOutNumber OutEntity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19</v>
      </c>
      <c r="K171" s="5" cm="1">
        <f t="array" ref="K171">IFERROR(AVERAGE(IF((OutputTable[GroupByKey]=OutputTable[[#This Row],[GroupByKey]]),(OutputTable[GroupByKey]=OutputTable[[#This Row],[GroupByKey]])*OutputTable[RecordedValue])),0)</f>
        <v>366.63157894736844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29.957767544617038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14.439181758083874</v>
      </c>
      <c r="O171" s="5" cm="1">
        <f t="array" ref="O171">MIN(IF((OutputTable[GroupByKey]=OutputTable[[#This Row],[GroupByKey]]),(OutputTable[GroupByKey]=OutputTable[[#This Row],[GroupByKey]])*OutputTable[RecordedValue]))</f>
        <v>329</v>
      </c>
      <c r="P171" s="5" cm="1">
        <f t="array" ref="P171">MAX(IF((OutputTable[GroupByKey]=OutputTable[[#This Row],[GroupByKey]]),(OutputTable[GroupByKey]=OutputTable[[#This Row],[GroupByKey]])*OutputTable[RecordedValue]))</f>
        <v>443</v>
      </c>
    </row>
    <row r="172" spans="1:16" x14ac:dyDescent="0.25">
      <c r="A172" t="s">
        <v>67</v>
      </c>
      <c r="B172" t="s">
        <v>69</v>
      </c>
      <c r="C172">
        <v>9</v>
      </c>
      <c r="D172" t="s">
        <v>148</v>
      </c>
      <c r="E172" t="s">
        <v>149</v>
      </c>
      <c r="F172" t="s">
        <v>86</v>
      </c>
      <c r="G172">
        <v>289.06783045069898</v>
      </c>
      <c r="H172">
        <v>0</v>
      </c>
      <c r="I172" s="5" t="str">
        <f>OutputTable[[#This Row],[ProjectName]]&amp;OutputTable[[#This Row],[Name]]&amp;OutputTable[[#This Row],[Type]]&amp;OutputTable[[#This Row],[Source]]</f>
        <v>Friday (Solucion: datafono, gofre, cocina y caja compartida)Comer en Mesa Accum VA TimeAccum VA TimeProcess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19</v>
      </c>
      <c r="K172" s="5" cm="1">
        <f t="array" ref="K172">IFERROR(AVERAGE(IF((OutputTable[GroupByKey]=OutputTable[[#This Row],[GroupByKey]]),(OutputTable[GroupByKey]=OutputTable[[#This Row],[GroupByKey]])*OutputTable[RecordedValue])),0)</f>
        <v>283.12549562397913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55.763238037894645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26.877020400444863</v>
      </c>
      <c r="O172" s="5" cm="1">
        <f t="array" ref="O172">MIN(IF((OutputTable[GroupByKey]=OutputTable[[#This Row],[GroupByKey]]),(OutputTable[GroupByKey]=OutputTable[[#This Row],[GroupByKey]])*OutputTable[RecordedValue]))</f>
        <v>157.05073652574001</v>
      </c>
      <c r="P172" s="5" cm="1">
        <f t="array" ref="P172">MAX(IF((OutputTable[GroupByKey]=OutputTable[[#This Row],[GroupByKey]]),(OutputTable[GroupByKey]=OutputTable[[#This Row],[GroupByKey]])*OutputTable[RecordedValue]))</f>
        <v>402.97015039838902</v>
      </c>
    </row>
    <row r="173" spans="1:16" x14ac:dyDescent="0.25">
      <c r="A173" t="s">
        <v>67</v>
      </c>
      <c r="B173" t="s">
        <v>69</v>
      </c>
      <c r="C173">
        <v>9</v>
      </c>
      <c r="D173" t="s">
        <v>150</v>
      </c>
      <c r="E173" t="s">
        <v>151</v>
      </c>
      <c r="F173" t="s">
        <v>86</v>
      </c>
      <c r="G173">
        <v>0</v>
      </c>
      <c r="H173">
        <v>0</v>
      </c>
      <c r="I173" s="5" t="str">
        <f>OutputTable[[#This Row],[ProjectName]]&amp;OutputTable[[#This Row],[Name]]&amp;OutputTable[[#This Row],[Type]]&amp;OutputTable[[#This Row],[Source]]</f>
        <v>Friday (Solucion: datafono, gofre, cocina y caja compartida)Comer en Mesa Accum Wait TimeAccum Wait TimeProcess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19</v>
      </c>
      <c r="K173" s="5" cm="1">
        <f t="array" ref="K173">IFERROR(AVERAGE(IF((OutputTable[GroupByKey]=OutputTable[[#This Row],[GroupByKey]]),(OutputTable[GroupByKey]=OutputTable[[#This Row],[GroupByKey]])*OutputTable[RecordedValue])),0)</f>
        <v>0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0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3" s="5" cm="1">
        <f t="array" ref="O173">MIN(IF((OutputTable[GroupByKey]=OutputTable[[#This Row],[GroupByKey]]),(OutputTable[GroupByKey]=OutputTable[[#This Row],[GroupByKey]])*OutputTable[RecordedValue]))</f>
        <v>0</v>
      </c>
      <c r="P173" s="5" cm="1">
        <f t="array" ref="P173">MAX(IF((OutputTable[GroupByKey]=OutputTable[[#This Row],[GroupByKey]]),(OutputTable[GroupByKey]=OutputTable[[#This Row],[GroupByKey]])*OutputTable[RecordedValue]))</f>
        <v>0</v>
      </c>
    </row>
    <row r="174" spans="1:16" x14ac:dyDescent="0.25">
      <c r="A174" t="s">
        <v>67</v>
      </c>
      <c r="B174" t="s">
        <v>69</v>
      </c>
      <c r="C174">
        <v>9</v>
      </c>
      <c r="D174" t="s">
        <v>152</v>
      </c>
      <c r="E174" t="s">
        <v>145</v>
      </c>
      <c r="F174" t="s">
        <v>86</v>
      </c>
      <c r="G174">
        <v>16</v>
      </c>
      <c r="H174">
        <v>0</v>
      </c>
      <c r="I174" s="5" t="str">
        <f>OutputTable[[#This Row],[ProjectName]]&amp;OutputTable[[#This Row],[Name]]&amp;OutputTable[[#This Row],[Type]]&amp;OutputTable[[#This Row],[Source]]</f>
        <v>Friday (Solucion: datafono, gofre, cocina y caja compartida)Comer en Mesa Number InNumber InProcess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19</v>
      </c>
      <c r="K174" s="5" cm="1">
        <f t="array" ref="K174">IFERROR(AVERAGE(IF((OutputTable[GroupByKey]=OutputTable[[#This Row],[GroupByKey]]),(OutputTable[GroupByKey]=OutputTable[[#This Row],[GroupByKey]])*OutputTable[RecordedValue])),0)</f>
        <v>16.157894736842106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3.8044295512634076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174" s="5" cm="1">
        <f t="array" ref="O174">MIN(IF((OutputTable[GroupByKey]=OutputTable[[#This Row],[GroupByKey]]),(OutputTable[GroupByKey]=OutputTable[[#This Row],[GroupByKey]])*OutputTable[RecordedValue]))</f>
        <v>9</v>
      </c>
      <c r="P174" s="5" cm="1">
        <f t="array" ref="P174">MAX(IF((OutputTable[GroupByKey]=OutputTable[[#This Row],[GroupByKey]]),(OutputTable[GroupByKey]=OutputTable[[#This Row],[GroupByKey]])*OutputTable[RecordedValue]))</f>
        <v>24</v>
      </c>
    </row>
    <row r="175" spans="1:16" x14ac:dyDescent="0.25">
      <c r="A175" t="s">
        <v>67</v>
      </c>
      <c r="B175" t="s">
        <v>69</v>
      </c>
      <c r="C175">
        <v>9</v>
      </c>
      <c r="D175" t="s">
        <v>153</v>
      </c>
      <c r="E175" t="s">
        <v>147</v>
      </c>
      <c r="F175" t="s">
        <v>86</v>
      </c>
      <c r="G175">
        <v>19</v>
      </c>
      <c r="H175">
        <v>0</v>
      </c>
      <c r="I175" s="5" t="str">
        <f>OutputTable[[#This Row],[ProjectName]]&amp;OutputTable[[#This Row],[Name]]&amp;OutputTable[[#This Row],[Type]]&amp;OutputTable[[#This Row],[Source]]</f>
        <v>Friday (Solucion: datafono, gofre, cocina y caja compartida)Comer en Mesa Number OutNumber OutProcess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19</v>
      </c>
      <c r="K175" s="5" cm="1">
        <f t="array" ref="K175">IFERROR(AVERAGE(IF((OutputTable[GroupByKey]=OutputTable[[#This Row],[GroupByKey]]),(OutputTable[GroupByKey]=OutputTable[[#This Row],[GroupByKey]])*OutputTable[RecordedValue])),0)</f>
        <v>16.263157894736842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3.3803698887540881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1.6292861329062698</v>
      </c>
      <c r="O175" s="5" cm="1">
        <f t="array" ref="O175">MIN(IF((OutputTable[GroupByKey]=OutputTable[[#This Row],[GroupByKey]]),(OutputTable[GroupByKey]=OutputTable[[#This Row],[GroupByKey]])*OutputTable[RecordedValue]))</f>
        <v>8</v>
      </c>
      <c r="P175" s="5" cm="1">
        <f t="array" ref="P175">MAX(IF((OutputTable[GroupByKey]=OutputTable[[#This Row],[GroupByKey]]),(OutputTable[GroupByKey]=OutputTable[[#This Row],[GroupByKey]])*OutputTable[RecordedValue]))</f>
        <v>22</v>
      </c>
    </row>
    <row r="176" spans="1:16" x14ac:dyDescent="0.25">
      <c r="A176" t="s">
        <v>67</v>
      </c>
      <c r="B176" t="s">
        <v>69</v>
      </c>
      <c r="C176">
        <v>9</v>
      </c>
      <c r="D176" t="s">
        <v>154</v>
      </c>
      <c r="E176" t="s">
        <v>145</v>
      </c>
      <c r="F176" t="s">
        <v>72</v>
      </c>
      <c r="G176">
        <v>113</v>
      </c>
      <c r="H176">
        <v>0</v>
      </c>
      <c r="I176" s="5" t="str">
        <f>OutputTable[[#This Row],[ProjectName]]&amp;OutputTable[[#This Row],[Name]]&amp;OutputTable[[#This Row],[Type]]&amp;OutputTable[[#This Row],[Source]]</f>
        <v>Friday (Solucion: datafono, gofre, cocina y caja compartida)Orden.NumberInNumber InEntity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19</v>
      </c>
      <c r="K176" s="5" cm="1">
        <f t="array" ref="K176">IFERROR(AVERAGE(IF((OutputTable[GroupByKey]=OutputTable[[#This Row],[GroupByKey]]),(OutputTable[GroupByKey]=OutputTable[[#This Row],[GroupByKey]])*OutputTable[RecordedValue])),0)</f>
        <v>121.89473684210526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9.971597090637573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176" s="5" cm="1">
        <f t="array" ref="O176">MIN(IF((OutputTable[GroupByKey]=OutputTable[[#This Row],[GroupByKey]]),(OutputTable[GroupByKey]=OutputTable[[#This Row],[GroupByKey]])*OutputTable[RecordedValue]))</f>
        <v>109</v>
      </c>
      <c r="P176" s="5" cm="1">
        <f t="array" ref="P176">MAX(IF((OutputTable[GroupByKey]=OutputTable[[#This Row],[GroupByKey]]),(OutputTable[GroupByKey]=OutputTable[[#This Row],[GroupByKey]])*OutputTable[RecordedValue]))</f>
        <v>143</v>
      </c>
    </row>
    <row r="177" spans="1:16" x14ac:dyDescent="0.25">
      <c r="A177" t="s">
        <v>67</v>
      </c>
      <c r="B177" t="s">
        <v>69</v>
      </c>
      <c r="C177">
        <v>9</v>
      </c>
      <c r="D177" t="s">
        <v>155</v>
      </c>
      <c r="E177" t="s">
        <v>147</v>
      </c>
      <c r="F177" t="s">
        <v>72</v>
      </c>
      <c r="G177">
        <v>114</v>
      </c>
      <c r="H177">
        <v>0</v>
      </c>
      <c r="I177" s="5" t="str">
        <f>OutputTable[[#This Row],[ProjectName]]&amp;OutputTable[[#This Row],[Name]]&amp;OutputTable[[#This Row],[Type]]&amp;OutputTable[[#This Row],[Source]]</f>
        <v>Friday (Solucion: datafono, gofre, cocina y caja compartida)Orden.NumberOutNumber OutEntity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19</v>
      </c>
      <c r="K177" s="5" cm="1">
        <f t="array" ref="K177">IFERROR(AVERAGE(IF((OutputTable[GroupByKey]=OutputTable[[#This Row],[GroupByKey]]),(OutputTable[GroupByKey]=OutputTable[[#This Row],[GroupByKey]])*OutputTable[RecordedValue])),0)</f>
        <v>122.36842105263158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10.160984894934533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177" s="5" cm="1">
        <f t="array" ref="O177">MIN(IF((OutputTable[GroupByKey]=OutputTable[[#This Row],[GroupByKey]]),(OutputTable[GroupByKey]=OutputTable[[#This Row],[GroupByKey]])*OutputTable[RecordedValue]))</f>
        <v>109</v>
      </c>
      <c r="P177" s="5" cm="1">
        <f t="array" ref="P177">MAX(IF((OutputTable[GroupByKey]=OutputTable[[#This Row],[GroupByKey]]),(OutputTable[GroupByKey]=OutputTable[[#This Row],[GroupByKey]])*OutputTable[RecordedValue]))</f>
        <v>150</v>
      </c>
    </row>
    <row r="178" spans="1:16" x14ac:dyDescent="0.25">
      <c r="A178" t="s">
        <v>67</v>
      </c>
      <c r="B178" t="s">
        <v>69</v>
      </c>
      <c r="C178">
        <v>9</v>
      </c>
      <c r="D178" t="s">
        <v>156</v>
      </c>
      <c r="E178" t="s">
        <v>149</v>
      </c>
      <c r="F178" t="s">
        <v>86</v>
      </c>
      <c r="G178">
        <v>176.57448788028</v>
      </c>
      <c r="H178">
        <v>0</v>
      </c>
      <c r="I178" s="5" t="str">
        <f>OutputTable[[#This Row],[ProjectName]]&amp;OutputTable[[#This Row],[Name]]&amp;OutputTable[[#This Row],[Type]]&amp;OutputTable[[#This Row],[Source]]</f>
        <v>Friday (Solucion: datafono, gofre, cocina y caja compartida)Preparacion Accum VA TimeAccum VA TimeProcess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19</v>
      </c>
      <c r="K178" s="5" cm="1">
        <f t="array" ref="K178">IFERROR(AVERAGE(IF((OutputTable[GroupByKey]=OutputTable[[#This Row],[GroupByKey]]),(OutputTable[GroupByKey]=OutputTable[[#This Row],[GroupByKey]])*OutputTable[RecordedValue])),0)</f>
        <v>174.13537587676447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19.65074675456297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9.4713567574295272</v>
      </c>
      <c r="O178" s="5" cm="1">
        <f t="array" ref="O178">MIN(IF((OutputTable[GroupByKey]=OutputTable[[#This Row],[GroupByKey]]),(OutputTable[GroupByKey]=OutputTable[[#This Row],[GroupByKey]])*OutputTable[RecordedValue]))</f>
        <v>139.22471453685199</v>
      </c>
      <c r="P178" s="5" cm="1">
        <f t="array" ref="P178">MAX(IF((OutputTable[GroupByKey]=OutputTable[[#This Row],[GroupByKey]]),(OutputTable[GroupByKey]=OutputTable[[#This Row],[GroupByKey]])*OutputTable[RecordedValue]))</f>
        <v>210.18722493890999</v>
      </c>
    </row>
    <row r="179" spans="1:16" x14ac:dyDescent="0.25">
      <c r="A179" t="s">
        <v>67</v>
      </c>
      <c r="B179" t="s">
        <v>69</v>
      </c>
      <c r="C179">
        <v>9</v>
      </c>
      <c r="D179" t="s">
        <v>157</v>
      </c>
      <c r="E179" t="s">
        <v>151</v>
      </c>
      <c r="F179" t="s">
        <v>86</v>
      </c>
      <c r="G179">
        <v>40.635226869421601</v>
      </c>
      <c r="H179">
        <v>0</v>
      </c>
      <c r="I179" s="5" t="str">
        <f>OutputTable[[#This Row],[ProjectName]]&amp;OutputTable[[#This Row],[Name]]&amp;OutputTable[[#This Row],[Type]]&amp;OutputTable[[#This Row],[Source]]</f>
        <v>Friday (Solucion: datafono, gofre, cocina y caja compartida)Preparacion Accum Wait TimeAccum Wait TimeProcess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19</v>
      </c>
      <c r="K179" s="5" cm="1">
        <f t="array" ref="K179">IFERROR(AVERAGE(IF((OutputTable[GroupByKey]=OutputTable[[#This Row],[GroupByKey]]),(OutputTable[GroupByKey]=OutputTable[[#This Row],[GroupByKey]])*OutputTable[RecordedValue])),0)</f>
        <v>89.754366677107924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109.53061123574736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52.79206474085742</v>
      </c>
      <c r="O179" s="5" cm="1">
        <f t="array" ref="O179">MIN(IF((OutputTable[GroupByKey]=OutputTable[[#This Row],[GroupByKey]]),(OutputTable[GroupByKey]=OutputTable[[#This Row],[GroupByKey]])*OutputTable[RecordedValue]))</f>
        <v>22.316256244919199</v>
      </c>
      <c r="P179" s="5" cm="1">
        <f t="array" ref="P179">MAX(IF((OutputTable[GroupByKey]=OutputTable[[#This Row],[GroupByKey]]),(OutputTable[GroupByKey]=OutputTable[[#This Row],[GroupByKey]])*OutputTable[RecordedValue]))</f>
        <v>514.987116007179</v>
      </c>
    </row>
    <row r="180" spans="1:16" x14ac:dyDescent="0.25">
      <c r="A180" t="s">
        <v>67</v>
      </c>
      <c r="B180" t="s">
        <v>69</v>
      </c>
      <c r="C180">
        <v>9</v>
      </c>
      <c r="D180" t="s">
        <v>158</v>
      </c>
      <c r="E180" t="s">
        <v>145</v>
      </c>
      <c r="F180" t="s">
        <v>86</v>
      </c>
      <c r="G180">
        <v>113</v>
      </c>
      <c r="H180">
        <v>0</v>
      </c>
      <c r="I180" s="5" t="str">
        <f>OutputTable[[#This Row],[ProjectName]]&amp;OutputTable[[#This Row],[Name]]&amp;OutputTable[[#This Row],[Type]]&amp;OutputTable[[#This Row],[Source]]</f>
        <v>Friday (Solucion: datafono, gofre, cocina y caja compartida)Preparacion Number InNumber InProcess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19</v>
      </c>
      <c r="K180" s="5" cm="1">
        <f t="array" ref="K180">IFERROR(AVERAGE(IF((OutputTable[GroupByKey]=OutputTable[[#This Row],[GroupByKey]]),(OutputTable[GroupByKey]=OutputTable[[#This Row],[GroupByKey]])*OutputTable[RecordedValue])),0)</f>
        <v>121.89473684210526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9.971597090637573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180" s="5" cm="1">
        <f t="array" ref="O180">MIN(IF((OutputTable[GroupByKey]=OutputTable[[#This Row],[GroupByKey]]),(OutputTable[GroupByKey]=OutputTable[[#This Row],[GroupByKey]])*OutputTable[RecordedValue]))</f>
        <v>109</v>
      </c>
      <c r="P180" s="5" cm="1">
        <f t="array" ref="P180">MAX(IF((OutputTable[GroupByKey]=OutputTable[[#This Row],[GroupByKey]]),(OutputTable[GroupByKey]=OutputTable[[#This Row],[GroupByKey]])*OutputTable[RecordedValue]))</f>
        <v>143</v>
      </c>
    </row>
    <row r="181" spans="1:16" x14ac:dyDescent="0.25">
      <c r="A181" t="s">
        <v>67</v>
      </c>
      <c r="B181" t="s">
        <v>69</v>
      </c>
      <c r="C181">
        <v>9</v>
      </c>
      <c r="D181" t="s">
        <v>159</v>
      </c>
      <c r="E181" t="s">
        <v>147</v>
      </c>
      <c r="F181" t="s">
        <v>86</v>
      </c>
      <c r="G181">
        <v>111</v>
      </c>
      <c r="H181">
        <v>0</v>
      </c>
      <c r="I181" s="5" t="str">
        <f>OutputTable[[#This Row],[ProjectName]]&amp;OutputTable[[#This Row],[Name]]&amp;OutputTable[[#This Row],[Type]]&amp;OutputTable[[#This Row],[Source]]</f>
        <v>Friday (Solucion: datafono, gofre, cocina y caja compartida)Preparacion Number OutNumber OutProcess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19</v>
      </c>
      <c r="K181" s="5" cm="1">
        <f t="array" ref="K181">IFERROR(AVERAGE(IF((OutputTable[GroupByKey]=OutputTable[[#This Row],[GroupByKey]]),(OutputTable[GroupByKey]=OutputTable[[#This Row],[GroupByKey]])*OutputTable[RecordedValue])),0)</f>
        <v>122.31578947368421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10.127260414780096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4.8811832731752718</v>
      </c>
      <c r="O181" s="5" cm="1">
        <f t="array" ref="O181">MIN(IF((OutputTable[GroupByKey]=OutputTable[[#This Row],[GroupByKey]]),(OutputTable[GroupByKey]=OutputTable[[#This Row],[GroupByKey]])*OutputTable[RecordedValue]))</f>
        <v>111</v>
      </c>
      <c r="P181" s="5" cm="1">
        <f t="array" ref="P181">MAX(IF((OutputTable[GroupByKey]=OutputTable[[#This Row],[GroupByKey]]),(OutputTable[GroupByKey]=OutputTable[[#This Row],[GroupByKey]])*OutputTable[RecordedValue]))</f>
        <v>150</v>
      </c>
    </row>
    <row r="182" spans="1:16" x14ac:dyDescent="0.25">
      <c r="A182" t="s">
        <v>67</v>
      </c>
      <c r="B182" t="s">
        <v>69</v>
      </c>
      <c r="C182">
        <v>9</v>
      </c>
      <c r="D182" t="s">
        <v>160</v>
      </c>
      <c r="E182" t="s">
        <v>147</v>
      </c>
      <c r="F182" t="s">
        <v>161</v>
      </c>
      <c r="G182">
        <v>117</v>
      </c>
      <c r="H182">
        <v>0</v>
      </c>
      <c r="I182" s="5" t="str">
        <f>OutputTable[[#This Row],[ProjectName]]&amp;OutputTable[[#This Row],[Name]]&amp;OutputTable[[#This Row],[Type]]&amp;OutputTable[[#This Row],[Source]]</f>
        <v>Friday (Solucion: datafono, gofre, cocina y caja compartida)System.NumberOutNumber OutSystem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19</v>
      </c>
      <c r="K182" s="5" cm="1">
        <f t="array" ref="K182">IFERROR(AVERAGE(IF((OutputTable[GroupByKey]=OutputTable[[#This Row],[GroupByKey]]),(OutputTable[GroupByKey]=OutputTable[[#This Row],[GroupByKey]])*OutputTable[RecordedValue])),0)</f>
        <v>125.36842105263158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10.160984894934533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182" s="5" cm="1">
        <f t="array" ref="O182">MIN(IF((OutputTable[GroupByKey]=OutputTable[[#This Row],[GroupByKey]]),(OutputTable[GroupByKey]=OutputTable[[#This Row],[GroupByKey]])*OutputTable[RecordedValue]))</f>
        <v>112</v>
      </c>
      <c r="P182" s="5" cm="1">
        <f t="array" ref="P182">MAX(IF((OutputTable[GroupByKey]=OutputTable[[#This Row],[GroupByKey]]),(OutputTable[GroupByKey]=OutputTable[[#This Row],[GroupByKey]])*OutputTable[RecordedValue]))</f>
        <v>153</v>
      </c>
    </row>
    <row r="183" spans="1:16" x14ac:dyDescent="0.25">
      <c r="A183" t="s">
        <v>67</v>
      </c>
      <c r="B183" t="s">
        <v>69</v>
      </c>
      <c r="C183">
        <v>9</v>
      </c>
      <c r="D183" t="s">
        <v>162</v>
      </c>
      <c r="E183" t="s">
        <v>163</v>
      </c>
      <c r="F183" t="s">
        <v>136</v>
      </c>
      <c r="G183">
        <v>124</v>
      </c>
      <c r="H183">
        <v>0</v>
      </c>
      <c r="I183" s="5" t="str">
        <f>OutputTable[[#This Row],[ProjectName]]&amp;OutputTable[[#This Row],[Name]]&amp;OutputTable[[#This Row],[Type]]&amp;OutputTable[[#This Row],[Source]]</f>
        <v>Friday (Solucion: datafono, gofre, cocina y caja compartida)rCajero.NumberSeizedTotal Number SeizedResource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19</v>
      </c>
      <c r="K183" s="5" cm="1">
        <f t="array" ref="K183">IFERROR(AVERAGE(IF((OutputTable[GroupByKey]=OutputTable[[#This Row],[GroupByKey]]),(OutputTable[GroupByKey]=OutputTable[[#This Row],[GroupByKey]])*OutputTable[RecordedValue])),0)</f>
        <v>131.63157894736841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13.988926280438102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6.7424466413544986</v>
      </c>
      <c r="O183" s="5" cm="1">
        <f t="array" ref="O183">MIN(IF((OutputTable[GroupByKey]=OutputTable[[#This Row],[GroupByKey]]),(OutputTable[GroupByKey]=OutputTable[[#This Row],[GroupByKey]])*OutputTable[RecordedValue]))</f>
        <v>113</v>
      </c>
      <c r="P183" s="5" cm="1">
        <f t="array" ref="P183">MAX(IF((OutputTable[GroupByKey]=OutputTable[[#This Row],[GroupByKey]]),(OutputTable[GroupByKey]=OutputTable[[#This Row],[GroupByKey]])*OutputTable[RecordedValue]))</f>
        <v>157</v>
      </c>
    </row>
    <row r="184" spans="1:16" x14ac:dyDescent="0.25">
      <c r="A184" t="s">
        <v>67</v>
      </c>
      <c r="B184" t="s">
        <v>69</v>
      </c>
      <c r="C184">
        <v>9</v>
      </c>
      <c r="D184" t="s">
        <v>164</v>
      </c>
      <c r="E184" t="s">
        <v>165</v>
      </c>
      <c r="F184" t="s">
        <v>136</v>
      </c>
      <c r="G184">
        <v>0.70138866139720901</v>
      </c>
      <c r="H184">
        <v>0</v>
      </c>
      <c r="I184" s="5" t="str">
        <f>OutputTable[[#This Row],[ProjectName]]&amp;OutputTable[[#This Row],[Name]]&amp;OutputTable[[#This Row],[Type]]&amp;OutputTable[[#This Row],[Source]]</f>
        <v>Friday (Solucion: datafono, gofre, cocina y caja compartida)rCajero.ScheduledUtilizationScheduled UtilizationResource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19</v>
      </c>
      <c r="K184" s="5" cm="1">
        <f t="array" ref="K184">IFERROR(AVERAGE(IF((OutputTable[GroupByKey]=OutputTable[[#This Row],[GroupByKey]]),(OutputTable[GroupByKey]=OutputTable[[#This Row],[GroupByKey]])*OutputTable[RecordedValue])),0)</f>
        <v>0.68474836505339687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6.2272947935973065E-2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3.0014600137344902E-2</v>
      </c>
      <c r="O184" s="5" cm="1">
        <f t="array" ref="O184">MIN(IF((OutputTable[GroupByKey]=OutputTable[[#This Row],[GroupByKey]]),(OutputTable[GroupByKey]=OutputTable[[#This Row],[GroupByKey]])*OutputTable[RecordedValue]))</f>
        <v>0.59592290927233305</v>
      </c>
      <c r="P184" s="5" cm="1">
        <f t="array" ref="P184">MAX(IF((OutputTable[GroupByKey]=OutputTable[[#This Row],[GroupByKey]]),(OutputTable[GroupByKey]=OutputTable[[#This Row],[GroupByKey]])*OutputTable[RecordedValue]))</f>
        <v>0.82897119936997599</v>
      </c>
    </row>
    <row r="185" spans="1:16" x14ac:dyDescent="0.25">
      <c r="A185" t="s">
        <v>67</v>
      </c>
      <c r="B185" t="s">
        <v>69</v>
      </c>
      <c r="C185">
        <v>9</v>
      </c>
      <c r="D185" t="s">
        <v>166</v>
      </c>
      <c r="E185" t="s">
        <v>163</v>
      </c>
      <c r="F185" t="s">
        <v>136</v>
      </c>
      <c r="G185">
        <v>102</v>
      </c>
      <c r="H185">
        <v>0</v>
      </c>
      <c r="I185" s="5" t="str">
        <f>OutputTable[[#This Row],[ProjectName]]&amp;OutputTable[[#This Row],[Name]]&amp;OutputTable[[#This Row],[Type]]&amp;OutputTable[[#This Row],[Source]]</f>
        <v>Friday (Solucion: datafono, gofre, cocina y caja compartida)rCocina.NumberSeizedTotal Number SeizedResource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19</v>
      </c>
      <c r="K185" s="5" cm="1">
        <f t="array" ref="K185">IFERROR(AVERAGE(IF((OutputTable[GroupByKey]=OutputTable[[#This Row],[GroupByKey]]),(OutputTable[GroupByKey]=OutputTable[[#This Row],[GroupByKey]])*OutputTable[RecordedValue])),0)</f>
        <v>112.73684210526316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9.1155673027772668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4.3935628019284003</v>
      </c>
      <c r="O185" s="5" cm="1">
        <f t="array" ref="O185">MIN(IF((OutputTable[GroupByKey]=OutputTable[[#This Row],[GroupByKey]]),(OutputTable[GroupByKey]=OutputTable[[#This Row],[GroupByKey]])*OutputTable[RecordedValue]))</f>
        <v>102</v>
      </c>
      <c r="P185" s="5" cm="1">
        <f t="array" ref="P185">MAX(IF((OutputTable[GroupByKey]=OutputTable[[#This Row],[GroupByKey]]),(OutputTable[GroupByKey]=OutputTable[[#This Row],[GroupByKey]])*OutputTable[RecordedValue]))</f>
        <v>135</v>
      </c>
    </row>
    <row r="186" spans="1:16" x14ac:dyDescent="0.25">
      <c r="A186" t="s">
        <v>67</v>
      </c>
      <c r="B186" t="s">
        <v>69</v>
      </c>
      <c r="C186">
        <v>9</v>
      </c>
      <c r="D186" t="s">
        <v>167</v>
      </c>
      <c r="E186" t="s">
        <v>165</v>
      </c>
      <c r="F186" t="s">
        <v>136</v>
      </c>
      <c r="G186">
        <v>0.73211488746139697</v>
      </c>
      <c r="H186">
        <v>0</v>
      </c>
      <c r="I186" s="5" t="str">
        <f>OutputTable[[#This Row],[ProjectName]]&amp;OutputTable[[#This Row],[Name]]&amp;OutputTable[[#This Row],[Type]]&amp;OutputTable[[#This Row],[Source]]</f>
        <v>Friday (Solucion: datafono, gofre, cocina y caja compartida)rCocina.ScheduledUtilizationScheduled UtilizationResource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19</v>
      </c>
      <c r="K186" s="5" cm="1">
        <f t="array" ref="K186">IFERROR(AVERAGE(IF((OutputTable[GroupByKey]=OutputTable[[#This Row],[GroupByKey]]),(OutputTable[GroupByKey]=OutputTable[[#This Row],[GroupByKey]])*OutputTable[RecordedValue])),0)</f>
        <v>0.71670342302257706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7.0907274842727658E-2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3.4176212493127585E-2</v>
      </c>
      <c r="O186" s="5" cm="1">
        <f t="array" ref="O186">MIN(IF((OutputTable[GroupByKey]=OutputTable[[#This Row],[GroupByKey]]),(OutputTable[GroupByKey]=OutputTable[[#This Row],[GroupByKey]])*OutputTable[RecordedValue]))</f>
        <v>0.60463940272025996</v>
      </c>
      <c r="P186" s="5" cm="1">
        <f t="array" ref="P186">MAX(IF((OutputTable[GroupByKey]=OutputTable[[#This Row],[GroupByKey]]),(OutputTable[GroupByKey]=OutputTable[[#This Row],[GroupByKey]])*OutputTable[RecordedValue]))</f>
        <v>0.86361037821575004</v>
      </c>
    </row>
    <row r="187" spans="1:16" x14ac:dyDescent="0.25">
      <c r="A187" t="s">
        <v>67</v>
      </c>
      <c r="B187" t="s">
        <v>69</v>
      </c>
      <c r="C187">
        <v>9</v>
      </c>
      <c r="D187" t="s">
        <v>168</v>
      </c>
      <c r="E187" t="s">
        <v>163</v>
      </c>
      <c r="F187" t="s">
        <v>136</v>
      </c>
      <c r="G187">
        <v>16</v>
      </c>
      <c r="H187">
        <v>0</v>
      </c>
      <c r="I187" s="5" t="str">
        <f>OutputTable[[#This Row],[ProjectName]]&amp;OutputTable[[#This Row],[Name]]&amp;OutputTable[[#This Row],[Type]]&amp;OutputTable[[#This Row],[Source]]</f>
        <v>Friday (Solucion: datafono, gofre, cocina y caja compartida)rMesa.NumberSeizedTotal Number SeizedResource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19</v>
      </c>
      <c r="K187" s="5" cm="1">
        <f t="array" ref="K187">IFERROR(AVERAGE(IF((OutputTable[GroupByKey]=OutputTable[[#This Row],[GroupByKey]]),(OutputTable[GroupByKey]=OutputTable[[#This Row],[GroupByKey]])*OutputTable[RecordedValue])),0)</f>
        <v>16.157894736842106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3.8044295512634076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187" s="5" cm="1">
        <f t="array" ref="O187">MIN(IF((OutputTable[GroupByKey]=OutputTable[[#This Row],[GroupByKey]]),(OutputTable[GroupByKey]=OutputTable[[#This Row],[GroupByKey]])*OutputTable[RecordedValue]))</f>
        <v>9</v>
      </c>
      <c r="P187" s="5" cm="1">
        <f t="array" ref="P187">MAX(IF((OutputTable[GroupByKey]=OutputTable[[#This Row],[GroupByKey]]),(OutputTable[GroupByKey]=OutputTable[[#This Row],[GroupByKey]])*OutputTable[RecordedValue]))</f>
        <v>24</v>
      </c>
    </row>
    <row r="188" spans="1:16" x14ac:dyDescent="0.25">
      <c r="A188" t="s">
        <v>67</v>
      </c>
      <c r="B188" t="s">
        <v>69</v>
      </c>
      <c r="C188">
        <v>9</v>
      </c>
      <c r="D188" t="s">
        <v>169</v>
      </c>
      <c r="E188" t="s">
        <v>165</v>
      </c>
      <c r="F188" t="s">
        <v>136</v>
      </c>
      <c r="G188">
        <v>0.28949122695742902</v>
      </c>
      <c r="H188">
        <v>0</v>
      </c>
      <c r="I188" s="5" t="str">
        <f>OutputTable[[#This Row],[ProjectName]]&amp;OutputTable[[#This Row],[Name]]&amp;OutputTable[[#This Row],[Type]]&amp;OutputTable[[#This Row],[Source]]</f>
        <v>Friday (Solucion: datafono, gofre, cocina y caja compartida)rMesa.ScheduledUtilizationScheduled UtilizationResource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19</v>
      </c>
      <c r="K188" s="5" cm="1">
        <f t="array" ref="K188">IFERROR(AVERAGE(IF((OutputTable[GroupByKey]=OutputTable[[#This Row],[GroupByKey]]),(OutputTable[GroupByKey]=OutputTable[[#This Row],[GroupByKey]])*OutputTable[RecordedValue])),0)</f>
        <v>0.30850610959128744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6.2586127702931107E-2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3.0165547953176861E-2</v>
      </c>
      <c r="O188" s="5" cm="1">
        <f t="array" ref="O188">MIN(IF((OutputTable[GroupByKey]=OutputTable[[#This Row],[GroupByKey]]),(OutputTable[GroupByKey]=OutputTable[[#This Row],[GroupByKey]])*OutputTable[RecordedValue]))</f>
        <v>0.156206445320244</v>
      </c>
      <c r="P188" s="5" cm="1">
        <f t="array" ref="P188">MAX(IF((OutputTable[GroupByKey]=OutputTable[[#This Row],[GroupByKey]]),(OutputTable[GroupByKey]=OutputTable[[#This Row],[GroupByKey]])*OutputTable[RecordedValue]))</f>
        <v>0.44942505379986802</v>
      </c>
    </row>
    <row r="189" spans="1:16" x14ac:dyDescent="0.25">
      <c r="A189" t="s">
        <v>67</v>
      </c>
      <c r="B189" t="s">
        <v>69</v>
      </c>
      <c r="C189">
        <v>9</v>
      </c>
      <c r="D189" t="s">
        <v>170</v>
      </c>
      <c r="E189" t="s">
        <v>145</v>
      </c>
      <c r="F189" t="s">
        <v>72</v>
      </c>
      <c r="G189">
        <v>3</v>
      </c>
      <c r="H189">
        <v>0</v>
      </c>
      <c r="I189" s="5" t="str">
        <f>OutputTable[[#This Row],[ProjectName]]&amp;OutputTable[[#This Row],[Name]]&amp;OutputTable[[#This Row],[Type]]&amp;OutputTable[[#This Row],[Source]]</f>
        <v>Friday (Solucion: datafono, gofre, cocina y caja compartida)reloj.NumberInNumber InEntity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19</v>
      </c>
      <c r="K189" s="5" cm="1">
        <f t="array" ref="K189">IFERROR(AVERAGE(IF((OutputTable[GroupByKey]=OutputTable[[#This Row],[GroupByKey]]),(OutputTable[GroupByKey]=OutputTable[[#This Row],[GroupByKey]])*OutputTable[RecordedValue])),0)</f>
        <v>3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0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" s="5" cm="1">
        <f t="array" ref="O189">MIN(IF((OutputTable[GroupByKey]=OutputTable[[#This Row],[GroupByKey]]),(OutputTable[GroupByKey]=OutputTable[[#This Row],[GroupByKey]])*OutputTable[RecordedValue]))</f>
        <v>3</v>
      </c>
      <c r="P189" s="5" cm="1">
        <f t="array" ref="P189">MAX(IF((OutputTable[GroupByKey]=OutputTable[[#This Row],[GroupByKey]]),(OutputTable[GroupByKey]=OutputTable[[#This Row],[GroupByKey]])*OutputTable[RecordedValue]))</f>
        <v>3</v>
      </c>
    </row>
    <row r="190" spans="1:16" x14ac:dyDescent="0.25">
      <c r="A190" t="s">
        <v>67</v>
      </c>
      <c r="B190" t="s">
        <v>69</v>
      </c>
      <c r="C190">
        <v>9</v>
      </c>
      <c r="D190" t="s">
        <v>171</v>
      </c>
      <c r="E190" t="s">
        <v>147</v>
      </c>
      <c r="F190" t="s">
        <v>72</v>
      </c>
      <c r="G190">
        <v>3</v>
      </c>
      <c r="H190">
        <v>0</v>
      </c>
      <c r="I190" s="5" t="str">
        <f>OutputTable[[#This Row],[ProjectName]]&amp;OutputTable[[#This Row],[Name]]&amp;OutputTable[[#This Row],[Type]]&amp;OutputTable[[#This Row],[Source]]</f>
        <v>Friday (Solucion: datafono, gofre, cocina y caja compartida)reloj.NumberOutNumber OutEntity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19</v>
      </c>
      <c r="K190" s="5" cm="1">
        <f t="array" ref="K190">IFERROR(AVERAGE(IF((OutputTable[GroupByKey]=OutputTable[[#This Row],[GroupByKey]]),(OutputTable[GroupByKey]=OutputTable[[#This Row],[GroupByKey]])*OutputTable[RecordedValue])),0)</f>
        <v>3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0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" s="5" cm="1">
        <f t="array" ref="O190">MIN(IF((OutputTable[GroupByKey]=OutputTable[[#This Row],[GroupByKey]]),(OutputTable[GroupByKey]=OutputTable[[#This Row],[GroupByKey]])*OutputTable[RecordedValue]))</f>
        <v>3</v>
      </c>
      <c r="P190" s="5" cm="1">
        <f t="array" ref="P190">MAX(IF((OutputTable[GroupByKey]=OutputTable[[#This Row],[GroupByKey]]),(OutputTable[GroupByKey]=OutputTable[[#This Row],[GroupByKey]])*OutputTable[RecordedValue]))</f>
        <v>3</v>
      </c>
    </row>
    <row r="191" spans="1:16" x14ac:dyDescent="0.25">
      <c r="A191" t="s">
        <v>67</v>
      </c>
      <c r="B191" t="s">
        <v>69</v>
      </c>
      <c r="C191">
        <v>10</v>
      </c>
      <c r="D191" t="s">
        <v>144</v>
      </c>
      <c r="E191" t="s">
        <v>145</v>
      </c>
      <c r="F191" t="s">
        <v>72</v>
      </c>
      <c r="G191">
        <v>353</v>
      </c>
      <c r="H191">
        <v>0</v>
      </c>
      <c r="I191" s="5" t="str">
        <f>OutputTable[[#This Row],[ProjectName]]&amp;OutputTable[[#This Row],[Name]]&amp;OutputTable[[#This Row],[Type]]&amp;OutputTable[[#This Row],[Source]]</f>
        <v>Friday (Solucion: datafono, gofre, cocina y caja compartida)Cliente.NumberInNumber InEntity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19</v>
      </c>
      <c r="K191" s="5" cm="1">
        <f t="array" ref="K191">IFERROR(AVERAGE(IF((OutputTable[GroupByKey]=OutputTable[[#This Row],[GroupByKey]]),(OutputTable[GroupByKey]=OutputTable[[#This Row],[GroupByKey]])*OutputTable[RecordedValue])),0)</f>
        <v>366.21052631578948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28.665850661580702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13.816497752584581</v>
      </c>
      <c r="O191" s="5" cm="1">
        <f t="array" ref="O191">MIN(IF((OutputTable[GroupByKey]=OutputTable[[#This Row],[GroupByKey]]),(OutputTable[GroupByKey]=OutputTable[[#This Row],[GroupByKey]])*OutputTable[RecordedValue]))</f>
        <v>331</v>
      </c>
      <c r="P191" s="5" cm="1">
        <f t="array" ref="P191">MAX(IF((OutputTable[GroupByKey]=OutputTable[[#This Row],[GroupByKey]]),(OutputTable[GroupByKey]=OutputTable[[#This Row],[GroupByKey]])*OutputTable[RecordedValue]))</f>
        <v>427</v>
      </c>
    </row>
    <row r="192" spans="1:16" x14ac:dyDescent="0.25">
      <c r="A192" t="s">
        <v>67</v>
      </c>
      <c r="B192" t="s">
        <v>69</v>
      </c>
      <c r="C192">
        <v>10</v>
      </c>
      <c r="D192" t="s">
        <v>146</v>
      </c>
      <c r="E192" t="s">
        <v>147</v>
      </c>
      <c r="F192" t="s">
        <v>72</v>
      </c>
      <c r="G192">
        <v>350</v>
      </c>
      <c r="H192">
        <v>0</v>
      </c>
      <c r="I192" s="5" t="str">
        <f>OutputTable[[#This Row],[ProjectName]]&amp;OutputTable[[#This Row],[Name]]&amp;OutputTable[[#This Row],[Type]]&amp;OutputTable[[#This Row],[Source]]</f>
        <v>Friday (Solucion: datafono, gofre, cocina y caja compartida)Cliente.NumberOutNumber OutEntity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19</v>
      </c>
      <c r="K192" s="5" cm="1">
        <f t="array" ref="K192">IFERROR(AVERAGE(IF((OutputTable[GroupByKey]=OutputTable[[#This Row],[GroupByKey]]),(OutputTable[GroupByKey]=OutputTable[[#This Row],[GroupByKey]])*OutputTable[RecordedValue])),0)</f>
        <v>366.63157894736844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29.957767544617038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14.439181758083874</v>
      </c>
      <c r="O192" s="5" cm="1">
        <f t="array" ref="O192">MIN(IF((OutputTable[GroupByKey]=OutputTable[[#This Row],[GroupByKey]]),(OutputTable[GroupByKey]=OutputTable[[#This Row],[GroupByKey]])*OutputTable[RecordedValue]))</f>
        <v>329</v>
      </c>
      <c r="P192" s="5" cm="1">
        <f t="array" ref="P192">MAX(IF((OutputTable[GroupByKey]=OutputTable[[#This Row],[GroupByKey]]),(OutputTable[GroupByKey]=OutputTable[[#This Row],[GroupByKey]])*OutputTable[RecordedValue]))</f>
        <v>443</v>
      </c>
    </row>
    <row r="193" spans="1:16" x14ac:dyDescent="0.25">
      <c r="A193" t="s">
        <v>67</v>
      </c>
      <c r="B193" t="s">
        <v>69</v>
      </c>
      <c r="C193">
        <v>10</v>
      </c>
      <c r="D193" t="s">
        <v>148</v>
      </c>
      <c r="E193" t="s">
        <v>149</v>
      </c>
      <c r="F193" t="s">
        <v>86</v>
      </c>
      <c r="G193">
        <v>385.83591523559897</v>
      </c>
      <c r="H193">
        <v>0</v>
      </c>
      <c r="I193" s="5" t="str">
        <f>OutputTable[[#This Row],[ProjectName]]&amp;OutputTable[[#This Row],[Name]]&amp;OutputTable[[#This Row],[Type]]&amp;OutputTable[[#This Row],[Source]]</f>
        <v>Friday (Solucion: datafono, gofre, cocina y caja compartida)Comer en Mesa Accum VA TimeAccum VA TimeProcess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19</v>
      </c>
      <c r="K193" s="5" cm="1">
        <f t="array" ref="K193">IFERROR(AVERAGE(IF((OutputTable[GroupByKey]=OutputTable[[#This Row],[GroupByKey]]),(OutputTable[GroupByKey]=OutputTable[[#This Row],[GroupByKey]])*OutputTable[RecordedValue])),0)</f>
        <v>283.12549562397913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55.763238037894645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26.877020400444863</v>
      </c>
      <c r="O193" s="5" cm="1">
        <f t="array" ref="O193">MIN(IF((OutputTable[GroupByKey]=OutputTable[[#This Row],[GroupByKey]]),(OutputTable[GroupByKey]=OutputTable[[#This Row],[GroupByKey]])*OutputTable[RecordedValue]))</f>
        <v>157.05073652574001</v>
      </c>
      <c r="P193" s="5" cm="1">
        <f t="array" ref="P193">MAX(IF((OutputTable[GroupByKey]=OutputTable[[#This Row],[GroupByKey]]),(OutputTable[GroupByKey]=OutputTable[[#This Row],[GroupByKey]])*OutputTable[RecordedValue]))</f>
        <v>402.97015039838902</v>
      </c>
    </row>
    <row r="194" spans="1:16" x14ac:dyDescent="0.25">
      <c r="A194" t="s">
        <v>67</v>
      </c>
      <c r="B194" t="s">
        <v>69</v>
      </c>
      <c r="C194">
        <v>10</v>
      </c>
      <c r="D194" t="s">
        <v>150</v>
      </c>
      <c r="E194" t="s">
        <v>151</v>
      </c>
      <c r="F194" t="s">
        <v>86</v>
      </c>
      <c r="G194">
        <v>0</v>
      </c>
      <c r="H194">
        <v>0</v>
      </c>
      <c r="I194" s="5" t="str">
        <f>OutputTable[[#This Row],[ProjectName]]&amp;OutputTable[[#This Row],[Name]]&amp;OutputTable[[#This Row],[Type]]&amp;OutputTable[[#This Row],[Source]]</f>
        <v>Friday (Solucion: datafono, gofre, cocina y caja compartida)Comer en Mesa Accum Wait TimeAccum Wait TimeProcess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19</v>
      </c>
      <c r="K194" s="5" cm="1">
        <f t="array" ref="K194">IFERROR(AVERAGE(IF((OutputTable[GroupByKey]=OutputTable[[#This Row],[GroupByKey]]),(OutputTable[GroupByKey]=OutputTable[[#This Row],[GroupByKey]])*OutputTable[RecordedValue])),0)</f>
        <v>0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0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" s="5" cm="1">
        <f t="array" ref="O194">MIN(IF((OutputTable[GroupByKey]=OutputTable[[#This Row],[GroupByKey]]),(OutputTable[GroupByKey]=OutputTable[[#This Row],[GroupByKey]])*OutputTable[RecordedValue]))</f>
        <v>0</v>
      </c>
      <c r="P194" s="5" cm="1">
        <f t="array" ref="P194">MAX(IF((OutputTable[GroupByKey]=OutputTable[[#This Row],[GroupByKey]]),(OutputTable[GroupByKey]=OutputTable[[#This Row],[GroupByKey]])*OutputTable[RecordedValue]))</f>
        <v>0</v>
      </c>
    </row>
    <row r="195" spans="1:16" x14ac:dyDescent="0.25">
      <c r="A195" t="s">
        <v>67</v>
      </c>
      <c r="B195" t="s">
        <v>69</v>
      </c>
      <c r="C195">
        <v>10</v>
      </c>
      <c r="D195" t="s">
        <v>152</v>
      </c>
      <c r="E195" t="s">
        <v>145</v>
      </c>
      <c r="F195" t="s">
        <v>86</v>
      </c>
      <c r="G195">
        <v>24</v>
      </c>
      <c r="H195">
        <v>0</v>
      </c>
      <c r="I195" s="5" t="str">
        <f>OutputTable[[#This Row],[ProjectName]]&amp;OutputTable[[#This Row],[Name]]&amp;OutputTable[[#This Row],[Type]]&amp;OutputTable[[#This Row],[Source]]</f>
        <v>Friday (Solucion: datafono, gofre, cocina y caja compartida)Comer en Mesa Number InNumber InProcess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19</v>
      </c>
      <c r="K195" s="5" cm="1">
        <f t="array" ref="K195">IFERROR(AVERAGE(IF((OutputTable[GroupByKey]=OutputTable[[#This Row],[GroupByKey]]),(OutputTable[GroupByKey]=OutputTable[[#This Row],[GroupByKey]])*OutputTable[RecordedValue])),0)</f>
        <v>16.157894736842106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3.8044295512634076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195" s="5" cm="1">
        <f t="array" ref="O195">MIN(IF((OutputTable[GroupByKey]=OutputTable[[#This Row],[GroupByKey]]),(OutputTable[GroupByKey]=OutputTable[[#This Row],[GroupByKey]])*OutputTable[RecordedValue]))</f>
        <v>9</v>
      </c>
      <c r="P195" s="5" cm="1">
        <f t="array" ref="P195">MAX(IF((OutputTable[GroupByKey]=OutputTable[[#This Row],[GroupByKey]]),(OutputTable[GroupByKey]=OutputTable[[#This Row],[GroupByKey]])*OutputTable[RecordedValue]))</f>
        <v>24</v>
      </c>
    </row>
    <row r="196" spans="1:16" x14ac:dyDescent="0.25">
      <c r="A196" t="s">
        <v>67</v>
      </c>
      <c r="B196" t="s">
        <v>69</v>
      </c>
      <c r="C196">
        <v>10</v>
      </c>
      <c r="D196" t="s">
        <v>153</v>
      </c>
      <c r="E196" t="s">
        <v>147</v>
      </c>
      <c r="F196" t="s">
        <v>86</v>
      </c>
      <c r="G196">
        <v>22</v>
      </c>
      <c r="H196">
        <v>0</v>
      </c>
      <c r="I196" s="5" t="str">
        <f>OutputTable[[#This Row],[ProjectName]]&amp;OutputTable[[#This Row],[Name]]&amp;OutputTable[[#This Row],[Type]]&amp;OutputTable[[#This Row],[Source]]</f>
        <v>Friday (Solucion: datafono, gofre, cocina y caja compartida)Comer en Mesa Number OutNumber OutProcess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19</v>
      </c>
      <c r="K196" s="5" cm="1">
        <f t="array" ref="K196">IFERROR(AVERAGE(IF((OutputTable[GroupByKey]=OutputTable[[#This Row],[GroupByKey]]),(OutputTable[GroupByKey]=OutputTable[[#This Row],[GroupByKey]])*OutputTable[RecordedValue])),0)</f>
        <v>16.263157894736842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3.3803698887540881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1.6292861329062698</v>
      </c>
      <c r="O196" s="5" cm="1">
        <f t="array" ref="O196">MIN(IF((OutputTable[GroupByKey]=OutputTable[[#This Row],[GroupByKey]]),(OutputTable[GroupByKey]=OutputTable[[#This Row],[GroupByKey]])*OutputTable[RecordedValue]))</f>
        <v>8</v>
      </c>
      <c r="P196" s="5" cm="1">
        <f t="array" ref="P196">MAX(IF((OutputTable[GroupByKey]=OutputTable[[#This Row],[GroupByKey]]),(OutputTable[GroupByKey]=OutputTable[[#This Row],[GroupByKey]])*OutputTable[RecordedValue]))</f>
        <v>22</v>
      </c>
    </row>
    <row r="197" spans="1:16" x14ac:dyDescent="0.25">
      <c r="A197" t="s">
        <v>67</v>
      </c>
      <c r="B197" t="s">
        <v>69</v>
      </c>
      <c r="C197">
        <v>10</v>
      </c>
      <c r="D197" t="s">
        <v>154</v>
      </c>
      <c r="E197" t="s">
        <v>145</v>
      </c>
      <c r="F197" t="s">
        <v>72</v>
      </c>
      <c r="G197">
        <v>118</v>
      </c>
      <c r="H197">
        <v>0</v>
      </c>
      <c r="I197" s="5" t="str">
        <f>OutputTable[[#This Row],[ProjectName]]&amp;OutputTable[[#This Row],[Name]]&amp;OutputTable[[#This Row],[Type]]&amp;OutputTable[[#This Row],[Source]]</f>
        <v>Friday (Solucion: datafono, gofre, cocina y caja compartida)Orden.NumberInNumber InEntity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19</v>
      </c>
      <c r="K197" s="5" cm="1">
        <f t="array" ref="K197">IFERROR(AVERAGE(IF((OutputTable[GroupByKey]=OutputTable[[#This Row],[GroupByKey]]),(OutputTable[GroupByKey]=OutputTable[[#This Row],[GroupByKey]])*OutputTable[RecordedValue])),0)</f>
        <v>121.89473684210526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9.971597090637573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197" s="5" cm="1">
        <f t="array" ref="O197">MIN(IF((OutputTable[GroupByKey]=OutputTable[[#This Row],[GroupByKey]]),(OutputTable[GroupByKey]=OutputTable[[#This Row],[GroupByKey]])*OutputTable[RecordedValue]))</f>
        <v>109</v>
      </c>
      <c r="P197" s="5" cm="1">
        <f t="array" ref="P197">MAX(IF((OutputTable[GroupByKey]=OutputTable[[#This Row],[GroupByKey]]),(OutputTable[GroupByKey]=OutputTable[[#This Row],[GroupByKey]])*OutputTable[RecordedValue]))</f>
        <v>143</v>
      </c>
    </row>
    <row r="198" spans="1:16" x14ac:dyDescent="0.25">
      <c r="A198" t="s">
        <v>67</v>
      </c>
      <c r="B198" t="s">
        <v>69</v>
      </c>
      <c r="C198">
        <v>10</v>
      </c>
      <c r="D198" t="s">
        <v>155</v>
      </c>
      <c r="E198" t="s">
        <v>147</v>
      </c>
      <c r="F198" t="s">
        <v>72</v>
      </c>
      <c r="G198">
        <v>116</v>
      </c>
      <c r="H198">
        <v>0</v>
      </c>
      <c r="I198" s="5" t="str">
        <f>OutputTable[[#This Row],[ProjectName]]&amp;OutputTable[[#This Row],[Name]]&amp;OutputTable[[#This Row],[Type]]&amp;OutputTable[[#This Row],[Source]]</f>
        <v>Friday (Solucion: datafono, gofre, cocina y caja compartida)Orden.NumberOutNumber OutEntity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19</v>
      </c>
      <c r="K198" s="5" cm="1">
        <f t="array" ref="K198">IFERROR(AVERAGE(IF((OutputTable[GroupByKey]=OutputTable[[#This Row],[GroupByKey]]),(OutputTable[GroupByKey]=OutputTable[[#This Row],[GroupByKey]])*OutputTable[RecordedValue])),0)</f>
        <v>122.36842105263158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10.160984894934533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198" s="5" cm="1">
        <f t="array" ref="O198">MIN(IF((OutputTable[GroupByKey]=OutputTable[[#This Row],[GroupByKey]]),(OutputTable[GroupByKey]=OutputTable[[#This Row],[GroupByKey]])*OutputTable[RecordedValue]))</f>
        <v>109</v>
      </c>
      <c r="P198" s="5" cm="1">
        <f t="array" ref="P198">MAX(IF((OutputTable[GroupByKey]=OutputTable[[#This Row],[GroupByKey]]),(OutputTable[GroupByKey]=OutputTable[[#This Row],[GroupByKey]])*OutputTable[RecordedValue]))</f>
        <v>150</v>
      </c>
    </row>
    <row r="199" spans="1:16" x14ac:dyDescent="0.25">
      <c r="A199" t="s">
        <v>67</v>
      </c>
      <c r="B199" t="s">
        <v>69</v>
      </c>
      <c r="C199">
        <v>10</v>
      </c>
      <c r="D199" t="s">
        <v>156</v>
      </c>
      <c r="E199" t="s">
        <v>149</v>
      </c>
      <c r="F199" t="s">
        <v>86</v>
      </c>
      <c r="G199">
        <v>184.25899040465799</v>
      </c>
      <c r="H199">
        <v>0</v>
      </c>
      <c r="I199" s="5" t="str">
        <f>OutputTable[[#This Row],[ProjectName]]&amp;OutputTable[[#This Row],[Name]]&amp;OutputTable[[#This Row],[Type]]&amp;OutputTable[[#This Row],[Source]]</f>
        <v>Friday (Solucion: datafono, gofre, cocina y caja compartida)Preparacion Accum VA TimeAccum VA TimeProcess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19</v>
      </c>
      <c r="K199" s="5" cm="1">
        <f t="array" ref="K199">IFERROR(AVERAGE(IF((OutputTable[GroupByKey]=OutputTable[[#This Row],[GroupByKey]]),(OutputTable[GroupByKey]=OutputTable[[#This Row],[GroupByKey]])*OutputTable[RecordedValue])),0)</f>
        <v>174.13537587676447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19.65074675456297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9.4713567574295272</v>
      </c>
      <c r="O199" s="5" cm="1">
        <f t="array" ref="O199">MIN(IF((OutputTable[GroupByKey]=OutputTable[[#This Row],[GroupByKey]]),(OutputTable[GroupByKey]=OutputTable[[#This Row],[GroupByKey]])*OutputTable[RecordedValue]))</f>
        <v>139.22471453685199</v>
      </c>
      <c r="P199" s="5" cm="1">
        <f t="array" ref="P199">MAX(IF((OutputTable[GroupByKey]=OutputTable[[#This Row],[GroupByKey]]),(OutputTable[GroupByKey]=OutputTable[[#This Row],[GroupByKey]])*OutputTable[RecordedValue]))</f>
        <v>210.18722493890999</v>
      </c>
    </row>
    <row r="200" spans="1:16" x14ac:dyDescent="0.25">
      <c r="A200" t="s">
        <v>67</v>
      </c>
      <c r="B200" t="s">
        <v>69</v>
      </c>
      <c r="C200">
        <v>10</v>
      </c>
      <c r="D200" t="s">
        <v>157</v>
      </c>
      <c r="E200" t="s">
        <v>151</v>
      </c>
      <c r="F200" t="s">
        <v>86</v>
      </c>
      <c r="G200">
        <v>108.216585264275</v>
      </c>
      <c r="H200">
        <v>0</v>
      </c>
      <c r="I200" s="5" t="str">
        <f>OutputTable[[#This Row],[ProjectName]]&amp;OutputTable[[#This Row],[Name]]&amp;OutputTable[[#This Row],[Type]]&amp;OutputTable[[#This Row],[Source]]</f>
        <v>Friday (Solucion: datafono, gofre, cocina y caja compartida)Preparacion Accum Wait TimeAccum Wait TimeProcess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19</v>
      </c>
      <c r="K200" s="5" cm="1">
        <f t="array" ref="K200">IFERROR(AVERAGE(IF((OutputTable[GroupByKey]=OutputTable[[#This Row],[GroupByKey]]),(OutputTable[GroupByKey]=OutputTable[[#This Row],[GroupByKey]])*OutputTable[RecordedValue])),0)</f>
        <v>89.754366677107924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109.53061123574736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52.79206474085742</v>
      </c>
      <c r="O200" s="5" cm="1">
        <f t="array" ref="O200">MIN(IF((OutputTable[GroupByKey]=OutputTable[[#This Row],[GroupByKey]]),(OutputTable[GroupByKey]=OutputTable[[#This Row],[GroupByKey]])*OutputTable[RecordedValue]))</f>
        <v>22.316256244919199</v>
      </c>
      <c r="P200" s="5" cm="1">
        <f t="array" ref="P200">MAX(IF((OutputTable[GroupByKey]=OutputTable[[#This Row],[GroupByKey]]),(OutputTable[GroupByKey]=OutputTable[[#This Row],[GroupByKey]])*OutputTable[RecordedValue]))</f>
        <v>514.987116007179</v>
      </c>
    </row>
    <row r="201" spans="1:16" x14ac:dyDescent="0.25">
      <c r="A201" t="s">
        <v>67</v>
      </c>
      <c r="B201" t="s">
        <v>69</v>
      </c>
      <c r="C201">
        <v>10</v>
      </c>
      <c r="D201" t="s">
        <v>158</v>
      </c>
      <c r="E201" t="s">
        <v>145</v>
      </c>
      <c r="F201" t="s">
        <v>86</v>
      </c>
      <c r="G201">
        <v>118</v>
      </c>
      <c r="H201">
        <v>0</v>
      </c>
      <c r="I201" s="5" t="str">
        <f>OutputTable[[#This Row],[ProjectName]]&amp;OutputTable[[#This Row],[Name]]&amp;OutputTable[[#This Row],[Type]]&amp;OutputTable[[#This Row],[Source]]</f>
        <v>Friday (Solucion: datafono, gofre, cocina y caja compartida)Preparacion Number InNumber InProcess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19</v>
      </c>
      <c r="K201" s="5" cm="1">
        <f t="array" ref="K201">IFERROR(AVERAGE(IF((OutputTable[GroupByKey]=OutputTable[[#This Row],[GroupByKey]]),(OutputTable[GroupByKey]=OutputTable[[#This Row],[GroupByKey]])*OutputTable[RecordedValue])),0)</f>
        <v>121.89473684210526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9.971597090637573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201" s="5" cm="1">
        <f t="array" ref="O201">MIN(IF((OutputTable[GroupByKey]=OutputTable[[#This Row],[GroupByKey]]),(OutputTable[GroupByKey]=OutputTable[[#This Row],[GroupByKey]])*OutputTable[RecordedValue]))</f>
        <v>109</v>
      </c>
      <c r="P201" s="5" cm="1">
        <f t="array" ref="P201">MAX(IF((OutputTable[GroupByKey]=OutputTable[[#This Row],[GroupByKey]]),(OutputTable[GroupByKey]=OutputTable[[#This Row],[GroupByKey]])*OutputTable[RecordedValue]))</f>
        <v>143</v>
      </c>
    </row>
    <row r="202" spans="1:16" x14ac:dyDescent="0.25">
      <c r="A202" t="s">
        <v>67</v>
      </c>
      <c r="B202" t="s">
        <v>69</v>
      </c>
      <c r="C202">
        <v>10</v>
      </c>
      <c r="D202" t="s">
        <v>159</v>
      </c>
      <c r="E202" t="s">
        <v>147</v>
      </c>
      <c r="F202" t="s">
        <v>86</v>
      </c>
      <c r="G202">
        <v>118</v>
      </c>
      <c r="H202">
        <v>0</v>
      </c>
      <c r="I202" s="5" t="str">
        <f>OutputTable[[#This Row],[ProjectName]]&amp;OutputTable[[#This Row],[Name]]&amp;OutputTable[[#This Row],[Type]]&amp;OutputTable[[#This Row],[Source]]</f>
        <v>Friday (Solucion: datafono, gofre, cocina y caja compartida)Preparacion Number OutNumber OutProcess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19</v>
      </c>
      <c r="K202" s="5" cm="1">
        <f t="array" ref="K202">IFERROR(AVERAGE(IF((OutputTable[GroupByKey]=OutputTable[[#This Row],[GroupByKey]]),(OutputTable[GroupByKey]=OutputTable[[#This Row],[GroupByKey]])*OutputTable[RecordedValue])),0)</f>
        <v>122.31578947368421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10.127260414780096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4.8811832731752718</v>
      </c>
      <c r="O202" s="5" cm="1">
        <f t="array" ref="O202">MIN(IF((OutputTable[GroupByKey]=OutputTable[[#This Row],[GroupByKey]]),(OutputTable[GroupByKey]=OutputTable[[#This Row],[GroupByKey]])*OutputTable[RecordedValue]))</f>
        <v>111</v>
      </c>
      <c r="P202" s="5" cm="1">
        <f t="array" ref="P202">MAX(IF((OutputTable[GroupByKey]=OutputTable[[#This Row],[GroupByKey]]),(OutputTable[GroupByKey]=OutputTable[[#This Row],[GroupByKey]])*OutputTable[RecordedValue]))</f>
        <v>150</v>
      </c>
    </row>
    <row r="203" spans="1:16" x14ac:dyDescent="0.25">
      <c r="A203" t="s">
        <v>67</v>
      </c>
      <c r="B203" t="s">
        <v>69</v>
      </c>
      <c r="C203">
        <v>10</v>
      </c>
      <c r="D203" t="s">
        <v>160</v>
      </c>
      <c r="E203" t="s">
        <v>147</v>
      </c>
      <c r="F203" t="s">
        <v>161</v>
      </c>
      <c r="G203">
        <v>119</v>
      </c>
      <c r="H203">
        <v>0</v>
      </c>
      <c r="I203" s="5" t="str">
        <f>OutputTable[[#This Row],[ProjectName]]&amp;OutputTable[[#This Row],[Name]]&amp;OutputTable[[#This Row],[Type]]&amp;OutputTable[[#This Row],[Source]]</f>
        <v>Friday (Solucion: datafono, gofre, cocina y caja compartida)System.NumberOutNumber OutSystem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19</v>
      </c>
      <c r="K203" s="5" cm="1">
        <f t="array" ref="K203">IFERROR(AVERAGE(IF((OutputTable[GroupByKey]=OutputTable[[#This Row],[GroupByKey]]),(OutputTable[GroupByKey]=OutputTable[[#This Row],[GroupByKey]])*OutputTable[RecordedValue])),0)</f>
        <v>125.36842105263158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10.160984894934533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203" s="5" cm="1">
        <f t="array" ref="O203">MIN(IF((OutputTable[GroupByKey]=OutputTable[[#This Row],[GroupByKey]]),(OutputTable[GroupByKey]=OutputTable[[#This Row],[GroupByKey]])*OutputTable[RecordedValue]))</f>
        <v>112</v>
      </c>
      <c r="P203" s="5" cm="1">
        <f t="array" ref="P203">MAX(IF((OutputTable[GroupByKey]=OutputTable[[#This Row],[GroupByKey]]),(OutputTable[GroupByKey]=OutputTable[[#This Row],[GroupByKey]])*OutputTable[RecordedValue]))</f>
        <v>153</v>
      </c>
    </row>
    <row r="204" spans="1:16" x14ac:dyDescent="0.25">
      <c r="A204" t="s">
        <v>67</v>
      </c>
      <c r="B204" t="s">
        <v>69</v>
      </c>
      <c r="C204">
        <v>10</v>
      </c>
      <c r="D204" t="s">
        <v>162</v>
      </c>
      <c r="E204" t="s">
        <v>163</v>
      </c>
      <c r="F204" t="s">
        <v>136</v>
      </c>
      <c r="G204">
        <v>113</v>
      </c>
      <c r="H204">
        <v>0</v>
      </c>
      <c r="I204" s="5" t="str">
        <f>OutputTable[[#This Row],[ProjectName]]&amp;OutputTable[[#This Row],[Name]]&amp;OutputTable[[#This Row],[Type]]&amp;OutputTable[[#This Row],[Source]]</f>
        <v>Friday (Solucion: datafono, gofre, cocina y caja compartida)rCajero.NumberSeizedTotal Number SeizedResource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19</v>
      </c>
      <c r="K204" s="5" cm="1">
        <f t="array" ref="K204">IFERROR(AVERAGE(IF((OutputTable[GroupByKey]=OutputTable[[#This Row],[GroupByKey]]),(OutputTable[GroupByKey]=OutputTable[[#This Row],[GroupByKey]])*OutputTable[RecordedValue])),0)</f>
        <v>131.63157894736841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13.988926280438102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6.7424466413544986</v>
      </c>
      <c r="O204" s="5" cm="1">
        <f t="array" ref="O204">MIN(IF((OutputTable[GroupByKey]=OutputTable[[#This Row],[GroupByKey]]),(OutputTable[GroupByKey]=OutputTable[[#This Row],[GroupByKey]])*OutputTable[RecordedValue]))</f>
        <v>113</v>
      </c>
      <c r="P204" s="5" cm="1">
        <f t="array" ref="P204">MAX(IF((OutputTable[GroupByKey]=OutputTable[[#This Row],[GroupByKey]]),(OutputTable[GroupByKey]=OutputTable[[#This Row],[GroupByKey]])*OutputTable[RecordedValue]))</f>
        <v>157</v>
      </c>
    </row>
    <row r="205" spans="1:16" x14ac:dyDescent="0.25">
      <c r="A205" t="s">
        <v>67</v>
      </c>
      <c r="B205" t="s">
        <v>69</v>
      </c>
      <c r="C205">
        <v>10</v>
      </c>
      <c r="D205" t="s">
        <v>164</v>
      </c>
      <c r="E205" t="s">
        <v>165</v>
      </c>
      <c r="F205" t="s">
        <v>136</v>
      </c>
      <c r="G205">
        <v>0.73240339248557995</v>
      </c>
      <c r="H205">
        <v>0</v>
      </c>
      <c r="I205" s="5" t="str">
        <f>OutputTable[[#This Row],[ProjectName]]&amp;OutputTable[[#This Row],[Name]]&amp;OutputTable[[#This Row],[Type]]&amp;OutputTable[[#This Row],[Source]]</f>
        <v>Friday (Solucion: datafono, gofre, cocina y caja compartida)rCajero.ScheduledUtilizationScheduled UtilizationResource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19</v>
      </c>
      <c r="K205" s="5" cm="1">
        <f t="array" ref="K205">IFERROR(AVERAGE(IF((OutputTable[GroupByKey]=OutputTable[[#This Row],[GroupByKey]]),(OutputTable[GroupByKey]=OutputTable[[#This Row],[GroupByKey]])*OutputTable[RecordedValue])),0)</f>
        <v>0.68474836505339687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6.2272947935973065E-2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3.0014600137344902E-2</v>
      </c>
      <c r="O205" s="5" cm="1">
        <f t="array" ref="O205">MIN(IF((OutputTable[GroupByKey]=OutputTable[[#This Row],[GroupByKey]]),(OutputTable[GroupByKey]=OutputTable[[#This Row],[GroupByKey]])*OutputTable[RecordedValue]))</f>
        <v>0.59592290927233305</v>
      </c>
      <c r="P205" s="5" cm="1">
        <f t="array" ref="P205">MAX(IF((OutputTable[GroupByKey]=OutputTable[[#This Row],[GroupByKey]]),(OutputTable[GroupByKey]=OutputTable[[#This Row],[GroupByKey]])*OutputTable[RecordedValue]))</f>
        <v>0.82897119936997599</v>
      </c>
    </row>
    <row r="206" spans="1:16" x14ac:dyDescent="0.25">
      <c r="A206" t="s">
        <v>67</v>
      </c>
      <c r="B206" t="s">
        <v>69</v>
      </c>
      <c r="C206">
        <v>10</v>
      </c>
      <c r="D206" t="s">
        <v>166</v>
      </c>
      <c r="E206" t="s">
        <v>163</v>
      </c>
      <c r="F206" t="s">
        <v>136</v>
      </c>
      <c r="G206">
        <v>122</v>
      </c>
      <c r="H206">
        <v>0</v>
      </c>
      <c r="I206" s="5" t="str">
        <f>OutputTable[[#This Row],[ProjectName]]&amp;OutputTable[[#This Row],[Name]]&amp;OutputTable[[#This Row],[Type]]&amp;OutputTable[[#This Row],[Source]]</f>
        <v>Friday (Solucion: datafono, gofre, cocina y caja compartida)rCocina.NumberSeizedTotal Number SeizedResource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19</v>
      </c>
      <c r="K206" s="5" cm="1">
        <f t="array" ref="K206">IFERROR(AVERAGE(IF((OutputTable[GroupByKey]=OutputTable[[#This Row],[GroupByKey]]),(OutputTable[GroupByKey]=OutputTable[[#This Row],[GroupByKey]])*OutputTable[RecordedValue])),0)</f>
        <v>112.73684210526316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9.1155673027772668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4.3935628019284003</v>
      </c>
      <c r="O206" s="5" cm="1">
        <f t="array" ref="O206">MIN(IF((OutputTable[GroupByKey]=OutputTable[[#This Row],[GroupByKey]]),(OutputTable[GroupByKey]=OutputTable[[#This Row],[GroupByKey]])*OutputTable[RecordedValue]))</f>
        <v>102</v>
      </c>
      <c r="P206" s="5" cm="1">
        <f t="array" ref="P206">MAX(IF((OutputTable[GroupByKey]=OutputTable[[#This Row],[GroupByKey]]),(OutputTable[GroupByKey]=OutputTable[[#This Row],[GroupByKey]])*OutputTable[RecordedValue]))</f>
        <v>135</v>
      </c>
    </row>
    <row r="207" spans="1:16" x14ac:dyDescent="0.25">
      <c r="A207" t="s">
        <v>67</v>
      </c>
      <c r="B207" t="s">
        <v>69</v>
      </c>
      <c r="C207">
        <v>10</v>
      </c>
      <c r="D207" t="s">
        <v>167</v>
      </c>
      <c r="E207" t="s">
        <v>165</v>
      </c>
      <c r="F207" t="s">
        <v>136</v>
      </c>
      <c r="G207">
        <v>0.73693591264165603</v>
      </c>
      <c r="H207">
        <v>0</v>
      </c>
      <c r="I207" s="5" t="str">
        <f>OutputTable[[#This Row],[ProjectName]]&amp;OutputTable[[#This Row],[Name]]&amp;OutputTable[[#This Row],[Type]]&amp;OutputTable[[#This Row],[Source]]</f>
        <v>Friday (Solucion: datafono, gofre, cocina y caja compartida)rCocina.ScheduledUtilizationScheduled UtilizationResource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19</v>
      </c>
      <c r="K207" s="5" cm="1">
        <f t="array" ref="K207">IFERROR(AVERAGE(IF((OutputTable[GroupByKey]=OutputTable[[#This Row],[GroupByKey]]),(OutputTable[GroupByKey]=OutputTable[[#This Row],[GroupByKey]])*OutputTable[RecordedValue])),0)</f>
        <v>0.71670342302257706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7.0907274842727658E-2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3.4176212493127585E-2</v>
      </c>
      <c r="O207" s="5" cm="1">
        <f t="array" ref="O207">MIN(IF((OutputTable[GroupByKey]=OutputTable[[#This Row],[GroupByKey]]),(OutputTable[GroupByKey]=OutputTable[[#This Row],[GroupByKey]])*OutputTable[RecordedValue]))</f>
        <v>0.60463940272025996</v>
      </c>
      <c r="P207" s="5" cm="1">
        <f t="array" ref="P207">MAX(IF((OutputTable[GroupByKey]=OutputTable[[#This Row],[GroupByKey]]),(OutputTable[GroupByKey]=OutputTable[[#This Row],[GroupByKey]])*OutputTable[RecordedValue]))</f>
        <v>0.86361037821575004</v>
      </c>
    </row>
    <row r="208" spans="1:16" x14ac:dyDescent="0.25">
      <c r="A208" t="s">
        <v>67</v>
      </c>
      <c r="B208" t="s">
        <v>69</v>
      </c>
      <c r="C208">
        <v>10</v>
      </c>
      <c r="D208" t="s">
        <v>168</v>
      </c>
      <c r="E208" t="s">
        <v>163</v>
      </c>
      <c r="F208" t="s">
        <v>136</v>
      </c>
      <c r="G208">
        <v>24</v>
      </c>
      <c r="H208">
        <v>0</v>
      </c>
      <c r="I208" s="5" t="str">
        <f>OutputTable[[#This Row],[ProjectName]]&amp;OutputTable[[#This Row],[Name]]&amp;OutputTable[[#This Row],[Type]]&amp;OutputTable[[#This Row],[Source]]</f>
        <v>Friday (Solucion: datafono, gofre, cocina y caja compartida)rMesa.NumberSeizedTotal Number SeizedResource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19</v>
      </c>
      <c r="K208" s="5" cm="1">
        <f t="array" ref="K208">IFERROR(AVERAGE(IF((OutputTable[GroupByKey]=OutputTable[[#This Row],[GroupByKey]]),(OutputTable[GroupByKey]=OutputTable[[#This Row],[GroupByKey]])*OutputTable[RecordedValue])),0)</f>
        <v>16.157894736842106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3.8044295512634076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208" s="5" cm="1">
        <f t="array" ref="O208">MIN(IF((OutputTable[GroupByKey]=OutputTable[[#This Row],[GroupByKey]]),(OutputTable[GroupByKey]=OutputTable[[#This Row],[GroupByKey]])*OutputTable[RecordedValue]))</f>
        <v>9</v>
      </c>
      <c r="P208" s="5" cm="1">
        <f t="array" ref="P208">MAX(IF((OutputTable[GroupByKey]=OutputTable[[#This Row],[GroupByKey]]),(OutputTable[GroupByKey]=OutputTable[[#This Row],[GroupByKey]])*OutputTable[RecordedValue]))</f>
        <v>24</v>
      </c>
    </row>
    <row r="209" spans="1:16" x14ac:dyDescent="0.25">
      <c r="A209" t="s">
        <v>67</v>
      </c>
      <c r="B209" t="s">
        <v>69</v>
      </c>
      <c r="C209">
        <v>10</v>
      </c>
      <c r="D209" t="s">
        <v>169</v>
      </c>
      <c r="E209" t="s">
        <v>165</v>
      </c>
      <c r="F209" t="s">
        <v>136</v>
      </c>
      <c r="G209">
        <v>0.44942505379986802</v>
      </c>
      <c r="H209">
        <v>0</v>
      </c>
      <c r="I209" s="5" t="str">
        <f>OutputTable[[#This Row],[ProjectName]]&amp;OutputTable[[#This Row],[Name]]&amp;OutputTable[[#This Row],[Type]]&amp;OutputTable[[#This Row],[Source]]</f>
        <v>Friday (Solucion: datafono, gofre, cocina y caja compartida)rMesa.ScheduledUtilizationScheduled UtilizationResource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19</v>
      </c>
      <c r="K209" s="5" cm="1">
        <f t="array" ref="K209">IFERROR(AVERAGE(IF((OutputTable[GroupByKey]=OutputTable[[#This Row],[GroupByKey]]),(OutputTable[GroupByKey]=OutputTable[[#This Row],[GroupByKey]])*OutputTable[RecordedValue])),0)</f>
        <v>0.30850610959128744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6.2586127702931107E-2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3.0165547953176861E-2</v>
      </c>
      <c r="O209" s="5" cm="1">
        <f t="array" ref="O209">MIN(IF((OutputTable[GroupByKey]=OutputTable[[#This Row],[GroupByKey]]),(OutputTable[GroupByKey]=OutputTable[[#This Row],[GroupByKey]])*OutputTable[RecordedValue]))</f>
        <v>0.156206445320244</v>
      </c>
      <c r="P209" s="5" cm="1">
        <f t="array" ref="P209">MAX(IF((OutputTable[GroupByKey]=OutputTable[[#This Row],[GroupByKey]]),(OutputTable[GroupByKey]=OutputTable[[#This Row],[GroupByKey]])*OutputTable[RecordedValue]))</f>
        <v>0.44942505379986802</v>
      </c>
    </row>
    <row r="210" spans="1:16" x14ac:dyDescent="0.25">
      <c r="A210" t="s">
        <v>67</v>
      </c>
      <c r="B210" t="s">
        <v>69</v>
      </c>
      <c r="C210">
        <v>10</v>
      </c>
      <c r="D210" t="s">
        <v>170</v>
      </c>
      <c r="E210" t="s">
        <v>145</v>
      </c>
      <c r="F210" t="s">
        <v>72</v>
      </c>
      <c r="G210">
        <v>3</v>
      </c>
      <c r="H210">
        <v>0</v>
      </c>
      <c r="I210" s="5" t="str">
        <f>OutputTable[[#This Row],[ProjectName]]&amp;OutputTable[[#This Row],[Name]]&amp;OutputTable[[#This Row],[Type]]&amp;OutputTable[[#This Row],[Source]]</f>
        <v>Friday (Solucion: datafono, gofre, cocina y caja compartida)reloj.NumberInNumber InEntity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19</v>
      </c>
      <c r="K210" s="5" cm="1">
        <f t="array" ref="K210">IFERROR(AVERAGE(IF((OutputTable[GroupByKey]=OutputTable[[#This Row],[GroupByKey]]),(OutputTable[GroupByKey]=OutputTable[[#This Row],[GroupByKey]])*OutputTable[RecordedValue])),0)</f>
        <v>3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0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" s="5" cm="1">
        <f t="array" ref="O210">MIN(IF((OutputTable[GroupByKey]=OutputTable[[#This Row],[GroupByKey]]),(OutputTable[GroupByKey]=OutputTable[[#This Row],[GroupByKey]])*OutputTable[RecordedValue]))</f>
        <v>3</v>
      </c>
      <c r="P210" s="5" cm="1">
        <f t="array" ref="P210">MAX(IF((OutputTable[GroupByKey]=OutputTable[[#This Row],[GroupByKey]]),(OutputTable[GroupByKey]=OutputTable[[#This Row],[GroupByKey]])*OutputTable[RecordedValue]))</f>
        <v>3</v>
      </c>
    </row>
    <row r="211" spans="1:16" x14ac:dyDescent="0.25">
      <c r="A211" t="s">
        <v>67</v>
      </c>
      <c r="B211" t="s">
        <v>69</v>
      </c>
      <c r="C211">
        <v>10</v>
      </c>
      <c r="D211" t="s">
        <v>171</v>
      </c>
      <c r="E211" t="s">
        <v>147</v>
      </c>
      <c r="F211" t="s">
        <v>72</v>
      </c>
      <c r="G211">
        <v>3</v>
      </c>
      <c r="H211">
        <v>0</v>
      </c>
      <c r="I211" s="5" t="str">
        <f>OutputTable[[#This Row],[ProjectName]]&amp;OutputTable[[#This Row],[Name]]&amp;OutputTable[[#This Row],[Type]]&amp;OutputTable[[#This Row],[Source]]</f>
        <v>Friday (Solucion: datafono, gofre, cocina y caja compartida)reloj.NumberOutNumber OutEntity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19</v>
      </c>
      <c r="K211" s="5" cm="1">
        <f t="array" ref="K211">IFERROR(AVERAGE(IF((OutputTable[GroupByKey]=OutputTable[[#This Row],[GroupByKey]]),(OutputTable[GroupByKey]=OutputTable[[#This Row],[GroupByKey]])*OutputTable[RecordedValue])),0)</f>
        <v>3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0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1" s="5" cm="1">
        <f t="array" ref="O211">MIN(IF((OutputTable[GroupByKey]=OutputTable[[#This Row],[GroupByKey]]),(OutputTable[GroupByKey]=OutputTable[[#This Row],[GroupByKey]])*OutputTable[RecordedValue]))</f>
        <v>3</v>
      </c>
      <c r="P211" s="5" cm="1">
        <f t="array" ref="P211">MAX(IF((OutputTable[GroupByKey]=OutputTable[[#This Row],[GroupByKey]]),(OutputTable[GroupByKey]=OutputTable[[#This Row],[GroupByKey]])*OutputTable[RecordedValue]))</f>
        <v>3</v>
      </c>
    </row>
    <row r="212" spans="1:16" x14ac:dyDescent="0.25">
      <c r="A212" t="s">
        <v>67</v>
      </c>
      <c r="B212" t="s">
        <v>69</v>
      </c>
      <c r="C212">
        <v>11</v>
      </c>
      <c r="D212" t="s">
        <v>144</v>
      </c>
      <c r="E212" t="s">
        <v>145</v>
      </c>
      <c r="F212" t="s">
        <v>72</v>
      </c>
      <c r="G212">
        <v>346</v>
      </c>
      <c r="H212">
        <v>0</v>
      </c>
      <c r="I212" s="5" t="str">
        <f>OutputTable[[#This Row],[ProjectName]]&amp;OutputTable[[#This Row],[Name]]&amp;OutputTable[[#This Row],[Type]]&amp;OutputTable[[#This Row],[Source]]</f>
        <v>Friday (Solucion: datafono, gofre, cocina y caja compartida)Cliente.NumberInNumber InEntity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19</v>
      </c>
      <c r="K212" s="5" cm="1">
        <f t="array" ref="K212">IFERROR(AVERAGE(IF((OutputTable[GroupByKey]=OutputTable[[#This Row],[GroupByKey]]),(OutputTable[GroupByKey]=OutputTable[[#This Row],[GroupByKey]])*OutputTable[RecordedValue])),0)</f>
        <v>366.21052631578948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28.665850661580702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13.816497752584581</v>
      </c>
      <c r="O212" s="5" cm="1">
        <f t="array" ref="O212">MIN(IF((OutputTable[GroupByKey]=OutputTable[[#This Row],[GroupByKey]]),(OutputTable[GroupByKey]=OutputTable[[#This Row],[GroupByKey]])*OutputTable[RecordedValue]))</f>
        <v>331</v>
      </c>
      <c r="P212" s="5" cm="1">
        <f t="array" ref="P212">MAX(IF((OutputTable[GroupByKey]=OutputTable[[#This Row],[GroupByKey]]),(OutputTable[GroupByKey]=OutputTable[[#This Row],[GroupByKey]])*OutputTable[RecordedValue]))</f>
        <v>427</v>
      </c>
    </row>
    <row r="213" spans="1:16" x14ac:dyDescent="0.25">
      <c r="A213" t="s">
        <v>67</v>
      </c>
      <c r="B213" t="s">
        <v>69</v>
      </c>
      <c r="C213">
        <v>11</v>
      </c>
      <c r="D213" t="s">
        <v>146</v>
      </c>
      <c r="E213" t="s">
        <v>147</v>
      </c>
      <c r="F213" t="s">
        <v>72</v>
      </c>
      <c r="G213">
        <v>344</v>
      </c>
      <c r="H213">
        <v>0</v>
      </c>
      <c r="I213" s="5" t="str">
        <f>OutputTable[[#This Row],[ProjectName]]&amp;OutputTable[[#This Row],[Name]]&amp;OutputTable[[#This Row],[Type]]&amp;OutputTable[[#This Row],[Source]]</f>
        <v>Friday (Solucion: datafono, gofre, cocina y caja compartida)Cliente.NumberOutNumber OutEntity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19</v>
      </c>
      <c r="K213" s="5" cm="1">
        <f t="array" ref="K213">IFERROR(AVERAGE(IF((OutputTable[GroupByKey]=OutputTable[[#This Row],[GroupByKey]]),(OutputTable[GroupByKey]=OutputTable[[#This Row],[GroupByKey]])*OutputTable[RecordedValue])),0)</f>
        <v>366.63157894736844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29.957767544617038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14.439181758083874</v>
      </c>
      <c r="O213" s="5" cm="1">
        <f t="array" ref="O213">MIN(IF((OutputTable[GroupByKey]=OutputTable[[#This Row],[GroupByKey]]),(OutputTable[GroupByKey]=OutputTable[[#This Row],[GroupByKey]])*OutputTable[RecordedValue]))</f>
        <v>329</v>
      </c>
      <c r="P213" s="5" cm="1">
        <f t="array" ref="P213">MAX(IF((OutputTable[GroupByKey]=OutputTable[[#This Row],[GroupByKey]]),(OutputTable[GroupByKey]=OutputTable[[#This Row],[GroupByKey]])*OutputTable[RecordedValue]))</f>
        <v>443</v>
      </c>
    </row>
    <row r="214" spans="1:16" x14ac:dyDescent="0.25">
      <c r="A214" t="s">
        <v>67</v>
      </c>
      <c r="B214" t="s">
        <v>69</v>
      </c>
      <c r="C214">
        <v>11</v>
      </c>
      <c r="D214" t="s">
        <v>148</v>
      </c>
      <c r="E214" t="s">
        <v>149</v>
      </c>
      <c r="F214" t="s">
        <v>86</v>
      </c>
      <c r="G214">
        <v>270.83883613929203</v>
      </c>
      <c r="H214">
        <v>0</v>
      </c>
      <c r="I214" s="5" t="str">
        <f>OutputTable[[#This Row],[ProjectName]]&amp;OutputTable[[#This Row],[Name]]&amp;OutputTable[[#This Row],[Type]]&amp;OutputTable[[#This Row],[Source]]</f>
        <v>Friday (Solucion: datafono, gofre, cocina y caja compartida)Comer en Mesa Accum VA TimeAccum VA TimeProcess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19</v>
      </c>
      <c r="K214" s="5" cm="1">
        <f t="array" ref="K214">IFERROR(AVERAGE(IF((OutputTable[GroupByKey]=OutputTable[[#This Row],[GroupByKey]]),(OutputTable[GroupByKey]=OutputTable[[#This Row],[GroupByKey]])*OutputTable[RecordedValue])),0)</f>
        <v>283.12549562397913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55.763238037894645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26.877020400444863</v>
      </c>
      <c r="O214" s="5" cm="1">
        <f t="array" ref="O214">MIN(IF((OutputTable[GroupByKey]=OutputTable[[#This Row],[GroupByKey]]),(OutputTable[GroupByKey]=OutputTable[[#This Row],[GroupByKey]])*OutputTable[RecordedValue]))</f>
        <v>157.05073652574001</v>
      </c>
      <c r="P214" s="5" cm="1">
        <f t="array" ref="P214">MAX(IF((OutputTable[GroupByKey]=OutputTable[[#This Row],[GroupByKey]]),(OutputTable[GroupByKey]=OutputTable[[#This Row],[GroupByKey]])*OutputTable[RecordedValue]))</f>
        <v>402.97015039838902</v>
      </c>
    </row>
    <row r="215" spans="1:16" x14ac:dyDescent="0.25">
      <c r="A215" t="s">
        <v>67</v>
      </c>
      <c r="B215" t="s">
        <v>69</v>
      </c>
      <c r="C215">
        <v>11</v>
      </c>
      <c r="D215" t="s">
        <v>150</v>
      </c>
      <c r="E215" t="s">
        <v>151</v>
      </c>
      <c r="F215" t="s">
        <v>86</v>
      </c>
      <c r="G215">
        <v>0</v>
      </c>
      <c r="H215">
        <v>0</v>
      </c>
      <c r="I215" s="5" t="str">
        <f>OutputTable[[#This Row],[ProjectName]]&amp;OutputTable[[#This Row],[Name]]&amp;OutputTable[[#This Row],[Type]]&amp;OutputTable[[#This Row],[Source]]</f>
        <v>Friday (Solucion: datafono, gofre, cocina y caja compartida)Comer en Mesa Accum Wait TimeAccum Wait TimeProcess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19</v>
      </c>
      <c r="K215" s="5" cm="1">
        <f t="array" ref="K215">IFERROR(AVERAGE(IF((OutputTable[GroupByKey]=OutputTable[[#This Row],[GroupByKey]]),(OutputTable[GroupByKey]=OutputTable[[#This Row],[GroupByKey]])*OutputTable[RecordedValue])),0)</f>
        <v>0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0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" s="5" cm="1">
        <f t="array" ref="O215">MIN(IF((OutputTable[GroupByKey]=OutputTable[[#This Row],[GroupByKey]]),(OutputTable[GroupByKey]=OutputTable[[#This Row],[GroupByKey]])*OutputTable[RecordedValue]))</f>
        <v>0</v>
      </c>
      <c r="P215" s="5" cm="1">
        <f t="array" ref="P215">MAX(IF((OutputTable[GroupByKey]=OutputTable[[#This Row],[GroupByKey]]),(OutputTable[GroupByKey]=OutputTable[[#This Row],[GroupByKey]])*OutputTable[RecordedValue]))</f>
        <v>0</v>
      </c>
    </row>
    <row r="216" spans="1:16" x14ac:dyDescent="0.25">
      <c r="A216" t="s">
        <v>67</v>
      </c>
      <c r="B216" t="s">
        <v>69</v>
      </c>
      <c r="C216">
        <v>11</v>
      </c>
      <c r="D216" t="s">
        <v>152</v>
      </c>
      <c r="E216" t="s">
        <v>145</v>
      </c>
      <c r="F216" t="s">
        <v>86</v>
      </c>
      <c r="G216">
        <v>20</v>
      </c>
      <c r="H216">
        <v>0</v>
      </c>
      <c r="I216" s="5" t="str">
        <f>OutputTable[[#This Row],[ProjectName]]&amp;OutputTable[[#This Row],[Name]]&amp;OutputTable[[#This Row],[Type]]&amp;OutputTable[[#This Row],[Source]]</f>
        <v>Friday (Solucion: datafono, gofre, cocina y caja compartida)Comer en Mesa Number InNumber InProcess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19</v>
      </c>
      <c r="K216" s="5" cm="1">
        <f t="array" ref="K216">IFERROR(AVERAGE(IF((OutputTable[GroupByKey]=OutputTable[[#This Row],[GroupByKey]]),(OutputTable[GroupByKey]=OutputTable[[#This Row],[GroupByKey]])*OutputTable[RecordedValue])),0)</f>
        <v>16.157894736842106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3.8044295512634076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216" s="5" cm="1">
        <f t="array" ref="O216">MIN(IF((OutputTable[GroupByKey]=OutputTable[[#This Row],[GroupByKey]]),(OutputTable[GroupByKey]=OutputTable[[#This Row],[GroupByKey]])*OutputTable[RecordedValue]))</f>
        <v>9</v>
      </c>
      <c r="P216" s="5" cm="1">
        <f t="array" ref="P216">MAX(IF((OutputTable[GroupByKey]=OutputTable[[#This Row],[GroupByKey]]),(OutputTable[GroupByKey]=OutputTable[[#This Row],[GroupByKey]])*OutputTable[RecordedValue]))</f>
        <v>24</v>
      </c>
    </row>
    <row r="217" spans="1:16" x14ac:dyDescent="0.25">
      <c r="A217" t="s">
        <v>67</v>
      </c>
      <c r="B217" t="s">
        <v>69</v>
      </c>
      <c r="C217">
        <v>11</v>
      </c>
      <c r="D217" t="s">
        <v>153</v>
      </c>
      <c r="E217" t="s">
        <v>147</v>
      </c>
      <c r="F217" t="s">
        <v>86</v>
      </c>
      <c r="G217">
        <v>19</v>
      </c>
      <c r="H217">
        <v>0</v>
      </c>
      <c r="I217" s="5" t="str">
        <f>OutputTable[[#This Row],[ProjectName]]&amp;OutputTable[[#This Row],[Name]]&amp;OutputTable[[#This Row],[Type]]&amp;OutputTable[[#This Row],[Source]]</f>
        <v>Friday (Solucion: datafono, gofre, cocina y caja compartida)Comer en Mesa Number OutNumber OutProcess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19</v>
      </c>
      <c r="K217" s="5" cm="1">
        <f t="array" ref="K217">IFERROR(AVERAGE(IF((OutputTable[GroupByKey]=OutputTable[[#This Row],[GroupByKey]]),(OutputTable[GroupByKey]=OutputTable[[#This Row],[GroupByKey]])*OutputTable[RecordedValue])),0)</f>
        <v>16.263157894736842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3.3803698887540881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1.6292861329062698</v>
      </c>
      <c r="O217" s="5" cm="1">
        <f t="array" ref="O217">MIN(IF((OutputTable[GroupByKey]=OutputTable[[#This Row],[GroupByKey]]),(OutputTable[GroupByKey]=OutputTable[[#This Row],[GroupByKey]])*OutputTable[RecordedValue]))</f>
        <v>8</v>
      </c>
      <c r="P217" s="5" cm="1">
        <f t="array" ref="P217">MAX(IF((OutputTable[GroupByKey]=OutputTable[[#This Row],[GroupByKey]]),(OutputTable[GroupByKey]=OutputTable[[#This Row],[GroupByKey]])*OutputTable[RecordedValue]))</f>
        <v>22</v>
      </c>
    </row>
    <row r="218" spans="1:16" x14ac:dyDescent="0.25">
      <c r="A218" t="s">
        <v>67</v>
      </c>
      <c r="B218" t="s">
        <v>69</v>
      </c>
      <c r="C218">
        <v>11</v>
      </c>
      <c r="D218" t="s">
        <v>154</v>
      </c>
      <c r="E218" t="s">
        <v>145</v>
      </c>
      <c r="F218" t="s">
        <v>72</v>
      </c>
      <c r="G218">
        <v>114</v>
      </c>
      <c r="H218">
        <v>0</v>
      </c>
      <c r="I218" s="5" t="str">
        <f>OutputTable[[#This Row],[ProjectName]]&amp;OutputTable[[#This Row],[Name]]&amp;OutputTable[[#This Row],[Type]]&amp;OutputTable[[#This Row],[Source]]</f>
        <v>Friday (Solucion: datafono, gofre, cocina y caja compartida)Orden.NumberInNumber InEntity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19</v>
      </c>
      <c r="K218" s="5" cm="1">
        <f t="array" ref="K218">IFERROR(AVERAGE(IF((OutputTable[GroupByKey]=OutputTable[[#This Row],[GroupByKey]]),(OutputTable[GroupByKey]=OutputTable[[#This Row],[GroupByKey]])*OutputTable[RecordedValue])),0)</f>
        <v>121.89473684210526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9.971597090637573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218" s="5" cm="1">
        <f t="array" ref="O218">MIN(IF((OutputTable[GroupByKey]=OutputTable[[#This Row],[GroupByKey]]),(OutputTable[GroupByKey]=OutputTable[[#This Row],[GroupByKey]])*OutputTable[RecordedValue]))</f>
        <v>109</v>
      </c>
      <c r="P218" s="5" cm="1">
        <f t="array" ref="P218">MAX(IF((OutputTable[GroupByKey]=OutputTable[[#This Row],[GroupByKey]]),(OutputTable[GroupByKey]=OutputTable[[#This Row],[GroupByKey]])*OutputTable[RecordedValue]))</f>
        <v>143</v>
      </c>
    </row>
    <row r="219" spans="1:16" x14ac:dyDescent="0.25">
      <c r="A219" t="s">
        <v>67</v>
      </c>
      <c r="B219" t="s">
        <v>69</v>
      </c>
      <c r="C219">
        <v>11</v>
      </c>
      <c r="D219" t="s">
        <v>155</v>
      </c>
      <c r="E219" t="s">
        <v>147</v>
      </c>
      <c r="F219" t="s">
        <v>72</v>
      </c>
      <c r="G219">
        <v>115</v>
      </c>
      <c r="H219">
        <v>0</v>
      </c>
      <c r="I219" s="5" t="str">
        <f>OutputTable[[#This Row],[ProjectName]]&amp;OutputTable[[#This Row],[Name]]&amp;OutputTable[[#This Row],[Type]]&amp;OutputTable[[#This Row],[Source]]</f>
        <v>Friday (Solucion: datafono, gofre, cocina y caja compartida)Orden.NumberOutNumber OutEntity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19</v>
      </c>
      <c r="K219" s="5" cm="1">
        <f t="array" ref="K219">IFERROR(AVERAGE(IF((OutputTable[GroupByKey]=OutputTable[[#This Row],[GroupByKey]]),(OutputTable[GroupByKey]=OutputTable[[#This Row],[GroupByKey]])*OutputTable[RecordedValue])),0)</f>
        <v>122.36842105263158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10.160984894934533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219" s="5" cm="1">
        <f t="array" ref="O219">MIN(IF((OutputTable[GroupByKey]=OutputTable[[#This Row],[GroupByKey]]),(OutputTable[GroupByKey]=OutputTable[[#This Row],[GroupByKey]])*OutputTable[RecordedValue]))</f>
        <v>109</v>
      </c>
      <c r="P219" s="5" cm="1">
        <f t="array" ref="P219">MAX(IF((OutputTable[GroupByKey]=OutputTable[[#This Row],[GroupByKey]]),(OutputTable[GroupByKey]=OutputTable[[#This Row],[GroupByKey]])*OutputTable[RecordedValue]))</f>
        <v>150</v>
      </c>
    </row>
    <row r="220" spans="1:16" x14ac:dyDescent="0.25">
      <c r="A220" t="s">
        <v>67</v>
      </c>
      <c r="B220" t="s">
        <v>69</v>
      </c>
      <c r="C220">
        <v>11</v>
      </c>
      <c r="D220" t="s">
        <v>156</v>
      </c>
      <c r="E220" t="s">
        <v>149</v>
      </c>
      <c r="F220" t="s">
        <v>86</v>
      </c>
      <c r="G220">
        <v>162.772718568188</v>
      </c>
      <c r="H220">
        <v>0</v>
      </c>
      <c r="I220" s="5" t="str">
        <f>OutputTable[[#This Row],[ProjectName]]&amp;OutputTable[[#This Row],[Name]]&amp;OutputTable[[#This Row],[Type]]&amp;OutputTable[[#This Row],[Source]]</f>
        <v>Friday (Solucion: datafono, gofre, cocina y caja compartida)Preparacion Accum VA TimeAccum VA TimeProcess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19</v>
      </c>
      <c r="K220" s="5" cm="1">
        <f t="array" ref="K220">IFERROR(AVERAGE(IF((OutputTable[GroupByKey]=OutputTable[[#This Row],[GroupByKey]]),(OutputTable[GroupByKey]=OutputTable[[#This Row],[GroupByKey]])*OutputTable[RecordedValue])),0)</f>
        <v>174.13537587676447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19.65074675456297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9.4713567574295272</v>
      </c>
      <c r="O220" s="5" cm="1">
        <f t="array" ref="O220">MIN(IF((OutputTable[GroupByKey]=OutputTable[[#This Row],[GroupByKey]]),(OutputTable[GroupByKey]=OutputTable[[#This Row],[GroupByKey]])*OutputTable[RecordedValue]))</f>
        <v>139.22471453685199</v>
      </c>
      <c r="P220" s="5" cm="1">
        <f t="array" ref="P220">MAX(IF((OutputTable[GroupByKey]=OutputTable[[#This Row],[GroupByKey]]),(OutputTable[GroupByKey]=OutputTable[[#This Row],[GroupByKey]])*OutputTable[RecordedValue]))</f>
        <v>210.18722493890999</v>
      </c>
    </row>
    <row r="221" spans="1:16" x14ac:dyDescent="0.25">
      <c r="A221" t="s">
        <v>67</v>
      </c>
      <c r="B221" t="s">
        <v>69</v>
      </c>
      <c r="C221">
        <v>11</v>
      </c>
      <c r="D221" t="s">
        <v>157</v>
      </c>
      <c r="E221" t="s">
        <v>151</v>
      </c>
      <c r="F221" t="s">
        <v>86</v>
      </c>
      <c r="G221">
        <v>69.869334863747795</v>
      </c>
      <c r="H221">
        <v>0</v>
      </c>
      <c r="I221" s="5" t="str">
        <f>OutputTable[[#This Row],[ProjectName]]&amp;OutputTable[[#This Row],[Name]]&amp;OutputTable[[#This Row],[Type]]&amp;OutputTable[[#This Row],[Source]]</f>
        <v>Friday (Solucion: datafono, gofre, cocina y caja compartida)Preparacion Accum Wait TimeAccum Wait TimeProcess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19</v>
      </c>
      <c r="K221" s="5" cm="1">
        <f t="array" ref="K221">IFERROR(AVERAGE(IF((OutputTable[GroupByKey]=OutputTable[[#This Row],[GroupByKey]]),(OutputTable[GroupByKey]=OutputTable[[#This Row],[GroupByKey]])*OutputTable[RecordedValue])),0)</f>
        <v>89.754366677107924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109.53061123574736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52.79206474085742</v>
      </c>
      <c r="O221" s="5" cm="1">
        <f t="array" ref="O221">MIN(IF((OutputTable[GroupByKey]=OutputTable[[#This Row],[GroupByKey]]),(OutputTable[GroupByKey]=OutputTable[[#This Row],[GroupByKey]])*OutputTable[RecordedValue]))</f>
        <v>22.316256244919199</v>
      </c>
      <c r="P221" s="5" cm="1">
        <f t="array" ref="P221">MAX(IF((OutputTable[GroupByKey]=OutputTable[[#This Row],[GroupByKey]]),(OutputTable[GroupByKey]=OutputTable[[#This Row],[GroupByKey]])*OutputTable[RecordedValue]))</f>
        <v>514.987116007179</v>
      </c>
    </row>
    <row r="222" spans="1:16" x14ac:dyDescent="0.25">
      <c r="A222" t="s">
        <v>67</v>
      </c>
      <c r="B222" t="s">
        <v>69</v>
      </c>
      <c r="C222">
        <v>11</v>
      </c>
      <c r="D222" t="s">
        <v>158</v>
      </c>
      <c r="E222" t="s">
        <v>145</v>
      </c>
      <c r="F222" t="s">
        <v>86</v>
      </c>
      <c r="G222">
        <v>114</v>
      </c>
      <c r="H222">
        <v>0</v>
      </c>
      <c r="I222" s="5" t="str">
        <f>OutputTable[[#This Row],[ProjectName]]&amp;OutputTable[[#This Row],[Name]]&amp;OutputTable[[#This Row],[Type]]&amp;OutputTable[[#This Row],[Source]]</f>
        <v>Friday (Solucion: datafono, gofre, cocina y caja compartida)Preparacion Number InNumber InProcess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19</v>
      </c>
      <c r="K222" s="5" cm="1">
        <f t="array" ref="K222">IFERROR(AVERAGE(IF((OutputTable[GroupByKey]=OutputTable[[#This Row],[GroupByKey]]),(OutputTable[GroupByKey]=OutputTable[[#This Row],[GroupByKey]])*OutputTable[RecordedValue])),0)</f>
        <v>121.89473684210526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9.971597090637573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222" s="5" cm="1">
        <f t="array" ref="O222">MIN(IF((OutputTable[GroupByKey]=OutputTable[[#This Row],[GroupByKey]]),(OutputTable[GroupByKey]=OutputTable[[#This Row],[GroupByKey]])*OutputTable[RecordedValue]))</f>
        <v>109</v>
      </c>
      <c r="P222" s="5" cm="1">
        <f t="array" ref="P222">MAX(IF((OutputTable[GroupByKey]=OutputTable[[#This Row],[GroupByKey]]),(OutputTable[GroupByKey]=OutputTable[[#This Row],[GroupByKey]])*OutputTable[RecordedValue]))</f>
        <v>143</v>
      </c>
    </row>
    <row r="223" spans="1:16" x14ac:dyDescent="0.25">
      <c r="A223" t="s">
        <v>67</v>
      </c>
      <c r="B223" t="s">
        <v>69</v>
      </c>
      <c r="C223">
        <v>11</v>
      </c>
      <c r="D223" t="s">
        <v>159</v>
      </c>
      <c r="E223" t="s">
        <v>147</v>
      </c>
      <c r="F223" t="s">
        <v>86</v>
      </c>
      <c r="G223">
        <v>116</v>
      </c>
      <c r="H223">
        <v>0</v>
      </c>
      <c r="I223" s="5" t="str">
        <f>OutputTable[[#This Row],[ProjectName]]&amp;OutputTable[[#This Row],[Name]]&amp;OutputTable[[#This Row],[Type]]&amp;OutputTable[[#This Row],[Source]]</f>
        <v>Friday (Solucion: datafono, gofre, cocina y caja compartida)Preparacion Number OutNumber OutProcess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19</v>
      </c>
      <c r="K223" s="5" cm="1">
        <f t="array" ref="K223">IFERROR(AVERAGE(IF((OutputTable[GroupByKey]=OutputTable[[#This Row],[GroupByKey]]),(OutputTable[GroupByKey]=OutputTable[[#This Row],[GroupByKey]])*OutputTable[RecordedValue])),0)</f>
        <v>122.31578947368421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10.127260414780096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4.8811832731752718</v>
      </c>
      <c r="O223" s="5" cm="1">
        <f t="array" ref="O223">MIN(IF((OutputTable[GroupByKey]=OutputTable[[#This Row],[GroupByKey]]),(OutputTable[GroupByKey]=OutputTable[[#This Row],[GroupByKey]])*OutputTable[RecordedValue]))</f>
        <v>111</v>
      </c>
      <c r="P223" s="5" cm="1">
        <f t="array" ref="P223">MAX(IF((OutputTable[GroupByKey]=OutputTable[[#This Row],[GroupByKey]]),(OutputTable[GroupByKey]=OutputTable[[#This Row],[GroupByKey]])*OutputTable[RecordedValue]))</f>
        <v>150</v>
      </c>
    </row>
    <row r="224" spans="1:16" x14ac:dyDescent="0.25">
      <c r="A224" t="s">
        <v>67</v>
      </c>
      <c r="B224" t="s">
        <v>69</v>
      </c>
      <c r="C224">
        <v>11</v>
      </c>
      <c r="D224" t="s">
        <v>160</v>
      </c>
      <c r="E224" t="s">
        <v>147</v>
      </c>
      <c r="F224" t="s">
        <v>161</v>
      </c>
      <c r="G224">
        <v>118</v>
      </c>
      <c r="H224">
        <v>0</v>
      </c>
      <c r="I224" s="5" t="str">
        <f>OutputTable[[#This Row],[ProjectName]]&amp;OutputTable[[#This Row],[Name]]&amp;OutputTable[[#This Row],[Type]]&amp;OutputTable[[#This Row],[Source]]</f>
        <v>Friday (Solucion: datafono, gofre, cocina y caja compartida)System.NumberOutNumber OutSystem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19</v>
      </c>
      <c r="K224" s="5" cm="1">
        <f t="array" ref="K224">IFERROR(AVERAGE(IF((OutputTable[GroupByKey]=OutputTable[[#This Row],[GroupByKey]]),(OutputTable[GroupByKey]=OutputTable[[#This Row],[GroupByKey]])*OutputTable[RecordedValue])),0)</f>
        <v>125.36842105263158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10.160984894934533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224" s="5" cm="1">
        <f t="array" ref="O224">MIN(IF((OutputTable[GroupByKey]=OutputTable[[#This Row],[GroupByKey]]),(OutputTable[GroupByKey]=OutputTable[[#This Row],[GroupByKey]])*OutputTable[RecordedValue]))</f>
        <v>112</v>
      </c>
      <c r="P224" s="5" cm="1">
        <f t="array" ref="P224">MAX(IF((OutputTable[GroupByKey]=OutputTable[[#This Row],[GroupByKey]]),(OutputTable[GroupByKey]=OutputTable[[#This Row],[GroupByKey]])*OutputTable[RecordedValue]))</f>
        <v>153</v>
      </c>
    </row>
    <row r="225" spans="1:16" x14ac:dyDescent="0.25">
      <c r="A225" t="s">
        <v>67</v>
      </c>
      <c r="B225" t="s">
        <v>69</v>
      </c>
      <c r="C225">
        <v>11</v>
      </c>
      <c r="D225" t="s">
        <v>162</v>
      </c>
      <c r="E225" t="s">
        <v>163</v>
      </c>
      <c r="F225" t="s">
        <v>136</v>
      </c>
      <c r="G225">
        <v>122</v>
      </c>
      <c r="H225">
        <v>0</v>
      </c>
      <c r="I225" s="5" t="str">
        <f>OutputTable[[#This Row],[ProjectName]]&amp;OutputTable[[#This Row],[Name]]&amp;OutputTable[[#This Row],[Type]]&amp;OutputTable[[#This Row],[Source]]</f>
        <v>Friday (Solucion: datafono, gofre, cocina y caja compartida)rCajero.NumberSeizedTotal Number SeizedResource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19</v>
      </c>
      <c r="K225" s="5" cm="1">
        <f t="array" ref="K225">IFERROR(AVERAGE(IF((OutputTable[GroupByKey]=OutputTable[[#This Row],[GroupByKey]]),(OutputTable[GroupByKey]=OutputTable[[#This Row],[GroupByKey]])*OutputTable[RecordedValue])),0)</f>
        <v>131.63157894736841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13.988926280438102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6.7424466413544986</v>
      </c>
      <c r="O225" s="5" cm="1">
        <f t="array" ref="O225">MIN(IF((OutputTable[GroupByKey]=OutputTable[[#This Row],[GroupByKey]]),(OutputTable[GroupByKey]=OutputTable[[#This Row],[GroupByKey]])*OutputTable[RecordedValue]))</f>
        <v>113</v>
      </c>
      <c r="P225" s="5" cm="1">
        <f t="array" ref="P225">MAX(IF((OutputTable[GroupByKey]=OutputTable[[#This Row],[GroupByKey]]),(OutputTable[GroupByKey]=OutputTable[[#This Row],[GroupByKey]])*OutputTable[RecordedValue]))</f>
        <v>157</v>
      </c>
    </row>
    <row r="226" spans="1:16" x14ac:dyDescent="0.25">
      <c r="A226" t="s">
        <v>67</v>
      </c>
      <c r="B226" t="s">
        <v>69</v>
      </c>
      <c r="C226">
        <v>11</v>
      </c>
      <c r="D226" t="s">
        <v>164</v>
      </c>
      <c r="E226" t="s">
        <v>165</v>
      </c>
      <c r="F226" t="s">
        <v>136</v>
      </c>
      <c r="G226">
        <v>0.62130605304115805</v>
      </c>
      <c r="H226">
        <v>0</v>
      </c>
      <c r="I226" s="5" t="str">
        <f>OutputTable[[#This Row],[ProjectName]]&amp;OutputTable[[#This Row],[Name]]&amp;OutputTable[[#This Row],[Type]]&amp;OutputTable[[#This Row],[Source]]</f>
        <v>Friday (Solucion: datafono, gofre, cocina y caja compartida)rCajero.ScheduledUtilizationScheduled UtilizationResource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19</v>
      </c>
      <c r="K226" s="5" cm="1">
        <f t="array" ref="K226">IFERROR(AVERAGE(IF((OutputTable[GroupByKey]=OutputTable[[#This Row],[GroupByKey]]),(OutputTable[GroupByKey]=OutputTable[[#This Row],[GroupByKey]])*OutputTable[RecordedValue])),0)</f>
        <v>0.68474836505339687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6.2272947935973065E-2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3.0014600137344902E-2</v>
      </c>
      <c r="O226" s="5" cm="1">
        <f t="array" ref="O226">MIN(IF((OutputTable[GroupByKey]=OutputTable[[#This Row],[GroupByKey]]),(OutputTable[GroupByKey]=OutputTable[[#This Row],[GroupByKey]])*OutputTable[RecordedValue]))</f>
        <v>0.59592290927233305</v>
      </c>
      <c r="P226" s="5" cm="1">
        <f t="array" ref="P226">MAX(IF((OutputTable[GroupByKey]=OutputTable[[#This Row],[GroupByKey]]),(OutputTable[GroupByKey]=OutputTable[[#This Row],[GroupByKey]])*OutputTable[RecordedValue]))</f>
        <v>0.82897119936997599</v>
      </c>
    </row>
    <row r="227" spans="1:16" x14ac:dyDescent="0.25">
      <c r="A227" t="s">
        <v>67</v>
      </c>
      <c r="B227" t="s">
        <v>69</v>
      </c>
      <c r="C227">
        <v>11</v>
      </c>
      <c r="D227" t="s">
        <v>166</v>
      </c>
      <c r="E227" t="s">
        <v>163</v>
      </c>
      <c r="F227" t="s">
        <v>136</v>
      </c>
      <c r="G227">
        <v>108</v>
      </c>
      <c r="H227">
        <v>0</v>
      </c>
      <c r="I227" s="5" t="str">
        <f>OutputTable[[#This Row],[ProjectName]]&amp;OutputTable[[#This Row],[Name]]&amp;OutputTable[[#This Row],[Type]]&amp;OutputTable[[#This Row],[Source]]</f>
        <v>Friday (Solucion: datafono, gofre, cocina y caja compartida)rCocina.NumberSeizedTotal Number SeizedResource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19</v>
      </c>
      <c r="K227" s="5" cm="1">
        <f t="array" ref="K227">IFERROR(AVERAGE(IF((OutputTable[GroupByKey]=OutputTable[[#This Row],[GroupByKey]]),(OutputTable[GroupByKey]=OutputTable[[#This Row],[GroupByKey]])*OutputTable[RecordedValue])),0)</f>
        <v>112.73684210526316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9.1155673027772668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4.3935628019284003</v>
      </c>
      <c r="O227" s="5" cm="1">
        <f t="array" ref="O227">MIN(IF((OutputTable[GroupByKey]=OutputTable[[#This Row],[GroupByKey]]),(OutputTable[GroupByKey]=OutputTable[[#This Row],[GroupByKey]])*OutputTable[RecordedValue]))</f>
        <v>102</v>
      </c>
      <c r="P227" s="5" cm="1">
        <f t="array" ref="P227">MAX(IF((OutputTable[GroupByKey]=OutputTable[[#This Row],[GroupByKey]]),(OutputTable[GroupByKey]=OutputTable[[#This Row],[GroupByKey]])*OutputTable[RecordedValue]))</f>
        <v>135</v>
      </c>
    </row>
    <row r="228" spans="1:16" x14ac:dyDescent="0.25">
      <c r="A228" t="s">
        <v>67</v>
      </c>
      <c r="B228" t="s">
        <v>69</v>
      </c>
      <c r="C228">
        <v>11</v>
      </c>
      <c r="D228" t="s">
        <v>167</v>
      </c>
      <c r="E228" t="s">
        <v>165</v>
      </c>
      <c r="F228" t="s">
        <v>136</v>
      </c>
      <c r="G228">
        <v>0.67954937168977902</v>
      </c>
      <c r="H228">
        <v>0</v>
      </c>
      <c r="I228" s="5" t="str">
        <f>OutputTable[[#This Row],[ProjectName]]&amp;OutputTable[[#This Row],[Name]]&amp;OutputTable[[#This Row],[Type]]&amp;OutputTable[[#This Row],[Source]]</f>
        <v>Friday (Solucion: datafono, gofre, cocina y caja compartida)rCocina.ScheduledUtilizationScheduled UtilizationResource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19</v>
      </c>
      <c r="K228" s="5" cm="1">
        <f t="array" ref="K228">IFERROR(AVERAGE(IF((OutputTable[GroupByKey]=OutputTable[[#This Row],[GroupByKey]]),(OutputTable[GroupByKey]=OutputTable[[#This Row],[GroupByKey]])*OutputTable[RecordedValue])),0)</f>
        <v>0.71670342302257706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7.0907274842727658E-2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3.4176212493127585E-2</v>
      </c>
      <c r="O228" s="5" cm="1">
        <f t="array" ref="O228">MIN(IF((OutputTable[GroupByKey]=OutputTable[[#This Row],[GroupByKey]]),(OutputTable[GroupByKey]=OutputTable[[#This Row],[GroupByKey]])*OutputTable[RecordedValue]))</f>
        <v>0.60463940272025996</v>
      </c>
      <c r="P228" s="5" cm="1">
        <f t="array" ref="P228">MAX(IF((OutputTable[GroupByKey]=OutputTable[[#This Row],[GroupByKey]]),(OutputTable[GroupByKey]=OutputTable[[#This Row],[GroupByKey]])*OutputTable[RecordedValue]))</f>
        <v>0.86361037821575004</v>
      </c>
    </row>
    <row r="229" spans="1:16" x14ac:dyDescent="0.25">
      <c r="A229" t="s">
        <v>67</v>
      </c>
      <c r="B229" t="s">
        <v>69</v>
      </c>
      <c r="C229">
        <v>11</v>
      </c>
      <c r="D229" t="s">
        <v>168</v>
      </c>
      <c r="E229" t="s">
        <v>163</v>
      </c>
      <c r="F229" t="s">
        <v>136</v>
      </c>
      <c r="G229">
        <v>20</v>
      </c>
      <c r="H229">
        <v>0</v>
      </c>
      <c r="I229" s="5" t="str">
        <f>OutputTable[[#This Row],[ProjectName]]&amp;OutputTable[[#This Row],[Name]]&amp;OutputTable[[#This Row],[Type]]&amp;OutputTable[[#This Row],[Source]]</f>
        <v>Friday (Solucion: datafono, gofre, cocina y caja compartida)rMesa.NumberSeizedTotal Number SeizedResource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19</v>
      </c>
      <c r="K229" s="5" cm="1">
        <f t="array" ref="K229">IFERROR(AVERAGE(IF((OutputTable[GroupByKey]=OutputTable[[#This Row],[GroupByKey]]),(OutputTable[GroupByKey]=OutputTable[[#This Row],[GroupByKey]])*OutputTable[RecordedValue])),0)</f>
        <v>16.157894736842106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3.8044295512634076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229" s="5" cm="1">
        <f t="array" ref="O229">MIN(IF((OutputTable[GroupByKey]=OutputTable[[#This Row],[GroupByKey]]),(OutputTable[GroupByKey]=OutputTable[[#This Row],[GroupByKey]])*OutputTable[RecordedValue]))</f>
        <v>9</v>
      </c>
      <c r="P229" s="5" cm="1">
        <f t="array" ref="P229">MAX(IF((OutputTable[GroupByKey]=OutputTable[[#This Row],[GroupByKey]]),(OutputTable[GroupByKey]=OutputTable[[#This Row],[GroupByKey]])*OutputTable[RecordedValue]))</f>
        <v>24</v>
      </c>
    </row>
    <row r="230" spans="1:16" x14ac:dyDescent="0.25">
      <c r="A230" t="s">
        <v>67</v>
      </c>
      <c r="B230" t="s">
        <v>69</v>
      </c>
      <c r="C230">
        <v>11</v>
      </c>
      <c r="D230" t="s">
        <v>169</v>
      </c>
      <c r="E230" t="s">
        <v>165</v>
      </c>
      <c r="F230" t="s">
        <v>136</v>
      </c>
      <c r="G230">
        <v>0.30630040762326299</v>
      </c>
      <c r="H230">
        <v>0</v>
      </c>
      <c r="I230" s="5" t="str">
        <f>OutputTable[[#This Row],[ProjectName]]&amp;OutputTable[[#This Row],[Name]]&amp;OutputTable[[#This Row],[Type]]&amp;OutputTable[[#This Row],[Source]]</f>
        <v>Friday (Solucion: datafono, gofre, cocina y caja compartida)rMesa.ScheduledUtilizationScheduled UtilizationResource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19</v>
      </c>
      <c r="K230" s="5" cm="1">
        <f t="array" ref="K230">IFERROR(AVERAGE(IF((OutputTable[GroupByKey]=OutputTable[[#This Row],[GroupByKey]]),(OutputTable[GroupByKey]=OutputTable[[#This Row],[GroupByKey]])*OutputTable[RecordedValue])),0)</f>
        <v>0.30850610959128744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6.2586127702931107E-2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3.0165547953176861E-2</v>
      </c>
      <c r="O230" s="5" cm="1">
        <f t="array" ref="O230">MIN(IF((OutputTable[GroupByKey]=OutputTable[[#This Row],[GroupByKey]]),(OutputTable[GroupByKey]=OutputTable[[#This Row],[GroupByKey]])*OutputTable[RecordedValue]))</f>
        <v>0.156206445320244</v>
      </c>
      <c r="P230" s="5" cm="1">
        <f t="array" ref="P230">MAX(IF((OutputTable[GroupByKey]=OutputTable[[#This Row],[GroupByKey]]),(OutputTable[GroupByKey]=OutputTable[[#This Row],[GroupByKey]])*OutputTable[RecordedValue]))</f>
        <v>0.44942505379986802</v>
      </c>
    </row>
    <row r="231" spans="1:16" x14ac:dyDescent="0.25">
      <c r="A231" t="s">
        <v>67</v>
      </c>
      <c r="B231" t="s">
        <v>69</v>
      </c>
      <c r="C231">
        <v>11</v>
      </c>
      <c r="D231" t="s">
        <v>170</v>
      </c>
      <c r="E231" t="s">
        <v>145</v>
      </c>
      <c r="F231" t="s">
        <v>72</v>
      </c>
      <c r="G231">
        <v>3</v>
      </c>
      <c r="H231">
        <v>0</v>
      </c>
      <c r="I231" s="5" t="str">
        <f>OutputTable[[#This Row],[ProjectName]]&amp;OutputTable[[#This Row],[Name]]&amp;OutputTable[[#This Row],[Type]]&amp;OutputTable[[#This Row],[Source]]</f>
        <v>Friday (Solucion: datafono, gofre, cocina y caja compartida)reloj.NumberInNumber InEntity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19</v>
      </c>
      <c r="K231" s="5" cm="1">
        <f t="array" ref="K231">IFERROR(AVERAGE(IF((OutputTable[GroupByKey]=OutputTable[[#This Row],[GroupByKey]]),(OutputTable[GroupByKey]=OutputTable[[#This Row],[GroupByKey]])*OutputTable[RecordedValue])),0)</f>
        <v>3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0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" s="5" cm="1">
        <f t="array" ref="O231">MIN(IF((OutputTable[GroupByKey]=OutputTable[[#This Row],[GroupByKey]]),(OutputTable[GroupByKey]=OutputTable[[#This Row],[GroupByKey]])*OutputTable[RecordedValue]))</f>
        <v>3</v>
      </c>
      <c r="P231" s="5" cm="1">
        <f t="array" ref="P231">MAX(IF((OutputTable[GroupByKey]=OutputTable[[#This Row],[GroupByKey]]),(OutputTable[GroupByKey]=OutputTable[[#This Row],[GroupByKey]])*OutputTable[RecordedValue]))</f>
        <v>3</v>
      </c>
    </row>
    <row r="232" spans="1:16" x14ac:dyDescent="0.25">
      <c r="A232" t="s">
        <v>67</v>
      </c>
      <c r="B232" t="s">
        <v>69</v>
      </c>
      <c r="C232">
        <v>11</v>
      </c>
      <c r="D232" t="s">
        <v>171</v>
      </c>
      <c r="E232" t="s">
        <v>147</v>
      </c>
      <c r="F232" t="s">
        <v>72</v>
      </c>
      <c r="G232">
        <v>3</v>
      </c>
      <c r="H232">
        <v>0</v>
      </c>
      <c r="I232" s="5" t="str">
        <f>OutputTable[[#This Row],[ProjectName]]&amp;OutputTable[[#This Row],[Name]]&amp;OutputTable[[#This Row],[Type]]&amp;OutputTable[[#This Row],[Source]]</f>
        <v>Friday (Solucion: datafono, gofre, cocina y caja compartida)reloj.NumberOutNumber OutEntity</v>
      </c>
      <c r="J232" s="5" cm="1">
        <f t="array" ref="J232">MAX(IF((ProjectInfoTable[ProjectName]=OutputTable[[#This Row],[ProjectName]]),(ProjectInfoTable[ProjectName]=OutputTable[[#This Row],[ProjectName]])*ProjectInfoTable[NumberOfReplications]))</f>
        <v>19</v>
      </c>
      <c r="K232" s="5" cm="1">
        <f t="array" ref="K232">IFERROR(AVERAGE(IF((OutputTable[GroupByKey]=OutputTable[[#This Row],[GroupByKey]]),(OutputTable[GroupByKey]=OutputTable[[#This Row],[GroupByKey]])*OutputTable[RecordedValue])),0)</f>
        <v>3</v>
      </c>
      <c r="L232" s="5" cm="1">
        <f t="array" ref="L232">IFERROR(_xlfn.STDEV.S(IF((OutputTable[GroupByKey]=OutputTable[[#This Row],[GroupByKey]]),(OutputTable[GroupByKey]=OutputTable[[#This Row],[GroupByKey]])*OutputTable[RecordedValue])),0)</f>
        <v>0</v>
      </c>
      <c r="M232" s="5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" s="5" cm="1">
        <f t="array" ref="O232">MIN(IF((OutputTable[GroupByKey]=OutputTable[[#This Row],[GroupByKey]]),(OutputTable[GroupByKey]=OutputTable[[#This Row],[GroupByKey]])*OutputTable[RecordedValue]))</f>
        <v>3</v>
      </c>
      <c r="P232" s="5" cm="1">
        <f t="array" ref="P232">MAX(IF((OutputTable[GroupByKey]=OutputTable[[#This Row],[GroupByKey]]),(OutputTable[GroupByKey]=OutputTable[[#This Row],[GroupByKey]])*OutputTable[RecordedValue]))</f>
        <v>3</v>
      </c>
    </row>
    <row r="233" spans="1:16" x14ac:dyDescent="0.25">
      <c r="A233" t="s">
        <v>67</v>
      </c>
      <c r="B233" t="s">
        <v>69</v>
      </c>
      <c r="C233">
        <v>12</v>
      </c>
      <c r="D233" t="s">
        <v>144</v>
      </c>
      <c r="E233" t="s">
        <v>145</v>
      </c>
      <c r="F233" t="s">
        <v>72</v>
      </c>
      <c r="G233">
        <v>347</v>
      </c>
      <c r="H233">
        <v>0</v>
      </c>
      <c r="I233" s="5" t="str">
        <f>OutputTable[[#This Row],[ProjectName]]&amp;OutputTable[[#This Row],[Name]]&amp;OutputTable[[#This Row],[Type]]&amp;OutputTable[[#This Row],[Source]]</f>
        <v>Friday (Solucion: datafono, gofre, cocina y caja compartida)Cliente.NumberInNumber InEntity</v>
      </c>
      <c r="J233" s="5" cm="1">
        <f t="array" ref="J233">MAX(IF((ProjectInfoTable[ProjectName]=OutputTable[[#This Row],[ProjectName]]),(ProjectInfoTable[ProjectName]=OutputTable[[#This Row],[ProjectName]])*ProjectInfoTable[NumberOfReplications]))</f>
        <v>19</v>
      </c>
      <c r="K233" s="5" cm="1">
        <f t="array" ref="K233">IFERROR(AVERAGE(IF((OutputTable[GroupByKey]=OutputTable[[#This Row],[GroupByKey]]),(OutputTable[GroupByKey]=OutputTable[[#This Row],[GroupByKey]])*OutputTable[RecordedValue])),0)</f>
        <v>366.21052631578948</v>
      </c>
      <c r="L233" s="5" cm="1">
        <f t="array" ref="L233">IFERROR(_xlfn.STDEV.S(IF((OutputTable[GroupByKey]=OutputTable[[#This Row],[GroupByKey]]),(OutputTable[GroupByKey]=OutputTable[[#This Row],[GroupByKey]])*OutputTable[RecordedValue])),0)</f>
        <v>28.665850661580702</v>
      </c>
      <c r="M233" s="5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13.816497752584581</v>
      </c>
      <c r="O233" s="5" cm="1">
        <f t="array" ref="O233">MIN(IF((OutputTable[GroupByKey]=OutputTable[[#This Row],[GroupByKey]]),(OutputTable[GroupByKey]=OutputTable[[#This Row],[GroupByKey]])*OutputTable[RecordedValue]))</f>
        <v>331</v>
      </c>
      <c r="P233" s="5" cm="1">
        <f t="array" ref="P233">MAX(IF((OutputTable[GroupByKey]=OutputTable[[#This Row],[GroupByKey]]),(OutputTable[GroupByKey]=OutputTable[[#This Row],[GroupByKey]])*OutputTable[RecordedValue]))</f>
        <v>427</v>
      </c>
    </row>
    <row r="234" spans="1:16" x14ac:dyDescent="0.25">
      <c r="A234" t="s">
        <v>67</v>
      </c>
      <c r="B234" t="s">
        <v>69</v>
      </c>
      <c r="C234">
        <v>12</v>
      </c>
      <c r="D234" t="s">
        <v>146</v>
      </c>
      <c r="E234" t="s">
        <v>147</v>
      </c>
      <c r="F234" t="s">
        <v>72</v>
      </c>
      <c r="G234">
        <v>354</v>
      </c>
      <c r="H234">
        <v>0</v>
      </c>
      <c r="I234" s="5" t="str">
        <f>OutputTable[[#This Row],[ProjectName]]&amp;OutputTable[[#This Row],[Name]]&amp;OutputTable[[#This Row],[Type]]&amp;OutputTable[[#This Row],[Source]]</f>
        <v>Friday (Solucion: datafono, gofre, cocina y caja compartida)Cliente.NumberOutNumber OutEntity</v>
      </c>
      <c r="J234" s="5" cm="1">
        <f t="array" ref="J234">MAX(IF((ProjectInfoTable[ProjectName]=OutputTable[[#This Row],[ProjectName]]),(ProjectInfoTable[ProjectName]=OutputTable[[#This Row],[ProjectName]])*ProjectInfoTable[NumberOfReplications]))</f>
        <v>19</v>
      </c>
      <c r="K234" s="5" cm="1">
        <f t="array" ref="K234">IFERROR(AVERAGE(IF((OutputTable[GroupByKey]=OutputTable[[#This Row],[GroupByKey]]),(OutputTable[GroupByKey]=OutputTable[[#This Row],[GroupByKey]])*OutputTable[RecordedValue])),0)</f>
        <v>366.63157894736844</v>
      </c>
      <c r="L234" s="5" cm="1">
        <f t="array" ref="L234">IFERROR(_xlfn.STDEV.S(IF((OutputTable[GroupByKey]=OutputTable[[#This Row],[GroupByKey]]),(OutputTable[GroupByKey]=OutputTable[[#This Row],[GroupByKey]])*OutputTable[RecordedValue])),0)</f>
        <v>29.957767544617038</v>
      </c>
      <c r="M234" s="5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14.439181758083874</v>
      </c>
      <c r="O234" s="5" cm="1">
        <f t="array" ref="O234">MIN(IF((OutputTable[GroupByKey]=OutputTable[[#This Row],[GroupByKey]]),(OutputTable[GroupByKey]=OutputTable[[#This Row],[GroupByKey]])*OutputTable[RecordedValue]))</f>
        <v>329</v>
      </c>
      <c r="P234" s="5" cm="1">
        <f t="array" ref="P234">MAX(IF((OutputTable[GroupByKey]=OutputTable[[#This Row],[GroupByKey]]),(OutputTable[GroupByKey]=OutputTable[[#This Row],[GroupByKey]])*OutputTable[RecordedValue]))</f>
        <v>443</v>
      </c>
    </row>
    <row r="235" spans="1:16" x14ac:dyDescent="0.25">
      <c r="A235" t="s">
        <v>67</v>
      </c>
      <c r="B235" t="s">
        <v>69</v>
      </c>
      <c r="C235">
        <v>12</v>
      </c>
      <c r="D235" t="s">
        <v>148</v>
      </c>
      <c r="E235" t="s">
        <v>149</v>
      </c>
      <c r="F235" t="s">
        <v>86</v>
      </c>
      <c r="G235">
        <v>266.68862103262501</v>
      </c>
      <c r="H235">
        <v>0</v>
      </c>
      <c r="I235" s="5" t="str">
        <f>OutputTable[[#This Row],[ProjectName]]&amp;OutputTable[[#This Row],[Name]]&amp;OutputTable[[#This Row],[Type]]&amp;OutputTable[[#This Row],[Source]]</f>
        <v>Friday (Solucion: datafono, gofre, cocina y caja compartida)Comer en Mesa Accum VA TimeAccum VA TimeProcess</v>
      </c>
      <c r="J235" s="5" cm="1">
        <f t="array" ref="J235">MAX(IF((ProjectInfoTable[ProjectName]=OutputTable[[#This Row],[ProjectName]]),(ProjectInfoTable[ProjectName]=OutputTable[[#This Row],[ProjectName]])*ProjectInfoTable[NumberOfReplications]))</f>
        <v>19</v>
      </c>
      <c r="K235" s="5" cm="1">
        <f t="array" ref="K235">IFERROR(AVERAGE(IF((OutputTable[GroupByKey]=OutputTable[[#This Row],[GroupByKey]]),(OutputTable[GroupByKey]=OutputTable[[#This Row],[GroupByKey]])*OutputTable[RecordedValue])),0)</f>
        <v>283.12549562397913</v>
      </c>
      <c r="L235" s="5" cm="1">
        <f t="array" ref="L235">IFERROR(_xlfn.STDEV.S(IF((OutputTable[GroupByKey]=OutputTable[[#This Row],[GroupByKey]]),(OutputTable[GroupByKey]=OutputTable[[#This Row],[GroupByKey]])*OutputTable[RecordedValue])),0)</f>
        <v>55.763238037894645</v>
      </c>
      <c r="M235" s="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26.877020400444863</v>
      </c>
      <c r="O235" s="5" cm="1">
        <f t="array" ref="O235">MIN(IF((OutputTable[GroupByKey]=OutputTable[[#This Row],[GroupByKey]]),(OutputTable[GroupByKey]=OutputTable[[#This Row],[GroupByKey]])*OutputTable[RecordedValue]))</f>
        <v>157.05073652574001</v>
      </c>
      <c r="P235" s="5" cm="1">
        <f t="array" ref="P235">MAX(IF((OutputTable[GroupByKey]=OutputTable[[#This Row],[GroupByKey]]),(OutputTable[GroupByKey]=OutputTable[[#This Row],[GroupByKey]])*OutputTable[RecordedValue]))</f>
        <v>402.97015039838902</v>
      </c>
    </row>
    <row r="236" spans="1:16" x14ac:dyDescent="0.25">
      <c r="A236" t="s">
        <v>67</v>
      </c>
      <c r="B236" t="s">
        <v>69</v>
      </c>
      <c r="C236">
        <v>12</v>
      </c>
      <c r="D236" t="s">
        <v>150</v>
      </c>
      <c r="E236" t="s">
        <v>151</v>
      </c>
      <c r="F236" t="s">
        <v>86</v>
      </c>
      <c r="G236">
        <v>0</v>
      </c>
      <c r="H236">
        <v>0</v>
      </c>
      <c r="I236" s="5" t="str">
        <f>OutputTable[[#This Row],[ProjectName]]&amp;OutputTable[[#This Row],[Name]]&amp;OutputTable[[#This Row],[Type]]&amp;OutputTable[[#This Row],[Source]]</f>
        <v>Friday (Solucion: datafono, gofre, cocina y caja compartida)Comer en Mesa Accum Wait TimeAccum Wait TimeProcess</v>
      </c>
      <c r="J236" s="5" cm="1">
        <f t="array" ref="J236">MAX(IF((ProjectInfoTable[ProjectName]=OutputTable[[#This Row],[ProjectName]]),(ProjectInfoTable[ProjectName]=OutputTable[[#This Row],[ProjectName]])*ProjectInfoTable[NumberOfReplications]))</f>
        <v>19</v>
      </c>
      <c r="K236" s="5" cm="1">
        <f t="array" ref="K236">IFERROR(AVERAGE(IF((OutputTable[GroupByKey]=OutputTable[[#This Row],[GroupByKey]]),(OutputTable[GroupByKey]=OutputTable[[#This Row],[GroupByKey]])*OutputTable[RecordedValue])),0)</f>
        <v>0</v>
      </c>
      <c r="L236" s="5" cm="1">
        <f t="array" ref="L236">IFERROR(_xlfn.STDEV.S(IF((OutputTable[GroupByKey]=OutputTable[[#This Row],[GroupByKey]]),(OutputTable[GroupByKey]=OutputTable[[#This Row],[GroupByKey]])*OutputTable[RecordedValue])),0)</f>
        <v>0</v>
      </c>
      <c r="M236" s="5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" s="5" cm="1">
        <f t="array" ref="O236">MIN(IF((OutputTable[GroupByKey]=OutputTable[[#This Row],[GroupByKey]]),(OutputTable[GroupByKey]=OutputTable[[#This Row],[GroupByKey]])*OutputTable[RecordedValue]))</f>
        <v>0</v>
      </c>
      <c r="P236" s="5" cm="1">
        <f t="array" ref="P236">MAX(IF((OutputTable[GroupByKey]=OutputTable[[#This Row],[GroupByKey]]),(OutputTable[GroupByKey]=OutputTable[[#This Row],[GroupByKey]])*OutputTable[RecordedValue]))</f>
        <v>0</v>
      </c>
    </row>
    <row r="237" spans="1:16" x14ac:dyDescent="0.25">
      <c r="A237" t="s">
        <v>67</v>
      </c>
      <c r="B237" t="s">
        <v>69</v>
      </c>
      <c r="C237">
        <v>12</v>
      </c>
      <c r="D237" t="s">
        <v>152</v>
      </c>
      <c r="E237" t="s">
        <v>145</v>
      </c>
      <c r="F237" t="s">
        <v>86</v>
      </c>
      <c r="G237">
        <v>13</v>
      </c>
      <c r="H237">
        <v>0</v>
      </c>
      <c r="I237" s="5" t="str">
        <f>OutputTable[[#This Row],[ProjectName]]&amp;OutputTable[[#This Row],[Name]]&amp;OutputTable[[#This Row],[Type]]&amp;OutputTable[[#This Row],[Source]]</f>
        <v>Friday (Solucion: datafono, gofre, cocina y caja compartida)Comer en Mesa Number InNumber InProcess</v>
      </c>
      <c r="J237" s="5" cm="1">
        <f t="array" ref="J237">MAX(IF((ProjectInfoTable[ProjectName]=OutputTable[[#This Row],[ProjectName]]),(ProjectInfoTable[ProjectName]=OutputTable[[#This Row],[ProjectName]])*ProjectInfoTable[NumberOfReplications]))</f>
        <v>19</v>
      </c>
      <c r="K237" s="5" cm="1">
        <f t="array" ref="K237">IFERROR(AVERAGE(IF((OutputTable[GroupByKey]=OutputTable[[#This Row],[GroupByKey]]),(OutputTable[GroupByKey]=OutputTable[[#This Row],[GroupByKey]])*OutputTable[RecordedValue])),0)</f>
        <v>16.157894736842106</v>
      </c>
      <c r="L237" s="5" cm="1">
        <f t="array" ref="L237">IFERROR(_xlfn.STDEV.S(IF((OutputTable[GroupByKey]=OutputTable[[#This Row],[GroupByKey]]),(OutputTable[GroupByKey]=OutputTable[[#This Row],[GroupByKey]])*OutputTable[RecordedValue])),0)</f>
        <v>3.8044295512634076</v>
      </c>
      <c r="M237" s="5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237" s="5" cm="1">
        <f t="array" ref="O237">MIN(IF((OutputTable[GroupByKey]=OutputTable[[#This Row],[GroupByKey]]),(OutputTable[GroupByKey]=OutputTable[[#This Row],[GroupByKey]])*OutputTable[RecordedValue]))</f>
        <v>9</v>
      </c>
      <c r="P237" s="5" cm="1">
        <f t="array" ref="P237">MAX(IF((OutputTable[GroupByKey]=OutputTable[[#This Row],[GroupByKey]]),(OutputTable[GroupByKey]=OutputTable[[#This Row],[GroupByKey]])*OutputTable[RecordedValue]))</f>
        <v>24</v>
      </c>
    </row>
    <row r="238" spans="1:16" x14ac:dyDescent="0.25">
      <c r="A238" t="s">
        <v>67</v>
      </c>
      <c r="B238" t="s">
        <v>69</v>
      </c>
      <c r="C238">
        <v>12</v>
      </c>
      <c r="D238" t="s">
        <v>153</v>
      </c>
      <c r="E238" t="s">
        <v>147</v>
      </c>
      <c r="F238" t="s">
        <v>86</v>
      </c>
      <c r="G238">
        <v>14</v>
      </c>
      <c r="H238">
        <v>0</v>
      </c>
      <c r="I238" s="5" t="str">
        <f>OutputTable[[#This Row],[ProjectName]]&amp;OutputTable[[#This Row],[Name]]&amp;OutputTable[[#This Row],[Type]]&amp;OutputTable[[#This Row],[Source]]</f>
        <v>Friday (Solucion: datafono, gofre, cocina y caja compartida)Comer en Mesa Number OutNumber OutProcess</v>
      </c>
      <c r="J238" s="5" cm="1">
        <f t="array" ref="J238">MAX(IF((ProjectInfoTable[ProjectName]=OutputTable[[#This Row],[ProjectName]]),(ProjectInfoTable[ProjectName]=OutputTable[[#This Row],[ProjectName]])*ProjectInfoTable[NumberOfReplications]))</f>
        <v>19</v>
      </c>
      <c r="K238" s="5" cm="1">
        <f t="array" ref="K238">IFERROR(AVERAGE(IF((OutputTable[GroupByKey]=OutputTable[[#This Row],[GroupByKey]]),(OutputTable[GroupByKey]=OutputTable[[#This Row],[GroupByKey]])*OutputTable[RecordedValue])),0)</f>
        <v>16.263157894736842</v>
      </c>
      <c r="L238" s="5" cm="1">
        <f t="array" ref="L238">IFERROR(_xlfn.STDEV.S(IF((OutputTable[GroupByKey]=OutputTable[[#This Row],[GroupByKey]]),(OutputTable[GroupByKey]=OutputTable[[#This Row],[GroupByKey]])*OutputTable[RecordedValue])),0)</f>
        <v>3.3803698887540881</v>
      </c>
      <c r="M238" s="5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1.6292861329062698</v>
      </c>
      <c r="O238" s="5" cm="1">
        <f t="array" ref="O238">MIN(IF((OutputTable[GroupByKey]=OutputTable[[#This Row],[GroupByKey]]),(OutputTable[GroupByKey]=OutputTable[[#This Row],[GroupByKey]])*OutputTable[RecordedValue]))</f>
        <v>8</v>
      </c>
      <c r="P238" s="5" cm="1">
        <f t="array" ref="P238">MAX(IF((OutputTable[GroupByKey]=OutputTable[[#This Row],[GroupByKey]]),(OutputTable[GroupByKey]=OutputTable[[#This Row],[GroupByKey]])*OutputTable[RecordedValue]))</f>
        <v>22</v>
      </c>
    </row>
    <row r="239" spans="1:16" x14ac:dyDescent="0.25">
      <c r="A239" t="s">
        <v>67</v>
      </c>
      <c r="B239" t="s">
        <v>69</v>
      </c>
      <c r="C239">
        <v>12</v>
      </c>
      <c r="D239" t="s">
        <v>154</v>
      </c>
      <c r="E239" t="s">
        <v>145</v>
      </c>
      <c r="F239" t="s">
        <v>72</v>
      </c>
      <c r="G239">
        <v>114</v>
      </c>
      <c r="H239">
        <v>0</v>
      </c>
      <c r="I239" s="5" t="str">
        <f>OutputTable[[#This Row],[ProjectName]]&amp;OutputTable[[#This Row],[Name]]&amp;OutputTable[[#This Row],[Type]]&amp;OutputTable[[#This Row],[Source]]</f>
        <v>Friday (Solucion: datafono, gofre, cocina y caja compartida)Orden.NumberInNumber InEntity</v>
      </c>
      <c r="J239" s="5" cm="1">
        <f t="array" ref="J239">MAX(IF((ProjectInfoTable[ProjectName]=OutputTable[[#This Row],[ProjectName]]),(ProjectInfoTable[ProjectName]=OutputTable[[#This Row],[ProjectName]])*ProjectInfoTable[NumberOfReplications]))</f>
        <v>19</v>
      </c>
      <c r="K239" s="5" cm="1">
        <f t="array" ref="K239">IFERROR(AVERAGE(IF((OutputTable[GroupByKey]=OutputTable[[#This Row],[GroupByKey]]),(OutputTable[GroupByKey]=OutputTable[[#This Row],[GroupByKey]])*OutputTable[RecordedValue])),0)</f>
        <v>121.89473684210526</v>
      </c>
      <c r="L239" s="5" cm="1">
        <f t="array" ref="L239">IFERROR(_xlfn.STDEV.S(IF((OutputTable[GroupByKey]=OutputTable[[#This Row],[GroupByKey]]),(OutputTable[GroupByKey]=OutputTable[[#This Row],[GroupByKey]])*OutputTable[RecordedValue])),0)</f>
        <v>9.971597090637573</v>
      </c>
      <c r="M239" s="5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239" s="5" cm="1">
        <f t="array" ref="O239">MIN(IF((OutputTable[GroupByKey]=OutputTable[[#This Row],[GroupByKey]]),(OutputTable[GroupByKey]=OutputTable[[#This Row],[GroupByKey]])*OutputTable[RecordedValue]))</f>
        <v>109</v>
      </c>
      <c r="P239" s="5" cm="1">
        <f t="array" ref="P239">MAX(IF((OutputTable[GroupByKey]=OutputTable[[#This Row],[GroupByKey]]),(OutputTable[GroupByKey]=OutputTable[[#This Row],[GroupByKey]])*OutputTable[RecordedValue]))</f>
        <v>143</v>
      </c>
    </row>
    <row r="240" spans="1:16" x14ac:dyDescent="0.25">
      <c r="A240" t="s">
        <v>67</v>
      </c>
      <c r="B240" t="s">
        <v>69</v>
      </c>
      <c r="C240">
        <v>12</v>
      </c>
      <c r="D240" t="s">
        <v>155</v>
      </c>
      <c r="E240" t="s">
        <v>147</v>
      </c>
      <c r="F240" t="s">
        <v>72</v>
      </c>
      <c r="G240">
        <v>120</v>
      </c>
      <c r="H240">
        <v>0</v>
      </c>
      <c r="I240" s="5" t="str">
        <f>OutputTable[[#This Row],[ProjectName]]&amp;OutputTable[[#This Row],[Name]]&amp;OutputTable[[#This Row],[Type]]&amp;OutputTable[[#This Row],[Source]]</f>
        <v>Friday (Solucion: datafono, gofre, cocina y caja compartida)Orden.NumberOutNumber OutEntity</v>
      </c>
      <c r="J240" s="5" cm="1">
        <f t="array" ref="J240">MAX(IF((ProjectInfoTable[ProjectName]=OutputTable[[#This Row],[ProjectName]]),(ProjectInfoTable[ProjectName]=OutputTable[[#This Row],[ProjectName]])*ProjectInfoTable[NumberOfReplications]))</f>
        <v>19</v>
      </c>
      <c r="K240" s="5" cm="1">
        <f t="array" ref="K240">IFERROR(AVERAGE(IF((OutputTable[GroupByKey]=OutputTable[[#This Row],[GroupByKey]]),(OutputTable[GroupByKey]=OutputTable[[#This Row],[GroupByKey]])*OutputTable[RecordedValue])),0)</f>
        <v>122.36842105263158</v>
      </c>
      <c r="L240" s="5" cm="1">
        <f t="array" ref="L240">IFERROR(_xlfn.STDEV.S(IF((OutputTable[GroupByKey]=OutputTable[[#This Row],[GroupByKey]]),(OutputTable[GroupByKey]=OutputTable[[#This Row],[GroupByKey]])*OutputTable[RecordedValue])),0)</f>
        <v>10.160984894934533</v>
      </c>
      <c r="M240" s="5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240" s="5" cm="1">
        <f t="array" ref="O240">MIN(IF((OutputTable[GroupByKey]=OutputTable[[#This Row],[GroupByKey]]),(OutputTable[GroupByKey]=OutputTable[[#This Row],[GroupByKey]])*OutputTable[RecordedValue]))</f>
        <v>109</v>
      </c>
      <c r="P240" s="5" cm="1">
        <f t="array" ref="P240">MAX(IF((OutputTable[GroupByKey]=OutputTable[[#This Row],[GroupByKey]]),(OutputTable[GroupByKey]=OutputTable[[#This Row],[GroupByKey]])*OutputTable[RecordedValue]))</f>
        <v>150</v>
      </c>
    </row>
    <row r="241" spans="1:16" x14ac:dyDescent="0.25">
      <c r="A241" t="s">
        <v>67</v>
      </c>
      <c r="B241" t="s">
        <v>69</v>
      </c>
      <c r="C241">
        <v>12</v>
      </c>
      <c r="D241" t="s">
        <v>156</v>
      </c>
      <c r="E241" t="s">
        <v>149</v>
      </c>
      <c r="F241" t="s">
        <v>86</v>
      </c>
      <c r="G241">
        <v>176.89802034552301</v>
      </c>
      <c r="H241">
        <v>0</v>
      </c>
      <c r="I241" s="5" t="str">
        <f>OutputTable[[#This Row],[ProjectName]]&amp;OutputTable[[#This Row],[Name]]&amp;OutputTable[[#This Row],[Type]]&amp;OutputTable[[#This Row],[Source]]</f>
        <v>Friday (Solucion: datafono, gofre, cocina y caja compartida)Preparacion Accum VA TimeAccum VA TimeProcess</v>
      </c>
      <c r="J241" s="5" cm="1">
        <f t="array" ref="J241">MAX(IF((ProjectInfoTable[ProjectName]=OutputTable[[#This Row],[ProjectName]]),(ProjectInfoTable[ProjectName]=OutputTable[[#This Row],[ProjectName]])*ProjectInfoTable[NumberOfReplications]))</f>
        <v>19</v>
      </c>
      <c r="K241" s="5" cm="1">
        <f t="array" ref="K241">IFERROR(AVERAGE(IF((OutputTable[GroupByKey]=OutputTable[[#This Row],[GroupByKey]]),(OutputTable[GroupByKey]=OutputTable[[#This Row],[GroupByKey]])*OutputTable[RecordedValue])),0)</f>
        <v>174.13537587676447</v>
      </c>
      <c r="L241" s="5" cm="1">
        <f t="array" ref="L241">IFERROR(_xlfn.STDEV.S(IF((OutputTable[GroupByKey]=OutputTable[[#This Row],[GroupByKey]]),(OutputTable[GroupByKey]=OutputTable[[#This Row],[GroupByKey]])*OutputTable[RecordedValue])),0)</f>
        <v>19.65074675456297</v>
      </c>
      <c r="M241" s="5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9.4713567574295272</v>
      </c>
      <c r="O241" s="5" cm="1">
        <f t="array" ref="O241">MIN(IF((OutputTable[GroupByKey]=OutputTable[[#This Row],[GroupByKey]]),(OutputTable[GroupByKey]=OutputTable[[#This Row],[GroupByKey]])*OutputTable[RecordedValue]))</f>
        <v>139.22471453685199</v>
      </c>
      <c r="P241" s="5" cm="1">
        <f t="array" ref="P241">MAX(IF((OutputTable[GroupByKey]=OutputTable[[#This Row],[GroupByKey]]),(OutputTable[GroupByKey]=OutputTable[[#This Row],[GroupByKey]])*OutputTable[RecordedValue]))</f>
        <v>210.18722493890999</v>
      </c>
    </row>
    <row r="242" spans="1:16" x14ac:dyDescent="0.25">
      <c r="A242" t="s">
        <v>67</v>
      </c>
      <c r="B242" t="s">
        <v>69</v>
      </c>
      <c r="C242">
        <v>12</v>
      </c>
      <c r="D242" t="s">
        <v>157</v>
      </c>
      <c r="E242" t="s">
        <v>151</v>
      </c>
      <c r="F242" t="s">
        <v>86</v>
      </c>
      <c r="G242">
        <v>92.697639692437605</v>
      </c>
      <c r="H242">
        <v>0</v>
      </c>
      <c r="I242" s="5" t="str">
        <f>OutputTable[[#This Row],[ProjectName]]&amp;OutputTable[[#This Row],[Name]]&amp;OutputTable[[#This Row],[Type]]&amp;OutputTable[[#This Row],[Source]]</f>
        <v>Friday (Solucion: datafono, gofre, cocina y caja compartida)Preparacion Accum Wait TimeAccum Wait TimeProcess</v>
      </c>
      <c r="J242" s="5" cm="1">
        <f t="array" ref="J242">MAX(IF((ProjectInfoTable[ProjectName]=OutputTable[[#This Row],[ProjectName]]),(ProjectInfoTable[ProjectName]=OutputTable[[#This Row],[ProjectName]])*ProjectInfoTable[NumberOfReplications]))</f>
        <v>19</v>
      </c>
      <c r="K242" s="5" cm="1">
        <f t="array" ref="K242">IFERROR(AVERAGE(IF((OutputTable[GroupByKey]=OutputTable[[#This Row],[GroupByKey]]),(OutputTable[GroupByKey]=OutputTable[[#This Row],[GroupByKey]])*OutputTable[RecordedValue])),0)</f>
        <v>89.754366677107924</v>
      </c>
      <c r="L242" s="5" cm="1">
        <f t="array" ref="L242">IFERROR(_xlfn.STDEV.S(IF((OutputTable[GroupByKey]=OutputTable[[#This Row],[GroupByKey]]),(OutputTable[GroupByKey]=OutputTable[[#This Row],[GroupByKey]])*OutputTable[RecordedValue])),0)</f>
        <v>109.53061123574736</v>
      </c>
      <c r="M242" s="5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52.79206474085742</v>
      </c>
      <c r="O242" s="5" cm="1">
        <f t="array" ref="O242">MIN(IF((OutputTable[GroupByKey]=OutputTable[[#This Row],[GroupByKey]]),(OutputTable[GroupByKey]=OutputTable[[#This Row],[GroupByKey]])*OutputTable[RecordedValue]))</f>
        <v>22.316256244919199</v>
      </c>
      <c r="P242" s="5" cm="1">
        <f t="array" ref="P242">MAX(IF((OutputTable[GroupByKey]=OutputTable[[#This Row],[GroupByKey]]),(OutputTable[GroupByKey]=OutputTable[[#This Row],[GroupByKey]])*OutputTable[RecordedValue]))</f>
        <v>514.987116007179</v>
      </c>
    </row>
    <row r="243" spans="1:16" x14ac:dyDescent="0.25">
      <c r="A243" t="s">
        <v>67</v>
      </c>
      <c r="B243" t="s">
        <v>69</v>
      </c>
      <c r="C243">
        <v>12</v>
      </c>
      <c r="D243" t="s">
        <v>158</v>
      </c>
      <c r="E243" t="s">
        <v>145</v>
      </c>
      <c r="F243" t="s">
        <v>86</v>
      </c>
      <c r="G243">
        <v>114</v>
      </c>
      <c r="H243">
        <v>0</v>
      </c>
      <c r="I243" s="5" t="str">
        <f>OutputTable[[#This Row],[ProjectName]]&amp;OutputTable[[#This Row],[Name]]&amp;OutputTable[[#This Row],[Type]]&amp;OutputTable[[#This Row],[Source]]</f>
        <v>Friday (Solucion: datafono, gofre, cocina y caja compartida)Preparacion Number InNumber InProcess</v>
      </c>
      <c r="J243" s="5" cm="1">
        <f t="array" ref="J243">MAX(IF((ProjectInfoTable[ProjectName]=OutputTable[[#This Row],[ProjectName]]),(ProjectInfoTable[ProjectName]=OutputTable[[#This Row],[ProjectName]])*ProjectInfoTable[NumberOfReplications]))</f>
        <v>19</v>
      </c>
      <c r="K243" s="5" cm="1">
        <f t="array" ref="K243">IFERROR(AVERAGE(IF((OutputTable[GroupByKey]=OutputTable[[#This Row],[GroupByKey]]),(OutputTable[GroupByKey]=OutputTable[[#This Row],[GroupByKey]])*OutputTable[RecordedValue])),0)</f>
        <v>121.89473684210526</v>
      </c>
      <c r="L243" s="5" cm="1">
        <f t="array" ref="L243">IFERROR(_xlfn.STDEV.S(IF((OutputTable[GroupByKey]=OutputTable[[#This Row],[GroupByKey]]),(OutputTable[GroupByKey]=OutputTable[[#This Row],[GroupByKey]])*OutputTable[RecordedValue])),0)</f>
        <v>9.971597090637573</v>
      </c>
      <c r="M243" s="5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243" s="5" cm="1">
        <f t="array" ref="O243">MIN(IF((OutputTable[GroupByKey]=OutputTable[[#This Row],[GroupByKey]]),(OutputTable[GroupByKey]=OutputTable[[#This Row],[GroupByKey]])*OutputTable[RecordedValue]))</f>
        <v>109</v>
      </c>
      <c r="P243" s="5" cm="1">
        <f t="array" ref="P243">MAX(IF((OutputTable[GroupByKey]=OutputTable[[#This Row],[GroupByKey]]),(OutputTable[GroupByKey]=OutputTable[[#This Row],[GroupByKey]])*OutputTable[RecordedValue]))</f>
        <v>143</v>
      </c>
    </row>
    <row r="244" spans="1:16" x14ac:dyDescent="0.25">
      <c r="A244" t="s">
        <v>67</v>
      </c>
      <c r="B244" t="s">
        <v>69</v>
      </c>
      <c r="C244">
        <v>12</v>
      </c>
      <c r="D244" t="s">
        <v>159</v>
      </c>
      <c r="E244" t="s">
        <v>147</v>
      </c>
      <c r="F244" t="s">
        <v>86</v>
      </c>
      <c r="G244">
        <v>119</v>
      </c>
      <c r="H244">
        <v>0</v>
      </c>
      <c r="I244" s="5" t="str">
        <f>OutputTable[[#This Row],[ProjectName]]&amp;OutputTable[[#This Row],[Name]]&amp;OutputTable[[#This Row],[Type]]&amp;OutputTable[[#This Row],[Source]]</f>
        <v>Friday (Solucion: datafono, gofre, cocina y caja compartida)Preparacion Number OutNumber OutProcess</v>
      </c>
      <c r="J244" s="5" cm="1">
        <f t="array" ref="J244">MAX(IF((ProjectInfoTable[ProjectName]=OutputTable[[#This Row],[ProjectName]]),(ProjectInfoTable[ProjectName]=OutputTable[[#This Row],[ProjectName]])*ProjectInfoTable[NumberOfReplications]))</f>
        <v>19</v>
      </c>
      <c r="K244" s="5" cm="1">
        <f t="array" ref="K244">IFERROR(AVERAGE(IF((OutputTable[GroupByKey]=OutputTable[[#This Row],[GroupByKey]]),(OutputTable[GroupByKey]=OutputTable[[#This Row],[GroupByKey]])*OutputTable[RecordedValue])),0)</f>
        <v>122.31578947368421</v>
      </c>
      <c r="L244" s="5" cm="1">
        <f t="array" ref="L244">IFERROR(_xlfn.STDEV.S(IF((OutputTable[GroupByKey]=OutputTable[[#This Row],[GroupByKey]]),(OutputTable[GroupByKey]=OutputTable[[#This Row],[GroupByKey]])*OutputTable[RecordedValue])),0)</f>
        <v>10.127260414780096</v>
      </c>
      <c r="M244" s="5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4.8811832731752718</v>
      </c>
      <c r="O244" s="5" cm="1">
        <f t="array" ref="O244">MIN(IF((OutputTable[GroupByKey]=OutputTable[[#This Row],[GroupByKey]]),(OutputTable[GroupByKey]=OutputTable[[#This Row],[GroupByKey]])*OutputTable[RecordedValue]))</f>
        <v>111</v>
      </c>
      <c r="P244" s="5" cm="1">
        <f t="array" ref="P244">MAX(IF((OutputTable[GroupByKey]=OutputTable[[#This Row],[GroupByKey]]),(OutputTable[GroupByKey]=OutputTable[[#This Row],[GroupByKey]])*OutputTable[RecordedValue]))</f>
        <v>150</v>
      </c>
    </row>
    <row r="245" spans="1:16" x14ac:dyDescent="0.25">
      <c r="A245" t="s">
        <v>67</v>
      </c>
      <c r="B245" t="s">
        <v>69</v>
      </c>
      <c r="C245">
        <v>12</v>
      </c>
      <c r="D245" t="s">
        <v>160</v>
      </c>
      <c r="E245" t="s">
        <v>147</v>
      </c>
      <c r="F245" t="s">
        <v>161</v>
      </c>
      <c r="G245">
        <v>123</v>
      </c>
      <c r="H245">
        <v>0</v>
      </c>
      <c r="I245" s="5" t="str">
        <f>OutputTable[[#This Row],[ProjectName]]&amp;OutputTable[[#This Row],[Name]]&amp;OutputTable[[#This Row],[Type]]&amp;OutputTable[[#This Row],[Source]]</f>
        <v>Friday (Solucion: datafono, gofre, cocina y caja compartida)System.NumberOutNumber OutSystem</v>
      </c>
      <c r="J245" s="5" cm="1">
        <f t="array" ref="J245">MAX(IF((ProjectInfoTable[ProjectName]=OutputTable[[#This Row],[ProjectName]]),(ProjectInfoTable[ProjectName]=OutputTable[[#This Row],[ProjectName]])*ProjectInfoTable[NumberOfReplications]))</f>
        <v>19</v>
      </c>
      <c r="K245" s="5" cm="1">
        <f t="array" ref="K245">IFERROR(AVERAGE(IF((OutputTable[GroupByKey]=OutputTable[[#This Row],[GroupByKey]]),(OutputTable[GroupByKey]=OutputTable[[#This Row],[GroupByKey]])*OutputTable[RecordedValue])),0)</f>
        <v>125.36842105263158</v>
      </c>
      <c r="L245" s="5" cm="1">
        <f t="array" ref="L245">IFERROR(_xlfn.STDEV.S(IF((OutputTable[GroupByKey]=OutputTable[[#This Row],[GroupByKey]]),(OutputTable[GroupByKey]=OutputTable[[#This Row],[GroupByKey]])*OutputTable[RecordedValue])),0)</f>
        <v>10.160984894934533</v>
      </c>
      <c r="M245" s="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245" s="5" cm="1">
        <f t="array" ref="O245">MIN(IF((OutputTable[GroupByKey]=OutputTable[[#This Row],[GroupByKey]]),(OutputTable[GroupByKey]=OutputTable[[#This Row],[GroupByKey]])*OutputTable[RecordedValue]))</f>
        <v>112</v>
      </c>
      <c r="P245" s="5" cm="1">
        <f t="array" ref="P245">MAX(IF((OutputTable[GroupByKey]=OutputTable[[#This Row],[GroupByKey]]),(OutputTable[GroupByKey]=OutputTable[[#This Row],[GroupByKey]])*OutputTable[RecordedValue]))</f>
        <v>153</v>
      </c>
    </row>
    <row r="246" spans="1:16" x14ac:dyDescent="0.25">
      <c r="A246" t="s">
        <v>67</v>
      </c>
      <c r="B246" t="s">
        <v>69</v>
      </c>
      <c r="C246">
        <v>12</v>
      </c>
      <c r="D246" t="s">
        <v>162</v>
      </c>
      <c r="E246" t="s">
        <v>163</v>
      </c>
      <c r="F246" t="s">
        <v>136</v>
      </c>
      <c r="G246">
        <v>127</v>
      </c>
      <c r="H246">
        <v>0</v>
      </c>
      <c r="I246" s="5" t="str">
        <f>OutputTable[[#This Row],[ProjectName]]&amp;OutputTable[[#This Row],[Name]]&amp;OutputTable[[#This Row],[Type]]&amp;OutputTable[[#This Row],[Source]]</f>
        <v>Friday (Solucion: datafono, gofre, cocina y caja compartida)rCajero.NumberSeizedTotal Number SeizedResource</v>
      </c>
      <c r="J246" s="5" cm="1">
        <f t="array" ref="J246">MAX(IF((ProjectInfoTable[ProjectName]=OutputTable[[#This Row],[ProjectName]]),(ProjectInfoTable[ProjectName]=OutputTable[[#This Row],[ProjectName]])*ProjectInfoTable[NumberOfReplications]))</f>
        <v>19</v>
      </c>
      <c r="K246" s="5" cm="1">
        <f t="array" ref="K246">IFERROR(AVERAGE(IF((OutputTable[GroupByKey]=OutputTable[[#This Row],[GroupByKey]]),(OutputTable[GroupByKey]=OutputTable[[#This Row],[GroupByKey]])*OutputTable[RecordedValue])),0)</f>
        <v>131.63157894736841</v>
      </c>
      <c r="L246" s="5" cm="1">
        <f t="array" ref="L246">IFERROR(_xlfn.STDEV.S(IF((OutputTable[GroupByKey]=OutputTable[[#This Row],[GroupByKey]]),(OutputTable[GroupByKey]=OutputTable[[#This Row],[GroupByKey]])*OutputTable[RecordedValue])),0)</f>
        <v>13.988926280438102</v>
      </c>
      <c r="M246" s="5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6.7424466413544986</v>
      </c>
      <c r="O246" s="5" cm="1">
        <f t="array" ref="O246">MIN(IF((OutputTable[GroupByKey]=OutputTable[[#This Row],[GroupByKey]]),(OutputTable[GroupByKey]=OutputTable[[#This Row],[GroupByKey]])*OutputTable[RecordedValue]))</f>
        <v>113</v>
      </c>
      <c r="P246" s="5" cm="1">
        <f t="array" ref="P246">MAX(IF((OutputTable[GroupByKey]=OutputTable[[#This Row],[GroupByKey]]),(OutputTable[GroupByKey]=OutputTable[[#This Row],[GroupByKey]])*OutputTable[RecordedValue]))</f>
        <v>157</v>
      </c>
    </row>
    <row r="247" spans="1:16" x14ac:dyDescent="0.25">
      <c r="A247" t="s">
        <v>67</v>
      </c>
      <c r="B247" t="s">
        <v>69</v>
      </c>
      <c r="C247">
        <v>12</v>
      </c>
      <c r="D247" t="s">
        <v>164</v>
      </c>
      <c r="E247" t="s">
        <v>165</v>
      </c>
      <c r="F247" t="s">
        <v>136</v>
      </c>
      <c r="G247">
        <v>0.68321371392804497</v>
      </c>
      <c r="H247">
        <v>0</v>
      </c>
      <c r="I247" s="5" t="str">
        <f>OutputTable[[#This Row],[ProjectName]]&amp;OutputTable[[#This Row],[Name]]&amp;OutputTable[[#This Row],[Type]]&amp;OutputTable[[#This Row],[Source]]</f>
        <v>Friday (Solucion: datafono, gofre, cocina y caja compartida)rCajero.ScheduledUtilizationScheduled UtilizationResource</v>
      </c>
      <c r="J247" s="5" cm="1">
        <f t="array" ref="J247">MAX(IF((ProjectInfoTable[ProjectName]=OutputTable[[#This Row],[ProjectName]]),(ProjectInfoTable[ProjectName]=OutputTable[[#This Row],[ProjectName]])*ProjectInfoTable[NumberOfReplications]))</f>
        <v>19</v>
      </c>
      <c r="K247" s="5" cm="1">
        <f t="array" ref="K247">IFERROR(AVERAGE(IF((OutputTable[GroupByKey]=OutputTable[[#This Row],[GroupByKey]]),(OutputTable[GroupByKey]=OutputTable[[#This Row],[GroupByKey]])*OutputTable[RecordedValue])),0)</f>
        <v>0.68474836505339687</v>
      </c>
      <c r="L247" s="5" cm="1">
        <f t="array" ref="L247">IFERROR(_xlfn.STDEV.S(IF((OutputTable[GroupByKey]=OutputTable[[#This Row],[GroupByKey]]),(OutputTable[GroupByKey]=OutputTable[[#This Row],[GroupByKey]])*OutputTable[RecordedValue])),0)</f>
        <v>6.2272947935973065E-2</v>
      </c>
      <c r="M247" s="5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3.0014600137344902E-2</v>
      </c>
      <c r="O247" s="5" cm="1">
        <f t="array" ref="O247">MIN(IF((OutputTable[GroupByKey]=OutputTable[[#This Row],[GroupByKey]]),(OutputTable[GroupByKey]=OutputTable[[#This Row],[GroupByKey]])*OutputTable[RecordedValue]))</f>
        <v>0.59592290927233305</v>
      </c>
      <c r="P247" s="5" cm="1">
        <f t="array" ref="P247">MAX(IF((OutputTable[GroupByKey]=OutputTable[[#This Row],[GroupByKey]]),(OutputTable[GroupByKey]=OutputTable[[#This Row],[GroupByKey]])*OutputTable[RecordedValue]))</f>
        <v>0.82897119936997599</v>
      </c>
    </row>
    <row r="248" spans="1:16" x14ac:dyDescent="0.25">
      <c r="A248" t="s">
        <v>67</v>
      </c>
      <c r="B248" t="s">
        <v>69</v>
      </c>
      <c r="C248">
        <v>12</v>
      </c>
      <c r="D248" t="s">
        <v>166</v>
      </c>
      <c r="E248" t="s">
        <v>163</v>
      </c>
      <c r="F248" t="s">
        <v>136</v>
      </c>
      <c r="G248">
        <v>106</v>
      </c>
      <c r="H248">
        <v>0</v>
      </c>
      <c r="I248" s="5" t="str">
        <f>OutputTable[[#This Row],[ProjectName]]&amp;OutputTable[[#This Row],[Name]]&amp;OutputTable[[#This Row],[Type]]&amp;OutputTable[[#This Row],[Source]]</f>
        <v>Friday (Solucion: datafono, gofre, cocina y caja compartida)rCocina.NumberSeizedTotal Number SeizedResource</v>
      </c>
      <c r="J248" s="5" cm="1">
        <f t="array" ref="J248">MAX(IF((ProjectInfoTable[ProjectName]=OutputTable[[#This Row],[ProjectName]]),(ProjectInfoTable[ProjectName]=OutputTable[[#This Row],[ProjectName]])*ProjectInfoTable[NumberOfReplications]))</f>
        <v>19</v>
      </c>
      <c r="K248" s="5" cm="1">
        <f t="array" ref="K248">IFERROR(AVERAGE(IF((OutputTable[GroupByKey]=OutputTable[[#This Row],[GroupByKey]]),(OutputTable[GroupByKey]=OutputTable[[#This Row],[GroupByKey]])*OutputTable[RecordedValue])),0)</f>
        <v>112.73684210526316</v>
      </c>
      <c r="L248" s="5" cm="1">
        <f t="array" ref="L248">IFERROR(_xlfn.STDEV.S(IF((OutputTable[GroupByKey]=OutputTable[[#This Row],[GroupByKey]]),(OutputTable[GroupByKey]=OutputTable[[#This Row],[GroupByKey]])*OutputTable[RecordedValue])),0)</f>
        <v>9.1155673027772668</v>
      </c>
      <c r="M248" s="5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4.3935628019284003</v>
      </c>
      <c r="O248" s="5" cm="1">
        <f t="array" ref="O248">MIN(IF((OutputTable[GroupByKey]=OutputTable[[#This Row],[GroupByKey]]),(OutputTable[GroupByKey]=OutputTable[[#This Row],[GroupByKey]])*OutputTable[RecordedValue]))</f>
        <v>102</v>
      </c>
      <c r="P248" s="5" cm="1">
        <f t="array" ref="P248">MAX(IF((OutputTable[GroupByKey]=OutputTable[[#This Row],[GroupByKey]]),(OutputTable[GroupByKey]=OutputTable[[#This Row],[GroupByKey]])*OutputTable[RecordedValue]))</f>
        <v>135</v>
      </c>
    </row>
    <row r="249" spans="1:16" x14ac:dyDescent="0.25">
      <c r="A249" t="s">
        <v>67</v>
      </c>
      <c r="B249" t="s">
        <v>69</v>
      </c>
      <c r="C249">
        <v>12</v>
      </c>
      <c r="D249" t="s">
        <v>167</v>
      </c>
      <c r="E249" t="s">
        <v>165</v>
      </c>
      <c r="F249" t="s">
        <v>136</v>
      </c>
      <c r="G249">
        <v>0.70645570909393796</v>
      </c>
      <c r="H249">
        <v>0</v>
      </c>
      <c r="I249" s="5" t="str">
        <f>OutputTable[[#This Row],[ProjectName]]&amp;OutputTable[[#This Row],[Name]]&amp;OutputTable[[#This Row],[Type]]&amp;OutputTable[[#This Row],[Source]]</f>
        <v>Friday (Solucion: datafono, gofre, cocina y caja compartida)rCocina.ScheduledUtilizationScheduled UtilizationResource</v>
      </c>
      <c r="J249" s="5" cm="1">
        <f t="array" ref="J249">MAX(IF((ProjectInfoTable[ProjectName]=OutputTable[[#This Row],[ProjectName]]),(ProjectInfoTable[ProjectName]=OutputTable[[#This Row],[ProjectName]])*ProjectInfoTable[NumberOfReplications]))</f>
        <v>19</v>
      </c>
      <c r="K249" s="5" cm="1">
        <f t="array" ref="K249">IFERROR(AVERAGE(IF((OutputTable[GroupByKey]=OutputTable[[#This Row],[GroupByKey]]),(OutputTable[GroupByKey]=OutputTable[[#This Row],[GroupByKey]])*OutputTable[RecordedValue])),0)</f>
        <v>0.71670342302257706</v>
      </c>
      <c r="L249" s="5" cm="1">
        <f t="array" ref="L249">IFERROR(_xlfn.STDEV.S(IF((OutputTable[GroupByKey]=OutputTable[[#This Row],[GroupByKey]]),(OutputTable[GroupByKey]=OutputTable[[#This Row],[GroupByKey]])*OutputTable[RecordedValue])),0)</f>
        <v>7.0907274842727658E-2</v>
      </c>
      <c r="M249" s="5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3.4176212493127585E-2</v>
      </c>
      <c r="O249" s="5" cm="1">
        <f t="array" ref="O249">MIN(IF((OutputTable[GroupByKey]=OutputTable[[#This Row],[GroupByKey]]),(OutputTable[GroupByKey]=OutputTable[[#This Row],[GroupByKey]])*OutputTable[RecordedValue]))</f>
        <v>0.60463940272025996</v>
      </c>
      <c r="P249" s="5" cm="1">
        <f t="array" ref="P249">MAX(IF((OutputTable[GroupByKey]=OutputTable[[#This Row],[GroupByKey]]),(OutputTable[GroupByKey]=OutputTable[[#This Row],[GroupByKey]])*OutputTable[RecordedValue]))</f>
        <v>0.86361037821575004</v>
      </c>
    </row>
    <row r="250" spans="1:16" x14ac:dyDescent="0.25">
      <c r="A250" t="s">
        <v>67</v>
      </c>
      <c r="B250" t="s">
        <v>69</v>
      </c>
      <c r="C250">
        <v>12</v>
      </c>
      <c r="D250" t="s">
        <v>168</v>
      </c>
      <c r="E250" t="s">
        <v>163</v>
      </c>
      <c r="F250" t="s">
        <v>136</v>
      </c>
      <c r="G250">
        <v>13</v>
      </c>
      <c r="H250">
        <v>0</v>
      </c>
      <c r="I250" s="5" t="str">
        <f>OutputTable[[#This Row],[ProjectName]]&amp;OutputTable[[#This Row],[Name]]&amp;OutputTable[[#This Row],[Type]]&amp;OutputTable[[#This Row],[Source]]</f>
        <v>Friday (Solucion: datafono, gofre, cocina y caja compartida)rMesa.NumberSeizedTotal Number SeizedResource</v>
      </c>
      <c r="J250" s="5" cm="1">
        <f t="array" ref="J250">MAX(IF((ProjectInfoTable[ProjectName]=OutputTable[[#This Row],[ProjectName]]),(ProjectInfoTable[ProjectName]=OutputTable[[#This Row],[ProjectName]])*ProjectInfoTable[NumberOfReplications]))</f>
        <v>19</v>
      </c>
      <c r="K250" s="5" cm="1">
        <f t="array" ref="K250">IFERROR(AVERAGE(IF((OutputTable[GroupByKey]=OutputTable[[#This Row],[GroupByKey]]),(OutputTable[GroupByKey]=OutputTable[[#This Row],[GroupByKey]])*OutputTable[RecordedValue])),0)</f>
        <v>16.157894736842106</v>
      </c>
      <c r="L250" s="5" cm="1">
        <f t="array" ref="L250">IFERROR(_xlfn.STDEV.S(IF((OutputTable[GroupByKey]=OutputTable[[#This Row],[GroupByKey]]),(OutputTable[GroupByKey]=OutputTable[[#This Row],[GroupByKey]])*OutputTable[RecordedValue])),0)</f>
        <v>3.8044295512634076</v>
      </c>
      <c r="M250" s="5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250" s="5" cm="1">
        <f t="array" ref="O250">MIN(IF((OutputTable[GroupByKey]=OutputTable[[#This Row],[GroupByKey]]),(OutputTable[GroupByKey]=OutputTable[[#This Row],[GroupByKey]])*OutputTable[RecordedValue]))</f>
        <v>9</v>
      </c>
      <c r="P250" s="5" cm="1">
        <f t="array" ref="P250">MAX(IF((OutputTable[GroupByKey]=OutputTable[[#This Row],[GroupByKey]]),(OutputTable[GroupByKey]=OutputTable[[#This Row],[GroupByKey]])*OutputTable[RecordedValue]))</f>
        <v>24</v>
      </c>
    </row>
    <row r="251" spans="1:16" x14ac:dyDescent="0.25">
      <c r="A251" t="s">
        <v>67</v>
      </c>
      <c r="B251" t="s">
        <v>69</v>
      </c>
      <c r="C251">
        <v>12</v>
      </c>
      <c r="D251" t="s">
        <v>169</v>
      </c>
      <c r="E251" t="s">
        <v>165</v>
      </c>
      <c r="F251" t="s">
        <v>136</v>
      </c>
      <c r="G251">
        <v>0.25383421733885397</v>
      </c>
      <c r="H251">
        <v>0</v>
      </c>
      <c r="I251" s="5" t="str">
        <f>OutputTable[[#This Row],[ProjectName]]&amp;OutputTable[[#This Row],[Name]]&amp;OutputTable[[#This Row],[Type]]&amp;OutputTable[[#This Row],[Source]]</f>
        <v>Friday (Solucion: datafono, gofre, cocina y caja compartida)rMesa.ScheduledUtilizationScheduled UtilizationResource</v>
      </c>
      <c r="J251" s="5" cm="1">
        <f t="array" ref="J251">MAX(IF((ProjectInfoTable[ProjectName]=OutputTable[[#This Row],[ProjectName]]),(ProjectInfoTable[ProjectName]=OutputTable[[#This Row],[ProjectName]])*ProjectInfoTable[NumberOfReplications]))</f>
        <v>19</v>
      </c>
      <c r="K251" s="5" cm="1">
        <f t="array" ref="K251">IFERROR(AVERAGE(IF((OutputTable[GroupByKey]=OutputTable[[#This Row],[GroupByKey]]),(OutputTable[GroupByKey]=OutputTable[[#This Row],[GroupByKey]])*OutputTable[RecordedValue])),0)</f>
        <v>0.30850610959128744</v>
      </c>
      <c r="L251" s="5" cm="1">
        <f t="array" ref="L251">IFERROR(_xlfn.STDEV.S(IF((OutputTable[GroupByKey]=OutputTable[[#This Row],[GroupByKey]]),(OutputTable[GroupByKey]=OutputTable[[#This Row],[GroupByKey]])*OutputTable[RecordedValue])),0)</f>
        <v>6.2586127702931107E-2</v>
      </c>
      <c r="M251" s="5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3.0165547953176861E-2</v>
      </c>
      <c r="O251" s="5" cm="1">
        <f t="array" ref="O251">MIN(IF((OutputTable[GroupByKey]=OutputTable[[#This Row],[GroupByKey]]),(OutputTable[GroupByKey]=OutputTable[[#This Row],[GroupByKey]])*OutputTable[RecordedValue]))</f>
        <v>0.156206445320244</v>
      </c>
      <c r="P251" s="5" cm="1">
        <f t="array" ref="P251">MAX(IF((OutputTable[GroupByKey]=OutputTable[[#This Row],[GroupByKey]]),(OutputTable[GroupByKey]=OutputTable[[#This Row],[GroupByKey]])*OutputTable[RecordedValue]))</f>
        <v>0.44942505379986802</v>
      </c>
    </row>
    <row r="252" spans="1:16" x14ac:dyDescent="0.25">
      <c r="A252" t="s">
        <v>67</v>
      </c>
      <c r="B252" t="s">
        <v>69</v>
      </c>
      <c r="C252">
        <v>12</v>
      </c>
      <c r="D252" t="s">
        <v>170</v>
      </c>
      <c r="E252" t="s">
        <v>145</v>
      </c>
      <c r="F252" t="s">
        <v>72</v>
      </c>
      <c r="G252">
        <v>3</v>
      </c>
      <c r="H252">
        <v>0</v>
      </c>
      <c r="I252" s="5" t="str">
        <f>OutputTable[[#This Row],[ProjectName]]&amp;OutputTable[[#This Row],[Name]]&amp;OutputTable[[#This Row],[Type]]&amp;OutputTable[[#This Row],[Source]]</f>
        <v>Friday (Solucion: datafono, gofre, cocina y caja compartida)reloj.NumberInNumber InEntity</v>
      </c>
      <c r="J252" s="5" cm="1">
        <f t="array" ref="J252">MAX(IF((ProjectInfoTable[ProjectName]=OutputTable[[#This Row],[ProjectName]]),(ProjectInfoTable[ProjectName]=OutputTable[[#This Row],[ProjectName]])*ProjectInfoTable[NumberOfReplications]))</f>
        <v>19</v>
      </c>
      <c r="K252" s="5" cm="1">
        <f t="array" ref="K252">IFERROR(AVERAGE(IF((OutputTable[GroupByKey]=OutputTable[[#This Row],[GroupByKey]]),(OutputTable[GroupByKey]=OutputTable[[#This Row],[GroupByKey]])*OutputTable[RecordedValue])),0)</f>
        <v>3</v>
      </c>
      <c r="L252" s="5" cm="1">
        <f t="array" ref="L252">IFERROR(_xlfn.STDEV.S(IF((OutputTable[GroupByKey]=OutputTable[[#This Row],[GroupByKey]]),(OutputTable[GroupByKey]=OutputTable[[#This Row],[GroupByKey]])*OutputTable[RecordedValue])),0)</f>
        <v>0</v>
      </c>
      <c r="M252" s="5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" s="5" cm="1">
        <f t="array" ref="O252">MIN(IF((OutputTable[GroupByKey]=OutputTable[[#This Row],[GroupByKey]]),(OutputTable[GroupByKey]=OutputTable[[#This Row],[GroupByKey]])*OutputTable[RecordedValue]))</f>
        <v>3</v>
      </c>
      <c r="P252" s="5" cm="1">
        <f t="array" ref="P252">MAX(IF((OutputTable[GroupByKey]=OutputTable[[#This Row],[GroupByKey]]),(OutputTable[GroupByKey]=OutputTable[[#This Row],[GroupByKey]])*OutputTable[RecordedValue]))</f>
        <v>3</v>
      </c>
    </row>
    <row r="253" spans="1:16" x14ac:dyDescent="0.25">
      <c r="A253" t="s">
        <v>67</v>
      </c>
      <c r="B253" t="s">
        <v>69</v>
      </c>
      <c r="C253">
        <v>12</v>
      </c>
      <c r="D253" t="s">
        <v>171</v>
      </c>
      <c r="E253" t="s">
        <v>147</v>
      </c>
      <c r="F253" t="s">
        <v>72</v>
      </c>
      <c r="G253">
        <v>3</v>
      </c>
      <c r="H253">
        <v>0</v>
      </c>
      <c r="I253" s="5" t="str">
        <f>OutputTable[[#This Row],[ProjectName]]&amp;OutputTable[[#This Row],[Name]]&amp;OutputTable[[#This Row],[Type]]&amp;OutputTable[[#This Row],[Source]]</f>
        <v>Friday (Solucion: datafono, gofre, cocina y caja compartida)reloj.NumberOutNumber OutEntity</v>
      </c>
      <c r="J253" s="5" cm="1">
        <f t="array" ref="J253">MAX(IF((ProjectInfoTable[ProjectName]=OutputTable[[#This Row],[ProjectName]]),(ProjectInfoTable[ProjectName]=OutputTable[[#This Row],[ProjectName]])*ProjectInfoTable[NumberOfReplications]))</f>
        <v>19</v>
      </c>
      <c r="K253" s="5" cm="1">
        <f t="array" ref="K253">IFERROR(AVERAGE(IF((OutputTable[GroupByKey]=OutputTable[[#This Row],[GroupByKey]]),(OutputTable[GroupByKey]=OutputTable[[#This Row],[GroupByKey]])*OutputTable[RecordedValue])),0)</f>
        <v>3</v>
      </c>
      <c r="L253" s="5" cm="1">
        <f t="array" ref="L253">IFERROR(_xlfn.STDEV.S(IF((OutputTable[GroupByKey]=OutputTable[[#This Row],[GroupByKey]]),(OutputTable[GroupByKey]=OutputTable[[#This Row],[GroupByKey]])*OutputTable[RecordedValue])),0)</f>
        <v>0</v>
      </c>
      <c r="M253" s="5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" s="5" cm="1">
        <f t="array" ref="O253">MIN(IF((OutputTable[GroupByKey]=OutputTable[[#This Row],[GroupByKey]]),(OutputTable[GroupByKey]=OutputTable[[#This Row],[GroupByKey]])*OutputTable[RecordedValue]))</f>
        <v>3</v>
      </c>
      <c r="P253" s="5" cm="1">
        <f t="array" ref="P253">MAX(IF((OutputTable[GroupByKey]=OutputTable[[#This Row],[GroupByKey]]),(OutputTable[GroupByKey]=OutputTable[[#This Row],[GroupByKey]])*OutputTable[RecordedValue]))</f>
        <v>3</v>
      </c>
    </row>
    <row r="254" spans="1:16" x14ac:dyDescent="0.25">
      <c r="A254" t="s">
        <v>67</v>
      </c>
      <c r="B254" t="s">
        <v>69</v>
      </c>
      <c r="C254">
        <v>13</v>
      </c>
      <c r="D254" t="s">
        <v>144</v>
      </c>
      <c r="E254" t="s">
        <v>145</v>
      </c>
      <c r="F254" t="s">
        <v>72</v>
      </c>
      <c r="G254">
        <v>352</v>
      </c>
      <c r="H254">
        <v>0</v>
      </c>
      <c r="I254" s="5" t="str">
        <f>OutputTable[[#This Row],[ProjectName]]&amp;OutputTable[[#This Row],[Name]]&amp;OutputTable[[#This Row],[Type]]&amp;OutputTable[[#This Row],[Source]]</f>
        <v>Friday (Solucion: datafono, gofre, cocina y caja compartida)Cliente.NumberInNumber InEntity</v>
      </c>
      <c r="J254" s="5" cm="1">
        <f t="array" ref="J254">MAX(IF((ProjectInfoTable[ProjectName]=OutputTable[[#This Row],[ProjectName]]),(ProjectInfoTable[ProjectName]=OutputTable[[#This Row],[ProjectName]])*ProjectInfoTable[NumberOfReplications]))</f>
        <v>19</v>
      </c>
      <c r="K254" s="5" cm="1">
        <f t="array" ref="K254">IFERROR(AVERAGE(IF((OutputTable[GroupByKey]=OutputTable[[#This Row],[GroupByKey]]),(OutputTable[GroupByKey]=OutputTable[[#This Row],[GroupByKey]])*OutputTable[RecordedValue])),0)</f>
        <v>366.21052631578948</v>
      </c>
      <c r="L254" s="5" cm="1">
        <f t="array" ref="L254">IFERROR(_xlfn.STDEV.S(IF((OutputTable[GroupByKey]=OutputTable[[#This Row],[GroupByKey]]),(OutputTable[GroupByKey]=OutputTable[[#This Row],[GroupByKey]])*OutputTable[RecordedValue])),0)</f>
        <v>28.665850661580702</v>
      </c>
      <c r="M254" s="5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13.816497752584581</v>
      </c>
      <c r="O254" s="5" cm="1">
        <f t="array" ref="O254">MIN(IF((OutputTable[GroupByKey]=OutputTable[[#This Row],[GroupByKey]]),(OutputTable[GroupByKey]=OutputTable[[#This Row],[GroupByKey]])*OutputTable[RecordedValue]))</f>
        <v>331</v>
      </c>
      <c r="P254" s="5" cm="1">
        <f t="array" ref="P254">MAX(IF((OutputTable[GroupByKey]=OutputTable[[#This Row],[GroupByKey]]),(OutputTable[GroupByKey]=OutputTable[[#This Row],[GroupByKey]])*OutputTable[RecordedValue]))</f>
        <v>427</v>
      </c>
    </row>
    <row r="255" spans="1:16" x14ac:dyDescent="0.25">
      <c r="A255" t="s">
        <v>67</v>
      </c>
      <c r="B255" t="s">
        <v>69</v>
      </c>
      <c r="C255">
        <v>13</v>
      </c>
      <c r="D255" t="s">
        <v>146</v>
      </c>
      <c r="E255" t="s">
        <v>147</v>
      </c>
      <c r="F255" t="s">
        <v>72</v>
      </c>
      <c r="G255">
        <v>350</v>
      </c>
      <c r="H255">
        <v>0</v>
      </c>
      <c r="I255" s="5" t="str">
        <f>OutputTable[[#This Row],[ProjectName]]&amp;OutputTable[[#This Row],[Name]]&amp;OutputTable[[#This Row],[Type]]&amp;OutputTable[[#This Row],[Source]]</f>
        <v>Friday (Solucion: datafono, gofre, cocina y caja compartida)Cliente.NumberOutNumber OutEntity</v>
      </c>
      <c r="J255" s="5" cm="1">
        <f t="array" ref="J255">MAX(IF((ProjectInfoTable[ProjectName]=OutputTable[[#This Row],[ProjectName]]),(ProjectInfoTable[ProjectName]=OutputTable[[#This Row],[ProjectName]])*ProjectInfoTable[NumberOfReplications]))</f>
        <v>19</v>
      </c>
      <c r="K255" s="5" cm="1">
        <f t="array" ref="K255">IFERROR(AVERAGE(IF((OutputTable[GroupByKey]=OutputTable[[#This Row],[GroupByKey]]),(OutputTable[GroupByKey]=OutputTable[[#This Row],[GroupByKey]])*OutputTable[RecordedValue])),0)</f>
        <v>366.63157894736844</v>
      </c>
      <c r="L255" s="5" cm="1">
        <f t="array" ref="L255">IFERROR(_xlfn.STDEV.S(IF((OutputTable[GroupByKey]=OutputTable[[#This Row],[GroupByKey]]),(OutputTable[GroupByKey]=OutputTable[[#This Row],[GroupByKey]])*OutputTable[RecordedValue])),0)</f>
        <v>29.957767544617038</v>
      </c>
      <c r="M255" s="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14.439181758083874</v>
      </c>
      <c r="O255" s="5" cm="1">
        <f t="array" ref="O255">MIN(IF((OutputTable[GroupByKey]=OutputTable[[#This Row],[GroupByKey]]),(OutputTable[GroupByKey]=OutputTable[[#This Row],[GroupByKey]])*OutputTable[RecordedValue]))</f>
        <v>329</v>
      </c>
      <c r="P255" s="5" cm="1">
        <f t="array" ref="P255">MAX(IF((OutputTable[GroupByKey]=OutputTable[[#This Row],[GroupByKey]]),(OutputTable[GroupByKey]=OutputTable[[#This Row],[GroupByKey]])*OutputTable[RecordedValue]))</f>
        <v>443</v>
      </c>
    </row>
    <row r="256" spans="1:16" x14ac:dyDescent="0.25">
      <c r="A256" t="s">
        <v>67</v>
      </c>
      <c r="B256" t="s">
        <v>69</v>
      </c>
      <c r="C256">
        <v>13</v>
      </c>
      <c r="D256" t="s">
        <v>148</v>
      </c>
      <c r="E256" t="s">
        <v>149</v>
      </c>
      <c r="F256" t="s">
        <v>86</v>
      </c>
      <c r="G256">
        <v>275.708360896096</v>
      </c>
      <c r="H256">
        <v>0</v>
      </c>
      <c r="I256" s="5" t="str">
        <f>OutputTable[[#This Row],[ProjectName]]&amp;OutputTable[[#This Row],[Name]]&amp;OutputTable[[#This Row],[Type]]&amp;OutputTable[[#This Row],[Source]]</f>
        <v>Friday (Solucion: datafono, gofre, cocina y caja compartida)Comer en Mesa Accum VA TimeAccum VA TimeProcess</v>
      </c>
      <c r="J256" s="5" cm="1">
        <f t="array" ref="J256">MAX(IF((ProjectInfoTable[ProjectName]=OutputTable[[#This Row],[ProjectName]]),(ProjectInfoTable[ProjectName]=OutputTable[[#This Row],[ProjectName]])*ProjectInfoTable[NumberOfReplications]))</f>
        <v>19</v>
      </c>
      <c r="K256" s="5" cm="1">
        <f t="array" ref="K256">IFERROR(AVERAGE(IF((OutputTable[GroupByKey]=OutputTable[[#This Row],[GroupByKey]]),(OutputTable[GroupByKey]=OutputTable[[#This Row],[GroupByKey]])*OutputTable[RecordedValue])),0)</f>
        <v>283.12549562397913</v>
      </c>
      <c r="L256" s="5" cm="1">
        <f t="array" ref="L256">IFERROR(_xlfn.STDEV.S(IF((OutputTable[GroupByKey]=OutputTable[[#This Row],[GroupByKey]]),(OutputTable[GroupByKey]=OutputTable[[#This Row],[GroupByKey]])*OutputTable[RecordedValue])),0)</f>
        <v>55.763238037894645</v>
      </c>
      <c r="M256" s="5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26.877020400444863</v>
      </c>
      <c r="O256" s="5" cm="1">
        <f t="array" ref="O256">MIN(IF((OutputTable[GroupByKey]=OutputTable[[#This Row],[GroupByKey]]),(OutputTable[GroupByKey]=OutputTable[[#This Row],[GroupByKey]])*OutputTable[RecordedValue]))</f>
        <v>157.05073652574001</v>
      </c>
      <c r="P256" s="5" cm="1">
        <f t="array" ref="P256">MAX(IF((OutputTable[GroupByKey]=OutputTable[[#This Row],[GroupByKey]]),(OutputTable[GroupByKey]=OutputTable[[#This Row],[GroupByKey]])*OutputTable[RecordedValue]))</f>
        <v>402.97015039838902</v>
      </c>
    </row>
    <row r="257" spans="1:16" x14ac:dyDescent="0.25">
      <c r="A257" t="s">
        <v>67</v>
      </c>
      <c r="B257" t="s">
        <v>69</v>
      </c>
      <c r="C257">
        <v>13</v>
      </c>
      <c r="D257" t="s">
        <v>150</v>
      </c>
      <c r="E257" t="s">
        <v>151</v>
      </c>
      <c r="F257" t="s">
        <v>86</v>
      </c>
      <c r="G257">
        <v>0</v>
      </c>
      <c r="H257">
        <v>0</v>
      </c>
      <c r="I257" s="5" t="str">
        <f>OutputTable[[#This Row],[ProjectName]]&amp;OutputTable[[#This Row],[Name]]&amp;OutputTable[[#This Row],[Type]]&amp;OutputTable[[#This Row],[Source]]</f>
        <v>Friday (Solucion: datafono, gofre, cocina y caja compartida)Comer en Mesa Accum Wait TimeAccum Wait TimeProcess</v>
      </c>
      <c r="J257" s="5" cm="1">
        <f t="array" ref="J257">MAX(IF((ProjectInfoTable[ProjectName]=OutputTable[[#This Row],[ProjectName]]),(ProjectInfoTable[ProjectName]=OutputTable[[#This Row],[ProjectName]])*ProjectInfoTable[NumberOfReplications]))</f>
        <v>19</v>
      </c>
      <c r="K257" s="5" cm="1">
        <f t="array" ref="K257">IFERROR(AVERAGE(IF((OutputTable[GroupByKey]=OutputTable[[#This Row],[GroupByKey]]),(OutputTable[GroupByKey]=OutputTable[[#This Row],[GroupByKey]])*OutputTable[RecordedValue])),0)</f>
        <v>0</v>
      </c>
      <c r="L257" s="5" cm="1">
        <f t="array" ref="L257">IFERROR(_xlfn.STDEV.S(IF((OutputTable[GroupByKey]=OutputTable[[#This Row],[GroupByKey]]),(OutputTable[GroupByKey]=OutputTable[[#This Row],[GroupByKey]])*OutputTable[RecordedValue])),0)</f>
        <v>0</v>
      </c>
      <c r="M257" s="5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" s="5" cm="1">
        <f t="array" ref="O257">MIN(IF((OutputTable[GroupByKey]=OutputTable[[#This Row],[GroupByKey]]),(OutputTable[GroupByKey]=OutputTable[[#This Row],[GroupByKey]])*OutputTable[RecordedValue]))</f>
        <v>0</v>
      </c>
      <c r="P257" s="5" cm="1">
        <f t="array" ref="P257">MAX(IF((OutputTable[GroupByKey]=OutputTable[[#This Row],[GroupByKey]]),(OutputTable[GroupByKey]=OutputTable[[#This Row],[GroupByKey]])*OutputTable[RecordedValue]))</f>
        <v>0</v>
      </c>
    </row>
    <row r="258" spans="1:16" x14ac:dyDescent="0.25">
      <c r="A258" t="s">
        <v>67</v>
      </c>
      <c r="B258" t="s">
        <v>69</v>
      </c>
      <c r="C258">
        <v>13</v>
      </c>
      <c r="D258" t="s">
        <v>152</v>
      </c>
      <c r="E258" t="s">
        <v>145</v>
      </c>
      <c r="F258" t="s">
        <v>86</v>
      </c>
      <c r="G258">
        <v>11</v>
      </c>
      <c r="H258">
        <v>0</v>
      </c>
      <c r="I258" s="5" t="str">
        <f>OutputTable[[#This Row],[ProjectName]]&amp;OutputTable[[#This Row],[Name]]&amp;OutputTable[[#This Row],[Type]]&amp;OutputTable[[#This Row],[Source]]</f>
        <v>Friday (Solucion: datafono, gofre, cocina y caja compartida)Comer en Mesa Number InNumber InProcess</v>
      </c>
      <c r="J258" s="5" cm="1">
        <f t="array" ref="J258">MAX(IF((ProjectInfoTable[ProjectName]=OutputTable[[#This Row],[ProjectName]]),(ProjectInfoTable[ProjectName]=OutputTable[[#This Row],[ProjectName]])*ProjectInfoTable[NumberOfReplications]))</f>
        <v>19</v>
      </c>
      <c r="K258" s="5" cm="1">
        <f t="array" ref="K258">IFERROR(AVERAGE(IF((OutputTable[GroupByKey]=OutputTable[[#This Row],[GroupByKey]]),(OutputTable[GroupByKey]=OutputTable[[#This Row],[GroupByKey]])*OutputTable[RecordedValue])),0)</f>
        <v>16.157894736842106</v>
      </c>
      <c r="L258" s="5" cm="1">
        <f t="array" ref="L258">IFERROR(_xlfn.STDEV.S(IF((OutputTable[GroupByKey]=OutputTable[[#This Row],[GroupByKey]]),(OutputTable[GroupByKey]=OutputTable[[#This Row],[GroupByKey]])*OutputTable[RecordedValue])),0)</f>
        <v>3.8044295512634076</v>
      </c>
      <c r="M258" s="5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258" s="5" cm="1">
        <f t="array" ref="O258">MIN(IF((OutputTable[GroupByKey]=OutputTable[[#This Row],[GroupByKey]]),(OutputTable[GroupByKey]=OutputTable[[#This Row],[GroupByKey]])*OutputTable[RecordedValue]))</f>
        <v>9</v>
      </c>
      <c r="P258" s="5" cm="1">
        <f t="array" ref="P258">MAX(IF((OutputTable[GroupByKey]=OutputTable[[#This Row],[GroupByKey]]),(OutputTable[GroupByKey]=OutputTable[[#This Row],[GroupByKey]])*OutputTable[RecordedValue]))</f>
        <v>24</v>
      </c>
    </row>
    <row r="259" spans="1:16" x14ac:dyDescent="0.25">
      <c r="A259" t="s">
        <v>67</v>
      </c>
      <c r="B259" t="s">
        <v>69</v>
      </c>
      <c r="C259">
        <v>13</v>
      </c>
      <c r="D259" t="s">
        <v>153</v>
      </c>
      <c r="E259" t="s">
        <v>147</v>
      </c>
      <c r="F259" t="s">
        <v>86</v>
      </c>
      <c r="G259">
        <v>12</v>
      </c>
      <c r="H259">
        <v>0</v>
      </c>
      <c r="I259" s="5" t="str">
        <f>OutputTable[[#This Row],[ProjectName]]&amp;OutputTable[[#This Row],[Name]]&amp;OutputTable[[#This Row],[Type]]&amp;OutputTable[[#This Row],[Source]]</f>
        <v>Friday (Solucion: datafono, gofre, cocina y caja compartida)Comer en Mesa Number OutNumber OutProcess</v>
      </c>
      <c r="J259" s="5" cm="1">
        <f t="array" ref="J259">MAX(IF((ProjectInfoTable[ProjectName]=OutputTable[[#This Row],[ProjectName]]),(ProjectInfoTable[ProjectName]=OutputTable[[#This Row],[ProjectName]])*ProjectInfoTable[NumberOfReplications]))</f>
        <v>19</v>
      </c>
      <c r="K259" s="5" cm="1">
        <f t="array" ref="K259">IFERROR(AVERAGE(IF((OutputTable[GroupByKey]=OutputTable[[#This Row],[GroupByKey]]),(OutputTable[GroupByKey]=OutputTable[[#This Row],[GroupByKey]])*OutputTable[RecordedValue])),0)</f>
        <v>16.263157894736842</v>
      </c>
      <c r="L259" s="5" cm="1">
        <f t="array" ref="L259">IFERROR(_xlfn.STDEV.S(IF((OutputTable[GroupByKey]=OutputTable[[#This Row],[GroupByKey]]),(OutputTable[GroupByKey]=OutputTable[[#This Row],[GroupByKey]])*OutputTable[RecordedValue])),0)</f>
        <v>3.3803698887540881</v>
      </c>
      <c r="M259" s="5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1.6292861329062698</v>
      </c>
      <c r="O259" s="5" cm="1">
        <f t="array" ref="O259">MIN(IF((OutputTable[GroupByKey]=OutputTable[[#This Row],[GroupByKey]]),(OutputTable[GroupByKey]=OutputTable[[#This Row],[GroupByKey]])*OutputTable[RecordedValue]))</f>
        <v>8</v>
      </c>
      <c r="P259" s="5" cm="1">
        <f t="array" ref="P259">MAX(IF((OutputTable[GroupByKey]=OutputTable[[#This Row],[GroupByKey]]),(OutputTable[GroupByKey]=OutputTable[[#This Row],[GroupByKey]])*OutputTable[RecordedValue]))</f>
        <v>22</v>
      </c>
    </row>
    <row r="260" spans="1:16" x14ac:dyDescent="0.25">
      <c r="A260" t="s">
        <v>67</v>
      </c>
      <c r="B260" t="s">
        <v>69</v>
      </c>
      <c r="C260">
        <v>13</v>
      </c>
      <c r="D260" t="s">
        <v>154</v>
      </c>
      <c r="E260" t="s">
        <v>145</v>
      </c>
      <c r="F260" t="s">
        <v>72</v>
      </c>
      <c r="G260">
        <v>118</v>
      </c>
      <c r="H260">
        <v>0</v>
      </c>
      <c r="I260" s="5" t="str">
        <f>OutputTable[[#This Row],[ProjectName]]&amp;OutputTable[[#This Row],[Name]]&amp;OutputTable[[#This Row],[Type]]&amp;OutputTable[[#This Row],[Source]]</f>
        <v>Friday (Solucion: datafono, gofre, cocina y caja compartida)Orden.NumberInNumber InEntity</v>
      </c>
      <c r="J260" s="5" cm="1">
        <f t="array" ref="J260">MAX(IF((ProjectInfoTable[ProjectName]=OutputTable[[#This Row],[ProjectName]]),(ProjectInfoTable[ProjectName]=OutputTable[[#This Row],[ProjectName]])*ProjectInfoTable[NumberOfReplications]))</f>
        <v>19</v>
      </c>
      <c r="K260" s="5" cm="1">
        <f t="array" ref="K260">IFERROR(AVERAGE(IF((OutputTable[GroupByKey]=OutputTable[[#This Row],[GroupByKey]]),(OutputTable[GroupByKey]=OutputTable[[#This Row],[GroupByKey]])*OutputTable[RecordedValue])),0)</f>
        <v>121.89473684210526</v>
      </c>
      <c r="L260" s="5" cm="1">
        <f t="array" ref="L260">IFERROR(_xlfn.STDEV.S(IF((OutputTable[GroupByKey]=OutputTable[[#This Row],[GroupByKey]]),(OutputTable[GroupByKey]=OutputTable[[#This Row],[GroupByKey]])*OutputTable[RecordedValue])),0)</f>
        <v>9.971597090637573</v>
      </c>
      <c r="M260" s="5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260" s="5" cm="1">
        <f t="array" ref="O260">MIN(IF((OutputTable[GroupByKey]=OutputTable[[#This Row],[GroupByKey]]),(OutputTable[GroupByKey]=OutputTable[[#This Row],[GroupByKey]])*OutputTable[RecordedValue]))</f>
        <v>109</v>
      </c>
      <c r="P260" s="5" cm="1">
        <f t="array" ref="P260">MAX(IF((OutputTable[GroupByKey]=OutputTable[[#This Row],[GroupByKey]]),(OutputTable[GroupByKey]=OutputTable[[#This Row],[GroupByKey]])*OutputTable[RecordedValue]))</f>
        <v>143</v>
      </c>
    </row>
    <row r="261" spans="1:16" x14ac:dyDescent="0.25">
      <c r="A261" t="s">
        <v>67</v>
      </c>
      <c r="B261" t="s">
        <v>69</v>
      </c>
      <c r="C261">
        <v>13</v>
      </c>
      <c r="D261" t="s">
        <v>155</v>
      </c>
      <c r="E261" t="s">
        <v>147</v>
      </c>
      <c r="F261" t="s">
        <v>72</v>
      </c>
      <c r="G261">
        <v>116</v>
      </c>
      <c r="H261">
        <v>0</v>
      </c>
      <c r="I261" s="5" t="str">
        <f>OutputTable[[#This Row],[ProjectName]]&amp;OutputTable[[#This Row],[Name]]&amp;OutputTable[[#This Row],[Type]]&amp;OutputTable[[#This Row],[Source]]</f>
        <v>Friday (Solucion: datafono, gofre, cocina y caja compartida)Orden.NumberOutNumber OutEntity</v>
      </c>
      <c r="J261" s="5" cm="1">
        <f t="array" ref="J261">MAX(IF((ProjectInfoTable[ProjectName]=OutputTable[[#This Row],[ProjectName]]),(ProjectInfoTable[ProjectName]=OutputTable[[#This Row],[ProjectName]])*ProjectInfoTable[NumberOfReplications]))</f>
        <v>19</v>
      </c>
      <c r="K261" s="5" cm="1">
        <f t="array" ref="K261">IFERROR(AVERAGE(IF((OutputTable[GroupByKey]=OutputTable[[#This Row],[GroupByKey]]),(OutputTable[GroupByKey]=OutputTable[[#This Row],[GroupByKey]])*OutputTable[RecordedValue])),0)</f>
        <v>122.36842105263158</v>
      </c>
      <c r="L261" s="5" cm="1">
        <f t="array" ref="L261">IFERROR(_xlfn.STDEV.S(IF((OutputTable[GroupByKey]=OutputTable[[#This Row],[GroupByKey]]),(OutputTable[GroupByKey]=OutputTable[[#This Row],[GroupByKey]])*OutputTable[RecordedValue])),0)</f>
        <v>10.160984894934533</v>
      </c>
      <c r="M261" s="5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261" s="5" cm="1">
        <f t="array" ref="O261">MIN(IF((OutputTable[GroupByKey]=OutputTable[[#This Row],[GroupByKey]]),(OutputTable[GroupByKey]=OutputTable[[#This Row],[GroupByKey]])*OutputTable[RecordedValue]))</f>
        <v>109</v>
      </c>
      <c r="P261" s="5" cm="1">
        <f t="array" ref="P261">MAX(IF((OutputTable[GroupByKey]=OutputTable[[#This Row],[GroupByKey]]),(OutputTable[GroupByKey]=OutputTable[[#This Row],[GroupByKey]])*OutputTable[RecordedValue]))</f>
        <v>150</v>
      </c>
    </row>
    <row r="262" spans="1:16" x14ac:dyDescent="0.25">
      <c r="A262" t="s">
        <v>67</v>
      </c>
      <c r="B262" t="s">
        <v>69</v>
      </c>
      <c r="C262">
        <v>13</v>
      </c>
      <c r="D262" t="s">
        <v>156</v>
      </c>
      <c r="E262" t="s">
        <v>149</v>
      </c>
      <c r="F262" t="s">
        <v>86</v>
      </c>
      <c r="G262">
        <v>174.03124835288801</v>
      </c>
      <c r="H262">
        <v>0</v>
      </c>
      <c r="I262" s="5" t="str">
        <f>OutputTable[[#This Row],[ProjectName]]&amp;OutputTable[[#This Row],[Name]]&amp;OutputTable[[#This Row],[Type]]&amp;OutputTable[[#This Row],[Source]]</f>
        <v>Friday (Solucion: datafono, gofre, cocina y caja compartida)Preparacion Accum VA TimeAccum VA TimeProcess</v>
      </c>
      <c r="J262" s="5" cm="1">
        <f t="array" ref="J262">MAX(IF((ProjectInfoTable[ProjectName]=OutputTable[[#This Row],[ProjectName]]),(ProjectInfoTable[ProjectName]=OutputTable[[#This Row],[ProjectName]])*ProjectInfoTable[NumberOfReplications]))</f>
        <v>19</v>
      </c>
      <c r="K262" s="5" cm="1">
        <f t="array" ref="K262">IFERROR(AVERAGE(IF((OutputTable[GroupByKey]=OutputTable[[#This Row],[GroupByKey]]),(OutputTable[GroupByKey]=OutputTable[[#This Row],[GroupByKey]])*OutputTable[RecordedValue])),0)</f>
        <v>174.13537587676447</v>
      </c>
      <c r="L262" s="5" cm="1">
        <f t="array" ref="L262">IFERROR(_xlfn.STDEV.S(IF((OutputTable[GroupByKey]=OutputTable[[#This Row],[GroupByKey]]),(OutputTable[GroupByKey]=OutputTable[[#This Row],[GroupByKey]])*OutputTable[RecordedValue])),0)</f>
        <v>19.65074675456297</v>
      </c>
      <c r="M262" s="5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9.4713567574295272</v>
      </c>
      <c r="O262" s="5" cm="1">
        <f t="array" ref="O262">MIN(IF((OutputTable[GroupByKey]=OutputTable[[#This Row],[GroupByKey]]),(OutputTable[GroupByKey]=OutputTable[[#This Row],[GroupByKey]])*OutputTable[RecordedValue]))</f>
        <v>139.22471453685199</v>
      </c>
      <c r="P262" s="5" cm="1">
        <f t="array" ref="P262">MAX(IF((OutputTable[GroupByKey]=OutputTable[[#This Row],[GroupByKey]]),(OutputTable[GroupByKey]=OutputTable[[#This Row],[GroupByKey]])*OutputTable[RecordedValue]))</f>
        <v>210.18722493890999</v>
      </c>
    </row>
    <row r="263" spans="1:16" x14ac:dyDescent="0.25">
      <c r="A263" t="s">
        <v>67</v>
      </c>
      <c r="B263" t="s">
        <v>69</v>
      </c>
      <c r="C263">
        <v>13</v>
      </c>
      <c r="D263" t="s">
        <v>157</v>
      </c>
      <c r="E263" t="s">
        <v>151</v>
      </c>
      <c r="F263" t="s">
        <v>86</v>
      </c>
      <c r="G263">
        <v>52.356957933220798</v>
      </c>
      <c r="H263">
        <v>0</v>
      </c>
      <c r="I263" s="5" t="str">
        <f>OutputTable[[#This Row],[ProjectName]]&amp;OutputTable[[#This Row],[Name]]&amp;OutputTable[[#This Row],[Type]]&amp;OutputTable[[#This Row],[Source]]</f>
        <v>Friday (Solucion: datafono, gofre, cocina y caja compartida)Preparacion Accum Wait TimeAccum Wait TimeProcess</v>
      </c>
      <c r="J263" s="5" cm="1">
        <f t="array" ref="J263">MAX(IF((ProjectInfoTable[ProjectName]=OutputTable[[#This Row],[ProjectName]]),(ProjectInfoTable[ProjectName]=OutputTable[[#This Row],[ProjectName]])*ProjectInfoTable[NumberOfReplications]))</f>
        <v>19</v>
      </c>
      <c r="K263" s="5" cm="1">
        <f t="array" ref="K263">IFERROR(AVERAGE(IF((OutputTable[GroupByKey]=OutputTable[[#This Row],[GroupByKey]]),(OutputTable[GroupByKey]=OutputTable[[#This Row],[GroupByKey]])*OutputTable[RecordedValue])),0)</f>
        <v>89.754366677107924</v>
      </c>
      <c r="L263" s="5" cm="1">
        <f t="array" ref="L263">IFERROR(_xlfn.STDEV.S(IF((OutputTable[GroupByKey]=OutputTable[[#This Row],[GroupByKey]]),(OutputTable[GroupByKey]=OutputTable[[#This Row],[GroupByKey]])*OutputTable[RecordedValue])),0)</f>
        <v>109.53061123574736</v>
      </c>
      <c r="M263" s="5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52.79206474085742</v>
      </c>
      <c r="O263" s="5" cm="1">
        <f t="array" ref="O263">MIN(IF((OutputTable[GroupByKey]=OutputTable[[#This Row],[GroupByKey]]),(OutputTable[GroupByKey]=OutputTable[[#This Row],[GroupByKey]])*OutputTable[RecordedValue]))</f>
        <v>22.316256244919199</v>
      </c>
      <c r="P263" s="5" cm="1">
        <f t="array" ref="P263">MAX(IF((OutputTable[GroupByKey]=OutputTable[[#This Row],[GroupByKey]]),(OutputTable[GroupByKey]=OutputTable[[#This Row],[GroupByKey]])*OutputTable[RecordedValue]))</f>
        <v>514.987116007179</v>
      </c>
    </row>
    <row r="264" spans="1:16" x14ac:dyDescent="0.25">
      <c r="A264" t="s">
        <v>67</v>
      </c>
      <c r="B264" t="s">
        <v>69</v>
      </c>
      <c r="C264">
        <v>13</v>
      </c>
      <c r="D264" t="s">
        <v>158</v>
      </c>
      <c r="E264" t="s">
        <v>145</v>
      </c>
      <c r="F264" t="s">
        <v>86</v>
      </c>
      <c r="G264">
        <v>118</v>
      </c>
      <c r="H264">
        <v>0</v>
      </c>
      <c r="I264" s="5" t="str">
        <f>OutputTable[[#This Row],[ProjectName]]&amp;OutputTable[[#This Row],[Name]]&amp;OutputTable[[#This Row],[Type]]&amp;OutputTable[[#This Row],[Source]]</f>
        <v>Friday (Solucion: datafono, gofre, cocina y caja compartida)Preparacion Number InNumber InProcess</v>
      </c>
      <c r="J264" s="5" cm="1">
        <f t="array" ref="J264">MAX(IF((ProjectInfoTable[ProjectName]=OutputTable[[#This Row],[ProjectName]]),(ProjectInfoTable[ProjectName]=OutputTable[[#This Row],[ProjectName]])*ProjectInfoTable[NumberOfReplications]))</f>
        <v>19</v>
      </c>
      <c r="K264" s="5" cm="1">
        <f t="array" ref="K264">IFERROR(AVERAGE(IF((OutputTable[GroupByKey]=OutputTable[[#This Row],[GroupByKey]]),(OutputTable[GroupByKey]=OutputTable[[#This Row],[GroupByKey]])*OutputTable[RecordedValue])),0)</f>
        <v>121.89473684210526</v>
      </c>
      <c r="L264" s="5" cm="1">
        <f t="array" ref="L264">IFERROR(_xlfn.STDEV.S(IF((OutputTable[GroupByKey]=OutputTable[[#This Row],[GroupByKey]]),(OutputTable[GroupByKey]=OutputTable[[#This Row],[GroupByKey]])*OutputTable[RecordedValue])),0)</f>
        <v>9.971597090637573</v>
      </c>
      <c r="M264" s="5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264" s="5" cm="1">
        <f t="array" ref="O264">MIN(IF((OutputTable[GroupByKey]=OutputTable[[#This Row],[GroupByKey]]),(OutputTable[GroupByKey]=OutputTable[[#This Row],[GroupByKey]])*OutputTable[RecordedValue]))</f>
        <v>109</v>
      </c>
      <c r="P264" s="5" cm="1">
        <f t="array" ref="P264">MAX(IF((OutputTable[GroupByKey]=OutputTable[[#This Row],[GroupByKey]]),(OutputTable[GroupByKey]=OutputTable[[#This Row],[GroupByKey]])*OutputTable[RecordedValue]))</f>
        <v>143</v>
      </c>
    </row>
    <row r="265" spans="1:16" x14ac:dyDescent="0.25">
      <c r="A265" t="s">
        <v>67</v>
      </c>
      <c r="B265" t="s">
        <v>69</v>
      </c>
      <c r="C265">
        <v>13</v>
      </c>
      <c r="D265" t="s">
        <v>159</v>
      </c>
      <c r="E265" t="s">
        <v>147</v>
      </c>
      <c r="F265" t="s">
        <v>86</v>
      </c>
      <c r="G265">
        <v>115</v>
      </c>
      <c r="H265">
        <v>0</v>
      </c>
      <c r="I265" s="5" t="str">
        <f>OutputTable[[#This Row],[ProjectName]]&amp;OutputTable[[#This Row],[Name]]&amp;OutputTable[[#This Row],[Type]]&amp;OutputTable[[#This Row],[Source]]</f>
        <v>Friday (Solucion: datafono, gofre, cocina y caja compartida)Preparacion Number OutNumber OutProcess</v>
      </c>
      <c r="J265" s="5" cm="1">
        <f t="array" ref="J265">MAX(IF((ProjectInfoTable[ProjectName]=OutputTable[[#This Row],[ProjectName]]),(ProjectInfoTable[ProjectName]=OutputTable[[#This Row],[ProjectName]])*ProjectInfoTable[NumberOfReplications]))</f>
        <v>19</v>
      </c>
      <c r="K265" s="5" cm="1">
        <f t="array" ref="K265">IFERROR(AVERAGE(IF((OutputTable[GroupByKey]=OutputTable[[#This Row],[GroupByKey]]),(OutputTable[GroupByKey]=OutputTable[[#This Row],[GroupByKey]])*OutputTable[RecordedValue])),0)</f>
        <v>122.31578947368421</v>
      </c>
      <c r="L265" s="5" cm="1">
        <f t="array" ref="L265">IFERROR(_xlfn.STDEV.S(IF((OutputTable[GroupByKey]=OutputTable[[#This Row],[GroupByKey]]),(OutputTable[GroupByKey]=OutputTable[[#This Row],[GroupByKey]])*OutputTable[RecordedValue])),0)</f>
        <v>10.127260414780096</v>
      </c>
      <c r="M265" s="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4.8811832731752718</v>
      </c>
      <c r="O265" s="5" cm="1">
        <f t="array" ref="O265">MIN(IF((OutputTable[GroupByKey]=OutputTable[[#This Row],[GroupByKey]]),(OutputTable[GroupByKey]=OutputTable[[#This Row],[GroupByKey]])*OutputTable[RecordedValue]))</f>
        <v>111</v>
      </c>
      <c r="P265" s="5" cm="1">
        <f t="array" ref="P265">MAX(IF((OutputTable[GroupByKey]=OutputTable[[#This Row],[GroupByKey]]),(OutputTable[GroupByKey]=OutputTable[[#This Row],[GroupByKey]])*OutputTable[RecordedValue]))</f>
        <v>150</v>
      </c>
    </row>
    <row r="266" spans="1:16" x14ac:dyDescent="0.25">
      <c r="A266" t="s">
        <v>67</v>
      </c>
      <c r="B266" t="s">
        <v>69</v>
      </c>
      <c r="C266">
        <v>13</v>
      </c>
      <c r="D266" t="s">
        <v>160</v>
      </c>
      <c r="E266" t="s">
        <v>147</v>
      </c>
      <c r="F266" t="s">
        <v>161</v>
      </c>
      <c r="G266">
        <v>119</v>
      </c>
      <c r="H266">
        <v>0</v>
      </c>
      <c r="I266" s="5" t="str">
        <f>OutputTable[[#This Row],[ProjectName]]&amp;OutputTable[[#This Row],[Name]]&amp;OutputTable[[#This Row],[Type]]&amp;OutputTable[[#This Row],[Source]]</f>
        <v>Friday (Solucion: datafono, gofre, cocina y caja compartida)System.NumberOutNumber OutSystem</v>
      </c>
      <c r="J266" s="5" cm="1">
        <f t="array" ref="J266">MAX(IF((ProjectInfoTable[ProjectName]=OutputTable[[#This Row],[ProjectName]]),(ProjectInfoTable[ProjectName]=OutputTable[[#This Row],[ProjectName]])*ProjectInfoTable[NumberOfReplications]))</f>
        <v>19</v>
      </c>
      <c r="K266" s="5" cm="1">
        <f t="array" ref="K266">IFERROR(AVERAGE(IF((OutputTable[GroupByKey]=OutputTable[[#This Row],[GroupByKey]]),(OutputTable[GroupByKey]=OutputTable[[#This Row],[GroupByKey]])*OutputTable[RecordedValue])),0)</f>
        <v>125.36842105263158</v>
      </c>
      <c r="L266" s="5" cm="1">
        <f t="array" ref="L266">IFERROR(_xlfn.STDEV.S(IF((OutputTable[GroupByKey]=OutputTable[[#This Row],[GroupByKey]]),(OutputTable[GroupByKey]=OutputTable[[#This Row],[GroupByKey]])*OutputTable[RecordedValue])),0)</f>
        <v>10.160984894934533</v>
      </c>
      <c r="M266" s="5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266" s="5" cm="1">
        <f t="array" ref="O266">MIN(IF((OutputTable[GroupByKey]=OutputTable[[#This Row],[GroupByKey]]),(OutputTable[GroupByKey]=OutputTable[[#This Row],[GroupByKey]])*OutputTable[RecordedValue]))</f>
        <v>112</v>
      </c>
      <c r="P266" s="5" cm="1">
        <f t="array" ref="P266">MAX(IF((OutputTable[GroupByKey]=OutputTable[[#This Row],[GroupByKey]]),(OutputTable[GroupByKey]=OutputTable[[#This Row],[GroupByKey]])*OutputTable[RecordedValue]))</f>
        <v>153</v>
      </c>
    </row>
    <row r="267" spans="1:16" x14ac:dyDescent="0.25">
      <c r="A267" t="s">
        <v>67</v>
      </c>
      <c r="B267" t="s">
        <v>69</v>
      </c>
      <c r="C267">
        <v>13</v>
      </c>
      <c r="D267" t="s">
        <v>162</v>
      </c>
      <c r="E267" t="s">
        <v>163</v>
      </c>
      <c r="F267" t="s">
        <v>136</v>
      </c>
      <c r="G267">
        <v>124</v>
      </c>
      <c r="H267">
        <v>0</v>
      </c>
      <c r="I267" s="5" t="str">
        <f>OutputTable[[#This Row],[ProjectName]]&amp;OutputTable[[#This Row],[Name]]&amp;OutputTable[[#This Row],[Type]]&amp;OutputTable[[#This Row],[Source]]</f>
        <v>Friday (Solucion: datafono, gofre, cocina y caja compartida)rCajero.NumberSeizedTotal Number SeizedResource</v>
      </c>
      <c r="J267" s="5" cm="1">
        <f t="array" ref="J267">MAX(IF((ProjectInfoTable[ProjectName]=OutputTable[[#This Row],[ProjectName]]),(ProjectInfoTable[ProjectName]=OutputTable[[#This Row],[ProjectName]])*ProjectInfoTable[NumberOfReplications]))</f>
        <v>19</v>
      </c>
      <c r="K267" s="5" cm="1">
        <f t="array" ref="K267">IFERROR(AVERAGE(IF((OutputTable[GroupByKey]=OutputTable[[#This Row],[GroupByKey]]),(OutputTable[GroupByKey]=OutputTable[[#This Row],[GroupByKey]])*OutputTable[RecordedValue])),0)</f>
        <v>131.63157894736841</v>
      </c>
      <c r="L267" s="5" cm="1">
        <f t="array" ref="L267">IFERROR(_xlfn.STDEV.S(IF((OutputTable[GroupByKey]=OutputTable[[#This Row],[GroupByKey]]),(OutputTable[GroupByKey]=OutputTable[[#This Row],[GroupByKey]])*OutputTable[RecordedValue])),0)</f>
        <v>13.988926280438102</v>
      </c>
      <c r="M267" s="5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6.7424466413544986</v>
      </c>
      <c r="O267" s="5" cm="1">
        <f t="array" ref="O267">MIN(IF((OutputTable[GroupByKey]=OutputTable[[#This Row],[GroupByKey]]),(OutputTable[GroupByKey]=OutputTable[[#This Row],[GroupByKey]])*OutputTable[RecordedValue]))</f>
        <v>113</v>
      </c>
      <c r="P267" s="5" cm="1">
        <f t="array" ref="P267">MAX(IF((OutputTable[GroupByKey]=OutputTable[[#This Row],[GroupByKey]]),(OutputTable[GroupByKey]=OutputTable[[#This Row],[GroupByKey]])*OutputTable[RecordedValue]))</f>
        <v>157</v>
      </c>
    </row>
    <row r="268" spans="1:16" x14ac:dyDescent="0.25">
      <c r="A268" t="s">
        <v>67</v>
      </c>
      <c r="B268" t="s">
        <v>69</v>
      </c>
      <c r="C268">
        <v>13</v>
      </c>
      <c r="D268" t="s">
        <v>164</v>
      </c>
      <c r="E268" t="s">
        <v>165</v>
      </c>
      <c r="F268" t="s">
        <v>136</v>
      </c>
      <c r="G268">
        <v>0.66710192957718595</v>
      </c>
      <c r="H268">
        <v>0</v>
      </c>
      <c r="I268" s="5" t="str">
        <f>OutputTable[[#This Row],[ProjectName]]&amp;OutputTable[[#This Row],[Name]]&amp;OutputTable[[#This Row],[Type]]&amp;OutputTable[[#This Row],[Source]]</f>
        <v>Friday (Solucion: datafono, gofre, cocina y caja compartida)rCajero.ScheduledUtilizationScheduled UtilizationResource</v>
      </c>
      <c r="J268" s="5" cm="1">
        <f t="array" ref="J268">MAX(IF((ProjectInfoTable[ProjectName]=OutputTable[[#This Row],[ProjectName]]),(ProjectInfoTable[ProjectName]=OutputTable[[#This Row],[ProjectName]])*ProjectInfoTable[NumberOfReplications]))</f>
        <v>19</v>
      </c>
      <c r="K268" s="5" cm="1">
        <f t="array" ref="K268">IFERROR(AVERAGE(IF((OutputTable[GroupByKey]=OutputTable[[#This Row],[GroupByKey]]),(OutputTable[GroupByKey]=OutputTable[[#This Row],[GroupByKey]])*OutputTable[RecordedValue])),0)</f>
        <v>0.68474836505339687</v>
      </c>
      <c r="L268" s="5" cm="1">
        <f t="array" ref="L268">IFERROR(_xlfn.STDEV.S(IF((OutputTable[GroupByKey]=OutputTable[[#This Row],[GroupByKey]]),(OutputTable[GroupByKey]=OutputTable[[#This Row],[GroupByKey]])*OutputTable[RecordedValue])),0)</f>
        <v>6.2272947935973065E-2</v>
      </c>
      <c r="M268" s="5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3.0014600137344902E-2</v>
      </c>
      <c r="O268" s="5" cm="1">
        <f t="array" ref="O268">MIN(IF((OutputTable[GroupByKey]=OutputTable[[#This Row],[GroupByKey]]),(OutputTable[GroupByKey]=OutputTable[[#This Row],[GroupByKey]])*OutputTable[RecordedValue]))</f>
        <v>0.59592290927233305</v>
      </c>
      <c r="P268" s="5" cm="1">
        <f t="array" ref="P268">MAX(IF((OutputTable[GroupByKey]=OutputTable[[#This Row],[GroupByKey]]),(OutputTable[GroupByKey]=OutputTable[[#This Row],[GroupByKey]])*OutputTable[RecordedValue]))</f>
        <v>0.82897119936997599</v>
      </c>
    </row>
    <row r="269" spans="1:16" x14ac:dyDescent="0.25">
      <c r="A269" t="s">
        <v>67</v>
      </c>
      <c r="B269" t="s">
        <v>69</v>
      </c>
      <c r="C269">
        <v>13</v>
      </c>
      <c r="D269" t="s">
        <v>166</v>
      </c>
      <c r="E269" t="s">
        <v>163</v>
      </c>
      <c r="F269" t="s">
        <v>136</v>
      </c>
      <c r="G269">
        <v>110</v>
      </c>
      <c r="H269">
        <v>0</v>
      </c>
      <c r="I269" s="5" t="str">
        <f>OutputTable[[#This Row],[ProjectName]]&amp;OutputTable[[#This Row],[Name]]&amp;OutputTable[[#This Row],[Type]]&amp;OutputTable[[#This Row],[Source]]</f>
        <v>Friday (Solucion: datafono, gofre, cocina y caja compartida)rCocina.NumberSeizedTotal Number SeizedResource</v>
      </c>
      <c r="J269" s="5" cm="1">
        <f t="array" ref="J269">MAX(IF((ProjectInfoTable[ProjectName]=OutputTable[[#This Row],[ProjectName]]),(ProjectInfoTable[ProjectName]=OutputTable[[#This Row],[ProjectName]])*ProjectInfoTable[NumberOfReplications]))</f>
        <v>19</v>
      </c>
      <c r="K269" s="5" cm="1">
        <f t="array" ref="K269">IFERROR(AVERAGE(IF((OutputTable[GroupByKey]=OutputTable[[#This Row],[GroupByKey]]),(OutputTable[GroupByKey]=OutputTable[[#This Row],[GroupByKey]])*OutputTable[RecordedValue])),0)</f>
        <v>112.73684210526316</v>
      </c>
      <c r="L269" s="5" cm="1">
        <f t="array" ref="L269">IFERROR(_xlfn.STDEV.S(IF((OutputTable[GroupByKey]=OutputTable[[#This Row],[GroupByKey]]),(OutputTable[GroupByKey]=OutputTable[[#This Row],[GroupByKey]])*OutputTable[RecordedValue])),0)</f>
        <v>9.1155673027772668</v>
      </c>
      <c r="M269" s="5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4.3935628019284003</v>
      </c>
      <c r="O269" s="5" cm="1">
        <f t="array" ref="O269">MIN(IF((OutputTable[GroupByKey]=OutputTable[[#This Row],[GroupByKey]]),(OutputTable[GroupByKey]=OutputTable[[#This Row],[GroupByKey]])*OutputTable[RecordedValue]))</f>
        <v>102</v>
      </c>
      <c r="P269" s="5" cm="1">
        <f t="array" ref="P269">MAX(IF((OutputTable[GroupByKey]=OutputTable[[#This Row],[GroupByKey]]),(OutputTable[GroupByKey]=OutputTable[[#This Row],[GroupByKey]])*OutputTable[RecordedValue]))</f>
        <v>135</v>
      </c>
    </row>
    <row r="270" spans="1:16" x14ac:dyDescent="0.25">
      <c r="A270" t="s">
        <v>67</v>
      </c>
      <c r="B270" t="s">
        <v>69</v>
      </c>
      <c r="C270">
        <v>13</v>
      </c>
      <c r="D270" t="s">
        <v>167</v>
      </c>
      <c r="E270" t="s">
        <v>165</v>
      </c>
      <c r="F270" t="s">
        <v>136</v>
      </c>
      <c r="G270">
        <v>0.69419990127037201</v>
      </c>
      <c r="H270">
        <v>0</v>
      </c>
      <c r="I270" s="5" t="str">
        <f>OutputTable[[#This Row],[ProjectName]]&amp;OutputTable[[#This Row],[Name]]&amp;OutputTable[[#This Row],[Type]]&amp;OutputTable[[#This Row],[Source]]</f>
        <v>Friday (Solucion: datafono, gofre, cocina y caja compartida)rCocina.ScheduledUtilizationScheduled UtilizationResource</v>
      </c>
      <c r="J270" s="5" cm="1">
        <f t="array" ref="J270">MAX(IF((ProjectInfoTable[ProjectName]=OutputTable[[#This Row],[ProjectName]]),(ProjectInfoTable[ProjectName]=OutputTable[[#This Row],[ProjectName]])*ProjectInfoTable[NumberOfReplications]))</f>
        <v>19</v>
      </c>
      <c r="K270" s="5" cm="1">
        <f t="array" ref="K270">IFERROR(AVERAGE(IF((OutputTable[GroupByKey]=OutputTable[[#This Row],[GroupByKey]]),(OutputTable[GroupByKey]=OutputTable[[#This Row],[GroupByKey]])*OutputTable[RecordedValue])),0)</f>
        <v>0.71670342302257706</v>
      </c>
      <c r="L270" s="5" cm="1">
        <f t="array" ref="L270">IFERROR(_xlfn.STDEV.S(IF((OutputTable[GroupByKey]=OutputTable[[#This Row],[GroupByKey]]),(OutputTable[GroupByKey]=OutputTable[[#This Row],[GroupByKey]])*OutputTable[RecordedValue])),0)</f>
        <v>7.0907274842727658E-2</v>
      </c>
      <c r="M270" s="5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3.4176212493127585E-2</v>
      </c>
      <c r="O270" s="5" cm="1">
        <f t="array" ref="O270">MIN(IF((OutputTable[GroupByKey]=OutputTable[[#This Row],[GroupByKey]]),(OutputTable[GroupByKey]=OutputTable[[#This Row],[GroupByKey]])*OutputTable[RecordedValue]))</f>
        <v>0.60463940272025996</v>
      </c>
      <c r="P270" s="5" cm="1">
        <f t="array" ref="P270">MAX(IF((OutputTable[GroupByKey]=OutputTable[[#This Row],[GroupByKey]]),(OutputTable[GroupByKey]=OutputTable[[#This Row],[GroupByKey]])*OutputTable[RecordedValue]))</f>
        <v>0.86361037821575004</v>
      </c>
    </row>
    <row r="271" spans="1:16" x14ac:dyDescent="0.25">
      <c r="A271" t="s">
        <v>67</v>
      </c>
      <c r="B271" t="s">
        <v>69</v>
      </c>
      <c r="C271">
        <v>13</v>
      </c>
      <c r="D271" t="s">
        <v>168</v>
      </c>
      <c r="E271" t="s">
        <v>163</v>
      </c>
      <c r="F271" t="s">
        <v>136</v>
      </c>
      <c r="G271">
        <v>11</v>
      </c>
      <c r="H271">
        <v>0</v>
      </c>
      <c r="I271" s="5" t="str">
        <f>OutputTable[[#This Row],[ProjectName]]&amp;OutputTable[[#This Row],[Name]]&amp;OutputTable[[#This Row],[Type]]&amp;OutputTable[[#This Row],[Source]]</f>
        <v>Friday (Solucion: datafono, gofre, cocina y caja compartida)rMesa.NumberSeizedTotal Number SeizedResource</v>
      </c>
      <c r="J271" s="5" cm="1">
        <f t="array" ref="J271">MAX(IF((ProjectInfoTable[ProjectName]=OutputTable[[#This Row],[ProjectName]]),(ProjectInfoTable[ProjectName]=OutputTable[[#This Row],[ProjectName]])*ProjectInfoTable[NumberOfReplications]))</f>
        <v>19</v>
      </c>
      <c r="K271" s="5" cm="1">
        <f t="array" ref="K271">IFERROR(AVERAGE(IF((OutputTable[GroupByKey]=OutputTable[[#This Row],[GroupByKey]]),(OutputTable[GroupByKey]=OutputTable[[#This Row],[GroupByKey]])*OutputTable[RecordedValue])),0)</f>
        <v>16.157894736842106</v>
      </c>
      <c r="L271" s="5" cm="1">
        <f t="array" ref="L271">IFERROR(_xlfn.STDEV.S(IF((OutputTable[GroupByKey]=OutputTable[[#This Row],[GroupByKey]]),(OutputTable[GroupByKey]=OutputTable[[#This Row],[GroupByKey]])*OutputTable[RecordedValue])),0)</f>
        <v>3.8044295512634076</v>
      </c>
      <c r="M271" s="5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271" s="5" cm="1">
        <f t="array" ref="O271">MIN(IF((OutputTable[GroupByKey]=OutputTable[[#This Row],[GroupByKey]]),(OutputTable[GroupByKey]=OutputTable[[#This Row],[GroupByKey]])*OutputTable[RecordedValue]))</f>
        <v>9</v>
      </c>
      <c r="P271" s="5" cm="1">
        <f t="array" ref="P271">MAX(IF((OutputTable[GroupByKey]=OutputTable[[#This Row],[GroupByKey]]),(OutputTable[GroupByKey]=OutputTable[[#This Row],[GroupByKey]])*OutputTable[RecordedValue]))</f>
        <v>24</v>
      </c>
    </row>
    <row r="272" spans="1:16" x14ac:dyDescent="0.25">
      <c r="A272" t="s">
        <v>67</v>
      </c>
      <c r="B272" t="s">
        <v>69</v>
      </c>
      <c r="C272">
        <v>13</v>
      </c>
      <c r="D272" t="s">
        <v>169</v>
      </c>
      <c r="E272" t="s">
        <v>165</v>
      </c>
      <c r="F272" t="s">
        <v>136</v>
      </c>
      <c r="G272">
        <v>0.296214525218502</v>
      </c>
      <c r="H272">
        <v>0</v>
      </c>
      <c r="I272" s="5" t="str">
        <f>OutputTable[[#This Row],[ProjectName]]&amp;OutputTable[[#This Row],[Name]]&amp;OutputTable[[#This Row],[Type]]&amp;OutputTable[[#This Row],[Source]]</f>
        <v>Friday (Solucion: datafono, gofre, cocina y caja compartida)rMesa.ScheduledUtilizationScheduled UtilizationResource</v>
      </c>
      <c r="J272" s="5" cm="1">
        <f t="array" ref="J272">MAX(IF((ProjectInfoTable[ProjectName]=OutputTable[[#This Row],[ProjectName]]),(ProjectInfoTable[ProjectName]=OutputTable[[#This Row],[ProjectName]])*ProjectInfoTable[NumberOfReplications]))</f>
        <v>19</v>
      </c>
      <c r="K272" s="5" cm="1">
        <f t="array" ref="K272">IFERROR(AVERAGE(IF((OutputTable[GroupByKey]=OutputTable[[#This Row],[GroupByKey]]),(OutputTable[GroupByKey]=OutputTable[[#This Row],[GroupByKey]])*OutputTable[RecordedValue])),0)</f>
        <v>0.30850610959128744</v>
      </c>
      <c r="L272" s="5" cm="1">
        <f t="array" ref="L272">IFERROR(_xlfn.STDEV.S(IF((OutputTable[GroupByKey]=OutputTable[[#This Row],[GroupByKey]]),(OutputTable[GroupByKey]=OutputTable[[#This Row],[GroupByKey]])*OutputTable[RecordedValue])),0)</f>
        <v>6.2586127702931107E-2</v>
      </c>
      <c r="M272" s="5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3.0165547953176861E-2</v>
      </c>
      <c r="O272" s="5" cm="1">
        <f t="array" ref="O272">MIN(IF((OutputTable[GroupByKey]=OutputTable[[#This Row],[GroupByKey]]),(OutputTable[GroupByKey]=OutputTable[[#This Row],[GroupByKey]])*OutputTable[RecordedValue]))</f>
        <v>0.156206445320244</v>
      </c>
      <c r="P272" s="5" cm="1">
        <f t="array" ref="P272">MAX(IF((OutputTable[GroupByKey]=OutputTable[[#This Row],[GroupByKey]]),(OutputTable[GroupByKey]=OutputTable[[#This Row],[GroupByKey]])*OutputTable[RecordedValue]))</f>
        <v>0.44942505379986802</v>
      </c>
    </row>
    <row r="273" spans="1:16" x14ac:dyDescent="0.25">
      <c r="A273" t="s">
        <v>67</v>
      </c>
      <c r="B273" t="s">
        <v>69</v>
      </c>
      <c r="C273">
        <v>13</v>
      </c>
      <c r="D273" t="s">
        <v>170</v>
      </c>
      <c r="E273" t="s">
        <v>145</v>
      </c>
      <c r="F273" t="s">
        <v>72</v>
      </c>
      <c r="G273">
        <v>3</v>
      </c>
      <c r="H273">
        <v>0</v>
      </c>
      <c r="I273" s="5" t="str">
        <f>OutputTable[[#This Row],[ProjectName]]&amp;OutputTable[[#This Row],[Name]]&amp;OutputTable[[#This Row],[Type]]&amp;OutputTable[[#This Row],[Source]]</f>
        <v>Friday (Solucion: datafono, gofre, cocina y caja compartida)reloj.NumberInNumber InEntity</v>
      </c>
      <c r="J273" s="5" cm="1">
        <f t="array" ref="J273">MAX(IF((ProjectInfoTable[ProjectName]=OutputTable[[#This Row],[ProjectName]]),(ProjectInfoTable[ProjectName]=OutputTable[[#This Row],[ProjectName]])*ProjectInfoTable[NumberOfReplications]))</f>
        <v>19</v>
      </c>
      <c r="K273" s="5" cm="1">
        <f t="array" ref="K273">IFERROR(AVERAGE(IF((OutputTable[GroupByKey]=OutputTable[[#This Row],[GroupByKey]]),(OutputTable[GroupByKey]=OutputTable[[#This Row],[GroupByKey]])*OutputTable[RecordedValue])),0)</f>
        <v>3</v>
      </c>
      <c r="L273" s="5" cm="1">
        <f t="array" ref="L273">IFERROR(_xlfn.STDEV.S(IF((OutputTable[GroupByKey]=OutputTable[[#This Row],[GroupByKey]]),(OutputTable[GroupByKey]=OutputTable[[#This Row],[GroupByKey]])*OutputTable[RecordedValue])),0)</f>
        <v>0</v>
      </c>
      <c r="M273" s="5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3" s="5" cm="1">
        <f t="array" ref="O273">MIN(IF((OutputTable[GroupByKey]=OutputTable[[#This Row],[GroupByKey]]),(OutputTable[GroupByKey]=OutputTable[[#This Row],[GroupByKey]])*OutputTable[RecordedValue]))</f>
        <v>3</v>
      </c>
      <c r="P273" s="5" cm="1">
        <f t="array" ref="P273">MAX(IF((OutputTable[GroupByKey]=OutputTable[[#This Row],[GroupByKey]]),(OutputTable[GroupByKey]=OutputTable[[#This Row],[GroupByKey]])*OutputTable[RecordedValue]))</f>
        <v>3</v>
      </c>
    </row>
    <row r="274" spans="1:16" x14ac:dyDescent="0.25">
      <c r="A274" t="s">
        <v>67</v>
      </c>
      <c r="B274" t="s">
        <v>69</v>
      </c>
      <c r="C274">
        <v>13</v>
      </c>
      <c r="D274" t="s">
        <v>171</v>
      </c>
      <c r="E274" t="s">
        <v>147</v>
      </c>
      <c r="F274" t="s">
        <v>72</v>
      </c>
      <c r="G274">
        <v>3</v>
      </c>
      <c r="H274">
        <v>0</v>
      </c>
      <c r="I274" s="5" t="str">
        <f>OutputTable[[#This Row],[ProjectName]]&amp;OutputTable[[#This Row],[Name]]&amp;OutputTable[[#This Row],[Type]]&amp;OutputTable[[#This Row],[Source]]</f>
        <v>Friday (Solucion: datafono, gofre, cocina y caja compartida)reloj.NumberOutNumber OutEntity</v>
      </c>
      <c r="J274" s="5" cm="1">
        <f t="array" ref="J274">MAX(IF((ProjectInfoTable[ProjectName]=OutputTable[[#This Row],[ProjectName]]),(ProjectInfoTable[ProjectName]=OutputTable[[#This Row],[ProjectName]])*ProjectInfoTable[NumberOfReplications]))</f>
        <v>19</v>
      </c>
      <c r="K274" s="5" cm="1">
        <f t="array" ref="K274">IFERROR(AVERAGE(IF((OutputTable[GroupByKey]=OutputTable[[#This Row],[GroupByKey]]),(OutputTable[GroupByKey]=OutputTable[[#This Row],[GroupByKey]])*OutputTable[RecordedValue])),0)</f>
        <v>3</v>
      </c>
      <c r="L274" s="5" cm="1">
        <f t="array" ref="L274">IFERROR(_xlfn.STDEV.S(IF((OutputTable[GroupByKey]=OutputTable[[#This Row],[GroupByKey]]),(OutputTable[GroupByKey]=OutputTable[[#This Row],[GroupByKey]])*OutputTable[RecordedValue])),0)</f>
        <v>0</v>
      </c>
      <c r="M274" s="5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4" s="5" cm="1">
        <f t="array" ref="O274">MIN(IF((OutputTable[GroupByKey]=OutputTable[[#This Row],[GroupByKey]]),(OutputTable[GroupByKey]=OutputTable[[#This Row],[GroupByKey]])*OutputTable[RecordedValue]))</f>
        <v>3</v>
      </c>
      <c r="P274" s="5" cm="1">
        <f t="array" ref="P274">MAX(IF((OutputTable[GroupByKey]=OutputTable[[#This Row],[GroupByKey]]),(OutputTable[GroupByKey]=OutputTable[[#This Row],[GroupByKey]])*OutputTable[RecordedValue]))</f>
        <v>3</v>
      </c>
    </row>
    <row r="275" spans="1:16" x14ac:dyDescent="0.25">
      <c r="A275" t="s">
        <v>67</v>
      </c>
      <c r="B275" t="s">
        <v>69</v>
      </c>
      <c r="C275">
        <v>14</v>
      </c>
      <c r="D275" t="s">
        <v>144</v>
      </c>
      <c r="E275" t="s">
        <v>145</v>
      </c>
      <c r="F275" t="s">
        <v>72</v>
      </c>
      <c r="G275">
        <v>413</v>
      </c>
      <c r="H275">
        <v>0</v>
      </c>
      <c r="I275" s="5" t="str">
        <f>OutputTable[[#This Row],[ProjectName]]&amp;OutputTable[[#This Row],[Name]]&amp;OutputTable[[#This Row],[Type]]&amp;OutputTable[[#This Row],[Source]]</f>
        <v>Friday (Solucion: datafono, gofre, cocina y caja compartida)Cliente.NumberInNumber InEntity</v>
      </c>
      <c r="J275" s="5" cm="1">
        <f t="array" ref="J275">MAX(IF((ProjectInfoTable[ProjectName]=OutputTable[[#This Row],[ProjectName]]),(ProjectInfoTable[ProjectName]=OutputTable[[#This Row],[ProjectName]])*ProjectInfoTable[NumberOfReplications]))</f>
        <v>19</v>
      </c>
      <c r="K275" s="5" cm="1">
        <f t="array" ref="K275">IFERROR(AVERAGE(IF((OutputTable[GroupByKey]=OutputTable[[#This Row],[GroupByKey]]),(OutputTable[GroupByKey]=OutputTable[[#This Row],[GroupByKey]])*OutputTable[RecordedValue])),0)</f>
        <v>366.21052631578948</v>
      </c>
      <c r="L275" s="5" cm="1">
        <f t="array" ref="L275">IFERROR(_xlfn.STDEV.S(IF((OutputTable[GroupByKey]=OutputTable[[#This Row],[GroupByKey]]),(OutputTable[GroupByKey]=OutputTable[[#This Row],[GroupByKey]])*OutputTable[RecordedValue])),0)</f>
        <v>28.665850661580702</v>
      </c>
      <c r="M275" s="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13.816497752584581</v>
      </c>
      <c r="O275" s="5" cm="1">
        <f t="array" ref="O275">MIN(IF((OutputTable[GroupByKey]=OutputTable[[#This Row],[GroupByKey]]),(OutputTable[GroupByKey]=OutputTable[[#This Row],[GroupByKey]])*OutputTable[RecordedValue]))</f>
        <v>331</v>
      </c>
      <c r="P275" s="5" cm="1">
        <f t="array" ref="P275">MAX(IF((OutputTable[GroupByKey]=OutputTable[[#This Row],[GroupByKey]]),(OutputTable[GroupByKey]=OutputTable[[#This Row],[GroupByKey]])*OutputTable[RecordedValue]))</f>
        <v>427</v>
      </c>
    </row>
    <row r="276" spans="1:16" x14ac:dyDescent="0.25">
      <c r="A276" t="s">
        <v>67</v>
      </c>
      <c r="B276" t="s">
        <v>69</v>
      </c>
      <c r="C276">
        <v>14</v>
      </c>
      <c r="D276" t="s">
        <v>146</v>
      </c>
      <c r="E276" t="s">
        <v>147</v>
      </c>
      <c r="F276" t="s">
        <v>72</v>
      </c>
      <c r="G276">
        <v>409</v>
      </c>
      <c r="H276">
        <v>0</v>
      </c>
      <c r="I276" s="5" t="str">
        <f>OutputTable[[#This Row],[ProjectName]]&amp;OutputTable[[#This Row],[Name]]&amp;OutputTable[[#This Row],[Type]]&amp;OutputTable[[#This Row],[Source]]</f>
        <v>Friday (Solucion: datafono, gofre, cocina y caja compartida)Cliente.NumberOutNumber OutEntity</v>
      </c>
      <c r="J276" s="5" cm="1">
        <f t="array" ref="J276">MAX(IF((ProjectInfoTable[ProjectName]=OutputTable[[#This Row],[ProjectName]]),(ProjectInfoTable[ProjectName]=OutputTable[[#This Row],[ProjectName]])*ProjectInfoTable[NumberOfReplications]))</f>
        <v>19</v>
      </c>
      <c r="K276" s="5" cm="1">
        <f t="array" ref="K276">IFERROR(AVERAGE(IF((OutputTable[GroupByKey]=OutputTable[[#This Row],[GroupByKey]]),(OutputTable[GroupByKey]=OutputTable[[#This Row],[GroupByKey]])*OutputTable[RecordedValue])),0)</f>
        <v>366.63157894736844</v>
      </c>
      <c r="L276" s="5" cm="1">
        <f t="array" ref="L276">IFERROR(_xlfn.STDEV.S(IF((OutputTable[GroupByKey]=OutputTable[[#This Row],[GroupByKey]]),(OutputTable[GroupByKey]=OutputTable[[#This Row],[GroupByKey]])*OutputTable[RecordedValue])),0)</f>
        <v>29.957767544617038</v>
      </c>
      <c r="M276" s="5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14.439181758083874</v>
      </c>
      <c r="O276" s="5" cm="1">
        <f t="array" ref="O276">MIN(IF((OutputTable[GroupByKey]=OutputTable[[#This Row],[GroupByKey]]),(OutputTable[GroupByKey]=OutputTable[[#This Row],[GroupByKey]])*OutputTable[RecordedValue]))</f>
        <v>329</v>
      </c>
      <c r="P276" s="5" cm="1">
        <f t="array" ref="P276">MAX(IF((OutputTable[GroupByKey]=OutputTable[[#This Row],[GroupByKey]]),(OutputTable[GroupByKey]=OutputTable[[#This Row],[GroupByKey]])*OutputTable[RecordedValue]))</f>
        <v>443</v>
      </c>
    </row>
    <row r="277" spans="1:16" x14ac:dyDescent="0.25">
      <c r="A277" t="s">
        <v>67</v>
      </c>
      <c r="B277" t="s">
        <v>69</v>
      </c>
      <c r="C277">
        <v>14</v>
      </c>
      <c r="D277" t="s">
        <v>148</v>
      </c>
      <c r="E277" t="s">
        <v>149</v>
      </c>
      <c r="F277" t="s">
        <v>86</v>
      </c>
      <c r="G277">
        <v>316.41484372811402</v>
      </c>
      <c r="H277">
        <v>0</v>
      </c>
      <c r="I277" s="5" t="str">
        <f>OutputTable[[#This Row],[ProjectName]]&amp;OutputTable[[#This Row],[Name]]&amp;OutputTable[[#This Row],[Type]]&amp;OutputTable[[#This Row],[Source]]</f>
        <v>Friday (Solucion: datafono, gofre, cocina y caja compartida)Comer en Mesa Accum VA TimeAccum VA TimeProcess</v>
      </c>
      <c r="J277" s="5" cm="1">
        <f t="array" ref="J277">MAX(IF((ProjectInfoTable[ProjectName]=OutputTable[[#This Row],[ProjectName]]),(ProjectInfoTable[ProjectName]=OutputTable[[#This Row],[ProjectName]])*ProjectInfoTable[NumberOfReplications]))</f>
        <v>19</v>
      </c>
      <c r="K277" s="5" cm="1">
        <f t="array" ref="K277">IFERROR(AVERAGE(IF((OutputTable[GroupByKey]=OutputTable[[#This Row],[GroupByKey]]),(OutputTable[GroupByKey]=OutputTable[[#This Row],[GroupByKey]])*OutputTable[RecordedValue])),0)</f>
        <v>283.12549562397913</v>
      </c>
      <c r="L277" s="5" cm="1">
        <f t="array" ref="L277">IFERROR(_xlfn.STDEV.S(IF((OutputTable[GroupByKey]=OutputTable[[#This Row],[GroupByKey]]),(OutputTable[GroupByKey]=OutputTable[[#This Row],[GroupByKey]])*OutputTable[RecordedValue])),0)</f>
        <v>55.763238037894645</v>
      </c>
      <c r="M277" s="5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26.877020400444863</v>
      </c>
      <c r="O277" s="5" cm="1">
        <f t="array" ref="O277">MIN(IF((OutputTable[GroupByKey]=OutputTable[[#This Row],[GroupByKey]]),(OutputTable[GroupByKey]=OutputTable[[#This Row],[GroupByKey]])*OutputTable[RecordedValue]))</f>
        <v>157.05073652574001</v>
      </c>
      <c r="P277" s="5" cm="1">
        <f t="array" ref="P277">MAX(IF((OutputTable[GroupByKey]=OutputTable[[#This Row],[GroupByKey]]),(OutputTable[GroupByKey]=OutputTable[[#This Row],[GroupByKey]])*OutputTable[RecordedValue]))</f>
        <v>402.97015039838902</v>
      </c>
    </row>
    <row r="278" spans="1:16" x14ac:dyDescent="0.25">
      <c r="A278" t="s">
        <v>67</v>
      </c>
      <c r="B278" t="s">
        <v>69</v>
      </c>
      <c r="C278">
        <v>14</v>
      </c>
      <c r="D278" t="s">
        <v>150</v>
      </c>
      <c r="E278" t="s">
        <v>151</v>
      </c>
      <c r="F278" t="s">
        <v>86</v>
      </c>
      <c r="G278">
        <v>0</v>
      </c>
      <c r="H278">
        <v>0</v>
      </c>
      <c r="I278" s="5" t="str">
        <f>OutputTable[[#This Row],[ProjectName]]&amp;OutputTable[[#This Row],[Name]]&amp;OutputTable[[#This Row],[Type]]&amp;OutputTable[[#This Row],[Source]]</f>
        <v>Friday (Solucion: datafono, gofre, cocina y caja compartida)Comer en Mesa Accum Wait TimeAccum Wait TimeProcess</v>
      </c>
      <c r="J278" s="5" cm="1">
        <f t="array" ref="J278">MAX(IF((ProjectInfoTable[ProjectName]=OutputTable[[#This Row],[ProjectName]]),(ProjectInfoTable[ProjectName]=OutputTable[[#This Row],[ProjectName]])*ProjectInfoTable[NumberOfReplications]))</f>
        <v>19</v>
      </c>
      <c r="K278" s="5" cm="1">
        <f t="array" ref="K278">IFERROR(AVERAGE(IF((OutputTable[GroupByKey]=OutputTable[[#This Row],[GroupByKey]]),(OutputTable[GroupByKey]=OutputTable[[#This Row],[GroupByKey]])*OutputTable[RecordedValue])),0)</f>
        <v>0</v>
      </c>
      <c r="L278" s="5" cm="1">
        <f t="array" ref="L278">IFERROR(_xlfn.STDEV.S(IF((OutputTable[GroupByKey]=OutputTable[[#This Row],[GroupByKey]]),(OutputTable[GroupByKey]=OutputTable[[#This Row],[GroupByKey]])*OutputTable[RecordedValue])),0)</f>
        <v>0</v>
      </c>
      <c r="M278" s="5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8" s="5" cm="1">
        <f t="array" ref="O278">MIN(IF((OutputTable[GroupByKey]=OutputTable[[#This Row],[GroupByKey]]),(OutputTable[GroupByKey]=OutputTable[[#This Row],[GroupByKey]])*OutputTable[RecordedValue]))</f>
        <v>0</v>
      </c>
      <c r="P278" s="5" cm="1">
        <f t="array" ref="P278">MAX(IF((OutputTable[GroupByKey]=OutputTable[[#This Row],[GroupByKey]]),(OutputTable[GroupByKey]=OutputTable[[#This Row],[GroupByKey]])*OutputTable[RecordedValue]))</f>
        <v>0</v>
      </c>
    </row>
    <row r="279" spans="1:16" x14ac:dyDescent="0.25">
      <c r="A279" t="s">
        <v>67</v>
      </c>
      <c r="B279" t="s">
        <v>69</v>
      </c>
      <c r="C279">
        <v>14</v>
      </c>
      <c r="D279" t="s">
        <v>152</v>
      </c>
      <c r="E279" t="s">
        <v>145</v>
      </c>
      <c r="F279" t="s">
        <v>86</v>
      </c>
      <c r="G279">
        <v>16</v>
      </c>
      <c r="H279">
        <v>0</v>
      </c>
      <c r="I279" s="5" t="str">
        <f>OutputTable[[#This Row],[ProjectName]]&amp;OutputTable[[#This Row],[Name]]&amp;OutputTable[[#This Row],[Type]]&amp;OutputTable[[#This Row],[Source]]</f>
        <v>Friday (Solucion: datafono, gofre, cocina y caja compartida)Comer en Mesa Number InNumber InProcess</v>
      </c>
      <c r="J279" s="5" cm="1">
        <f t="array" ref="J279">MAX(IF((ProjectInfoTable[ProjectName]=OutputTable[[#This Row],[ProjectName]]),(ProjectInfoTable[ProjectName]=OutputTable[[#This Row],[ProjectName]])*ProjectInfoTable[NumberOfReplications]))</f>
        <v>19</v>
      </c>
      <c r="K279" s="5" cm="1">
        <f t="array" ref="K279">IFERROR(AVERAGE(IF((OutputTable[GroupByKey]=OutputTable[[#This Row],[GroupByKey]]),(OutputTable[GroupByKey]=OutputTable[[#This Row],[GroupByKey]])*OutputTable[RecordedValue])),0)</f>
        <v>16.157894736842106</v>
      </c>
      <c r="L279" s="5" cm="1">
        <f t="array" ref="L279">IFERROR(_xlfn.STDEV.S(IF((OutputTable[GroupByKey]=OutputTable[[#This Row],[GroupByKey]]),(OutputTable[GroupByKey]=OutputTable[[#This Row],[GroupByKey]])*OutputTable[RecordedValue])),0)</f>
        <v>3.8044295512634076</v>
      </c>
      <c r="M279" s="5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279" s="5" cm="1">
        <f t="array" ref="O279">MIN(IF((OutputTable[GroupByKey]=OutputTable[[#This Row],[GroupByKey]]),(OutputTable[GroupByKey]=OutputTable[[#This Row],[GroupByKey]])*OutputTable[RecordedValue]))</f>
        <v>9</v>
      </c>
      <c r="P279" s="5" cm="1">
        <f t="array" ref="P279">MAX(IF((OutputTable[GroupByKey]=OutputTable[[#This Row],[GroupByKey]]),(OutputTable[GroupByKey]=OutputTable[[#This Row],[GroupByKey]])*OutputTable[RecordedValue]))</f>
        <v>24</v>
      </c>
    </row>
    <row r="280" spans="1:16" x14ac:dyDescent="0.25">
      <c r="A280" t="s">
        <v>67</v>
      </c>
      <c r="B280" t="s">
        <v>69</v>
      </c>
      <c r="C280">
        <v>14</v>
      </c>
      <c r="D280" t="s">
        <v>153</v>
      </c>
      <c r="E280" t="s">
        <v>147</v>
      </c>
      <c r="F280" t="s">
        <v>86</v>
      </c>
      <c r="G280">
        <v>18</v>
      </c>
      <c r="H280">
        <v>0</v>
      </c>
      <c r="I280" s="5" t="str">
        <f>OutputTable[[#This Row],[ProjectName]]&amp;OutputTable[[#This Row],[Name]]&amp;OutputTable[[#This Row],[Type]]&amp;OutputTable[[#This Row],[Source]]</f>
        <v>Friday (Solucion: datafono, gofre, cocina y caja compartida)Comer en Mesa Number OutNumber OutProcess</v>
      </c>
      <c r="J280" s="5" cm="1">
        <f t="array" ref="J280">MAX(IF((ProjectInfoTable[ProjectName]=OutputTable[[#This Row],[ProjectName]]),(ProjectInfoTable[ProjectName]=OutputTable[[#This Row],[ProjectName]])*ProjectInfoTable[NumberOfReplications]))</f>
        <v>19</v>
      </c>
      <c r="K280" s="5" cm="1">
        <f t="array" ref="K280">IFERROR(AVERAGE(IF((OutputTable[GroupByKey]=OutputTable[[#This Row],[GroupByKey]]),(OutputTable[GroupByKey]=OutputTable[[#This Row],[GroupByKey]])*OutputTable[RecordedValue])),0)</f>
        <v>16.263157894736842</v>
      </c>
      <c r="L280" s="5" cm="1">
        <f t="array" ref="L280">IFERROR(_xlfn.STDEV.S(IF((OutputTable[GroupByKey]=OutputTable[[#This Row],[GroupByKey]]),(OutputTable[GroupByKey]=OutputTable[[#This Row],[GroupByKey]])*OutputTable[RecordedValue])),0)</f>
        <v>3.3803698887540881</v>
      </c>
      <c r="M280" s="5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1.6292861329062698</v>
      </c>
      <c r="O280" s="5" cm="1">
        <f t="array" ref="O280">MIN(IF((OutputTable[GroupByKey]=OutputTable[[#This Row],[GroupByKey]]),(OutputTable[GroupByKey]=OutputTable[[#This Row],[GroupByKey]])*OutputTable[RecordedValue]))</f>
        <v>8</v>
      </c>
      <c r="P280" s="5" cm="1">
        <f t="array" ref="P280">MAX(IF((OutputTable[GroupByKey]=OutputTable[[#This Row],[GroupByKey]]),(OutputTable[GroupByKey]=OutputTable[[#This Row],[GroupByKey]])*OutputTable[RecordedValue]))</f>
        <v>22</v>
      </c>
    </row>
    <row r="281" spans="1:16" x14ac:dyDescent="0.25">
      <c r="A281" t="s">
        <v>67</v>
      </c>
      <c r="B281" t="s">
        <v>69</v>
      </c>
      <c r="C281">
        <v>14</v>
      </c>
      <c r="D281" t="s">
        <v>154</v>
      </c>
      <c r="E281" t="s">
        <v>145</v>
      </c>
      <c r="F281" t="s">
        <v>72</v>
      </c>
      <c r="G281">
        <v>139</v>
      </c>
      <c r="H281">
        <v>0</v>
      </c>
      <c r="I281" s="5" t="str">
        <f>OutputTable[[#This Row],[ProjectName]]&amp;OutputTable[[#This Row],[Name]]&amp;OutputTable[[#This Row],[Type]]&amp;OutputTable[[#This Row],[Source]]</f>
        <v>Friday (Solucion: datafono, gofre, cocina y caja compartida)Orden.NumberInNumber InEntity</v>
      </c>
      <c r="J281" s="5" cm="1">
        <f t="array" ref="J281">MAX(IF((ProjectInfoTable[ProjectName]=OutputTable[[#This Row],[ProjectName]]),(ProjectInfoTable[ProjectName]=OutputTable[[#This Row],[ProjectName]])*ProjectInfoTable[NumberOfReplications]))</f>
        <v>19</v>
      </c>
      <c r="K281" s="5" cm="1">
        <f t="array" ref="K281">IFERROR(AVERAGE(IF((OutputTable[GroupByKey]=OutputTable[[#This Row],[GroupByKey]]),(OutputTable[GroupByKey]=OutputTable[[#This Row],[GroupByKey]])*OutputTable[RecordedValue])),0)</f>
        <v>121.89473684210526</v>
      </c>
      <c r="L281" s="5" cm="1">
        <f t="array" ref="L281">IFERROR(_xlfn.STDEV.S(IF((OutputTable[GroupByKey]=OutputTable[[#This Row],[GroupByKey]]),(OutputTable[GroupByKey]=OutputTable[[#This Row],[GroupByKey]])*OutputTable[RecordedValue])),0)</f>
        <v>9.971597090637573</v>
      </c>
      <c r="M281" s="5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281" s="5" cm="1">
        <f t="array" ref="O281">MIN(IF((OutputTable[GroupByKey]=OutputTable[[#This Row],[GroupByKey]]),(OutputTable[GroupByKey]=OutputTable[[#This Row],[GroupByKey]])*OutputTable[RecordedValue]))</f>
        <v>109</v>
      </c>
      <c r="P281" s="5" cm="1">
        <f t="array" ref="P281">MAX(IF((OutputTable[GroupByKey]=OutputTable[[#This Row],[GroupByKey]]),(OutputTable[GroupByKey]=OutputTable[[#This Row],[GroupByKey]])*OutputTable[RecordedValue]))</f>
        <v>143</v>
      </c>
    </row>
    <row r="282" spans="1:16" x14ac:dyDescent="0.25">
      <c r="A282" t="s">
        <v>67</v>
      </c>
      <c r="B282" t="s">
        <v>69</v>
      </c>
      <c r="C282">
        <v>14</v>
      </c>
      <c r="D282" t="s">
        <v>155</v>
      </c>
      <c r="E282" t="s">
        <v>147</v>
      </c>
      <c r="F282" t="s">
        <v>72</v>
      </c>
      <c r="G282">
        <v>135</v>
      </c>
      <c r="H282">
        <v>0</v>
      </c>
      <c r="I282" s="5" t="str">
        <f>OutputTable[[#This Row],[ProjectName]]&amp;OutputTable[[#This Row],[Name]]&amp;OutputTable[[#This Row],[Type]]&amp;OutputTable[[#This Row],[Source]]</f>
        <v>Friday (Solucion: datafono, gofre, cocina y caja compartida)Orden.NumberOutNumber OutEntity</v>
      </c>
      <c r="J282" s="5" cm="1">
        <f t="array" ref="J282">MAX(IF((ProjectInfoTable[ProjectName]=OutputTable[[#This Row],[ProjectName]]),(ProjectInfoTable[ProjectName]=OutputTable[[#This Row],[ProjectName]])*ProjectInfoTable[NumberOfReplications]))</f>
        <v>19</v>
      </c>
      <c r="K282" s="5" cm="1">
        <f t="array" ref="K282">IFERROR(AVERAGE(IF((OutputTable[GroupByKey]=OutputTable[[#This Row],[GroupByKey]]),(OutputTable[GroupByKey]=OutputTable[[#This Row],[GroupByKey]])*OutputTable[RecordedValue])),0)</f>
        <v>122.36842105263158</v>
      </c>
      <c r="L282" s="5" cm="1">
        <f t="array" ref="L282">IFERROR(_xlfn.STDEV.S(IF((OutputTable[GroupByKey]=OutputTable[[#This Row],[GroupByKey]]),(OutputTable[GroupByKey]=OutputTable[[#This Row],[GroupByKey]])*OutputTable[RecordedValue])),0)</f>
        <v>10.160984894934533</v>
      </c>
      <c r="M282" s="5" cm="1">
        <f t="array" ref="M282">MAX(IF((ProjectInfoTable[ProjectName]=OutputTable[[#This Row],[ProjectName]]),(ProjectInfoTable[ProjectName]=OutputTable[[#This Row],[ProjectName]])*ProjectInfoTable[ConfidenceInterval]))</f>
        <v>0.95</v>
      </c>
      <c r="N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282" s="5" cm="1">
        <f t="array" ref="O282">MIN(IF((OutputTable[GroupByKey]=OutputTable[[#This Row],[GroupByKey]]),(OutputTable[GroupByKey]=OutputTable[[#This Row],[GroupByKey]])*OutputTable[RecordedValue]))</f>
        <v>109</v>
      </c>
      <c r="P282" s="5" cm="1">
        <f t="array" ref="P282">MAX(IF((OutputTable[GroupByKey]=OutputTable[[#This Row],[GroupByKey]]),(OutputTable[GroupByKey]=OutputTable[[#This Row],[GroupByKey]])*OutputTable[RecordedValue]))</f>
        <v>150</v>
      </c>
    </row>
    <row r="283" spans="1:16" x14ac:dyDescent="0.25">
      <c r="A283" t="s">
        <v>67</v>
      </c>
      <c r="B283" t="s">
        <v>69</v>
      </c>
      <c r="C283">
        <v>14</v>
      </c>
      <c r="D283" t="s">
        <v>156</v>
      </c>
      <c r="E283" t="s">
        <v>149</v>
      </c>
      <c r="F283" t="s">
        <v>86</v>
      </c>
      <c r="G283">
        <v>178.043446549225</v>
      </c>
      <c r="H283">
        <v>0</v>
      </c>
      <c r="I283" s="5" t="str">
        <f>OutputTable[[#This Row],[ProjectName]]&amp;OutputTable[[#This Row],[Name]]&amp;OutputTable[[#This Row],[Type]]&amp;OutputTable[[#This Row],[Source]]</f>
        <v>Friday (Solucion: datafono, gofre, cocina y caja compartida)Preparacion Accum VA TimeAccum VA TimeProcess</v>
      </c>
      <c r="J283" s="5" cm="1">
        <f t="array" ref="J283">MAX(IF((ProjectInfoTable[ProjectName]=OutputTable[[#This Row],[ProjectName]]),(ProjectInfoTable[ProjectName]=OutputTable[[#This Row],[ProjectName]])*ProjectInfoTable[NumberOfReplications]))</f>
        <v>19</v>
      </c>
      <c r="K283" s="5" cm="1">
        <f t="array" ref="K283">IFERROR(AVERAGE(IF((OutputTable[GroupByKey]=OutputTable[[#This Row],[GroupByKey]]),(OutputTable[GroupByKey]=OutputTable[[#This Row],[GroupByKey]])*OutputTable[RecordedValue])),0)</f>
        <v>174.13537587676447</v>
      </c>
      <c r="L283" s="5" cm="1">
        <f t="array" ref="L283">IFERROR(_xlfn.STDEV.S(IF((OutputTable[GroupByKey]=OutputTable[[#This Row],[GroupByKey]]),(OutputTable[GroupByKey]=OutputTable[[#This Row],[GroupByKey]])*OutputTable[RecordedValue])),0)</f>
        <v>19.65074675456297</v>
      </c>
      <c r="M283" s="5" cm="1">
        <f t="array" ref="M283">MAX(IF((ProjectInfoTable[ProjectName]=OutputTable[[#This Row],[ProjectName]]),(ProjectInfoTable[ProjectName]=OutputTable[[#This Row],[ProjectName]])*ProjectInfoTable[ConfidenceInterval]))</f>
        <v>0.95</v>
      </c>
      <c r="N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9.4713567574295272</v>
      </c>
      <c r="O283" s="5" cm="1">
        <f t="array" ref="O283">MIN(IF((OutputTable[GroupByKey]=OutputTable[[#This Row],[GroupByKey]]),(OutputTable[GroupByKey]=OutputTable[[#This Row],[GroupByKey]])*OutputTable[RecordedValue]))</f>
        <v>139.22471453685199</v>
      </c>
      <c r="P283" s="5" cm="1">
        <f t="array" ref="P283">MAX(IF((OutputTable[GroupByKey]=OutputTable[[#This Row],[GroupByKey]]),(OutputTable[GroupByKey]=OutputTable[[#This Row],[GroupByKey]])*OutputTable[RecordedValue]))</f>
        <v>210.18722493890999</v>
      </c>
    </row>
    <row r="284" spans="1:16" x14ac:dyDescent="0.25">
      <c r="A284" t="s">
        <v>67</v>
      </c>
      <c r="B284" t="s">
        <v>69</v>
      </c>
      <c r="C284">
        <v>14</v>
      </c>
      <c r="D284" t="s">
        <v>157</v>
      </c>
      <c r="E284" t="s">
        <v>151</v>
      </c>
      <c r="F284" t="s">
        <v>86</v>
      </c>
      <c r="G284">
        <v>108.728725747702</v>
      </c>
      <c r="H284">
        <v>0</v>
      </c>
      <c r="I284" s="5" t="str">
        <f>OutputTable[[#This Row],[ProjectName]]&amp;OutputTable[[#This Row],[Name]]&amp;OutputTable[[#This Row],[Type]]&amp;OutputTable[[#This Row],[Source]]</f>
        <v>Friday (Solucion: datafono, gofre, cocina y caja compartida)Preparacion Accum Wait TimeAccum Wait TimeProcess</v>
      </c>
      <c r="J284" s="5" cm="1">
        <f t="array" ref="J284">MAX(IF((ProjectInfoTable[ProjectName]=OutputTable[[#This Row],[ProjectName]]),(ProjectInfoTable[ProjectName]=OutputTable[[#This Row],[ProjectName]])*ProjectInfoTable[NumberOfReplications]))</f>
        <v>19</v>
      </c>
      <c r="K284" s="5" cm="1">
        <f t="array" ref="K284">IFERROR(AVERAGE(IF((OutputTable[GroupByKey]=OutputTable[[#This Row],[GroupByKey]]),(OutputTable[GroupByKey]=OutputTable[[#This Row],[GroupByKey]])*OutputTable[RecordedValue])),0)</f>
        <v>89.754366677107924</v>
      </c>
      <c r="L284" s="5" cm="1">
        <f t="array" ref="L284">IFERROR(_xlfn.STDEV.S(IF((OutputTable[GroupByKey]=OutputTable[[#This Row],[GroupByKey]]),(OutputTable[GroupByKey]=OutputTable[[#This Row],[GroupByKey]])*OutputTable[RecordedValue])),0)</f>
        <v>109.53061123574736</v>
      </c>
      <c r="M284" s="5" cm="1">
        <f t="array" ref="M284">MAX(IF((ProjectInfoTable[ProjectName]=OutputTable[[#This Row],[ProjectName]]),(ProjectInfoTable[ProjectName]=OutputTable[[#This Row],[ProjectName]])*ProjectInfoTable[ConfidenceInterval]))</f>
        <v>0.95</v>
      </c>
      <c r="N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52.79206474085742</v>
      </c>
      <c r="O284" s="5" cm="1">
        <f t="array" ref="O284">MIN(IF((OutputTable[GroupByKey]=OutputTable[[#This Row],[GroupByKey]]),(OutputTable[GroupByKey]=OutputTable[[#This Row],[GroupByKey]])*OutputTable[RecordedValue]))</f>
        <v>22.316256244919199</v>
      </c>
      <c r="P284" s="5" cm="1">
        <f t="array" ref="P284">MAX(IF((OutputTable[GroupByKey]=OutputTable[[#This Row],[GroupByKey]]),(OutputTable[GroupByKey]=OutputTable[[#This Row],[GroupByKey]])*OutputTable[RecordedValue]))</f>
        <v>514.987116007179</v>
      </c>
    </row>
    <row r="285" spans="1:16" x14ac:dyDescent="0.25">
      <c r="A285" t="s">
        <v>67</v>
      </c>
      <c r="B285" t="s">
        <v>69</v>
      </c>
      <c r="C285">
        <v>14</v>
      </c>
      <c r="D285" t="s">
        <v>158</v>
      </c>
      <c r="E285" t="s">
        <v>145</v>
      </c>
      <c r="F285" t="s">
        <v>86</v>
      </c>
      <c r="G285">
        <v>139</v>
      </c>
      <c r="H285">
        <v>0</v>
      </c>
      <c r="I285" s="5" t="str">
        <f>OutputTable[[#This Row],[ProjectName]]&amp;OutputTable[[#This Row],[Name]]&amp;OutputTable[[#This Row],[Type]]&amp;OutputTable[[#This Row],[Source]]</f>
        <v>Friday (Solucion: datafono, gofre, cocina y caja compartida)Preparacion Number InNumber InProcess</v>
      </c>
      <c r="J285" s="5" cm="1">
        <f t="array" ref="J285">MAX(IF((ProjectInfoTable[ProjectName]=OutputTable[[#This Row],[ProjectName]]),(ProjectInfoTable[ProjectName]=OutputTable[[#This Row],[ProjectName]])*ProjectInfoTable[NumberOfReplications]))</f>
        <v>19</v>
      </c>
      <c r="K285" s="5" cm="1">
        <f t="array" ref="K285">IFERROR(AVERAGE(IF((OutputTable[GroupByKey]=OutputTable[[#This Row],[GroupByKey]]),(OutputTable[GroupByKey]=OutputTable[[#This Row],[GroupByKey]])*OutputTable[RecordedValue])),0)</f>
        <v>121.89473684210526</v>
      </c>
      <c r="L285" s="5" cm="1">
        <f t="array" ref="L285">IFERROR(_xlfn.STDEV.S(IF((OutputTable[GroupByKey]=OutputTable[[#This Row],[GroupByKey]]),(OutputTable[GroupByKey]=OutputTable[[#This Row],[GroupByKey]])*OutputTable[RecordedValue])),0)</f>
        <v>9.971597090637573</v>
      </c>
      <c r="M285" s="5" cm="1">
        <f t="array" ref="M285">MAX(IF((ProjectInfoTable[ProjectName]=OutputTable[[#This Row],[ProjectName]]),(ProjectInfoTable[ProjectName]=OutputTable[[#This Row],[ProjectName]])*ProjectInfoTable[ConfidenceInterval]))</f>
        <v>0.95</v>
      </c>
      <c r="N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285" s="5" cm="1">
        <f t="array" ref="O285">MIN(IF((OutputTable[GroupByKey]=OutputTable[[#This Row],[GroupByKey]]),(OutputTable[GroupByKey]=OutputTable[[#This Row],[GroupByKey]])*OutputTable[RecordedValue]))</f>
        <v>109</v>
      </c>
      <c r="P285" s="5" cm="1">
        <f t="array" ref="P285">MAX(IF((OutputTable[GroupByKey]=OutputTable[[#This Row],[GroupByKey]]),(OutputTable[GroupByKey]=OutputTable[[#This Row],[GroupByKey]])*OutputTable[RecordedValue]))</f>
        <v>143</v>
      </c>
    </row>
    <row r="286" spans="1:16" x14ac:dyDescent="0.25">
      <c r="A286" t="s">
        <v>67</v>
      </c>
      <c r="B286" t="s">
        <v>69</v>
      </c>
      <c r="C286">
        <v>14</v>
      </c>
      <c r="D286" t="s">
        <v>159</v>
      </c>
      <c r="E286" t="s">
        <v>147</v>
      </c>
      <c r="F286" t="s">
        <v>86</v>
      </c>
      <c r="G286">
        <v>133</v>
      </c>
      <c r="H286">
        <v>0</v>
      </c>
      <c r="I286" s="5" t="str">
        <f>OutputTable[[#This Row],[ProjectName]]&amp;OutputTable[[#This Row],[Name]]&amp;OutputTable[[#This Row],[Type]]&amp;OutputTable[[#This Row],[Source]]</f>
        <v>Friday (Solucion: datafono, gofre, cocina y caja compartida)Preparacion Number OutNumber OutProcess</v>
      </c>
      <c r="J286" s="5" cm="1">
        <f t="array" ref="J286">MAX(IF((ProjectInfoTable[ProjectName]=OutputTable[[#This Row],[ProjectName]]),(ProjectInfoTable[ProjectName]=OutputTable[[#This Row],[ProjectName]])*ProjectInfoTable[NumberOfReplications]))</f>
        <v>19</v>
      </c>
      <c r="K286" s="5" cm="1">
        <f t="array" ref="K286">IFERROR(AVERAGE(IF((OutputTable[GroupByKey]=OutputTable[[#This Row],[GroupByKey]]),(OutputTable[GroupByKey]=OutputTable[[#This Row],[GroupByKey]])*OutputTable[RecordedValue])),0)</f>
        <v>122.31578947368421</v>
      </c>
      <c r="L286" s="5" cm="1">
        <f t="array" ref="L286">IFERROR(_xlfn.STDEV.S(IF((OutputTable[GroupByKey]=OutputTable[[#This Row],[GroupByKey]]),(OutputTable[GroupByKey]=OutputTable[[#This Row],[GroupByKey]])*OutputTable[RecordedValue])),0)</f>
        <v>10.127260414780096</v>
      </c>
      <c r="M286" s="5" cm="1">
        <f t="array" ref="M286">MAX(IF((ProjectInfoTable[ProjectName]=OutputTable[[#This Row],[ProjectName]]),(ProjectInfoTable[ProjectName]=OutputTable[[#This Row],[ProjectName]])*ProjectInfoTable[ConfidenceInterval]))</f>
        <v>0.95</v>
      </c>
      <c r="N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4.8811832731752718</v>
      </c>
      <c r="O286" s="5" cm="1">
        <f t="array" ref="O286">MIN(IF((OutputTable[GroupByKey]=OutputTable[[#This Row],[GroupByKey]]),(OutputTable[GroupByKey]=OutputTable[[#This Row],[GroupByKey]])*OutputTable[RecordedValue]))</f>
        <v>111</v>
      </c>
      <c r="P286" s="5" cm="1">
        <f t="array" ref="P286">MAX(IF((OutputTable[GroupByKey]=OutputTable[[#This Row],[GroupByKey]]),(OutputTable[GroupByKey]=OutputTable[[#This Row],[GroupByKey]])*OutputTable[RecordedValue]))</f>
        <v>150</v>
      </c>
    </row>
    <row r="287" spans="1:16" x14ac:dyDescent="0.25">
      <c r="A287" t="s">
        <v>67</v>
      </c>
      <c r="B287" t="s">
        <v>69</v>
      </c>
      <c r="C287">
        <v>14</v>
      </c>
      <c r="D287" t="s">
        <v>160</v>
      </c>
      <c r="E287" t="s">
        <v>147</v>
      </c>
      <c r="F287" t="s">
        <v>161</v>
      </c>
      <c r="G287">
        <v>138</v>
      </c>
      <c r="H287">
        <v>0</v>
      </c>
      <c r="I287" s="5" t="str">
        <f>OutputTable[[#This Row],[ProjectName]]&amp;OutputTable[[#This Row],[Name]]&amp;OutputTable[[#This Row],[Type]]&amp;OutputTable[[#This Row],[Source]]</f>
        <v>Friday (Solucion: datafono, gofre, cocina y caja compartida)System.NumberOutNumber OutSystem</v>
      </c>
      <c r="J287" s="5" cm="1">
        <f t="array" ref="J287">MAX(IF((ProjectInfoTable[ProjectName]=OutputTable[[#This Row],[ProjectName]]),(ProjectInfoTable[ProjectName]=OutputTable[[#This Row],[ProjectName]])*ProjectInfoTable[NumberOfReplications]))</f>
        <v>19</v>
      </c>
      <c r="K287" s="5" cm="1">
        <f t="array" ref="K287">IFERROR(AVERAGE(IF((OutputTable[GroupByKey]=OutputTable[[#This Row],[GroupByKey]]),(OutputTable[GroupByKey]=OutputTable[[#This Row],[GroupByKey]])*OutputTable[RecordedValue])),0)</f>
        <v>125.36842105263158</v>
      </c>
      <c r="L287" s="5" cm="1">
        <f t="array" ref="L287">IFERROR(_xlfn.STDEV.S(IF((OutputTable[GroupByKey]=OutputTable[[#This Row],[GroupByKey]]),(OutputTable[GroupByKey]=OutputTable[[#This Row],[GroupByKey]])*OutputTable[RecordedValue])),0)</f>
        <v>10.160984894934533</v>
      </c>
      <c r="M287" s="5" cm="1">
        <f t="array" ref="M287">MAX(IF((ProjectInfoTable[ProjectName]=OutputTable[[#This Row],[ProjectName]]),(ProjectInfoTable[ProjectName]=OutputTable[[#This Row],[ProjectName]])*ProjectInfoTable[ConfidenceInterval]))</f>
        <v>0.95</v>
      </c>
      <c r="N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287" s="5" cm="1">
        <f t="array" ref="O287">MIN(IF((OutputTable[GroupByKey]=OutputTable[[#This Row],[GroupByKey]]),(OutputTable[GroupByKey]=OutputTable[[#This Row],[GroupByKey]])*OutputTable[RecordedValue]))</f>
        <v>112</v>
      </c>
      <c r="P287" s="5" cm="1">
        <f t="array" ref="P287">MAX(IF((OutputTable[GroupByKey]=OutputTable[[#This Row],[GroupByKey]]),(OutputTable[GroupByKey]=OutputTable[[#This Row],[GroupByKey]])*OutputTable[RecordedValue]))</f>
        <v>153</v>
      </c>
    </row>
    <row r="288" spans="1:16" x14ac:dyDescent="0.25">
      <c r="A288" t="s">
        <v>67</v>
      </c>
      <c r="B288" t="s">
        <v>69</v>
      </c>
      <c r="C288">
        <v>14</v>
      </c>
      <c r="D288" t="s">
        <v>162</v>
      </c>
      <c r="E288" t="s">
        <v>163</v>
      </c>
      <c r="F288" t="s">
        <v>136</v>
      </c>
      <c r="G288">
        <v>157</v>
      </c>
      <c r="H288">
        <v>0</v>
      </c>
      <c r="I288" s="5" t="str">
        <f>OutputTable[[#This Row],[ProjectName]]&amp;OutputTable[[#This Row],[Name]]&amp;OutputTable[[#This Row],[Type]]&amp;OutputTable[[#This Row],[Source]]</f>
        <v>Friday (Solucion: datafono, gofre, cocina y caja compartida)rCajero.NumberSeizedTotal Number SeizedResource</v>
      </c>
      <c r="J288" s="5" cm="1">
        <f t="array" ref="J288">MAX(IF((ProjectInfoTable[ProjectName]=OutputTable[[#This Row],[ProjectName]]),(ProjectInfoTable[ProjectName]=OutputTable[[#This Row],[ProjectName]])*ProjectInfoTable[NumberOfReplications]))</f>
        <v>19</v>
      </c>
      <c r="K288" s="5" cm="1">
        <f t="array" ref="K288">IFERROR(AVERAGE(IF((OutputTable[GroupByKey]=OutputTable[[#This Row],[GroupByKey]]),(OutputTable[GroupByKey]=OutputTable[[#This Row],[GroupByKey]])*OutputTable[RecordedValue])),0)</f>
        <v>131.63157894736841</v>
      </c>
      <c r="L288" s="5" cm="1">
        <f t="array" ref="L288">IFERROR(_xlfn.STDEV.S(IF((OutputTable[GroupByKey]=OutputTable[[#This Row],[GroupByKey]]),(OutputTable[GroupByKey]=OutputTable[[#This Row],[GroupByKey]])*OutputTable[RecordedValue])),0)</f>
        <v>13.988926280438102</v>
      </c>
      <c r="M288" s="5" cm="1">
        <f t="array" ref="M288">MAX(IF((ProjectInfoTable[ProjectName]=OutputTable[[#This Row],[ProjectName]]),(ProjectInfoTable[ProjectName]=OutputTable[[#This Row],[ProjectName]])*ProjectInfoTable[ConfidenceInterval]))</f>
        <v>0.95</v>
      </c>
      <c r="N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6.7424466413544986</v>
      </c>
      <c r="O288" s="5" cm="1">
        <f t="array" ref="O288">MIN(IF((OutputTable[GroupByKey]=OutputTable[[#This Row],[GroupByKey]]),(OutputTable[GroupByKey]=OutputTable[[#This Row],[GroupByKey]])*OutputTable[RecordedValue]))</f>
        <v>113</v>
      </c>
      <c r="P288" s="5" cm="1">
        <f t="array" ref="P288">MAX(IF((OutputTable[GroupByKey]=OutputTable[[#This Row],[GroupByKey]]),(OutputTable[GroupByKey]=OutputTable[[#This Row],[GroupByKey]])*OutputTable[RecordedValue]))</f>
        <v>157</v>
      </c>
    </row>
    <row r="289" spans="1:16" x14ac:dyDescent="0.25">
      <c r="A289" t="s">
        <v>67</v>
      </c>
      <c r="B289" t="s">
        <v>69</v>
      </c>
      <c r="C289">
        <v>14</v>
      </c>
      <c r="D289" t="s">
        <v>164</v>
      </c>
      <c r="E289" t="s">
        <v>165</v>
      </c>
      <c r="F289" t="s">
        <v>136</v>
      </c>
      <c r="G289">
        <v>0.73992182849147503</v>
      </c>
      <c r="H289">
        <v>0</v>
      </c>
      <c r="I289" s="5" t="str">
        <f>OutputTable[[#This Row],[ProjectName]]&amp;OutputTable[[#This Row],[Name]]&amp;OutputTable[[#This Row],[Type]]&amp;OutputTable[[#This Row],[Source]]</f>
        <v>Friday (Solucion: datafono, gofre, cocina y caja compartida)rCajero.ScheduledUtilizationScheduled UtilizationResource</v>
      </c>
      <c r="J289" s="5" cm="1">
        <f t="array" ref="J289">MAX(IF((ProjectInfoTable[ProjectName]=OutputTable[[#This Row],[ProjectName]]),(ProjectInfoTable[ProjectName]=OutputTable[[#This Row],[ProjectName]])*ProjectInfoTable[NumberOfReplications]))</f>
        <v>19</v>
      </c>
      <c r="K289" s="5" cm="1">
        <f t="array" ref="K289">IFERROR(AVERAGE(IF((OutputTable[GroupByKey]=OutputTable[[#This Row],[GroupByKey]]),(OutputTable[GroupByKey]=OutputTable[[#This Row],[GroupByKey]])*OutputTable[RecordedValue])),0)</f>
        <v>0.68474836505339687</v>
      </c>
      <c r="L289" s="5" cm="1">
        <f t="array" ref="L289">IFERROR(_xlfn.STDEV.S(IF((OutputTable[GroupByKey]=OutputTable[[#This Row],[GroupByKey]]),(OutputTable[GroupByKey]=OutputTable[[#This Row],[GroupByKey]])*OutputTable[RecordedValue])),0)</f>
        <v>6.2272947935973065E-2</v>
      </c>
      <c r="M289" s="5" cm="1">
        <f t="array" ref="M289">MAX(IF((ProjectInfoTable[ProjectName]=OutputTable[[#This Row],[ProjectName]]),(ProjectInfoTable[ProjectName]=OutputTable[[#This Row],[ProjectName]])*ProjectInfoTable[ConfidenceInterval]))</f>
        <v>0.95</v>
      </c>
      <c r="N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3.0014600137344902E-2</v>
      </c>
      <c r="O289" s="5" cm="1">
        <f t="array" ref="O289">MIN(IF((OutputTable[GroupByKey]=OutputTable[[#This Row],[GroupByKey]]),(OutputTable[GroupByKey]=OutputTable[[#This Row],[GroupByKey]])*OutputTable[RecordedValue]))</f>
        <v>0.59592290927233305</v>
      </c>
      <c r="P289" s="5" cm="1">
        <f t="array" ref="P289">MAX(IF((OutputTable[GroupByKey]=OutputTable[[#This Row],[GroupByKey]]),(OutputTable[GroupByKey]=OutputTable[[#This Row],[GroupByKey]])*OutputTable[RecordedValue]))</f>
        <v>0.82897119936997599</v>
      </c>
    </row>
    <row r="290" spans="1:16" x14ac:dyDescent="0.25">
      <c r="A290" t="s">
        <v>67</v>
      </c>
      <c r="B290" t="s">
        <v>69</v>
      </c>
      <c r="C290">
        <v>14</v>
      </c>
      <c r="D290" t="s">
        <v>166</v>
      </c>
      <c r="E290" t="s">
        <v>163</v>
      </c>
      <c r="F290" t="s">
        <v>136</v>
      </c>
      <c r="G290">
        <v>117</v>
      </c>
      <c r="H290">
        <v>0</v>
      </c>
      <c r="I290" s="5" t="str">
        <f>OutputTable[[#This Row],[ProjectName]]&amp;OutputTable[[#This Row],[Name]]&amp;OutputTable[[#This Row],[Type]]&amp;OutputTable[[#This Row],[Source]]</f>
        <v>Friday (Solucion: datafono, gofre, cocina y caja compartida)rCocina.NumberSeizedTotal Number SeizedResource</v>
      </c>
      <c r="J290" s="5" cm="1">
        <f t="array" ref="J290">MAX(IF((ProjectInfoTable[ProjectName]=OutputTable[[#This Row],[ProjectName]]),(ProjectInfoTable[ProjectName]=OutputTable[[#This Row],[ProjectName]])*ProjectInfoTable[NumberOfReplications]))</f>
        <v>19</v>
      </c>
      <c r="K290" s="5" cm="1">
        <f t="array" ref="K290">IFERROR(AVERAGE(IF((OutputTable[GroupByKey]=OutputTable[[#This Row],[GroupByKey]]),(OutputTable[GroupByKey]=OutputTable[[#This Row],[GroupByKey]])*OutputTable[RecordedValue])),0)</f>
        <v>112.73684210526316</v>
      </c>
      <c r="L290" s="5" cm="1">
        <f t="array" ref="L290">IFERROR(_xlfn.STDEV.S(IF((OutputTable[GroupByKey]=OutputTable[[#This Row],[GroupByKey]]),(OutputTable[GroupByKey]=OutputTable[[#This Row],[GroupByKey]])*OutputTable[RecordedValue])),0)</f>
        <v>9.1155673027772668</v>
      </c>
      <c r="M290" s="5" cm="1">
        <f t="array" ref="M290">MAX(IF((ProjectInfoTable[ProjectName]=OutputTable[[#This Row],[ProjectName]]),(ProjectInfoTable[ProjectName]=OutputTable[[#This Row],[ProjectName]])*ProjectInfoTable[ConfidenceInterval]))</f>
        <v>0.95</v>
      </c>
      <c r="N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4.3935628019284003</v>
      </c>
      <c r="O290" s="5" cm="1">
        <f t="array" ref="O290">MIN(IF((OutputTable[GroupByKey]=OutputTable[[#This Row],[GroupByKey]]),(OutputTable[GroupByKey]=OutputTable[[#This Row],[GroupByKey]])*OutputTable[RecordedValue]))</f>
        <v>102</v>
      </c>
      <c r="P290" s="5" cm="1">
        <f t="array" ref="P290">MAX(IF((OutputTable[GroupByKey]=OutputTable[[#This Row],[GroupByKey]]),(OutputTable[GroupByKey]=OutputTable[[#This Row],[GroupByKey]])*OutputTable[RecordedValue]))</f>
        <v>135</v>
      </c>
    </row>
    <row r="291" spans="1:16" x14ac:dyDescent="0.25">
      <c r="A291" t="s">
        <v>67</v>
      </c>
      <c r="B291" t="s">
        <v>69</v>
      </c>
      <c r="C291">
        <v>14</v>
      </c>
      <c r="D291" t="s">
        <v>167</v>
      </c>
      <c r="E291" t="s">
        <v>165</v>
      </c>
      <c r="F291" t="s">
        <v>136</v>
      </c>
      <c r="G291">
        <v>0.76530960698621098</v>
      </c>
      <c r="H291">
        <v>0</v>
      </c>
      <c r="I291" s="5" t="str">
        <f>OutputTable[[#This Row],[ProjectName]]&amp;OutputTable[[#This Row],[Name]]&amp;OutputTable[[#This Row],[Type]]&amp;OutputTable[[#This Row],[Source]]</f>
        <v>Friday (Solucion: datafono, gofre, cocina y caja compartida)rCocina.ScheduledUtilizationScheduled UtilizationResource</v>
      </c>
      <c r="J291" s="5" cm="1">
        <f t="array" ref="J291">MAX(IF((ProjectInfoTable[ProjectName]=OutputTable[[#This Row],[ProjectName]]),(ProjectInfoTable[ProjectName]=OutputTable[[#This Row],[ProjectName]])*ProjectInfoTable[NumberOfReplications]))</f>
        <v>19</v>
      </c>
      <c r="K291" s="5" cm="1">
        <f t="array" ref="K291">IFERROR(AVERAGE(IF((OutputTable[GroupByKey]=OutputTable[[#This Row],[GroupByKey]]),(OutputTable[GroupByKey]=OutputTable[[#This Row],[GroupByKey]])*OutputTable[RecordedValue])),0)</f>
        <v>0.71670342302257706</v>
      </c>
      <c r="L291" s="5" cm="1">
        <f t="array" ref="L291">IFERROR(_xlfn.STDEV.S(IF((OutputTable[GroupByKey]=OutputTable[[#This Row],[GroupByKey]]),(OutputTable[GroupByKey]=OutputTable[[#This Row],[GroupByKey]])*OutputTable[RecordedValue])),0)</f>
        <v>7.0907274842727658E-2</v>
      </c>
      <c r="M291" s="5" cm="1">
        <f t="array" ref="M291">MAX(IF((ProjectInfoTable[ProjectName]=OutputTable[[#This Row],[ProjectName]]),(ProjectInfoTable[ProjectName]=OutputTable[[#This Row],[ProjectName]])*ProjectInfoTable[ConfidenceInterval]))</f>
        <v>0.95</v>
      </c>
      <c r="N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3.4176212493127585E-2</v>
      </c>
      <c r="O291" s="5" cm="1">
        <f t="array" ref="O291">MIN(IF((OutputTable[GroupByKey]=OutputTable[[#This Row],[GroupByKey]]),(OutputTable[GroupByKey]=OutputTable[[#This Row],[GroupByKey]])*OutputTable[RecordedValue]))</f>
        <v>0.60463940272025996</v>
      </c>
      <c r="P291" s="5" cm="1">
        <f t="array" ref="P291">MAX(IF((OutputTable[GroupByKey]=OutputTable[[#This Row],[GroupByKey]]),(OutputTable[GroupByKey]=OutputTable[[#This Row],[GroupByKey]])*OutputTable[RecordedValue]))</f>
        <v>0.86361037821575004</v>
      </c>
    </row>
    <row r="292" spans="1:16" x14ac:dyDescent="0.25">
      <c r="A292" t="s">
        <v>67</v>
      </c>
      <c r="B292" t="s">
        <v>69</v>
      </c>
      <c r="C292">
        <v>14</v>
      </c>
      <c r="D292" t="s">
        <v>168</v>
      </c>
      <c r="E292" t="s">
        <v>163</v>
      </c>
      <c r="F292" t="s">
        <v>136</v>
      </c>
      <c r="G292">
        <v>16</v>
      </c>
      <c r="H292">
        <v>0</v>
      </c>
      <c r="I292" s="5" t="str">
        <f>OutputTable[[#This Row],[ProjectName]]&amp;OutputTable[[#This Row],[Name]]&amp;OutputTable[[#This Row],[Type]]&amp;OutputTable[[#This Row],[Source]]</f>
        <v>Friday (Solucion: datafono, gofre, cocina y caja compartida)rMesa.NumberSeizedTotal Number SeizedResource</v>
      </c>
      <c r="J292" s="5" cm="1">
        <f t="array" ref="J292">MAX(IF((ProjectInfoTable[ProjectName]=OutputTable[[#This Row],[ProjectName]]),(ProjectInfoTable[ProjectName]=OutputTable[[#This Row],[ProjectName]])*ProjectInfoTable[NumberOfReplications]))</f>
        <v>19</v>
      </c>
      <c r="K292" s="5" cm="1">
        <f t="array" ref="K292">IFERROR(AVERAGE(IF((OutputTable[GroupByKey]=OutputTable[[#This Row],[GroupByKey]]),(OutputTable[GroupByKey]=OutputTable[[#This Row],[GroupByKey]])*OutputTable[RecordedValue])),0)</f>
        <v>16.157894736842106</v>
      </c>
      <c r="L292" s="5" cm="1">
        <f t="array" ref="L292">IFERROR(_xlfn.STDEV.S(IF((OutputTable[GroupByKey]=OutputTable[[#This Row],[GroupByKey]]),(OutputTable[GroupByKey]=OutputTable[[#This Row],[GroupByKey]])*OutputTable[RecordedValue])),0)</f>
        <v>3.8044295512634076</v>
      </c>
      <c r="M292" s="5" cm="1">
        <f t="array" ref="M292">MAX(IF((ProjectInfoTable[ProjectName]=OutputTable[[#This Row],[ProjectName]]),(ProjectInfoTable[ProjectName]=OutputTable[[#This Row],[ProjectName]])*ProjectInfoTable[ConfidenceInterval]))</f>
        <v>0.95</v>
      </c>
      <c r="N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292" s="5" cm="1">
        <f t="array" ref="O292">MIN(IF((OutputTable[GroupByKey]=OutputTable[[#This Row],[GroupByKey]]),(OutputTable[GroupByKey]=OutputTable[[#This Row],[GroupByKey]])*OutputTable[RecordedValue]))</f>
        <v>9</v>
      </c>
      <c r="P292" s="5" cm="1">
        <f t="array" ref="P292">MAX(IF((OutputTable[GroupByKey]=OutputTable[[#This Row],[GroupByKey]]),(OutputTable[GroupByKey]=OutputTable[[#This Row],[GroupByKey]])*OutputTable[RecordedValue]))</f>
        <v>24</v>
      </c>
    </row>
    <row r="293" spans="1:16" x14ac:dyDescent="0.25">
      <c r="A293" t="s">
        <v>67</v>
      </c>
      <c r="B293" t="s">
        <v>69</v>
      </c>
      <c r="C293">
        <v>14</v>
      </c>
      <c r="D293" t="s">
        <v>169</v>
      </c>
      <c r="E293" t="s">
        <v>165</v>
      </c>
      <c r="F293" t="s">
        <v>136</v>
      </c>
      <c r="G293">
        <v>0.32354021693619001</v>
      </c>
      <c r="H293">
        <v>0</v>
      </c>
      <c r="I293" s="5" t="str">
        <f>OutputTable[[#This Row],[ProjectName]]&amp;OutputTable[[#This Row],[Name]]&amp;OutputTable[[#This Row],[Type]]&amp;OutputTable[[#This Row],[Source]]</f>
        <v>Friday (Solucion: datafono, gofre, cocina y caja compartida)rMesa.ScheduledUtilizationScheduled UtilizationResource</v>
      </c>
      <c r="J293" s="5" cm="1">
        <f t="array" ref="J293">MAX(IF((ProjectInfoTable[ProjectName]=OutputTable[[#This Row],[ProjectName]]),(ProjectInfoTable[ProjectName]=OutputTable[[#This Row],[ProjectName]])*ProjectInfoTable[NumberOfReplications]))</f>
        <v>19</v>
      </c>
      <c r="K293" s="5" cm="1">
        <f t="array" ref="K293">IFERROR(AVERAGE(IF((OutputTable[GroupByKey]=OutputTable[[#This Row],[GroupByKey]]),(OutputTable[GroupByKey]=OutputTable[[#This Row],[GroupByKey]])*OutputTable[RecordedValue])),0)</f>
        <v>0.30850610959128744</v>
      </c>
      <c r="L293" s="5" cm="1">
        <f t="array" ref="L293">IFERROR(_xlfn.STDEV.S(IF((OutputTable[GroupByKey]=OutputTable[[#This Row],[GroupByKey]]),(OutputTable[GroupByKey]=OutputTable[[#This Row],[GroupByKey]])*OutputTable[RecordedValue])),0)</f>
        <v>6.2586127702931107E-2</v>
      </c>
      <c r="M293" s="5" cm="1">
        <f t="array" ref="M293">MAX(IF((ProjectInfoTable[ProjectName]=OutputTable[[#This Row],[ProjectName]]),(ProjectInfoTable[ProjectName]=OutputTable[[#This Row],[ProjectName]])*ProjectInfoTable[ConfidenceInterval]))</f>
        <v>0.95</v>
      </c>
      <c r="N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3.0165547953176861E-2</v>
      </c>
      <c r="O293" s="5" cm="1">
        <f t="array" ref="O293">MIN(IF((OutputTable[GroupByKey]=OutputTable[[#This Row],[GroupByKey]]),(OutputTable[GroupByKey]=OutputTable[[#This Row],[GroupByKey]])*OutputTable[RecordedValue]))</f>
        <v>0.156206445320244</v>
      </c>
      <c r="P293" s="5" cm="1">
        <f t="array" ref="P293">MAX(IF((OutputTable[GroupByKey]=OutputTable[[#This Row],[GroupByKey]]),(OutputTable[GroupByKey]=OutputTable[[#This Row],[GroupByKey]])*OutputTable[RecordedValue]))</f>
        <v>0.44942505379986802</v>
      </c>
    </row>
    <row r="294" spans="1:16" x14ac:dyDescent="0.25">
      <c r="A294" t="s">
        <v>67</v>
      </c>
      <c r="B294" t="s">
        <v>69</v>
      </c>
      <c r="C294">
        <v>14</v>
      </c>
      <c r="D294" t="s">
        <v>170</v>
      </c>
      <c r="E294" t="s">
        <v>145</v>
      </c>
      <c r="F294" t="s">
        <v>72</v>
      </c>
      <c r="G294">
        <v>3</v>
      </c>
      <c r="H294">
        <v>0</v>
      </c>
      <c r="I294" s="5" t="str">
        <f>OutputTable[[#This Row],[ProjectName]]&amp;OutputTable[[#This Row],[Name]]&amp;OutputTable[[#This Row],[Type]]&amp;OutputTable[[#This Row],[Source]]</f>
        <v>Friday (Solucion: datafono, gofre, cocina y caja compartida)reloj.NumberInNumber InEntity</v>
      </c>
      <c r="J294" s="5" cm="1">
        <f t="array" ref="J294">MAX(IF((ProjectInfoTable[ProjectName]=OutputTable[[#This Row],[ProjectName]]),(ProjectInfoTable[ProjectName]=OutputTable[[#This Row],[ProjectName]])*ProjectInfoTable[NumberOfReplications]))</f>
        <v>19</v>
      </c>
      <c r="K294" s="5" cm="1">
        <f t="array" ref="K294">IFERROR(AVERAGE(IF((OutputTable[GroupByKey]=OutputTable[[#This Row],[GroupByKey]]),(OutputTable[GroupByKey]=OutputTable[[#This Row],[GroupByKey]])*OutputTable[RecordedValue])),0)</f>
        <v>3</v>
      </c>
      <c r="L294" s="5" cm="1">
        <f t="array" ref="L294">IFERROR(_xlfn.STDEV.S(IF((OutputTable[GroupByKey]=OutputTable[[#This Row],[GroupByKey]]),(OutputTable[GroupByKey]=OutputTable[[#This Row],[GroupByKey]])*OutputTable[RecordedValue])),0)</f>
        <v>0</v>
      </c>
      <c r="M294" s="5" cm="1">
        <f t="array" ref="M294">MAX(IF((ProjectInfoTable[ProjectName]=OutputTable[[#This Row],[ProjectName]]),(ProjectInfoTable[ProjectName]=OutputTable[[#This Row],[ProjectName]])*ProjectInfoTable[ConfidenceInterval]))</f>
        <v>0.95</v>
      </c>
      <c r="N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4" s="5" cm="1">
        <f t="array" ref="O294">MIN(IF((OutputTable[GroupByKey]=OutputTable[[#This Row],[GroupByKey]]),(OutputTable[GroupByKey]=OutputTable[[#This Row],[GroupByKey]])*OutputTable[RecordedValue]))</f>
        <v>3</v>
      </c>
      <c r="P294" s="5" cm="1">
        <f t="array" ref="P294">MAX(IF((OutputTable[GroupByKey]=OutputTable[[#This Row],[GroupByKey]]),(OutputTable[GroupByKey]=OutputTable[[#This Row],[GroupByKey]])*OutputTable[RecordedValue]))</f>
        <v>3</v>
      </c>
    </row>
    <row r="295" spans="1:16" x14ac:dyDescent="0.25">
      <c r="A295" t="s">
        <v>67</v>
      </c>
      <c r="B295" t="s">
        <v>69</v>
      </c>
      <c r="C295">
        <v>14</v>
      </c>
      <c r="D295" t="s">
        <v>171</v>
      </c>
      <c r="E295" t="s">
        <v>147</v>
      </c>
      <c r="F295" t="s">
        <v>72</v>
      </c>
      <c r="G295">
        <v>3</v>
      </c>
      <c r="H295">
        <v>0</v>
      </c>
      <c r="I295" s="5" t="str">
        <f>OutputTable[[#This Row],[ProjectName]]&amp;OutputTable[[#This Row],[Name]]&amp;OutputTable[[#This Row],[Type]]&amp;OutputTable[[#This Row],[Source]]</f>
        <v>Friday (Solucion: datafono, gofre, cocina y caja compartida)reloj.NumberOutNumber OutEntity</v>
      </c>
      <c r="J295" s="5" cm="1">
        <f t="array" ref="J295">MAX(IF((ProjectInfoTable[ProjectName]=OutputTable[[#This Row],[ProjectName]]),(ProjectInfoTable[ProjectName]=OutputTable[[#This Row],[ProjectName]])*ProjectInfoTable[NumberOfReplications]))</f>
        <v>19</v>
      </c>
      <c r="K295" s="5" cm="1">
        <f t="array" ref="K295">IFERROR(AVERAGE(IF((OutputTable[GroupByKey]=OutputTable[[#This Row],[GroupByKey]]),(OutputTable[GroupByKey]=OutputTable[[#This Row],[GroupByKey]])*OutputTable[RecordedValue])),0)</f>
        <v>3</v>
      </c>
      <c r="L295" s="5" cm="1">
        <f t="array" ref="L295">IFERROR(_xlfn.STDEV.S(IF((OutputTable[GroupByKey]=OutputTable[[#This Row],[GroupByKey]]),(OutputTable[GroupByKey]=OutputTable[[#This Row],[GroupByKey]])*OutputTable[RecordedValue])),0)</f>
        <v>0</v>
      </c>
      <c r="M295" s="5" cm="1">
        <f t="array" ref="M295">MAX(IF((ProjectInfoTable[ProjectName]=OutputTable[[#This Row],[ProjectName]]),(ProjectInfoTable[ProjectName]=OutputTable[[#This Row],[ProjectName]])*ProjectInfoTable[ConfidenceInterval]))</f>
        <v>0.95</v>
      </c>
      <c r="N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5" s="5" cm="1">
        <f t="array" ref="O295">MIN(IF((OutputTable[GroupByKey]=OutputTable[[#This Row],[GroupByKey]]),(OutputTable[GroupByKey]=OutputTable[[#This Row],[GroupByKey]])*OutputTable[RecordedValue]))</f>
        <v>3</v>
      </c>
      <c r="P295" s="5" cm="1">
        <f t="array" ref="P295">MAX(IF((OutputTable[GroupByKey]=OutputTable[[#This Row],[GroupByKey]]),(OutputTable[GroupByKey]=OutputTable[[#This Row],[GroupByKey]])*OutputTable[RecordedValue]))</f>
        <v>3</v>
      </c>
    </row>
    <row r="296" spans="1:16" x14ac:dyDescent="0.25">
      <c r="A296" t="s">
        <v>67</v>
      </c>
      <c r="B296" t="s">
        <v>69</v>
      </c>
      <c r="C296">
        <v>15</v>
      </c>
      <c r="D296" t="s">
        <v>144</v>
      </c>
      <c r="E296" t="s">
        <v>145</v>
      </c>
      <c r="F296" t="s">
        <v>72</v>
      </c>
      <c r="G296">
        <v>376</v>
      </c>
      <c r="H296">
        <v>0</v>
      </c>
      <c r="I296" s="5" t="str">
        <f>OutputTable[[#This Row],[ProjectName]]&amp;OutputTable[[#This Row],[Name]]&amp;OutputTable[[#This Row],[Type]]&amp;OutputTable[[#This Row],[Source]]</f>
        <v>Friday (Solucion: datafono, gofre, cocina y caja compartida)Cliente.NumberInNumber InEntity</v>
      </c>
      <c r="J296" s="5" cm="1">
        <f t="array" ref="J296">MAX(IF((ProjectInfoTable[ProjectName]=OutputTable[[#This Row],[ProjectName]]),(ProjectInfoTable[ProjectName]=OutputTable[[#This Row],[ProjectName]])*ProjectInfoTable[NumberOfReplications]))</f>
        <v>19</v>
      </c>
      <c r="K296" s="5" cm="1">
        <f t="array" ref="K296">IFERROR(AVERAGE(IF((OutputTable[GroupByKey]=OutputTable[[#This Row],[GroupByKey]]),(OutputTable[GroupByKey]=OutputTable[[#This Row],[GroupByKey]])*OutputTable[RecordedValue])),0)</f>
        <v>366.21052631578948</v>
      </c>
      <c r="L296" s="5" cm="1">
        <f t="array" ref="L296">IFERROR(_xlfn.STDEV.S(IF((OutputTable[GroupByKey]=OutputTable[[#This Row],[GroupByKey]]),(OutputTable[GroupByKey]=OutputTable[[#This Row],[GroupByKey]])*OutputTable[RecordedValue])),0)</f>
        <v>28.665850661580702</v>
      </c>
      <c r="M296" s="5" cm="1">
        <f t="array" ref="M296">MAX(IF((ProjectInfoTable[ProjectName]=OutputTable[[#This Row],[ProjectName]]),(ProjectInfoTable[ProjectName]=OutputTable[[#This Row],[ProjectName]])*ProjectInfoTable[ConfidenceInterval]))</f>
        <v>0.95</v>
      </c>
      <c r="N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13.816497752584581</v>
      </c>
      <c r="O296" s="5" cm="1">
        <f t="array" ref="O296">MIN(IF((OutputTable[GroupByKey]=OutputTable[[#This Row],[GroupByKey]]),(OutputTable[GroupByKey]=OutputTable[[#This Row],[GroupByKey]])*OutputTable[RecordedValue]))</f>
        <v>331</v>
      </c>
      <c r="P296" s="5" cm="1">
        <f t="array" ref="P296">MAX(IF((OutputTable[GroupByKey]=OutputTable[[#This Row],[GroupByKey]]),(OutputTable[GroupByKey]=OutputTable[[#This Row],[GroupByKey]])*OutputTable[RecordedValue]))</f>
        <v>427</v>
      </c>
    </row>
    <row r="297" spans="1:16" x14ac:dyDescent="0.25">
      <c r="A297" t="s">
        <v>67</v>
      </c>
      <c r="B297" t="s">
        <v>69</v>
      </c>
      <c r="C297">
        <v>15</v>
      </c>
      <c r="D297" t="s">
        <v>146</v>
      </c>
      <c r="E297" t="s">
        <v>147</v>
      </c>
      <c r="F297" t="s">
        <v>72</v>
      </c>
      <c r="G297">
        <v>380</v>
      </c>
      <c r="H297">
        <v>0</v>
      </c>
      <c r="I297" s="5" t="str">
        <f>OutputTable[[#This Row],[ProjectName]]&amp;OutputTable[[#This Row],[Name]]&amp;OutputTable[[#This Row],[Type]]&amp;OutputTable[[#This Row],[Source]]</f>
        <v>Friday (Solucion: datafono, gofre, cocina y caja compartida)Cliente.NumberOutNumber OutEntity</v>
      </c>
      <c r="J297" s="5" cm="1">
        <f t="array" ref="J297">MAX(IF((ProjectInfoTable[ProjectName]=OutputTable[[#This Row],[ProjectName]]),(ProjectInfoTable[ProjectName]=OutputTable[[#This Row],[ProjectName]])*ProjectInfoTable[NumberOfReplications]))</f>
        <v>19</v>
      </c>
      <c r="K297" s="5" cm="1">
        <f t="array" ref="K297">IFERROR(AVERAGE(IF((OutputTable[GroupByKey]=OutputTable[[#This Row],[GroupByKey]]),(OutputTable[GroupByKey]=OutputTable[[#This Row],[GroupByKey]])*OutputTable[RecordedValue])),0)</f>
        <v>366.63157894736844</v>
      </c>
      <c r="L297" s="5" cm="1">
        <f t="array" ref="L297">IFERROR(_xlfn.STDEV.S(IF((OutputTable[GroupByKey]=OutputTable[[#This Row],[GroupByKey]]),(OutputTable[GroupByKey]=OutputTable[[#This Row],[GroupByKey]])*OutputTable[RecordedValue])),0)</f>
        <v>29.957767544617038</v>
      </c>
      <c r="M297" s="5" cm="1">
        <f t="array" ref="M297">MAX(IF((ProjectInfoTable[ProjectName]=OutputTable[[#This Row],[ProjectName]]),(ProjectInfoTable[ProjectName]=OutputTable[[#This Row],[ProjectName]])*ProjectInfoTable[ConfidenceInterval]))</f>
        <v>0.95</v>
      </c>
      <c r="N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14.439181758083874</v>
      </c>
      <c r="O297" s="5" cm="1">
        <f t="array" ref="O297">MIN(IF((OutputTable[GroupByKey]=OutputTable[[#This Row],[GroupByKey]]),(OutputTable[GroupByKey]=OutputTable[[#This Row],[GroupByKey]])*OutputTable[RecordedValue]))</f>
        <v>329</v>
      </c>
      <c r="P297" s="5" cm="1">
        <f t="array" ref="P297">MAX(IF((OutputTable[GroupByKey]=OutputTable[[#This Row],[GroupByKey]]),(OutputTable[GroupByKey]=OutputTable[[#This Row],[GroupByKey]])*OutputTable[RecordedValue]))</f>
        <v>443</v>
      </c>
    </row>
    <row r="298" spans="1:16" x14ac:dyDescent="0.25">
      <c r="A298" t="s">
        <v>67</v>
      </c>
      <c r="B298" t="s">
        <v>69</v>
      </c>
      <c r="C298">
        <v>15</v>
      </c>
      <c r="D298" t="s">
        <v>148</v>
      </c>
      <c r="E298" t="s">
        <v>149</v>
      </c>
      <c r="F298" t="s">
        <v>86</v>
      </c>
      <c r="G298">
        <v>257.71283231528997</v>
      </c>
      <c r="H298">
        <v>0</v>
      </c>
      <c r="I298" s="5" t="str">
        <f>OutputTable[[#This Row],[ProjectName]]&amp;OutputTable[[#This Row],[Name]]&amp;OutputTable[[#This Row],[Type]]&amp;OutputTable[[#This Row],[Source]]</f>
        <v>Friday (Solucion: datafono, gofre, cocina y caja compartida)Comer en Mesa Accum VA TimeAccum VA TimeProcess</v>
      </c>
      <c r="J298" s="5" cm="1">
        <f t="array" ref="J298">MAX(IF((ProjectInfoTable[ProjectName]=OutputTable[[#This Row],[ProjectName]]),(ProjectInfoTable[ProjectName]=OutputTable[[#This Row],[ProjectName]])*ProjectInfoTable[NumberOfReplications]))</f>
        <v>19</v>
      </c>
      <c r="K298" s="5" cm="1">
        <f t="array" ref="K298">IFERROR(AVERAGE(IF((OutputTable[GroupByKey]=OutputTable[[#This Row],[GroupByKey]]),(OutputTable[GroupByKey]=OutputTable[[#This Row],[GroupByKey]])*OutputTable[RecordedValue])),0)</f>
        <v>283.12549562397913</v>
      </c>
      <c r="L298" s="5" cm="1">
        <f t="array" ref="L298">IFERROR(_xlfn.STDEV.S(IF((OutputTable[GroupByKey]=OutputTable[[#This Row],[GroupByKey]]),(OutputTable[GroupByKey]=OutputTable[[#This Row],[GroupByKey]])*OutputTable[RecordedValue])),0)</f>
        <v>55.763238037894645</v>
      </c>
      <c r="M298" s="5" cm="1">
        <f t="array" ref="M298">MAX(IF((ProjectInfoTable[ProjectName]=OutputTable[[#This Row],[ProjectName]]),(ProjectInfoTable[ProjectName]=OutputTable[[#This Row],[ProjectName]])*ProjectInfoTable[ConfidenceInterval]))</f>
        <v>0.95</v>
      </c>
      <c r="N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26.877020400444863</v>
      </c>
      <c r="O298" s="5" cm="1">
        <f t="array" ref="O298">MIN(IF((OutputTable[GroupByKey]=OutputTable[[#This Row],[GroupByKey]]),(OutputTable[GroupByKey]=OutputTable[[#This Row],[GroupByKey]])*OutputTable[RecordedValue]))</f>
        <v>157.05073652574001</v>
      </c>
      <c r="P298" s="5" cm="1">
        <f t="array" ref="P298">MAX(IF((OutputTable[GroupByKey]=OutputTable[[#This Row],[GroupByKey]]),(OutputTable[GroupByKey]=OutputTable[[#This Row],[GroupByKey]])*OutputTable[RecordedValue]))</f>
        <v>402.97015039838902</v>
      </c>
    </row>
    <row r="299" spans="1:16" x14ac:dyDescent="0.25">
      <c r="A299" t="s">
        <v>67</v>
      </c>
      <c r="B299" t="s">
        <v>69</v>
      </c>
      <c r="C299">
        <v>15</v>
      </c>
      <c r="D299" t="s">
        <v>150</v>
      </c>
      <c r="E299" t="s">
        <v>151</v>
      </c>
      <c r="F299" t="s">
        <v>86</v>
      </c>
      <c r="G299">
        <v>0</v>
      </c>
      <c r="H299">
        <v>0</v>
      </c>
      <c r="I299" s="5" t="str">
        <f>OutputTable[[#This Row],[ProjectName]]&amp;OutputTable[[#This Row],[Name]]&amp;OutputTable[[#This Row],[Type]]&amp;OutputTable[[#This Row],[Source]]</f>
        <v>Friday (Solucion: datafono, gofre, cocina y caja compartida)Comer en Mesa Accum Wait TimeAccum Wait TimeProcess</v>
      </c>
      <c r="J299" s="5" cm="1">
        <f t="array" ref="J299">MAX(IF((ProjectInfoTable[ProjectName]=OutputTable[[#This Row],[ProjectName]]),(ProjectInfoTable[ProjectName]=OutputTable[[#This Row],[ProjectName]])*ProjectInfoTable[NumberOfReplications]))</f>
        <v>19</v>
      </c>
      <c r="K299" s="5" cm="1">
        <f t="array" ref="K299">IFERROR(AVERAGE(IF((OutputTable[GroupByKey]=OutputTable[[#This Row],[GroupByKey]]),(OutputTable[GroupByKey]=OutputTable[[#This Row],[GroupByKey]])*OutputTable[RecordedValue])),0)</f>
        <v>0</v>
      </c>
      <c r="L299" s="5" cm="1">
        <f t="array" ref="L299">IFERROR(_xlfn.STDEV.S(IF((OutputTable[GroupByKey]=OutputTable[[#This Row],[GroupByKey]]),(OutputTable[GroupByKey]=OutputTable[[#This Row],[GroupByKey]])*OutputTable[RecordedValue])),0)</f>
        <v>0</v>
      </c>
      <c r="M299" s="5" cm="1">
        <f t="array" ref="M299">MAX(IF((ProjectInfoTable[ProjectName]=OutputTable[[#This Row],[ProjectName]]),(ProjectInfoTable[ProjectName]=OutputTable[[#This Row],[ProjectName]])*ProjectInfoTable[ConfidenceInterval]))</f>
        <v>0.95</v>
      </c>
      <c r="N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9" s="5" cm="1">
        <f t="array" ref="O299">MIN(IF((OutputTable[GroupByKey]=OutputTable[[#This Row],[GroupByKey]]),(OutputTable[GroupByKey]=OutputTable[[#This Row],[GroupByKey]])*OutputTable[RecordedValue]))</f>
        <v>0</v>
      </c>
      <c r="P299" s="5" cm="1">
        <f t="array" ref="P299">MAX(IF((OutputTable[GroupByKey]=OutputTable[[#This Row],[GroupByKey]]),(OutputTable[GroupByKey]=OutputTable[[#This Row],[GroupByKey]])*OutputTable[RecordedValue]))</f>
        <v>0</v>
      </c>
    </row>
    <row r="300" spans="1:16" x14ac:dyDescent="0.25">
      <c r="A300" t="s">
        <v>67</v>
      </c>
      <c r="B300" t="s">
        <v>69</v>
      </c>
      <c r="C300">
        <v>15</v>
      </c>
      <c r="D300" t="s">
        <v>152</v>
      </c>
      <c r="E300" t="s">
        <v>145</v>
      </c>
      <c r="F300" t="s">
        <v>86</v>
      </c>
      <c r="G300">
        <v>11</v>
      </c>
      <c r="H300">
        <v>0</v>
      </c>
      <c r="I300" s="5" t="str">
        <f>OutputTable[[#This Row],[ProjectName]]&amp;OutputTable[[#This Row],[Name]]&amp;OutputTable[[#This Row],[Type]]&amp;OutputTable[[#This Row],[Source]]</f>
        <v>Friday (Solucion: datafono, gofre, cocina y caja compartida)Comer en Mesa Number InNumber InProcess</v>
      </c>
      <c r="J300" s="5" cm="1">
        <f t="array" ref="J300">MAX(IF((ProjectInfoTable[ProjectName]=OutputTable[[#This Row],[ProjectName]]),(ProjectInfoTable[ProjectName]=OutputTable[[#This Row],[ProjectName]])*ProjectInfoTable[NumberOfReplications]))</f>
        <v>19</v>
      </c>
      <c r="K300" s="5" cm="1">
        <f t="array" ref="K300">IFERROR(AVERAGE(IF((OutputTable[GroupByKey]=OutputTable[[#This Row],[GroupByKey]]),(OutputTable[GroupByKey]=OutputTable[[#This Row],[GroupByKey]])*OutputTable[RecordedValue])),0)</f>
        <v>16.157894736842106</v>
      </c>
      <c r="L300" s="5" cm="1">
        <f t="array" ref="L300">IFERROR(_xlfn.STDEV.S(IF((OutputTable[GroupByKey]=OutputTable[[#This Row],[GroupByKey]]),(OutputTable[GroupByKey]=OutputTable[[#This Row],[GroupByKey]])*OutputTable[RecordedValue])),0)</f>
        <v>3.8044295512634076</v>
      </c>
      <c r="M300" s="5" cm="1">
        <f t="array" ref="M300">MAX(IF((ProjectInfoTable[ProjectName]=OutputTable[[#This Row],[ProjectName]]),(ProjectInfoTable[ProjectName]=OutputTable[[#This Row],[ProjectName]])*ProjectInfoTable[ConfidenceInterval]))</f>
        <v>0.95</v>
      </c>
      <c r="N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300" s="5" cm="1">
        <f t="array" ref="O300">MIN(IF((OutputTable[GroupByKey]=OutputTable[[#This Row],[GroupByKey]]),(OutputTable[GroupByKey]=OutputTable[[#This Row],[GroupByKey]])*OutputTable[RecordedValue]))</f>
        <v>9</v>
      </c>
      <c r="P300" s="5" cm="1">
        <f t="array" ref="P300">MAX(IF((OutputTable[GroupByKey]=OutputTable[[#This Row],[GroupByKey]]),(OutputTable[GroupByKey]=OutputTable[[#This Row],[GroupByKey]])*OutputTable[RecordedValue]))</f>
        <v>24</v>
      </c>
    </row>
    <row r="301" spans="1:16" x14ac:dyDescent="0.25">
      <c r="A301" t="s">
        <v>67</v>
      </c>
      <c r="B301" t="s">
        <v>69</v>
      </c>
      <c r="C301">
        <v>15</v>
      </c>
      <c r="D301" t="s">
        <v>153</v>
      </c>
      <c r="E301" t="s">
        <v>147</v>
      </c>
      <c r="F301" t="s">
        <v>86</v>
      </c>
      <c r="G301">
        <v>12</v>
      </c>
      <c r="H301">
        <v>0</v>
      </c>
      <c r="I301" s="5" t="str">
        <f>OutputTable[[#This Row],[ProjectName]]&amp;OutputTable[[#This Row],[Name]]&amp;OutputTable[[#This Row],[Type]]&amp;OutputTable[[#This Row],[Source]]</f>
        <v>Friday (Solucion: datafono, gofre, cocina y caja compartida)Comer en Mesa Number OutNumber OutProcess</v>
      </c>
      <c r="J301" s="5" cm="1">
        <f t="array" ref="J301">MAX(IF((ProjectInfoTable[ProjectName]=OutputTable[[#This Row],[ProjectName]]),(ProjectInfoTable[ProjectName]=OutputTable[[#This Row],[ProjectName]])*ProjectInfoTable[NumberOfReplications]))</f>
        <v>19</v>
      </c>
      <c r="K301" s="5" cm="1">
        <f t="array" ref="K301">IFERROR(AVERAGE(IF((OutputTable[GroupByKey]=OutputTable[[#This Row],[GroupByKey]]),(OutputTable[GroupByKey]=OutputTable[[#This Row],[GroupByKey]])*OutputTable[RecordedValue])),0)</f>
        <v>16.263157894736842</v>
      </c>
      <c r="L301" s="5" cm="1">
        <f t="array" ref="L301">IFERROR(_xlfn.STDEV.S(IF((OutputTable[GroupByKey]=OutputTable[[#This Row],[GroupByKey]]),(OutputTable[GroupByKey]=OutputTable[[#This Row],[GroupByKey]])*OutputTable[RecordedValue])),0)</f>
        <v>3.3803698887540881</v>
      </c>
      <c r="M301" s="5" cm="1">
        <f t="array" ref="M301">MAX(IF((ProjectInfoTable[ProjectName]=OutputTable[[#This Row],[ProjectName]]),(ProjectInfoTable[ProjectName]=OutputTable[[#This Row],[ProjectName]])*ProjectInfoTable[ConfidenceInterval]))</f>
        <v>0.95</v>
      </c>
      <c r="N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1.6292861329062698</v>
      </c>
      <c r="O301" s="5" cm="1">
        <f t="array" ref="O301">MIN(IF((OutputTable[GroupByKey]=OutputTable[[#This Row],[GroupByKey]]),(OutputTable[GroupByKey]=OutputTable[[#This Row],[GroupByKey]])*OutputTable[RecordedValue]))</f>
        <v>8</v>
      </c>
      <c r="P301" s="5" cm="1">
        <f t="array" ref="P301">MAX(IF((OutputTable[GroupByKey]=OutputTable[[#This Row],[GroupByKey]]),(OutputTable[GroupByKey]=OutputTable[[#This Row],[GroupByKey]])*OutputTable[RecordedValue]))</f>
        <v>22</v>
      </c>
    </row>
    <row r="302" spans="1:16" x14ac:dyDescent="0.25">
      <c r="A302" t="s">
        <v>67</v>
      </c>
      <c r="B302" t="s">
        <v>69</v>
      </c>
      <c r="C302">
        <v>15</v>
      </c>
      <c r="D302" t="s">
        <v>154</v>
      </c>
      <c r="E302" t="s">
        <v>145</v>
      </c>
      <c r="F302" t="s">
        <v>72</v>
      </c>
      <c r="G302">
        <v>124</v>
      </c>
      <c r="H302">
        <v>0</v>
      </c>
      <c r="I302" s="5" t="str">
        <f>OutputTable[[#This Row],[ProjectName]]&amp;OutputTable[[#This Row],[Name]]&amp;OutputTable[[#This Row],[Type]]&amp;OutputTable[[#This Row],[Source]]</f>
        <v>Friday (Solucion: datafono, gofre, cocina y caja compartida)Orden.NumberInNumber InEntity</v>
      </c>
      <c r="J302" s="5" cm="1">
        <f t="array" ref="J302">MAX(IF((ProjectInfoTable[ProjectName]=OutputTable[[#This Row],[ProjectName]]),(ProjectInfoTable[ProjectName]=OutputTable[[#This Row],[ProjectName]])*ProjectInfoTable[NumberOfReplications]))</f>
        <v>19</v>
      </c>
      <c r="K302" s="5" cm="1">
        <f t="array" ref="K302">IFERROR(AVERAGE(IF((OutputTable[GroupByKey]=OutputTable[[#This Row],[GroupByKey]]),(OutputTable[GroupByKey]=OutputTable[[#This Row],[GroupByKey]])*OutputTable[RecordedValue])),0)</f>
        <v>121.89473684210526</v>
      </c>
      <c r="L302" s="5" cm="1">
        <f t="array" ref="L302">IFERROR(_xlfn.STDEV.S(IF((OutputTable[GroupByKey]=OutputTable[[#This Row],[GroupByKey]]),(OutputTable[GroupByKey]=OutputTable[[#This Row],[GroupByKey]])*OutputTable[RecordedValue])),0)</f>
        <v>9.971597090637573</v>
      </c>
      <c r="M302" s="5" cm="1">
        <f t="array" ref="M302">MAX(IF((ProjectInfoTable[ProjectName]=OutputTable[[#This Row],[ProjectName]]),(ProjectInfoTable[ProjectName]=OutputTable[[#This Row],[ProjectName]])*ProjectInfoTable[ConfidenceInterval]))</f>
        <v>0.95</v>
      </c>
      <c r="N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302" s="5" cm="1">
        <f t="array" ref="O302">MIN(IF((OutputTable[GroupByKey]=OutputTable[[#This Row],[GroupByKey]]),(OutputTable[GroupByKey]=OutputTable[[#This Row],[GroupByKey]])*OutputTable[RecordedValue]))</f>
        <v>109</v>
      </c>
      <c r="P302" s="5" cm="1">
        <f t="array" ref="P302">MAX(IF((OutputTable[GroupByKey]=OutputTable[[#This Row],[GroupByKey]]),(OutputTable[GroupByKey]=OutputTable[[#This Row],[GroupByKey]])*OutputTable[RecordedValue]))</f>
        <v>143</v>
      </c>
    </row>
    <row r="303" spans="1:16" x14ac:dyDescent="0.25">
      <c r="A303" t="s">
        <v>67</v>
      </c>
      <c r="B303" t="s">
        <v>69</v>
      </c>
      <c r="C303">
        <v>15</v>
      </c>
      <c r="D303" t="s">
        <v>155</v>
      </c>
      <c r="E303" t="s">
        <v>147</v>
      </c>
      <c r="F303" t="s">
        <v>72</v>
      </c>
      <c r="G303">
        <v>128</v>
      </c>
      <c r="H303">
        <v>0</v>
      </c>
      <c r="I303" s="5" t="str">
        <f>OutputTable[[#This Row],[ProjectName]]&amp;OutputTable[[#This Row],[Name]]&amp;OutputTable[[#This Row],[Type]]&amp;OutputTable[[#This Row],[Source]]</f>
        <v>Friday (Solucion: datafono, gofre, cocina y caja compartida)Orden.NumberOutNumber OutEntity</v>
      </c>
      <c r="J303" s="5" cm="1">
        <f t="array" ref="J303">MAX(IF((ProjectInfoTable[ProjectName]=OutputTable[[#This Row],[ProjectName]]),(ProjectInfoTable[ProjectName]=OutputTable[[#This Row],[ProjectName]])*ProjectInfoTable[NumberOfReplications]))</f>
        <v>19</v>
      </c>
      <c r="K303" s="5" cm="1">
        <f t="array" ref="K303">IFERROR(AVERAGE(IF((OutputTable[GroupByKey]=OutputTable[[#This Row],[GroupByKey]]),(OutputTable[GroupByKey]=OutputTable[[#This Row],[GroupByKey]])*OutputTable[RecordedValue])),0)</f>
        <v>122.36842105263158</v>
      </c>
      <c r="L303" s="5" cm="1">
        <f t="array" ref="L303">IFERROR(_xlfn.STDEV.S(IF((OutputTable[GroupByKey]=OutputTable[[#This Row],[GroupByKey]]),(OutputTable[GroupByKey]=OutputTable[[#This Row],[GroupByKey]])*OutputTable[RecordedValue])),0)</f>
        <v>10.160984894934533</v>
      </c>
      <c r="M303" s="5" cm="1">
        <f t="array" ref="M303">MAX(IF((ProjectInfoTable[ProjectName]=OutputTable[[#This Row],[ProjectName]]),(ProjectInfoTable[ProjectName]=OutputTable[[#This Row],[ProjectName]])*ProjectInfoTable[ConfidenceInterval]))</f>
        <v>0.95</v>
      </c>
      <c r="N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303" s="5" cm="1">
        <f t="array" ref="O303">MIN(IF((OutputTable[GroupByKey]=OutputTable[[#This Row],[GroupByKey]]),(OutputTable[GroupByKey]=OutputTable[[#This Row],[GroupByKey]])*OutputTable[RecordedValue]))</f>
        <v>109</v>
      </c>
      <c r="P303" s="5" cm="1">
        <f t="array" ref="P303">MAX(IF((OutputTable[GroupByKey]=OutputTable[[#This Row],[GroupByKey]]),(OutputTable[GroupByKey]=OutputTable[[#This Row],[GroupByKey]])*OutputTable[RecordedValue]))</f>
        <v>150</v>
      </c>
    </row>
    <row r="304" spans="1:16" x14ac:dyDescent="0.25">
      <c r="A304" t="s">
        <v>67</v>
      </c>
      <c r="B304" t="s">
        <v>69</v>
      </c>
      <c r="C304">
        <v>15</v>
      </c>
      <c r="D304" t="s">
        <v>156</v>
      </c>
      <c r="E304" t="s">
        <v>149</v>
      </c>
      <c r="F304" t="s">
        <v>86</v>
      </c>
      <c r="G304">
        <v>176.85530283170499</v>
      </c>
      <c r="H304">
        <v>0</v>
      </c>
      <c r="I304" s="5" t="str">
        <f>OutputTable[[#This Row],[ProjectName]]&amp;OutputTable[[#This Row],[Name]]&amp;OutputTable[[#This Row],[Type]]&amp;OutputTable[[#This Row],[Source]]</f>
        <v>Friday (Solucion: datafono, gofre, cocina y caja compartida)Preparacion Accum VA TimeAccum VA TimeProcess</v>
      </c>
      <c r="J304" s="5" cm="1">
        <f t="array" ref="J304">MAX(IF((ProjectInfoTable[ProjectName]=OutputTable[[#This Row],[ProjectName]]),(ProjectInfoTable[ProjectName]=OutputTable[[#This Row],[ProjectName]])*ProjectInfoTable[NumberOfReplications]))</f>
        <v>19</v>
      </c>
      <c r="K304" s="5" cm="1">
        <f t="array" ref="K304">IFERROR(AVERAGE(IF((OutputTable[GroupByKey]=OutputTable[[#This Row],[GroupByKey]]),(OutputTable[GroupByKey]=OutputTable[[#This Row],[GroupByKey]])*OutputTable[RecordedValue])),0)</f>
        <v>174.13537587676447</v>
      </c>
      <c r="L304" s="5" cm="1">
        <f t="array" ref="L304">IFERROR(_xlfn.STDEV.S(IF((OutputTable[GroupByKey]=OutputTable[[#This Row],[GroupByKey]]),(OutputTable[GroupByKey]=OutputTable[[#This Row],[GroupByKey]])*OutputTable[RecordedValue])),0)</f>
        <v>19.65074675456297</v>
      </c>
      <c r="M304" s="5" cm="1">
        <f t="array" ref="M304">MAX(IF((ProjectInfoTable[ProjectName]=OutputTable[[#This Row],[ProjectName]]),(ProjectInfoTable[ProjectName]=OutputTable[[#This Row],[ProjectName]])*ProjectInfoTable[ConfidenceInterval]))</f>
        <v>0.95</v>
      </c>
      <c r="N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9.4713567574295272</v>
      </c>
      <c r="O304" s="5" cm="1">
        <f t="array" ref="O304">MIN(IF((OutputTable[GroupByKey]=OutputTable[[#This Row],[GroupByKey]]),(OutputTable[GroupByKey]=OutputTable[[#This Row],[GroupByKey]])*OutputTable[RecordedValue]))</f>
        <v>139.22471453685199</v>
      </c>
      <c r="P304" s="5" cm="1">
        <f t="array" ref="P304">MAX(IF((OutputTable[GroupByKey]=OutputTable[[#This Row],[GroupByKey]]),(OutputTable[GroupByKey]=OutputTable[[#This Row],[GroupByKey]])*OutputTable[RecordedValue]))</f>
        <v>210.18722493890999</v>
      </c>
    </row>
    <row r="305" spans="1:16" x14ac:dyDescent="0.25">
      <c r="A305" t="s">
        <v>67</v>
      </c>
      <c r="B305" t="s">
        <v>69</v>
      </c>
      <c r="C305">
        <v>15</v>
      </c>
      <c r="D305" t="s">
        <v>157</v>
      </c>
      <c r="E305" t="s">
        <v>151</v>
      </c>
      <c r="F305" t="s">
        <v>86</v>
      </c>
      <c r="G305">
        <v>62.402819181502799</v>
      </c>
      <c r="H305">
        <v>0</v>
      </c>
      <c r="I305" s="5" t="str">
        <f>OutputTable[[#This Row],[ProjectName]]&amp;OutputTable[[#This Row],[Name]]&amp;OutputTable[[#This Row],[Type]]&amp;OutputTable[[#This Row],[Source]]</f>
        <v>Friday (Solucion: datafono, gofre, cocina y caja compartida)Preparacion Accum Wait TimeAccum Wait TimeProcess</v>
      </c>
      <c r="J305" s="5" cm="1">
        <f t="array" ref="J305">MAX(IF((ProjectInfoTable[ProjectName]=OutputTable[[#This Row],[ProjectName]]),(ProjectInfoTable[ProjectName]=OutputTable[[#This Row],[ProjectName]])*ProjectInfoTable[NumberOfReplications]))</f>
        <v>19</v>
      </c>
      <c r="K305" s="5" cm="1">
        <f t="array" ref="K305">IFERROR(AVERAGE(IF((OutputTable[GroupByKey]=OutputTable[[#This Row],[GroupByKey]]),(OutputTable[GroupByKey]=OutputTable[[#This Row],[GroupByKey]])*OutputTable[RecordedValue])),0)</f>
        <v>89.754366677107924</v>
      </c>
      <c r="L305" s="5" cm="1">
        <f t="array" ref="L305">IFERROR(_xlfn.STDEV.S(IF((OutputTable[GroupByKey]=OutputTable[[#This Row],[GroupByKey]]),(OutputTable[GroupByKey]=OutputTable[[#This Row],[GroupByKey]])*OutputTable[RecordedValue])),0)</f>
        <v>109.53061123574736</v>
      </c>
      <c r="M305" s="5" cm="1">
        <f t="array" ref="M305">MAX(IF((ProjectInfoTable[ProjectName]=OutputTable[[#This Row],[ProjectName]]),(ProjectInfoTable[ProjectName]=OutputTable[[#This Row],[ProjectName]])*ProjectInfoTable[ConfidenceInterval]))</f>
        <v>0.95</v>
      </c>
      <c r="N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52.79206474085742</v>
      </c>
      <c r="O305" s="5" cm="1">
        <f t="array" ref="O305">MIN(IF((OutputTable[GroupByKey]=OutputTable[[#This Row],[GroupByKey]]),(OutputTable[GroupByKey]=OutputTable[[#This Row],[GroupByKey]])*OutputTable[RecordedValue]))</f>
        <v>22.316256244919199</v>
      </c>
      <c r="P305" s="5" cm="1">
        <f t="array" ref="P305">MAX(IF((OutputTable[GroupByKey]=OutputTable[[#This Row],[GroupByKey]]),(OutputTable[GroupByKey]=OutputTable[[#This Row],[GroupByKey]])*OutputTable[RecordedValue]))</f>
        <v>514.987116007179</v>
      </c>
    </row>
    <row r="306" spans="1:16" x14ac:dyDescent="0.25">
      <c r="A306" t="s">
        <v>67</v>
      </c>
      <c r="B306" t="s">
        <v>69</v>
      </c>
      <c r="C306">
        <v>15</v>
      </c>
      <c r="D306" t="s">
        <v>158</v>
      </c>
      <c r="E306" t="s">
        <v>145</v>
      </c>
      <c r="F306" t="s">
        <v>86</v>
      </c>
      <c r="G306">
        <v>124</v>
      </c>
      <c r="H306">
        <v>0</v>
      </c>
      <c r="I306" s="5" t="str">
        <f>OutputTable[[#This Row],[ProjectName]]&amp;OutputTable[[#This Row],[Name]]&amp;OutputTable[[#This Row],[Type]]&amp;OutputTable[[#This Row],[Source]]</f>
        <v>Friday (Solucion: datafono, gofre, cocina y caja compartida)Preparacion Number InNumber InProcess</v>
      </c>
      <c r="J306" s="5" cm="1">
        <f t="array" ref="J306">MAX(IF((ProjectInfoTable[ProjectName]=OutputTable[[#This Row],[ProjectName]]),(ProjectInfoTable[ProjectName]=OutputTable[[#This Row],[ProjectName]])*ProjectInfoTable[NumberOfReplications]))</f>
        <v>19</v>
      </c>
      <c r="K306" s="5" cm="1">
        <f t="array" ref="K306">IFERROR(AVERAGE(IF((OutputTable[GroupByKey]=OutputTable[[#This Row],[GroupByKey]]),(OutputTable[GroupByKey]=OutputTable[[#This Row],[GroupByKey]])*OutputTable[RecordedValue])),0)</f>
        <v>121.89473684210526</v>
      </c>
      <c r="L306" s="5" cm="1">
        <f t="array" ref="L306">IFERROR(_xlfn.STDEV.S(IF((OutputTable[GroupByKey]=OutputTable[[#This Row],[GroupByKey]]),(OutputTable[GroupByKey]=OutputTable[[#This Row],[GroupByKey]])*OutputTable[RecordedValue])),0)</f>
        <v>9.971597090637573</v>
      </c>
      <c r="M306" s="5" cm="1">
        <f t="array" ref="M306">MAX(IF((ProjectInfoTable[ProjectName]=OutputTable[[#This Row],[ProjectName]]),(ProjectInfoTable[ProjectName]=OutputTable[[#This Row],[ProjectName]])*ProjectInfoTable[ConfidenceInterval]))</f>
        <v>0.95</v>
      </c>
      <c r="N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306" s="5" cm="1">
        <f t="array" ref="O306">MIN(IF((OutputTable[GroupByKey]=OutputTable[[#This Row],[GroupByKey]]),(OutputTable[GroupByKey]=OutputTable[[#This Row],[GroupByKey]])*OutputTable[RecordedValue]))</f>
        <v>109</v>
      </c>
      <c r="P306" s="5" cm="1">
        <f t="array" ref="P306">MAX(IF((OutputTable[GroupByKey]=OutputTable[[#This Row],[GroupByKey]]),(OutputTable[GroupByKey]=OutputTable[[#This Row],[GroupByKey]])*OutputTable[RecordedValue]))</f>
        <v>143</v>
      </c>
    </row>
    <row r="307" spans="1:16" x14ac:dyDescent="0.25">
      <c r="A307" t="s">
        <v>67</v>
      </c>
      <c r="B307" t="s">
        <v>69</v>
      </c>
      <c r="C307">
        <v>15</v>
      </c>
      <c r="D307" t="s">
        <v>159</v>
      </c>
      <c r="E307" t="s">
        <v>147</v>
      </c>
      <c r="F307" t="s">
        <v>86</v>
      </c>
      <c r="G307">
        <v>127</v>
      </c>
      <c r="H307">
        <v>0</v>
      </c>
      <c r="I307" s="5" t="str">
        <f>OutputTable[[#This Row],[ProjectName]]&amp;OutputTable[[#This Row],[Name]]&amp;OutputTable[[#This Row],[Type]]&amp;OutputTable[[#This Row],[Source]]</f>
        <v>Friday (Solucion: datafono, gofre, cocina y caja compartida)Preparacion Number OutNumber OutProcess</v>
      </c>
      <c r="J307" s="5" cm="1">
        <f t="array" ref="J307">MAX(IF((ProjectInfoTable[ProjectName]=OutputTable[[#This Row],[ProjectName]]),(ProjectInfoTable[ProjectName]=OutputTable[[#This Row],[ProjectName]])*ProjectInfoTable[NumberOfReplications]))</f>
        <v>19</v>
      </c>
      <c r="K307" s="5" cm="1">
        <f t="array" ref="K307">IFERROR(AVERAGE(IF((OutputTable[GroupByKey]=OutputTable[[#This Row],[GroupByKey]]),(OutputTable[GroupByKey]=OutputTable[[#This Row],[GroupByKey]])*OutputTable[RecordedValue])),0)</f>
        <v>122.31578947368421</v>
      </c>
      <c r="L307" s="5" cm="1">
        <f t="array" ref="L307">IFERROR(_xlfn.STDEV.S(IF((OutputTable[GroupByKey]=OutputTable[[#This Row],[GroupByKey]]),(OutputTable[GroupByKey]=OutputTable[[#This Row],[GroupByKey]])*OutputTable[RecordedValue])),0)</f>
        <v>10.127260414780096</v>
      </c>
      <c r="M307" s="5" cm="1">
        <f t="array" ref="M307">MAX(IF((ProjectInfoTable[ProjectName]=OutputTable[[#This Row],[ProjectName]]),(ProjectInfoTable[ProjectName]=OutputTable[[#This Row],[ProjectName]])*ProjectInfoTable[ConfidenceInterval]))</f>
        <v>0.95</v>
      </c>
      <c r="N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4.8811832731752718</v>
      </c>
      <c r="O307" s="5" cm="1">
        <f t="array" ref="O307">MIN(IF((OutputTable[GroupByKey]=OutputTable[[#This Row],[GroupByKey]]),(OutputTable[GroupByKey]=OutputTable[[#This Row],[GroupByKey]])*OutputTable[RecordedValue]))</f>
        <v>111</v>
      </c>
      <c r="P307" s="5" cm="1">
        <f t="array" ref="P307">MAX(IF((OutputTable[GroupByKey]=OutputTable[[#This Row],[GroupByKey]]),(OutputTable[GroupByKey]=OutputTable[[#This Row],[GroupByKey]])*OutputTable[RecordedValue]))</f>
        <v>150</v>
      </c>
    </row>
    <row r="308" spans="1:16" x14ac:dyDescent="0.25">
      <c r="A308" t="s">
        <v>67</v>
      </c>
      <c r="B308" t="s">
        <v>69</v>
      </c>
      <c r="C308">
        <v>15</v>
      </c>
      <c r="D308" t="s">
        <v>160</v>
      </c>
      <c r="E308" t="s">
        <v>147</v>
      </c>
      <c r="F308" t="s">
        <v>161</v>
      </c>
      <c r="G308">
        <v>131</v>
      </c>
      <c r="H308">
        <v>0</v>
      </c>
      <c r="I308" s="5" t="str">
        <f>OutputTable[[#This Row],[ProjectName]]&amp;OutputTable[[#This Row],[Name]]&amp;OutputTable[[#This Row],[Type]]&amp;OutputTable[[#This Row],[Source]]</f>
        <v>Friday (Solucion: datafono, gofre, cocina y caja compartida)System.NumberOutNumber OutSystem</v>
      </c>
      <c r="J308" s="5" cm="1">
        <f t="array" ref="J308">MAX(IF((ProjectInfoTable[ProjectName]=OutputTable[[#This Row],[ProjectName]]),(ProjectInfoTable[ProjectName]=OutputTable[[#This Row],[ProjectName]])*ProjectInfoTable[NumberOfReplications]))</f>
        <v>19</v>
      </c>
      <c r="K308" s="5" cm="1">
        <f t="array" ref="K308">IFERROR(AVERAGE(IF((OutputTable[GroupByKey]=OutputTable[[#This Row],[GroupByKey]]),(OutputTable[GroupByKey]=OutputTable[[#This Row],[GroupByKey]])*OutputTable[RecordedValue])),0)</f>
        <v>125.36842105263158</v>
      </c>
      <c r="L308" s="5" cm="1">
        <f t="array" ref="L308">IFERROR(_xlfn.STDEV.S(IF((OutputTable[GroupByKey]=OutputTable[[#This Row],[GroupByKey]]),(OutputTable[GroupByKey]=OutputTable[[#This Row],[GroupByKey]])*OutputTable[RecordedValue])),0)</f>
        <v>10.160984894934533</v>
      </c>
      <c r="M308" s="5" cm="1">
        <f t="array" ref="M308">MAX(IF((ProjectInfoTable[ProjectName]=OutputTable[[#This Row],[ProjectName]]),(ProjectInfoTable[ProjectName]=OutputTable[[#This Row],[ProjectName]])*ProjectInfoTable[ConfidenceInterval]))</f>
        <v>0.95</v>
      </c>
      <c r="N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308" s="5" cm="1">
        <f t="array" ref="O308">MIN(IF((OutputTable[GroupByKey]=OutputTable[[#This Row],[GroupByKey]]),(OutputTable[GroupByKey]=OutputTable[[#This Row],[GroupByKey]])*OutputTable[RecordedValue]))</f>
        <v>112</v>
      </c>
      <c r="P308" s="5" cm="1">
        <f t="array" ref="P308">MAX(IF((OutputTable[GroupByKey]=OutputTable[[#This Row],[GroupByKey]]),(OutputTable[GroupByKey]=OutputTable[[#This Row],[GroupByKey]])*OutputTable[RecordedValue]))</f>
        <v>153</v>
      </c>
    </row>
    <row r="309" spans="1:16" x14ac:dyDescent="0.25">
      <c r="A309" t="s">
        <v>67</v>
      </c>
      <c r="B309" t="s">
        <v>69</v>
      </c>
      <c r="C309">
        <v>15</v>
      </c>
      <c r="D309" t="s">
        <v>162</v>
      </c>
      <c r="E309" t="s">
        <v>163</v>
      </c>
      <c r="F309" t="s">
        <v>136</v>
      </c>
      <c r="G309">
        <v>126</v>
      </c>
      <c r="H309">
        <v>0</v>
      </c>
      <c r="I309" s="5" t="str">
        <f>OutputTable[[#This Row],[ProjectName]]&amp;OutputTable[[#This Row],[Name]]&amp;OutputTable[[#This Row],[Type]]&amp;OutputTable[[#This Row],[Source]]</f>
        <v>Friday (Solucion: datafono, gofre, cocina y caja compartida)rCajero.NumberSeizedTotal Number SeizedResource</v>
      </c>
      <c r="J309" s="5" cm="1">
        <f t="array" ref="J309">MAX(IF((ProjectInfoTable[ProjectName]=OutputTable[[#This Row],[ProjectName]]),(ProjectInfoTable[ProjectName]=OutputTable[[#This Row],[ProjectName]])*ProjectInfoTable[NumberOfReplications]))</f>
        <v>19</v>
      </c>
      <c r="K309" s="5" cm="1">
        <f t="array" ref="K309">IFERROR(AVERAGE(IF((OutputTable[GroupByKey]=OutputTable[[#This Row],[GroupByKey]]),(OutputTable[GroupByKey]=OutputTable[[#This Row],[GroupByKey]])*OutputTable[RecordedValue])),0)</f>
        <v>131.63157894736841</v>
      </c>
      <c r="L309" s="5" cm="1">
        <f t="array" ref="L309">IFERROR(_xlfn.STDEV.S(IF((OutputTable[GroupByKey]=OutputTable[[#This Row],[GroupByKey]]),(OutputTable[GroupByKey]=OutputTable[[#This Row],[GroupByKey]])*OutputTable[RecordedValue])),0)</f>
        <v>13.988926280438102</v>
      </c>
      <c r="M309" s="5" cm="1">
        <f t="array" ref="M309">MAX(IF((ProjectInfoTable[ProjectName]=OutputTable[[#This Row],[ProjectName]]),(ProjectInfoTable[ProjectName]=OutputTable[[#This Row],[ProjectName]])*ProjectInfoTable[ConfidenceInterval]))</f>
        <v>0.95</v>
      </c>
      <c r="N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6.7424466413544986</v>
      </c>
      <c r="O309" s="5" cm="1">
        <f t="array" ref="O309">MIN(IF((OutputTable[GroupByKey]=OutputTable[[#This Row],[GroupByKey]]),(OutputTable[GroupByKey]=OutputTable[[#This Row],[GroupByKey]])*OutputTable[RecordedValue]))</f>
        <v>113</v>
      </c>
      <c r="P309" s="5" cm="1">
        <f t="array" ref="P309">MAX(IF((OutputTable[GroupByKey]=OutputTable[[#This Row],[GroupByKey]]),(OutputTable[GroupByKey]=OutputTable[[#This Row],[GroupByKey]])*OutputTable[RecordedValue]))</f>
        <v>157</v>
      </c>
    </row>
    <row r="310" spans="1:16" x14ac:dyDescent="0.25">
      <c r="A310" t="s">
        <v>67</v>
      </c>
      <c r="B310" t="s">
        <v>69</v>
      </c>
      <c r="C310">
        <v>15</v>
      </c>
      <c r="D310" t="s">
        <v>164</v>
      </c>
      <c r="E310" t="s">
        <v>165</v>
      </c>
      <c r="F310" t="s">
        <v>136</v>
      </c>
      <c r="G310">
        <v>0.69703284839692703</v>
      </c>
      <c r="H310">
        <v>0</v>
      </c>
      <c r="I310" s="5" t="str">
        <f>OutputTable[[#This Row],[ProjectName]]&amp;OutputTable[[#This Row],[Name]]&amp;OutputTable[[#This Row],[Type]]&amp;OutputTable[[#This Row],[Source]]</f>
        <v>Friday (Solucion: datafono, gofre, cocina y caja compartida)rCajero.ScheduledUtilizationScheduled UtilizationResource</v>
      </c>
      <c r="J310" s="5" cm="1">
        <f t="array" ref="J310">MAX(IF((ProjectInfoTable[ProjectName]=OutputTable[[#This Row],[ProjectName]]),(ProjectInfoTable[ProjectName]=OutputTable[[#This Row],[ProjectName]])*ProjectInfoTable[NumberOfReplications]))</f>
        <v>19</v>
      </c>
      <c r="K310" s="5" cm="1">
        <f t="array" ref="K310">IFERROR(AVERAGE(IF((OutputTable[GroupByKey]=OutputTable[[#This Row],[GroupByKey]]),(OutputTable[GroupByKey]=OutputTable[[#This Row],[GroupByKey]])*OutputTable[RecordedValue])),0)</f>
        <v>0.68474836505339687</v>
      </c>
      <c r="L310" s="5" cm="1">
        <f t="array" ref="L310">IFERROR(_xlfn.STDEV.S(IF((OutputTable[GroupByKey]=OutputTable[[#This Row],[GroupByKey]]),(OutputTable[GroupByKey]=OutputTable[[#This Row],[GroupByKey]])*OutputTable[RecordedValue])),0)</f>
        <v>6.2272947935973065E-2</v>
      </c>
      <c r="M310" s="5" cm="1">
        <f t="array" ref="M310">MAX(IF((ProjectInfoTable[ProjectName]=OutputTable[[#This Row],[ProjectName]]),(ProjectInfoTable[ProjectName]=OutputTable[[#This Row],[ProjectName]])*ProjectInfoTable[ConfidenceInterval]))</f>
        <v>0.95</v>
      </c>
      <c r="N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3.0014600137344902E-2</v>
      </c>
      <c r="O310" s="5" cm="1">
        <f t="array" ref="O310">MIN(IF((OutputTable[GroupByKey]=OutputTable[[#This Row],[GroupByKey]]),(OutputTable[GroupByKey]=OutputTable[[#This Row],[GroupByKey]])*OutputTable[RecordedValue]))</f>
        <v>0.59592290927233305</v>
      </c>
      <c r="P310" s="5" cm="1">
        <f t="array" ref="P310">MAX(IF((OutputTable[GroupByKey]=OutputTable[[#This Row],[GroupByKey]]),(OutputTable[GroupByKey]=OutputTable[[#This Row],[GroupByKey]])*OutputTable[RecordedValue]))</f>
        <v>0.82897119936997599</v>
      </c>
    </row>
    <row r="311" spans="1:16" x14ac:dyDescent="0.25">
      <c r="A311" t="s">
        <v>67</v>
      </c>
      <c r="B311" t="s">
        <v>69</v>
      </c>
      <c r="C311">
        <v>15</v>
      </c>
      <c r="D311" t="s">
        <v>166</v>
      </c>
      <c r="E311" t="s">
        <v>163</v>
      </c>
      <c r="F311" t="s">
        <v>136</v>
      </c>
      <c r="G311">
        <v>124</v>
      </c>
      <c r="H311">
        <v>0</v>
      </c>
      <c r="I311" s="5" t="str">
        <f>OutputTable[[#This Row],[ProjectName]]&amp;OutputTable[[#This Row],[Name]]&amp;OutputTable[[#This Row],[Type]]&amp;OutputTable[[#This Row],[Source]]</f>
        <v>Friday (Solucion: datafono, gofre, cocina y caja compartida)rCocina.NumberSeizedTotal Number SeizedResource</v>
      </c>
      <c r="J311" s="5" cm="1">
        <f t="array" ref="J311">MAX(IF((ProjectInfoTable[ProjectName]=OutputTable[[#This Row],[ProjectName]]),(ProjectInfoTable[ProjectName]=OutputTable[[#This Row],[ProjectName]])*ProjectInfoTable[NumberOfReplications]))</f>
        <v>19</v>
      </c>
      <c r="K311" s="5" cm="1">
        <f t="array" ref="K311">IFERROR(AVERAGE(IF((OutputTable[GroupByKey]=OutputTable[[#This Row],[GroupByKey]]),(OutputTable[GroupByKey]=OutputTable[[#This Row],[GroupByKey]])*OutputTable[RecordedValue])),0)</f>
        <v>112.73684210526316</v>
      </c>
      <c r="L311" s="5" cm="1">
        <f t="array" ref="L311">IFERROR(_xlfn.STDEV.S(IF((OutputTable[GroupByKey]=OutputTable[[#This Row],[GroupByKey]]),(OutputTable[GroupByKey]=OutputTable[[#This Row],[GroupByKey]])*OutputTable[RecordedValue])),0)</f>
        <v>9.1155673027772668</v>
      </c>
      <c r="M311" s="5" cm="1">
        <f t="array" ref="M311">MAX(IF((ProjectInfoTable[ProjectName]=OutputTable[[#This Row],[ProjectName]]),(ProjectInfoTable[ProjectName]=OutputTable[[#This Row],[ProjectName]])*ProjectInfoTable[ConfidenceInterval]))</f>
        <v>0.95</v>
      </c>
      <c r="N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4.3935628019284003</v>
      </c>
      <c r="O311" s="5" cm="1">
        <f t="array" ref="O311">MIN(IF((OutputTable[GroupByKey]=OutputTable[[#This Row],[GroupByKey]]),(OutputTable[GroupByKey]=OutputTable[[#This Row],[GroupByKey]])*OutputTable[RecordedValue]))</f>
        <v>102</v>
      </c>
      <c r="P311" s="5" cm="1">
        <f t="array" ref="P311">MAX(IF((OutputTable[GroupByKey]=OutputTable[[#This Row],[GroupByKey]]),(OutputTable[GroupByKey]=OutputTable[[#This Row],[GroupByKey]])*OutputTable[RecordedValue]))</f>
        <v>135</v>
      </c>
    </row>
    <row r="312" spans="1:16" x14ac:dyDescent="0.25">
      <c r="A312" t="s">
        <v>67</v>
      </c>
      <c r="B312" t="s">
        <v>69</v>
      </c>
      <c r="C312">
        <v>15</v>
      </c>
      <c r="D312" t="s">
        <v>167</v>
      </c>
      <c r="E312" t="s">
        <v>165</v>
      </c>
      <c r="F312" t="s">
        <v>136</v>
      </c>
      <c r="G312">
        <v>0.71317225339803103</v>
      </c>
      <c r="H312">
        <v>0</v>
      </c>
      <c r="I312" s="5" t="str">
        <f>OutputTable[[#This Row],[ProjectName]]&amp;OutputTable[[#This Row],[Name]]&amp;OutputTable[[#This Row],[Type]]&amp;OutputTable[[#This Row],[Source]]</f>
        <v>Friday (Solucion: datafono, gofre, cocina y caja compartida)rCocina.ScheduledUtilizationScheduled UtilizationResource</v>
      </c>
      <c r="J312" s="5" cm="1">
        <f t="array" ref="J312">MAX(IF((ProjectInfoTable[ProjectName]=OutputTable[[#This Row],[ProjectName]]),(ProjectInfoTable[ProjectName]=OutputTable[[#This Row],[ProjectName]])*ProjectInfoTable[NumberOfReplications]))</f>
        <v>19</v>
      </c>
      <c r="K312" s="5" cm="1">
        <f t="array" ref="K312">IFERROR(AVERAGE(IF((OutputTable[GroupByKey]=OutputTable[[#This Row],[GroupByKey]]),(OutputTable[GroupByKey]=OutputTable[[#This Row],[GroupByKey]])*OutputTable[RecordedValue])),0)</f>
        <v>0.71670342302257706</v>
      </c>
      <c r="L312" s="5" cm="1">
        <f t="array" ref="L312">IFERROR(_xlfn.STDEV.S(IF((OutputTable[GroupByKey]=OutputTable[[#This Row],[GroupByKey]]),(OutputTable[GroupByKey]=OutputTable[[#This Row],[GroupByKey]])*OutputTable[RecordedValue])),0)</f>
        <v>7.0907274842727658E-2</v>
      </c>
      <c r="M312" s="5" cm="1">
        <f t="array" ref="M312">MAX(IF((ProjectInfoTable[ProjectName]=OutputTable[[#This Row],[ProjectName]]),(ProjectInfoTable[ProjectName]=OutputTable[[#This Row],[ProjectName]])*ProjectInfoTable[ConfidenceInterval]))</f>
        <v>0.95</v>
      </c>
      <c r="N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3.4176212493127585E-2</v>
      </c>
      <c r="O312" s="5" cm="1">
        <f t="array" ref="O312">MIN(IF((OutputTable[GroupByKey]=OutputTable[[#This Row],[GroupByKey]]),(OutputTable[GroupByKey]=OutputTable[[#This Row],[GroupByKey]])*OutputTable[RecordedValue]))</f>
        <v>0.60463940272025996</v>
      </c>
      <c r="P312" s="5" cm="1">
        <f t="array" ref="P312">MAX(IF((OutputTable[GroupByKey]=OutputTable[[#This Row],[GroupByKey]]),(OutputTable[GroupByKey]=OutputTable[[#This Row],[GroupByKey]])*OutputTable[RecordedValue]))</f>
        <v>0.86361037821575004</v>
      </c>
    </row>
    <row r="313" spans="1:16" x14ac:dyDescent="0.25">
      <c r="A313" t="s">
        <v>67</v>
      </c>
      <c r="B313" t="s">
        <v>69</v>
      </c>
      <c r="C313">
        <v>15</v>
      </c>
      <c r="D313" t="s">
        <v>168</v>
      </c>
      <c r="E313" t="s">
        <v>163</v>
      </c>
      <c r="F313" t="s">
        <v>136</v>
      </c>
      <c r="G313">
        <v>11</v>
      </c>
      <c r="H313">
        <v>0</v>
      </c>
      <c r="I313" s="5" t="str">
        <f>OutputTable[[#This Row],[ProjectName]]&amp;OutputTable[[#This Row],[Name]]&amp;OutputTable[[#This Row],[Type]]&amp;OutputTable[[#This Row],[Source]]</f>
        <v>Friday (Solucion: datafono, gofre, cocina y caja compartida)rMesa.NumberSeizedTotal Number SeizedResource</v>
      </c>
      <c r="J313" s="5" cm="1">
        <f t="array" ref="J313">MAX(IF((ProjectInfoTable[ProjectName]=OutputTable[[#This Row],[ProjectName]]),(ProjectInfoTable[ProjectName]=OutputTable[[#This Row],[ProjectName]])*ProjectInfoTable[NumberOfReplications]))</f>
        <v>19</v>
      </c>
      <c r="K313" s="5" cm="1">
        <f t="array" ref="K313">IFERROR(AVERAGE(IF((OutputTable[GroupByKey]=OutputTable[[#This Row],[GroupByKey]]),(OutputTable[GroupByKey]=OutputTable[[#This Row],[GroupByKey]])*OutputTable[RecordedValue])),0)</f>
        <v>16.157894736842106</v>
      </c>
      <c r="L313" s="5" cm="1">
        <f t="array" ref="L313">IFERROR(_xlfn.STDEV.S(IF((OutputTable[GroupByKey]=OutputTable[[#This Row],[GroupByKey]]),(OutputTable[GroupByKey]=OutputTable[[#This Row],[GroupByKey]])*OutputTable[RecordedValue])),0)</f>
        <v>3.8044295512634076</v>
      </c>
      <c r="M313" s="5" cm="1">
        <f t="array" ref="M313">MAX(IF((ProjectInfoTable[ProjectName]=OutputTable[[#This Row],[ProjectName]]),(ProjectInfoTable[ProjectName]=OutputTable[[#This Row],[ProjectName]])*ProjectInfoTable[ConfidenceInterval]))</f>
        <v>0.95</v>
      </c>
      <c r="N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313" s="5" cm="1">
        <f t="array" ref="O313">MIN(IF((OutputTable[GroupByKey]=OutputTable[[#This Row],[GroupByKey]]),(OutputTable[GroupByKey]=OutputTable[[#This Row],[GroupByKey]])*OutputTable[RecordedValue]))</f>
        <v>9</v>
      </c>
      <c r="P313" s="5" cm="1">
        <f t="array" ref="P313">MAX(IF((OutputTable[GroupByKey]=OutputTable[[#This Row],[GroupByKey]]),(OutputTable[GroupByKey]=OutputTable[[#This Row],[GroupByKey]])*OutputTable[RecordedValue]))</f>
        <v>24</v>
      </c>
    </row>
    <row r="314" spans="1:16" x14ac:dyDescent="0.25">
      <c r="A314" t="s">
        <v>67</v>
      </c>
      <c r="B314" t="s">
        <v>69</v>
      </c>
      <c r="C314">
        <v>15</v>
      </c>
      <c r="D314" t="s">
        <v>169</v>
      </c>
      <c r="E314" t="s">
        <v>165</v>
      </c>
      <c r="F314" t="s">
        <v>136</v>
      </c>
      <c r="G314">
        <v>0.30976268795363299</v>
      </c>
      <c r="H314">
        <v>0</v>
      </c>
      <c r="I314" s="5" t="str">
        <f>OutputTable[[#This Row],[ProjectName]]&amp;OutputTable[[#This Row],[Name]]&amp;OutputTable[[#This Row],[Type]]&amp;OutputTable[[#This Row],[Source]]</f>
        <v>Friday (Solucion: datafono, gofre, cocina y caja compartida)rMesa.ScheduledUtilizationScheduled UtilizationResource</v>
      </c>
      <c r="J314" s="5" cm="1">
        <f t="array" ref="J314">MAX(IF((ProjectInfoTable[ProjectName]=OutputTable[[#This Row],[ProjectName]]),(ProjectInfoTable[ProjectName]=OutputTable[[#This Row],[ProjectName]])*ProjectInfoTable[NumberOfReplications]))</f>
        <v>19</v>
      </c>
      <c r="K314" s="5" cm="1">
        <f t="array" ref="K314">IFERROR(AVERAGE(IF((OutputTable[GroupByKey]=OutputTable[[#This Row],[GroupByKey]]),(OutputTable[GroupByKey]=OutputTable[[#This Row],[GroupByKey]])*OutputTable[RecordedValue])),0)</f>
        <v>0.30850610959128744</v>
      </c>
      <c r="L314" s="5" cm="1">
        <f t="array" ref="L314">IFERROR(_xlfn.STDEV.S(IF((OutputTable[GroupByKey]=OutputTable[[#This Row],[GroupByKey]]),(OutputTable[GroupByKey]=OutputTable[[#This Row],[GroupByKey]])*OutputTable[RecordedValue])),0)</f>
        <v>6.2586127702931107E-2</v>
      </c>
      <c r="M314" s="5" cm="1">
        <f t="array" ref="M314">MAX(IF((ProjectInfoTable[ProjectName]=OutputTable[[#This Row],[ProjectName]]),(ProjectInfoTable[ProjectName]=OutputTable[[#This Row],[ProjectName]])*ProjectInfoTable[ConfidenceInterval]))</f>
        <v>0.95</v>
      </c>
      <c r="N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3.0165547953176861E-2</v>
      </c>
      <c r="O314" s="5" cm="1">
        <f t="array" ref="O314">MIN(IF((OutputTable[GroupByKey]=OutputTable[[#This Row],[GroupByKey]]),(OutputTable[GroupByKey]=OutputTable[[#This Row],[GroupByKey]])*OutputTable[RecordedValue]))</f>
        <v>0.156206445320244</v>
      </c>
      <c r="P314" s="5" cm="1">
        <f t="array" ref="P314">MAX(IF((OutputTable[GroupByKey]=OutputTable[[#This Row],[GroupByKey]]),(OutputTable[GroupByKey]=OutputTable[[#This Row],[GroupByKey]])*OutputTable[RecordedValue]))</f>
        <v>0.44942505379986802</v>
      </c>
    </row>
    <row r="315" spans="1:16" x14ac:dyDescent="0.25">
      <c r="A315" t="s">
        <v>67</v>
      </c>
      <c r="B315" t="s">
        <v>69</v>
      </c>
      <c r="C315">
        <v>15</v>
      </c>
      <c r="D315" t="s">
        <v>170</v>
      </c>
      <c r="E315" t="s">
        <v>145</v>
      </c>
      <c r="F315" t="s">
        <v>72</v>
      </c>
      <c r="G315">
        <v>3</v>
      </c>
      <c r="H315">
        <v>0</v>
      </c>
      <c r="I315" s="5" t="str">
        <f>OutputTable[[#This Row],[ProjectName]]&amp;OutputTable[[#This Row],[Name]]&amp;OutputTable[[#This Row],[Type]]&amp;OutputTable[[#This Row],[Source]]</f>
        <v>Friday (Solucion: datafono, gofre, cocina y caja compartida)reloj.NumberInNumber InEntity</v>
      </c>
      <c r="J315" s="5" cm="1">
        <f t="array" ref="J315">MAX(IF((ProjectInfoTable[ProjectName]=OutputTable[[#This Row],[ProjectName]]),(ProjectInfoTable[ProjectName]=OutputTable[[#This Row],[ProjectName]])*ProjectInfoTable[NumberOfReplications]))</f>
        <v>19</v>
      </c>
      <c r="K315" s="5" cm="1">
        <f t="array" ref="K315">IFERROR(AVERAGE(IF((OutputTable[GroupByKey]=OutputTable[[#This Row],[GroupByKey]]),(OutputTable[GroupByKey]=OutputTable[[#This Row],[GroupByKey]])*OutputTable[RecordedValue])),0)</f>
        <v>3</v>
      </c>
      <c r="L315" s="5" cm="1">
        <f t="array" ref="L315">IFERROR(_xlfn.STDEV.S(IF((OutputTable[GroupByKey]=OutputTable[[#This Row],[GroupByKey]]),(OutputTable[GroupByKey]=OutputTable[[#This Row],[GroupByKey]])*OutputTable[RecordedValue])),0)</f>
        <v>0</v>
      </c>
      <c r="M315" s="5" cm="1">
        <f t="array" ref="M315">MAX(IF((ProjectInfoTable[ProjectName]=OutputTable[[#This Row],[ProjectName]]),(ProjectInfoTable[ProjectName]=OutputTable[[#This Row],[ProjectName]])*ProjectInfoTable[ConfidenceInterval]))</f>
        <v>0.95</v>
      </c>
      <c r="N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5" s="5" cm="1">
        <f t="array" ref="O315">MIN(IF((OutputTable[GroupByKey]=OutputTable[[#This Row],[GroupByKey]]),(OutputTable[GroupByKey]=OutputTable[[#This Row],[GroupByKey]])*OutputTable[RecordedValue]))</f>
        <v>3</v>
      </c>
      <c r="P315" s="5" cm="1">
        <f t="array" ref="P315">MAX(IF((OutputTable[GroupByKey]=OutputTable[[#This Row],[GroupByKey]]),(OutputTable[GroupByKey]=OutputTable[[#This Row],[GroupByKey]])*OutputTable[RecordedValue]))</f>
        <v>3</v>
      </c>
    </row>
    <row r="316" spans="1:16" x14ac:dyDescent="0.25">
      <c r="A316" t="s">
        <v>67</v>
      </c>
      <c r="B316" t="s">
        <v>69</v>
      </c>
      <c r="C316">
        <v>15</v>
      </c>
      <c r="D316" t="s">
        <v>171</v>
      </c>
      <c r="E316" t="s">
        <v>147</v>
      </c>
      <c r="F316" t="s">
        <v>72</v>
      </c>
      <c r="G316">
        <v>3</v>
      </c>
      <c r="H316">
        <v>0</v>
      </c>
      <c r="I316" s="5" t="str">
        <f>OutputTable[[#This Row],[ProjectName]]&amp;OutputTable[[#This Row],[Name]]&amp;OutputTable[[#This Row],[Type]]&amp;OutputTable[[#This Row],[Source]]</f>
        <v>Friday (Solucion: datafono, gofre, cocina y caja compartida)reloj.NumberOutNumber OutEntity</v>
      </c>
      <c r="J316" s="5" cm="1">
        <f t="array" ref="J316">MAX(IF((ProjectInfoTable[ProjectName]=OutputTable[[#This Row],[ProjectName]]),(ProjectInfoTable[ProjectName]=OutputTable[[#This Row],[ProjectName]])*ProjectInfoTable[NumberOfReplications]))</f>
        <v>19</v>
      </c>
      <c r="K316" s="5" cm="1">
        <f t="array" ref="K316">IFERROR(AVERAGE(IF((OutputTable[GroupByKey]=OutputTable[[#This Row],[GroupByKey]]),(OutputTable[GroupByKey]=OutputTable[[#This Row],[GroupByKey]])*OutputTable[RecordedValue])),0)</f>
        <v>3</v>
      </c>
      <c r="L316" s="5" cm="1">
        <f t="array" ref="L316">IFERROR(_xlfn.STDEV.S(IF((OutputTable[GroupByKey]=OutputTable[[#This Row],[GroupByKey]]),(OutputTable[GroupByKey]=OutputTable[[#This Row],[GroupByKey]])*OutputTable[RecordedValue])),0)</f>
        <v>0</v>
      </c>
      <c r="M316" s="5" cm="1">
        <f t="array" ref="M316">MAX(IF((ProjectInfoTable[ProjectName]=OutputTable[[#This Row],[ProjectName]]),(ProjectInfoTable[ProjectName]=OutputTable[[#This Row],[ProjectName]])*ProjectInfoTable[ConfidenceInterval]))</f>
        <v>0.95</v>
      </c>
      <c r="N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6" s="5" cm="1">
        <f t="array" ref="O316">MIN(IF((OutputTable[GroupByKey]=OutputTable[[#This Row],[GroupByKey]]),(OutputTable[GroupByKey]=OutputTable[[#This Row],[GroupByKey]])*OutputTable[RecordedValue]))</f>
        <v>3</v>
      </c>
      <c r="P316" s="5" cm="1">
        <f t="array" ref="P316">MAX(IF((OutputTable[GroupByKey]=OutputTable[[#This Row],[GroupByKey]]),(OutputTable[GroupByKey]=OutputTable[[#This Row],[GroupByKey]])*OutputTable[RecordedValue]))</f>
        <v>3</v>
      </c>
    </row>
    <row r="317" spans="1:16" x14ac:dyDescent="0.25">
      <c r="A317" t="s">
        <v>67</v>
      </c>
      <c r="B317" t="s">
        <v>69</v>
      </c>
      <c r="C317">
        <v>16</v>
      </c>
      <c r="D317" t="s">
        <v>144</v>
      </c>
      <c r="E317" t="s">
        <v>145</v>
      </c>
      <c r="F317" t="s">
        <v>72</v>
      </c>
      <c r="G317">
        <v>393</v>
      </c>
      <c r="H317">
        <v>0</v>
      </c>
      <c r="I317" s="5" t="str">
        <f>OutputTable[[#This Row],[ProjectName]]&amp;OutputTable[[#This Row],[Name]]&amp;OutputTable[[#This Row],[Type]]&amp;OutputTable[[#This Row],[Source]]</f>
        <v>Friday (Solucion: datafono, gofre, cocina y caja compartida)Cliente.NumberInNumber InEntity</v>
      </c>
      <c r="J317" s="5" cm="1">
        <f t="array" ref="J317">MAX(IF((ProjectInfoTable[ProjectName]=OutputTable[[#This Row],[ProjectName]]),(ProjectInfoTable[ProjectName]=OutputTable[[#This Row],[ProjectName]])*ProjectInfoTable[NumberOfReplications]))</f>
        <v>19</v>
      </c>
      <c r="K317" s="5" cm="1">
        <f t="array" ref="K317">IFERROR(AVERAGE(IF((OutputTable[GroupByKey]=OutputTable[[#This Row],[GroupByKey]]),(OutputTable[GroupByKey]=OutputTable[[#This Row],[GroupByKey]])*OutputTable[RecordedValue])),0)</f>
        <v>366.21052631578948</v>
      </c>
      <c r="L317" s="5" cm="1">
        <f t="array" ref="L317">IFERROR(_xlfn.STDEV.S(IF((OutputTable[GroupByKey]=OutputTable[[#This Row],[GroupByKey]]),(OutputTable[GroupByKey]=OutputTable[[#This Row],[GroupByKey]])*OutputTable[RecordedValue])),0)</f>
        <v>28.665850661580702</v>
      </c>
      <c r="M317" s="5" cm="1">
        <f t="array" ref="M317">MAX(IF((ProjectInfoTable[ProjectName]=OutputTable[[#This Row],[ProjectName]]),(ProjectInfoTable[ProjectName]=OutputTable[[#This Row],[ProjectName]])*ProjectInfoTable[ConfidenceInterval]))</f>
        <v>0.95</v>
      </c>
      <c r="N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13.816497752584581</v>
      </c>
      <c r="O317" s="5" cm="1">
        <f t="array" ref="O317">MIN(IF((OutputTable[GroupByKey]=OutputTable[[#This Row],[GroupByKey]]),(OutputTable[GroupByKey]=OutputTable[[#This Row],[GroupByKey]])*OutputTable[RecordedValue]))</f>
        <v>331</v>
      </c>
      <c r="P317" s="5" cm="1">
        <f t="array" ref="P317">MAX(IF((OutputTable[GroupByKey]=OutputTable[[#This Row],[GroupByKey]]),(OutputTable[GroupByKey]=OutputTable[[#This Row],[GroupByKey]])*OutputTable[RecordedValue]))</f>
        <v>427</v>
      </c>
    </row>
    <row r="318" spans="1:16" x14ac:dyDescent="0.25">
      <c r="A318" t="s">
        <v>67</v>
      </c>
      <c r="B318" t="s">
        <v>69</v>
      </c>
      <c r="C318">
        <v>16</v>
      </c>
      <c r="D318" t="s">
        <v>146</v>
      </c>
      <c r="E318" t="s">
        <v>147</v>
      </c>
      <c r="F318" t="s">
        <v>72</v>
      </c>
      <c r="G318">
        <v>393</v>
      </c>
      <c r="H318">
        <v>0</v>
      </c>
      <c r="I318" s="5" t="str">
        <f>OutputTable[[#This Row],[ProjectName]]&amp;OutputTable[[#This Row],[Name]]&amp;OutputTable[[#This Row],[Type]]&amp;OutputTable[[#This Row],[Source]]</f>
        <v>Friday (Solucion: datafono, gofre, cocina y caja compartida)Cliente.NumberOutNumber OutEntity</v>
      </c>
      <c r="J318" s="5" cm="1">
        <f t="array" ref="J318">MAX(IF((ProjectInfoTable[ProjectName]=OutputTable[[#This Row],[ProjectName]]),(ProjectInfoTable[ProjectName]=OutputTable[[#This Row],[ProjectName]])*ProjectInfoTable[NumberOfReplications]))</f>
        <v>19</v>
      </c>
      <c r="K318" s="5" cm="1">
        <f t="array" ref="K318">IFERROR(AVERAGE(IF((OutputTable[GroupByKey]=OutputTable[[#This Row],[GroupByKey]]),(OutputTable[GroupByKey]=OutputTable[[#This Row],[GroupByKey]])*OutputTable[RecordedValue])),0)</f>
        <v>366.63157894736844</v>
      </c>
      <c r="L318" s="5" cm="1">
        <f t="array" ref="L318">IFERROR(_xlfn.STDEV.S(IF((OutputTable[GroupByKey]=OutputTable[[#This Row],[GroupByKey]]),(OutputTable[GroupByKey]=OutputTable[[#This Row],[GroupByKey]])*OutputTable[RecordedValue])),0)</f>
        <v>29.957767544617038</v>
      </c>
      <c r="M318" s="5" cm="1">
        <f t="array" ref="M318">MAX(IF((ProjectInfoTable[ProjectName]=OutputTable[[#This Row],[ProjectName]]),(ProjectInfoTable[ProjectName]=OutputTable[[#This Row],[ProjectName]])*ProjectInfoTable[ConfidenceInterval]))</f>
        <v>0.95</v>
      </c>
      <c r="N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14.439181758083874</v>
      </c>
      <c r="O318" s="5" cm="1">
        <f t="array" ref="O318">MIN(IF((OutputTable[GroupByKey]=OutputTable[[#This Row],[GroupByKey]]),(OutputTable[GroupByKey]=OutputTable[[#This Row],[GroupByKey]])*OutputTable[RecordedValue]))</f>
        <v>329</v>
      </c>
      <c r="P318" s="5" cm="1">
        <f t="array" ref="P318">MAX(IF((OutputTable[GroupByKey]=OutputTable[[#This Row],[GroupByKey]]),(OutputTable[GroupByKey]=OutputTable[[#This Row],[GroupByKey]])*OutputTable[RecordedValue]))</f>
        <v>443</v>
      </c>
    </row>
    <row r="319" spans="1:16" x14ac:dyDescent="0.25">
      <c r="A319" t="s">
        <v>67</v>
      </c>
      <c r="B319" t="s">
        <v>69</v>
      </c>
      <c r="C319">
        <v>16</v>
      </c>
      <c r="D319" t="s">
        <v>148</v>
      </c>
      <c r="E319" t="s">
        <v>149</v>
      </c>
      <c r="F319" t="s">
        <v>86</v>
      </c>
      <c r="G319">
        <v>315.87879574991098</v>
      </c>
      <c r="H319">
        <v>0</v>
      </c>
      <c r="I319" s="5" t="str">
        <f>OutputTable[[#This Row],[ProjectName]]&amp;OutputTable[[#This Row],[Name]]&amp;OutputTable[[#This Row],[Type]]&amp;OutputTable[[#This Row],[Source]]</f>
        <v>Friday (Solucion: datafono, gofre, cocina y caja compartida)Comer en Mesa Accum VA TimeAccum VA TimeProcess</v>
      </c>
      <c r="J319" s="5" cm="1">
        <f t="array" ref="J319">MAX(IF((ProjectInfoTable[ProjectName]=OutputTable[[#This Row],[ProjectName]]),(ProjectInfoTable[ProjectName]=OutputTable[[#This Row],[ProjectName]])*ProjectInfoTable[NumberOfReplications]))</f>
        <v>19</v>
      </c>
      <c r="K319" s="5" cm="1">
        <f t="array" ref="K319">IFERROR(AVERAGE(IF((OutputTable[GroupByKey]=OutputTable[[#This Row],[GroupByKey]]),(OutputTable[GroupByKey]=OutputTable[[#This Row],[GroupByKey]])*OutputTable[RecordedValue])),0)</f>
        <v>283.12549562397913</v>
      </c>
      <c r="L319" s="5" cm="1">
        <f t="array" ref="L319">IFERROR(_xlfn.STDEV.S(IF((OutputTable[GroupByKey]=OutputTable[[#This Row],[GroupByKey]]),(OutputTable[GroupByKey]=OutputTable[[#This Row],[GroupByKey]])*OutputTable[RecordedValue])),0)</f>
        <v>55.763238037894645</v>
      </c>
      <c r="M319" s="5" cm="1">
        <f t="array" ref="M319">MAX(IF((ProjectInfoTable[ProjectName]=OutputTable[[#This Row],[ProjectName]]),(ProjectInfoTable[ProjectName]=OutputTable[[#This Row],[ProjectName]])*ProjectInfoTable[ConfidenceInterval]))</f>
        <v>0.95</v>
      </c>
      <c r="N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26.877020400444863</v>
      </c>
      <c r="O319" s="5" cm="1">
        <f t="array" ref="O319">MIN(IF((OutputTable[GroupByKey]=OutputTable[[#This Row],[GroupByKey]]),(OutputTable[GroupByKey]=OutputTable[[#This Row],[GroupByKey]])*OutputTable[RecordedValue]))</f>
        <v>157.05073652574001</v>
      </c>
      <c r="P319" s="5" cm="1">
        <f t="array" ref="P319">MAX(IF((OutputTable[GroupByKey]=OutputTable[[#This Row],[GroupByKey]]),(OutputTable[GroupByKey]=OutputTable[[#This Row],[GroupByKey]])*OutputTable[RecordedValue]))</f>
        <v>402.97015039838902</v>
      </c>
    </row>
    <row r="320" spans="1:16" x14ac:dyDescent="0.25">
      <c r="A320" t="s">
        <v>67</v>
      </c>
      <c r="B320" t="s">
        <v>69</v>
      </c>
      <c r="C320">
        <v>16</v>
      </c>
      <c r="D320" t="s">
        <v>150</v>
      </c>
      <c r="E320" t="s">
        <v>151</v>
      </c>
      <c r="F320" t="s">
        <v>86</v>
      </c>
      <c r="G320">
        <v>0</v>
      </c>
      <c r="H320">
        <v>0</v>
      </c>
      <c r="I320" s="5" t="str">
        <f>OutputTable[[#This Row],[ProjectName]]&amp;OutputTable[[#This Row],[Name]]&amp;OutputTable[[#This Row],[Type]]&amp;OutputTable[[#This Row],[Source]]</f>
        <v>Friday (Solucion: datafono, gofre, cocina y caja compartida)Comer en Mesa Accum Wait TimeAccum Wait TimeProcess</v>
      </c>
      <c r="J320" s="5" cm="1">
        <f t="array" ref="J320">MAX(IF((ProjectInfoTable[ProjectName]=OutputTable[[#This Row],[ProjectName]]),(ProjectInfoTable[ProjectName]=OutputTable[[#This Row],[ProjectName]])*ProjectInfoTable[NumberOfReplications]))</f>
        <v>19</v>
      </c>
      <c r="K320" s="5" cm="1">
        <f t="array" ref="K320">IFERROR(AVERAGE(IF((OutputTable[GroupByKey]=OutputTable[[#This Row],[GroupByKey]]),(OutputTable[GroupByKey]=OutputTable[[#This Row],[GroupByKey]])*OutputTable[RecordedValue])),0)</f>
        <v>0</v>
      </c>
      <c r="L320" s="5" cm="1">
        <f t="array" ref="L320">IFERROR(_xlfn.STDEV.S(IF((OutputTable[GroupByKey]=OutputTable[[#This Row],[GroupByKey]]),(OutputTable[GroupByKey]=OutputTable[[#This Row],[GroupByKey]])*OutputTable[RecordedValue])),0)</f>
        <v>0</v>
      </c>
      <c r="M320" s="5" cm="1">
        <f t="array" ref="M320">MAX(IF((ProjectInfoTable[ProjectName]=OutputTable[[#This Row],[ProjectName]]),(ProjectInfoTable[ProjectName]=OutputTable[[#This Row],[ProjectName]])*ProjectInfoTable[ConfidenceInterval]))</f>
        <v>0.95</v>
      </c>
      <c r="N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0" s="5" cm="1">
        <f t="array" ref="O320">MIN(IF((OutputTable[GroupByKey]=OutputTable[[#This Row],[GroupByKey]]),(OutputTable[GroupByKey]=OutputTable[[#This Row],[GroupByKey]])*OutputTable[RecordedValue]))</f>
        <v>0</v>
      </c>
      <c r="P320" s="5" cm="1">
        <f t="array" ref="P320">MAX(IF((OutputTable[GroupByKey]=OutputTable[[#This Row],[GroupByKey]]),(OutputTable[GroupByKey]=OutputTable[[#This Row],[GroupByKey]])*OutputTable[RecordedValue]))</f>
        <v>0</v>
      </c>
    </row>
    <row r="321" spans="1:16" x14ac:dyDescent="0.25">
      <c r="A321" t="s">
        <v>67</v>
      </c>
      <c r="B321" t="s">
        <v>69</v>
      </c>
      <c r="C321">
        <v>16</v>
      </c>
      <c r="D321" t="s">
        <v>152</v>
      </c>
      <c r="E321" t="s">
        <v>145</v>
      </c>
      <c r="F321" t="s">
        <v>86</v>
      </c>
      <c r="G321">
        <v>21</v>
      </c>
      <c r="H321">
        <v>0</v>
      </c>
      <c r="I321" s="5" t="str">
        <f>OutputTable[[#This Row],[ProjectName]]&amp;OutputTable[[#This Row],[Name]]&amp;OutputTable[[#This Row],[Type]]&amp;OutputTable[[#This Row],[Source]]</f>
        <v>Friday (Solucion: datafono, gofre, cocina y caja compartida)Comer en Mesa Number InNumber InProcess</v>
      </c>
      <c r="J321" s="5" cm="1">
        <f t="array" ref="J321">MAX(IF((ProjectInfoTable[ProjectName]=OutputTable[[#This Row],[ProjectName]]),(ProjectInfoTable[ProjectName]=OutputTable[[#This Row],[ProjectName]])*ProjectInfoTable[NumberOfReplications]))</f>
        <v>19</v>
      </c>
      <c r="K321" s="5" cm="1">
        <f t="array" ref="K321">IFERROR(AVERAGE(IF((OutputTable[GroupByKey]=OutputTable[[#This Row],[GroupByKey]]),(OutputTable[GroupByKey]=OutputTable[[#This Row],[GroupByKey]])*OutputTable[RecordedValue])),0)</f>
        <v>16.157894736842106</v>
      </c>
      <c r="L321" s="5" cm="1">
        <f t="array" ref="L321">IFERROR(_xlfn.STDEV.S(IF((OutputTable[GroupByKey]=OutputTable[[#This Row],[GroupByKey]]),(OutputTable[GroupByKey]=OutputTable[[#This Row],[GroupByKey]])*OutputTable[RecordedValue])),0)</f>
        <v>3.8044295512634076</v>
      </c>
      <c r="M321" s="5" cm="1">
        <f t="array" ref="M321">MAX(IF((ProjectInfoTable[ProjectName]=OutputTable[[#This Row],[ProjectName]]),(ProjectInfoTable[ProjectName]=OutputTable[[#This Row],[ProjectName]])*ProjectInfoTable[ConfidenceInterval]))</f>
        <v>0.95</v>
      </c>
      <c r="N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321" s="5" cm="1">
        <f t="array" ref="O321">MIN(IF((OutputTable[GroupByKey]=OutputTable[[#This Row],[GroupByKey]]),(OutputTable[GroupByKey]=OutputTable[[#This Row],[GroupByKey]])*OutputTable[RecordedValue]))</f>
        <v>9</v>
      </c>
      <c r="P321" s="5" cm="1">
        <f t="array" ref="P321">MAX(IF((OutputTable[GroupByKey]=OutputTable[[#This Row],[GroupByKey]]),(OutputTable[GroupByKey]=OutputTable[[#This Row],[GroupByKey]])*OutputTable[RecordedValue]))</f>
        <v>24</v>
      </c>
    </row>
    <row r="322" spans="1:16" x14ac:dyDescent="0.25">
      <c r="A322" t="s">
        <v>67</v>
      </c>
      <c r="B322" t="s">
        <v>69</v>
      </c>
      <c r="C322">
        <v>16</v>
      </c>
      <c r="D322" t="s">
        <v>153</v>
      </c>
      <c r="E322" t="s">
        <v>147</v>
      </c>
      <c r="F322" t="s">
        <v>86</v>
      </c>
      <c r="G322">
        <v>21</v>
      </c>
      <c r="H322">
        <v>0</v>
      </c>
      <c r="I322" s="5" t="str">
        <f>OutputTable[[#This Row],[ProjectName]]&amp;OutputTable[[#This Row],[Name]]&amp;OutputTable[[#This Row],[Type]]&amp;OutputTable[[#This Row],[Source]]</f>
        <v>Friday (Solucion: datafono, gofre, cocina y caja compartida)Comer en Mesa Number OutNumber OutProcess</v>
      </c>
      <c r="J322" s="5" cm="1">
        <f t="array" ref="J322">MAX(IF((ProjectInfoTable[ProjectName]=OutputTable[[#This Row],[ProjectName]]),(ProjectInfoTable[ProjectName]=OutputTable[[#This Row],[ProjectName]])*ProjectInfoTable[NumberOfReplications]))</f>
        <v>19</v>
      </c>
      <c r="K322" s="5" cm="1">
        <f t="array" ref="K322">IFERROR(AVERAGE(IF((OutputTable[GroupByKey]=OutputTable[[#This Row],[GroupByKey]]),(OutputTable[GroupByKey]=OutputTable[[#This Row],[GroupByKey]])*OutputTable[RecordedValue])),0)</f>
        <v>16.263157894736842</v>
      </c>
      <c r="L322" s="5" cm="1">
        <f t="array" ref="L322">IFERROR(_xlfn.STDEV.S(IF((OutputTable[GroupByKey]=OutputTable[[#This Row],[GroupByKey]]),(OutputTable[GroupByKey]=OutputTable[[#This Row],[GroupByKey]])*OutputTable[RecordedValue])),0)</f>
        <v>3.3803698887540881</v>
      </c>
      <c r="M322" s="5" cm="1">
        <f t="array" ref="M322">MAX(IF((ProjectInfoTable[ProjectName]=OutputTable[[#This Row],[ProjectName]]),(ProjectInfoTable[ProjectName]=OutputTable[[#This Row],[ProjectName]])*ProjectInfoTable[ConfidenceInterval]))</f>
        <v>0.95</v>
      </c>
      <c r="N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1.6292861329062698</v>
      </c>
      <c r="O322" s="5" cm="1">
        <f t="array" ref="O322">MIN(IF((OutputTable[GroupByKey]=OutputTable[[#This Row],[GroupByKey]]),(OutputTable[GroupByKey]=OutputTable[[#This Row],[GroupByKey]])*OutputTable[RecordedValue]))</f>
        <v>8</v>
      </c>
      <c r="P322" s="5" cm="1">
        <f t="array" ref="P322">MAX(IF((OutputTable[GroupByKey]=OutputTable[[#This Row],[GroupByKey]]),(OutputTable[GroupByKey]=OutputTable[[#This Row],[GroupByKey]])*OutputTable[RecordedValue]))</f>
        <v>22</v>
      </c>
    </row>
    <row r="323" spans="1:16" x14ac:dyDescent="0.25">
      <c r="A323" t="s">
        <v>67</v>
      </c>
      <c r="B323" t="s">
        <v>69</v>
      </c>
      <c r="C323">
        <v>16</v>
      </c>
      <c r="D323" t="s">
        <v>154</v>
      </c>
      <c r="E323" t="s">
        <v>145</v>
      </c>
      <c r="F323" t="s">
        <v>72</v>
      </c>
      <c r="G323">
        <v>131</v>
      </c>
      <c r="H323">
        <v>0</v>
      </c>
      <c r="I323" s="5" t="str">
        <f>OutputTable[[#This Row],[ProjectName]]&amp;OutputTable[[#This Row],[Name]]&amp;OutputTable[[#This Row],[Type]]&amp;OutputTable[[#This Row],[Source]]</f>
        <v>Friday (Solucion: datafono, gofre, cocina y caja compartida)Orden.NumberInNumber InEntity</v>
      </c>
      <c r="J323" s="5" cm="1">
        <f t="array" ref="J323">MAX(IF((ProjectInfoTable[ProjectName]=OutputTable[[#This Row],[ProjectName]]),(ProjectInfoTable[ProjectName]=OutputTable[[#This Row],[ProjectName]])*ProjectInfoTable[NumberOfReplications]))</f>
        <v>19</v>
      </c>
      <c r="K323" s="5" cm="1">
        <f t="array" ref="K323">IFERROR(AVERAGE(IF((OutputTable[GroupByKey]=OutputTable[[#This Row],[GroupByKey]]),(OutputTable[GroupByKey]=OutputTable[[#This Row],[GroupByKey]])*OutputTable[RecordedValue])),0)</f>
        <v>121.89473684210526</v>
      </c>
      <c r="L323" s="5" cm="1">
        <f t="array" ref="L323">IFERROR(_xlfn.STDEV.S(IF((OutputTable[GroupByKey]=OutputTable[[#This Row],[GroupByKey]]),(OutputTable[GroupByKey]=OutputTable[[#This Row],[GroupByKey]])*OutputTable[RecordedValue])),0)</f>
        <v>9.971597090637573</v>
      </c>
      <c r="M323" s="5" cm="1">
        <f t="array" ref="M323">MAX(IF((ProjectInfoTable[ProjectName]=OutputTable[[#This Row],[ProjectName]]),(ProjectInfoTable[ProjectName]=OutputTable[[#This Row],[ProjectName]])*ProjectInfoTable[ConfidenceInterval]))</f>
        <v>0.95</v>
      </c>
      <c r="N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323" s="5" cm="1">
        <f t="array" ref="O323">MIN(IF((OutputTable[GroupByKey]=OutputTable[[#This Row],[GroupByKey]]),(OutputTable[GroupByKey]=OutputTable[[#This Row],[GroupByKey]])*OutputTable[RecordedValue]))</f>
        <v>109</v>
      </c>
      <c r="P323" s="5" cm="1">
        <f t="array" ref="P323">MAX(IF((OutputTable[GroupByKey]=OutputTable[[#This Row],[GroupByKey]]),(OutputTable[GroupByKey]=OutputTable[[#This Row],[GroupByKey]])*OutputTable[RecordedValue]))</f>
        <v>143</v>
      </c>
    </row>
    <row r="324" spans="1:16" x14ac:dyDescent="0.25">
      <c r="A324" t="s">
        <v>67</v>
      </c>
      <c r="B324" t="s">
        <v>69</v>
      </c>
      <c r="C324">
        <v>16</v>
      </c>
      <c r="D324" t="s">
        <v>155</v>
      </c>
      <c r="E324" t="s">
        <v>147</v>
      </c>
      <c r="F324" t="s">
        <v>72</v>
      </c>
      <c r="G324">
        <v>131</v>
      </c>
      <c r="H324">
        <v>0</v>
      </c>
      <c r="I324" s="5" t="str">
        <f>OutputTable[[#This Row],[ProjectName]]&amp;OutputTable[[#This Row],[Name]]&amp;OutputTable[[#This Row],[Type]]&amp;OutputTable[[#This Row],[Source]]</f>
        <v>Friday (Solucion: datafono, gofre, cocina y caja compartida)Orden.NumberOutNumber OutEntity</v>
      </c>
      <c r="J324" s="5" cm="1">
        <f t="array" ref="J324">MAX(IF((ProjectInfoTable[ProjectName]=OutputTable[[#This Row],[ProjectName]]),(ProjectInfoTable[ProjectName]=OutputTable[[#This Row],[ProjectName]])*ProjectInfoTable[NumberOfReplications]))</f>
        <v>19</v>
      </c>
      <c r="K324" s="5" cm="1">
        <f t="array" ref="K324">IFERROR(AVERAGE(IF((OutputTable[GroupByKey]=OutputTable[[#This Row],[GroupByKey]]),(OutputTable[GroupByKey]=OutputTable[[#This Row],[GroupByKey]])*OutputTable[RecordedValue])),0)</f>
        <v>122.36842105263158</v>
      </c>
      <c r="L324" s="5" cm="1">
        <f t="array" ref="L324">IFERROR(_xlfn.STDEV.S(IF((OutputTable[GroupByKey]=OutputTable[[#This Row],[GroupByKey]]),(OutputTable[GroupByKey]=OutputTable[[#This Row],[GroupByKey]])*OutputTable[RecordedValue])),0)</f>
        <v>10.160984894934533</v>
      </c>
      <c r="M324" s="5" cm="1">
        <f t="array" ref="M324">MAX(IF((ProjectInfoTable[ProjectName]=OutputTable[[#This Row],[ProjectName]]),(ProjectInfoTable[ProjectName]=OutputTable[[#This Row],[ProjectName]])*ProjectInfoTable[ConfidenceInterval]))</f>
        <v>0.95</v>
      </c>
      <c r="N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324" s="5" cm="1">
        <f t="array" ref="O324">MIN(IF((OutputTable[GroupByKey]=OutputTable[[#This Row],[GroupByKey]]),(OutputTable[GroupByKey]=OutputTable[[#This Row],[GroupByKey]])*OutputTable[RecordedValue]))</f>
        <v>109</v>
      </c>
      <c r="P324" s="5" cm="1">
        <f t="array" ref="P324">MAX(IF((OutputTable[GroupByKey]=OutputTable[[#This Row],[GroupByKey]]),(OutputTable[GroupByKey]=OutputTable[[#This Row],[GroupByKey]])*OutputTable[RecordedValue]))</f>
        <v>150</v>
      </c>
    </row>
    <row r="325" spans="1:16" x14ac:dyDescent="0.25">
      <c r="A325" t="s">
        <v>67</v>
      </c>
      <c r="B325" t="s">
        <v>69</v>
      </c>
      <c r="C325">
        <v>16</v>
      </c>
      <c r="D325" t="s">
        <v>156</v>
      </c>
      <c r="E325" t="s">
        <v>149</v>
      </c>
      <c r="F325" t="s">
        <v>86</v>
      </c>
      <c r="G325">
        <v>164.161056348957</v>
      </c>
      <c r="H325">
        <v>0</v>
      </c>
      <c r="I325" s="5" t="str">
        <f>OutputTable[[#This Row],[ProjectName]]&amp;OutputTable[[#This Row],[Name]]&amp;OutputTable[[#This Row],[Type]]&amp;OutputTable[[#This Row],[Source]]</f>
        <v>Friday (Solucion: datafono, gofre, cocina y caja compartida)Preparacion Accum VA TimeAccum VA TimeProcess</v>
      </c>
      <c r="J325" s="5" cm="1">
        <f t="array" ref="J325">MAX(IF((ProjectInfoTable[ProjectName]=OutputTable[[#This Row],[ProjectName]]),(ProjectInfoTable[ProjectName]=OutputTable[[#This Row],[ProjectName]])*ProjectInfoTable[NumberOfReplications]))</f>
        <v>19</v>
      </c>
      <c r="K325" s="5" cm="1">
        <f t="array" ref="K325">IFERROR(AVERAGE(IF((OutputTable[GroupByKey]=OutputTable[[#This Row],[GroupByKey]]),(OutputTable[GroupByKey]=OutputTable[[#This Row],[GroupByKey]])*OutputTable[RecordedValue])),0)</f>
        <v>174.13537587676447</v>
      </c>
      <c r="L325" s="5" cm="1">
        <f t="array" ref="L325">IFERROR(_xlfn.STDEV.S(IF((OutputTable[GroupByKey]=OutputTable[[#This Row],[GroupByKey]]),(OutputTable[GroupByKey]=OutputTable[[#This Row],[GroupByKey]])*OutputTable[RecordedValue])),0)</f>
        <v>19.65074675456297</v>
      </c>
      <c r="M325" s="5" cm="1">
        <f t="array" ref="M325">MAX(IF((ProjectInfoTable[ProjectName]=OutputTable[[#This Row],[ProjectName]]),(ProjectInfoTable[ProjectName]=OutputTable[[#This Row],[ProjectName]])*ProjectInfoTable[ConfidenceInterval]))</f>
        <v>0.95</v>
      </c>
      <c r="N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9.4713567574295272</v>
      </c>
      <c r="O325" s="5" cm="1">
        <f t="array" ref="O325">MIN(IF((OutputTable[GroupByKey]=OutputTable[[#This Row],[GroupByKey]]),(OutputTable[GroupByKey]=OutputTable[[#This Row],[GroupByKey]])*OutputTable[RecordedValue]))</f>
        <v>139.22471453685199</v>
      </c>
      <c r="P325" s="5" cm="1">
        <f t="array" ref="P325">MAX(IF((OutputTable[GroupByKey]=OutputTable[[#This Row],[GroupByKey]]),(OutputTable[GroupByKey]=OutputTable[[#This Row],[GroupByKey]])*OutputTable[RecordedValue]))</f>
        <v>210.18722493890999</v>
      </c>
    </row>
    <row r="326" spans="1:16" x14ac:dyDescent="0.25">
      <c r="A326" t="s">
        <v>67</v>
      </c>
      <c r="B326" t="s">
        <v>69</v>
      </c>
      <c r="C326">
        <v>16</v>
      </c>
      <c r="D326" t="s">
        <v>157</v>
      </c>
      <c r="E326" t="s">
        <v>151</v>
      </c>
      <c r="F326" t="s">
        <v>86</v>
      </c>
      <c r="G326">
        <v>25.774706931365198</v>
      </c>
      <c r="H326">
        <v>0</v>
      </c>
      <c r="I326" s="5" t="str">
        <f>OutputTable[[#This Row],[ProjectName]]&amp;OutputTable[[#This Row],[Name]]&amp;OutputTable[[#This Row],[Type]]&amp;OutputTable[[#This Row],[Source]]</f>
        <v>Friday (Solucion: datafono, gofre, cocina y caja compartida)Preparacion Accum Wait TimeAccum Wait TimeProcess</v>
      </c>
      <c r="J326" s="5" cm="1">
        <f t="array" ref="J326">MAX(IF((ProjectInfoTable[ProjectName]=OutputTable[[#This Row],[ProjectName]]),(ProjectInfoTable[ProjectName]=OutputTable[[#This Row],[ProjectName]])*ProjectInfoTable[NumberOfReplications]))</f>
        <v>19</v>
      </c>
      <c r="K326" s="5" cm="1">
        <f t="array" ref="K326">IFERROR(AVERAGE(IF((OutputTable[GroupByKey]=OutputTable[[#This Row],[GroupByKey]]),(OutputTable[GroupByKey]=OutputTable[[#This Row],[GroupByKey]])*OutputTable[RecordedValue])),0)</f>
        <v>89.754366677107924</v>
      </c>
      <c r="L326" s="5" cm="1">
        <f t="array" ref="L326">IFERROR(_xlfn.STDEV.S(IF((OutputTable[GroupByKey]=OutputTable[[#This Row],[GroupByKey]]),(OutputTable[GroupByKey]=OutputTable[[#This Row],[GroupByKey]])*OutputTable[RecordedValue])),0)</f>
        <v>109.53061123574736</v>
      </c>
      <c r="M326" s="5" cm="1">
        <f t="array" ref="M326">MAX(IF((ProjectInfoTable[ProjectName]=OutputTable[[#This Row],[ProjectName]]),(ProjectInfoTable[ProjectName]=OutputTable[[#This Row],[ProjectName]])*ProjectInfoTable[ConfidenceInterval]))</f>
        <v>0.95</v>
      </c>
      <c r="N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52.79206474085742</v>
      </c>
      <c r="O326" s="5" cm="1">
        <f t="array" ref="O326">MIN(IF((OutputTable[GroupByKey]=OutputTable[[#This Row],[GroupByKey]]),(OutputTable[GroupByKey]=OutputTable[[#This Row],[GroupByKey]])*OutputTable[RecordedValue]))</f>
        <v>22.316256244919199</v>
      </c>
      <c r="P326" s="5" cm="1">
        <f t="array" ref="P326">MAX(IF((OutputTable[GroupByKey]=OutputTable[[#This Row],[GroupByKey]]),(OutputTable[GroupByKey]=OutputTable[[#This Row],[GroupByKey]])*OutputTable[RecordedValue]))</f>
        <v>514.987116007179</v>
      </c>
    </row>
    <row r="327" spans="1:16" x14ac:dyDescent="0.25">
      <c r="A327" t="s">
        <v>67</v>
      </c>
      <c r="B327" t="s">
        <v>69</v>
      </c>
      <c r="C327">
        <v>16</v>
      </c>
      <c r="D327" t="s">
        <v>158</v>
      </c>
      <c r="E327" t="s">
        <v>145</v>
      </c>
      <c r="F327" t="s">
        <v>86</v>
      </c>
      <c r="G327">
        <v>131</v>
      </c>
      <c r="H327">
        <v>0</v>
      </c>
      <c r="I327" s="5" t="str">
        <f>OutputTable[[#This Row],[ProjectName]]&amp;OutputTable[[#This Row],[Name]]&amp;OutputTable[[#This Row],[Type]]&amp;OutputTable[[#This Row],[Source]]</f>
        <v>Friday (Solucion: datafono, gofre, cocina y caja compartida)Preparacion Number InNumber InProcess</v>
      </c>
      <c r="J327" s="5" cm="1">
        <f t="array" ref="J327">MAX(IF((ProjectInfoTable[ProjectName]=OutputTable[[#This Row],[ProjectName]]),(ProjectInfoTable[ProjectName]=OutputTable[[#This Row],[ProjectName]])*ProjectInfoTable[NumberOfReplications]))</f>
        <v>19</v>
      </c>
      <c r="K327" s="5" cm="1">
        <f t="array" ref="K327">IFERROR(AVERAGE(IF((OutputTable[GroupByKey]=OutputTable[[#This Row],[GroupByKey]]),(OutputTable[GroupByKey]=OutputTable[[#This Row],[GroupByKey]])*OutputTable[RecordedValue])),0)</f>
        <v>121.89473684210526</v>
      </c>
      <c r="L327" s="5" cm="1">
        <f t="array" ref="L327">IFERROR(_xlfn.STDEV.S(IF((OutputTable[GroupByKey]=OutputTable[[#This Row],[GroupByKey]]),(OutputTable[GroupByKey]=OutputTable[[#This Row],[GroupByKey]])*OutputTable[RecordedValue])),0)</f>
        <v>9.971597090637573</v>
      </c>
      <c r="M327" s="5" cm="1">
        <f t="array" ref="M327">MAX(IF((ProjectInfoTable[ProjectName]=OutputTable[[#This Row],[ProjectName]]),(ProjectInfoTable[ProjectName]=OutputTable[[#This Row],[ProjectName]])*ProjectInfoTable[ConfidenceInterval]))</f>
        <v>0.95</v>
      </c>
      <c r="N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327" s="5" cm="1">
        <f t="array" ref="O327">MIN(IF((OutputTable[GroupByKey]=OutputTable[[#This Row],[GroupByKey]]),(OutputTable[GroupByKey]=OutputTable[[#This Row],[GroupByKey]])*OutputTable[RecordedValue]))</f>
        <v>109</v>
      </c>
      <c r="P327" s="5" cm="1">
        <f t="array" ref="P327">MAX(IF((OutputTable[GroupByKey]=OutputTable[[#This Row],[GroupByKey]]),(OutputTable[GroupByKey]=OutputTable[[#This Row],[GroupByKey]])*OutputTable[RecordedValue]))</f>
        <v>143</v>
      </c>
    </row>
    <row r="328" spans="1:16" x14ac:dyDescent="0.25">
      <c r="A328" t="s">
        <v>67</v>
      </c>
      <c r="B328" t="s">
        <v>69</v>
      </c>
      <c r="C328">
        <v>16</v>
      </c>
      <c r="D328" t="s">
        <v>159</v>
      </c>
      <c r="E328" t="s">
        <v>147</v>
      </c>
      <c r="F328" t="s">
        <v>86</v>
      </c>
      <c r="G328">
        <v>131</v>
      </c>
      <c r="H328">
        <v>0</v>
      </c>
      <c r="I328" s="5" t="str">
        <f>OutputTable[[#This Row],[ProjectName]]&amp;OutputTable[[#This Row],[Name]]&amp;OutputTable[[#This Row],[Type]]&amp;OutputTable[[#This Row],[Source]]</f>
        <v>Friday (Solucion: datafono, gofre, cocina y caja compartida)Preparacion Number OutNumber OutProcess</v>
      </c>
      <c r="J328" s="5" cm="1">
        <f t="array" ref="J328">MAX(IF((ProjectInfoTable[ProjectName]=OutputTable[[#This Row],[ProjectName]]),(ProjectInfoTable[ProjectName]=OutputTable[[#This Row],[ProjectName]])*ProjectInfoTable[NumberOfReplications]))</f>
        <v>19</v>
      </c>
      <c r="K328" s="5" cm="1">
        <f t="array" ref="K328">IFERROR(AVERAGE(IF((OutputTable[GroupByKey]=OutputTable[[#This Row],[GroupByKey]]),(OutputTable[GroupByKey]=OutputTable[[#This Row],[GroupByKey]])*OutputTable[RecordedValue])),0)</f>
        <v>122.31578947368421</v>
      </c>
      <c r="L328" s="5" cm="1">
        <f t="array" ref="L328">IFERROR(_xlfn.STDEV.S(IF((OutputTable[GroupByKey]=OutputTable[[#This Row],[GroupByKey]]),(OutputTable[GroupByKey]=OutputTable[[#This Row],[GroupByKey]])*OutputTable[RecordedValue])),0)</f>
        <v>10.127260414780096</v>
      </c>
      <c r="M328" s="5" cm="1">
        <f t="array" ref="M328">MAX(IF((ProjectInfoTable[ProjectName]=OutputTable[[#This Row],[ProjectName]]),(ProjectInfoTable[ProjectName]=OutputTable[[#This Row],[ProjectName]])*ProjectInfoTable[ConfidenceInterval]))</f>
        <v>0.95</v>
      </c>
      <c r="N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4.8811832731752718</v>
      </c>
      <c r="O328" s="5" cm="1">
        <f t="array" ref="O328">MIN(IF((OutputTable[GroupByKey]=OutputTable[[#This Row],[GroupByKey]]),(OutputTable[GroupByKey]=OutputTable[[#This Row],[GroupByKey]])*OutputTable[RecordedValue]))</f>
        <v>111</v>
      </c>
      <c r="P328" s="5" cm="1">
        <f t="array" ref="P328">MAX(IF((OutputTable[GroupByKey]=OutputTable[[#This Row],[GroupByKey]]),(OutputTable[GroupByKey]=OutputTable[[#This Row],[GroupByKey]])*OutputTable[RecordedValue]))</f>
        <v>150</v>
      </c>
    </row>
    <row r="329" spans="1:16" x14ac:dyDescent="0.25">
      <c r="A329" t="s">
        <v>67</v>
      </c>
      <c r="B329" t="s">
        <v>69</v>
      </c>
      <c r="C329">
        <v>16</v>
      </c>
      <c r="D329" t="s">
        <v>160</v>
      </c>
      <c r="E329" t="s">
        <v>147</v>
      </c>
      <c r="F329" t="s">
        <v>161</v>
      </c>
      <c r="G329">
        <v>134</v>
      </c>
      <c r="H329">
        <v>0</v>
      </c>
      <c r="I329" s="5" t="str">
        <f>OutputTable[[#This Row],[ProjectName]]&amp;OutputTable[[#This Row],[Name]]&amp;OutputTable[[#This Row],[Type]]&amp;OutputTable[[#This Row],[Source]]</f>
        <v>Friday (Solucion: datafono, gofre, cocina y caja compartida)System.NumberOutNumber OutSystem</v>
      </c>
      <c r="J329" s="5" cm="1">
        <f t="array" ref="J329">MAX(IF((ProjectInfoTable[ProjectName]=OutputTable[[#This Row],[ProjectName]]),(ProjectInfoTable[ProjectName]=OutputTable[[#This Row],[ProjectName]])*ProjectInfoTable[NumberOfReplications]))</f>
        <v>19</v>
      </c>
      <c r="K329" s="5" cm="1">
        <f t="array" ref="K329">IFERROR(AVERAGE(IF((OutputTable[GroupByKey]=OutputTable[[#This Row],[GroupByKey]]),(OutputTable[GroupByKey]=OutputTable[[#This Row],[GroupByKey]])*OutputTable[RecordedValue])),0)</f>
        <v>125.36842105263158</v>
      </c>
      <c r="L329" s="5" cm="1">
        <f t="array" ref="L329">IFERROR(_xlfn.STDEV.S(IF((OutputTable[GroupByKey]=OutputTable[[#This Row],[GroupByKey]]),(OutputTable[GroupByKey]=OutputTable[[#This Row],[GroupByKey]])*OutputTable[RecordedValue])),0)</f>
        <v>10.160984894934533</v>
      </c>
      <c r="M329" s="5" cm="1">
        <f t="array" ref="M329">MAX(IF((ProjectInfoTable[ProjectName]=OutputTable[[#This Row],[ProjectName]]),(ProjectInfoTable[ProjectName]=OutputTable[[#This Row],[ProjectName]])*ProjectInfoTable[ConfidenceInterval]))</f>
        <v>0.95</v>
      </c>
      <c r="N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329" s="5" cm="1">
        <f t="array" ref="O329">MIN(IF((OutputTable[GroupByKey]=OutputTable[[#This Row],[GroupByKey]]),(OutputTable[GroupByKey]=OutputTable[[#This Row],[GroupByKey]])*OutputTable[RecordedValue]))</f>
        <v>112</v>
      </c>
      <c r="P329" s="5" cm="1">
        <f t="array" ref="P329">MAX(IF((OutputTable[GroupByKey]=OutputTable[[#This Row],[GroupByKey]]),(OutputTable[GroupByKey]=OutputTable[[#This Row],[GroupByKey]])*OutputTable[RecordedValue]))</f>
        <v>153</v>
      </c>
    </row>
    <row r="330" spans="1:16" x14ac:dyDescent="0.25">
      <c r="A330" t="s">
        <v>67</v>
      </c>
      <c r="B330" t="s">
        <v>69</v>
      </c>
      <c r="C330">
        <v>16</v>
      </c>
      <c r="D330" t="s">
        <v>162</v>
      </c>
      <c r="E330" t="s">
        <v>163</v>
      </c>
      <c r="F330" t="s">
        <v>136</v>
      </c>
      <c r="G330">
        <v>154</v>
      </c>
      <c r="H330">
        <v>0</v>
      </c>
      <c r="I330" s="5" t="str">
        <f>OutputTable[[#This Row],[ProjectName]]&amp;OutputTable[[#This Row],[Name]]&amp;OutputTable[[#This Row],[Type]]&amp;OutputTable[[#This Row],[Source]]</f>
        <v>Friday (Solucion: datafono, gofre, cocina y caja compartida)rCajero.NumberSeizedTotal Number SeizedResource</v>
      </c>
      <c r="J330" s="5" cm="1">
        <f t="array" ref="J330">MAX(IF((ProjectInfoTable[ProjectName]=OutputTable[[#This Row],[ProjectName]]),(ProjectInfoTable[ProjectName]=OutputTable[[#This Row],[ProjectName]])*ProjectInfoTable[NumberOfReplications]))</f>
        <v>19</v>
      </c>
      <c r="K330" s="5" cm="1">
        <f t="array" ref="K330">IFERROR(AVERAGE(IF((OutputTable[GroupByKey]=OutputTable[[#This Row],[GroupByKey]]),(OutputTable[GroupByKey]=OutputTable[[#This Row],[GroupByKey]])*OutputTable[RecordedValue])),0)</f>
        <v>131.63157894736841</v>
      </c>
      <c r="L330" s="5" cm="1">
        <f t="array" ref="L330">IFERROR(_xlfn.STDEV.S(IF((OutputTable[GroupByKey]=OutputTable[[#This Row],[GroupByKey]]),(OutputTable[GroupByKey]=OutputTable[[#This Row],[GroupByKey]])*OutputTable[RecordedValue])),0)</f>
        <v>13.988926280438102</v>
      </c>
      <c r="M330" s="5" cm="1">
        <f t="array" ref="M330">MAX(IF((ProjectInfoTable[ProjectName]=OutputTable[[#This Row],[ProjectName]]),(ProjectInfoTable[ProjectName]=OutputTable[[#This Row],[ProjectName]])*ProjectInfoTable[ConfidenceInterval]))</f>
        <v>0.95</v>
      </c>
      <c r="N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6.7424466413544986</v>
      </c>
      <c r="O330" s="5" cm="1">
        <f t="array" ref="O330">MIN(IF((OutputTable[GroupByKey]=OutputTable[[#This Row],[GroupByKey]]),(OutputTable[GroupByKey]=OutputTable[[#This Row],[GroupByKey]])*OutputTable[RecordedValue]))</f>
        <v>113</v>
      </c>
      <c r="P330" s="5" cm="1">
        <f t="array" ref="P330">MAX(IF((OutputTable[GroupByKey]=OutputTable[[#This Row],[GroupByKey]]),(OutputTable[GroupByKey]=OutputTable[[#This Row],[GroupByKey]])*OutputTable[RecordedValue]))</f>
        <v>157</v>
      </c>
    </row>
    <row r="331" spans="1:16" x14ac:dyDescent="0.25">
      <c r="A331" t="s">
        <v>67</v>
      </c>
      <c r="B331" t="s">
        <v>69</v>
      </c>
      <c r="C331">
        <v>16</v>
      </c>
      <c r="D331" t="s">
        <v>164</v>
      </c>
      <c r="E331" t="s">
        <v>165</v>
      </c>
      <c r="F331" t="s">
        <v>136</v>
      </c>
      <c r="G331">
        <v>0.63961204022853202</v>
      </c>
      <c r="H331">
        <v>0</v>
      </c>
      <c r="I331" s="5" t="str">
        <f>OutputTable[[#This Row],[ProjectName]]&amp;OutputTable[[#This Row],[Name]]&amp;OutputTable[[#This Row],[Type]]&amp;OutputTable[[#This Row],[Source]]</f>
        <v>Friday (Solucion: datafono, gofre, cocina y caja compartida)rCajero.ScheduledUtilizationScheduled UtilizationResource</v>
      </c>
      <c r="J331" s="5" cm="1">
        <f t="array" ref="J331">MAX(IF((ProjectInfoTable[ProjectName]=OutputTable[[#This Row],[ProjectName]]),(ProjectInfoTable[ProjectName]=OutputTable[[#This Row],[ProjectName]])*ProjectInfoTable[NumberOfReplications]))</f>
        <v>19</v>
      </c>
      <c r="K331" s="5" cm="1">
        <f t="array" ref="K331">IFERROR(AVERAGE(IF((OutputTable[GroupByKey]=OutputTable[[#This Row],[GroupByKey]]),(OutputTable[GroupByKey]=OutputTable[[#This Row],[GroupByKey]])*OutputTable[RecordedValue])),0)</f>
        <v>0.68474836505339687</v>
      </c>
      <c r="L331" s="5" cm="1">
        <f t="array" ref="L331">IFERROR(_xlfn.STDEV.S(IF((OutputTable[GroupByKey]=OutputTable[[#This Row],[GroupByKey]]),(OutputTable[GroupByKey]=OutputTable[[#This Row],[GroupByKey]])*OutputTable[RecordedValue])),0)</f>
        <v>6.2272947935973065E-2</v>
      </c>
      <c r="M331" s="5" cm="1">
        <f t="array" ref="M331">MAX(IF((ProjectInfoTable[ProjectName]=OutputTable[[#This Row],[ProjectName]]),(ProjectInfoTable[ProjectName]=OutputTable[[#This Row],[ProjectName]])*ProjectInfoTable[ConfidenceInterval]))</f>
        <v>0.95</v>
      </c>
      <c r="N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3.0014600137344902E-2</v>
      </c>
      <c r="O331" s="5" cm="1">
        <f t="array" ref="O331">MIN(IF((OutputTable[GroupByKey]=OutputTable[[#This Row],[GroupByKey]]),(OutputTable[GroupByKey]=OutputTable[[#This Row],[GroupByKey]])*OutputTable[RecordedValue]))</f>
        <v>0.59592290927233305</v>
      </c>
      <c r="P331" s="5" cm="1">
        <f t="array" ref="P331">MAX(IF((OutputTable[GroupByKey]=OutputTable[[#This Row],[GroupByKey]]),(OutputTable[GroupByKey]=OutputTable[[#This Row],[GroupByKey]])*OutputTable[RecordedValue]))</f>
        <v>0.82897119936997599</v>
      </c>
    </row>
    <row r="332" spans="1:16" x14ac:dyDescent="0.25">
      <c r="A332" t="s">
        <v>67</v>
      </c>
      <c r="B332" t="s">
        <v>69</v>
      </c>
      <c r="C332">
        <v>16</v>
      </c>
      <c r="D332" t="s">
        <v>166</v>
      </c>
      <c r="E332" t="s">
        <v>163</v>
      </c>
      <c r="F332" t="s">
        <v>136</v>
      </c>
      <c r="G332">
        <v>108</v>
      </c>
      <c r="H332">
        <v>0</v>
      </c>
      <c r="I332" s="5" t="str">
        <f>OutputTable[[#This Row],[ProjectName]]&amp;OutputTable[[#This Row],[Name]]&amp;OutputTable[[#This Row],[Type]]&amp;OutputTable[[#This Row],[Source]]</f>
        <v>Friday (Solucion: datafono, gofre, cocina y caja compartida)rCocina.NumberSeizedTotal Number SeizedResource</v>
      </c>
      <c r="J332" s="5" cm="1">
        <f t="array" ref="J332">MAX(IF((ProjectInfoTable[ProjectName]=OutputTable[[#This Row],[ProjectName]]),(ProjectInfoTable[ProjectName]=OutputTable[[#This Row],[ProjectName]])*ProjectInfoTable[NumberOfReplications]))</f>
        <v>19</v>
      </c>
      <c r="K332" s="5" cm="1">
        <f t="array" ref="K332">IFERROR(AVERAGE(IF((OutputTable[GroupByKey]=OutputTable[[#This Row],[GroupByKey]]),(OutputTable[GroupByKey]=OutputTable[[#This Row],[GroupByKey]])*OutputTable[RecordedValue])),0)</f>
        <v>112.73684210526316</v>
      </c>
      <c r="L332" s="5" cm="1">
        <f t="array" ref="L332">IFERROR(_xlfn.STDEV.S(IF((OutputTable[GroupByKey]=OutputTable[[#This Row],[GroupByKey]]),(OutputTable[GroupByKey]=OutputTable[[#This Row],[GroupByKey]])*OutputTable[RecordedValue])),0)</f>
        <v>9.1155673027772668</v>
      </c>
      <c r="M332" s="5" cm="1">
        <f t="array" ref="M332">MAX(IF((ProjectInfoTable[ProjectName]=OutputTable[[#This Row],[ProjectName]]),(ProjectInfoTable[ProjectName]=OutputTable[[#This Row],[ProjectName]])*ProjectInfoTable[ConfidenceInterval]))</f>
        <v>0.95</v>
      </c>
      <c r="N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4.3935628019284003</v>
      </c>
      <c r="O332" s="5" cm="1">
        <f t="array" ref="O332">MIN(IF((OutputTable[GroupByKey]=OutputTable[[#This Row],[GroupByKey]]),(OutputTable[GroupByKey]=OutputTable[[#This Row],[GroupByKey]])*OutputTable[RecordedValue]))</f>
        <v>102</v>
      </c>
      <c r="P332" s="5" cm="1">
        <f t="array" ref="P332">MAX(IF((OutputTable[GroupByKey]=OutputTable[[#This Row],[GroupByKey]]),(OutputTable[GroupByKey]=OutputTable[[#This Row],[GroupByKey]])*OutputTable[RecordedValue]))</f>
        <v>135</v>
      </c>
    </row>
    <row r="333" spans="1:16" x14ac:dyDescent="0.25">
      <c r="A333" t="s">
        <v>67</v>
      </c>
      <c r="B333" t="s">
        <v>69</v>
      </c>
      <c r="C333">
        <v>16</v>
      </c>
      <c r="D333" t="s">
        <v>167</v>
      </c>
      <c r="E333" t="s">
        <v>165</v>
      </c>
      <c r="F333" t="s">
        <v>136</v>
      </c>
      <c r="G333">
        <v>0.71001751454208795</v>
      </c>
      <c r="H333">
        <v>0</v>
      </c>
      <c r="I333" s="5" t="str">
        <f>OutputTable[[#This Row],[ProjectName]]&amp;OutputTable[[#This Row],[Name]]&amp;OutputTable[[#This Row],[Type]]&amp;OutputTable[[#This Row],[Source]]</f>
        <v>Friday (Solucion: datafono, gofre, cocina y caja compartida)rCocina.ScheduledUtilizationScheduled UtilizationResource</v>
      </c>
      <c r="J333" s="5" cm="1">
        <f t="array" ref="J333">MAX(IF((ProjectInfoTable[ProjectName]=OutputTable[[#This Row],[ProjectName]]),(ProjectInfoTable[ProjectName]=OutputTable[[#This Row],[ProjectName]])*ProjectInfoTable[NumberOfReplications]))</f>
        <v>19</v>
      </c>
      <c r="K333" s="5" cm="1">
        <f t="array" ref="K333">IFERROR(AVERAGE(IF((OutputTable[GroupByKey]=OutputTable[[#This Row],[GroupByKey]]),(OutputTable[GroupByKey]=OutputTable[[#This Row],[GroupByKey]])*OutputTable[RecordedValue])),0)</f>
        <v>0.71670342302257706</v>
      </c>
      <c r="L333" s="5" cm="1">
        <f t="array" ref="L333">IFERROR(_xlfn.STDEV.S(IF((OutputTable[GroupByKey]=OutputTable[[#This Row],[GroupByKey]]),(OutputTable[GroupByKey]=OutputTable[[#This Row],[GroupByKey]])*OutputTable[RecordedValue])),0)</f>
        <v>7.0907274842727658E-2</v>
      </c>
      <c r="M333" s="5" cm="1">
        <f t="array" ref="M333">MAX(IF((ProjectInfoTable[ProjectName]=OutputTable[[#This Row],[ProjectName]]),(ProjectInfoTable[ProjectName]=OutputTable[[#This Row],[ProjectName]])*ProjectInfoTable[ConfidenceInterval]))</f>
        <v>0.95</v>
      </c>
      <c r="N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3.4176212493127585E-2</v>
      </c>
      <c r="O333" s="5" cm="1">
        <f t="array" ref="O333">MIN(IF((OutputTable[GroupByKey]=OutputTable[[#This Row],[GroupByKey]]),(OutputTable[GroupByKey]=OutputTable[[#This Row],[GroupByKey]])*OutputTable[RecordedValue]))</f>
        <v>0.60463940272025996</v>
      </c>
      <c r="P333" s="5" cm="1">
        <f t="array" ref="P333">MAX(IF((OutputTable[GroupByKey]=OutputTable[[#This Row],[GroupByKey]]),(OutputTable[GroupByKey]=OutputTable[[#This Row],[GroupByKey]])*OutputTable[RecordedValue]))</f>
        <v>0.86361037821575004</v>
      </c>
    </row>
    <row r="334" spans="1:16" x14ac:dyDescent="0.25">
      <c r="A334" t="s">
        <v>67</v>
      </c>
      <c r="B334" t="s">
        <v>69</v>
      </c>
      <c r="C334">
        <v>16</v>
      </c>
      <c r="D334" t="s">
        <v>168</v>
      </c>
      <c r="E334" t="s">
        <v>163</v>
      </c>
      <c r="F334" t="s">
        <v>136</v>
      </c>
      <c r="G334">
        <v>21</v>
      </c>
      <c r="H334">
        <v>0</v>
      </c>
      <c r="I334" s="5" t="str">
        <f>OutputTable[[#This Row],[ProjectName]]&amp;OutputTable[[#This Row],[Name]]&amp;OutputTable[[#This Row],[Type]]&amp;OutputTable[[#This Row],[Source]]</f>
        <v>Friday (Solucion: datafono, gofre, cocina y caja compartida)rMesa.NumberSeizedTotal Number SeizedResource</v>
      </c>
      <c r="J334" s="5" cm="1">
        <f t="array" ref="J334">MAX(IF((ProjectInfoTable[ProjectName]=OutputTable[[#This Row],[ProjectName]]),(ProjectInfoTable[ProjectName]=OutputTable[[#This Row],[ProjectName]])*ProjectInfoTable[NumberOfReplications]))</f>
        <v>19</v>
      </c>
      <c r="K334" s="5" cm="1">
        <f t="array" ref="K334">IFERROR(AVERAGE(IF((OutputTable[GroupByKey]=OutputTable[[#This Row],[GroupByKey]]),(OutputTable[GroupByKey]=OutputTable[[#This Row],[GroupByKey]])*OutputTable[RecordedValue])),0)</f>
        <v>16.157894736842106</v>
      </c>
      <c r="L334" s="5" cm="1">
        <f t="array" ref="L334">IFERROR(_xlfn.STDEV.S(IF((OutputTable[GroupByKey]=OutputTable[[#This Row],[GroupByKey]]),(OutputTable[GroupByKey]=OutputTable[[#This Row],[GroupByKey]])*OutputTable[RecordedValue])),0)</f>
        <v>3.8044295512634076</v>
      </c>
      <c r="M334" s="5" cm="1">
        <f t="array" ref="M334">MAX(IF((ProjectInfoTable[ProjectName]=OutputTable[[#This Row],[ProjectName]]),(ProjectInfoTable[ProjectName]=OutputTable[[#This Row],[ProjectName]])*ProjectInfoTable[ConfidenceInterval]))</f>
        <v>0.95</v>
      </c>
      <c r="N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334" s="5" cm="1">
        <f t="array" ref="O334">MIN(IF((OutputTable[GroupByKey]=OutputTable[[#This Row],[GroupByKey]]),(OutputTable[GroupByKey]=OutputTable[[#This Row],[GroupByKey]])*OutputTable[RecordedValue]))</f>
        <v>9</v>
      </c>
      <c r="P334" s="5" cm="1">
        <f t="array" ref="P334">MAX(IF((OutputTable[GroupByKey]=OutputTable[[#This Row],[GroupByKey]]),(OutputTable[GroupByKey]=OutputTable[[#This Row],[GroupByKey]])*OutputTable[RecordedValue]))</f>
        <v>24</v>
      </c>
    </row>
    <row r="335" spans="1:16" x14ac:dyDescent="0.25">
      <c r="A335" t="s">
        <v>67</v>
      </c>
      <c r="B335" t="s">
        <v>69</v>
      </c>
      <c r="C335">
        <v>16</v>
      </c>
      <c r="D335" t="s">
        <v>169</v>
      </c>
      <c r="E335" t="s">
        <v>165</v>
      </c>
      <c r="F335" t="s">
        <v>136</v>
      </c>
      <c r="G335">
        <v>0.37813713553954098</v>
      </c>
      <c r="H335">
        <v>0</v>
      </c>
      <c r="I335" s="5" t="str">
        <f>OutputTable[[#This Row],[ProjectName]]&amp;OutputTable[[#This Row],[Name]]&amp;OutputTable[[#This Row],[Type]]&amp;OutputTable[[#This Row],[Source]]</f>
        <v>Friday (Solucion: datafono, gofre, cocina y caja compartida)rMesa.ScheduledUtilizationScheduled UtilizationResource</v>
      </c>
      <c r="J335" s="5" cm="1">
        <f t="array" ref="J335">MAX(IF((ProjectInfoTable[ProjectName]=OutputTable[[#This Row],[ProjectName]]),(ProjectInfoTable[ProjectName]=OutputTable[[#This Row],[ProjectName]])*ProjectInfoTable[NumberOfReplications]))</f>
        <v>19</v>
      </c>
      <c r="K335" s="5" cm="1">
        <f t="array" ref="K335">IFERROR(AVERAGE(IF((OutputTable[GroupByKey]=OutputTable[[#This Row],[GroupByKey]]),(OutputTable[GroupByKey]=OutputTable[[#This Row],[GroupByKey]])*OutputTable[RecordedValue])),0)</f>
        <v>0.30850610959128744</v>
      </c>
      <c r="L335" s="5" cm="1">
        <f t="array" ref="L335">IFERROR(_xlfn.STDEV.S(IF((OutputTable[GroupByKey]=OutputTable[[#This Row],[GroupByKey]]),(OutputTable[GroupByKey]=OutputTable[[#This Row],[GroupByKey]])*OutputTable[RecordedValue])),0)</f>
        <v>6.2586127702931107E-2</v>
      </c>
      <c r="M335" s="5" cm="1">
        <f t="array" ref="M335">MAX(IF((ProjectInfoTable[ProjectName]=OutputTable[[#This Row],[ProjectName]]),(ProjectInfoTable[ProjectName]=OutputTable[[#This Row],[ProjectName]])*ProjectInfoTable[ConfidenceInterval]))</f>
        <v>0.95</v>
      </c>
      <c r="N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3.0165547953176861E-2</v>
      </c>
      <c r="O335" s="5" cm="1">
        <f t="array" ref="O335">MIN(IF((OutputTable[GroupByKey]=OutputTable[[#This Row],[GroupByKey]]),(OutputTable[GroupByKey]=OutputTable[[#This Row],[GroupByKey]])*OutputTable[RecordedValue]))</f>
        <v>0.156206445320244</v>
      </c>
      <c r="P335" s="5" cm="1">
        <f t="array" ref="P335">MAX(IF((OutputTable[GroupByKey]=OutputTable[[#This Row],[GroupByKey]]),(OutputTable[GroupByKey]=OutputTable[[#This Row],[GroupByKey]])*OutputTable[RecordedValue]))</f>
        <v>0.44942505379986802</v>
      </c>
    </row>
    <row r="336" spans="1:16" x14ac:dyDescent="0.25">
      <c r="A336" t="s">
        <v>67</v>
      </c>
      <c r="B336" t="s">
        <v>69</v>
      </c>
      <c r="C336">
        <v>16</v>
      </c>
      <c r="D336" t="s">
        <v>170</v>
      </c>
      <c r="E336" t="s">
        <v>145</v>
      </c>
      <c r="F336" t="s">
        <v>72</v>
      </c>
      <c r="G336">
        <v>3</v>
      </c>
      <c r="H336">
        <v>0</v>
      </c>
      <c r="I336" s="5" t="str">
        <f>OutputTable[[#This Row],[ProjectName]]&amp;OutputTable[[#This Row],[Name]]&amp;OutputTable[[#This Row],[Type]]&amp;OutputTable[[#This Row],[Source]]</f>
        <v>Friday (Solucion: datafono, gofre, cocina y caja compartida)reloj.NumberInNumber InEntity</v>
      </c>
      <c r="J336" s="5" cm="1">
        <f t="array" ref="J336">MAX(IF((ProjectInfoTable[ProjectName]=OutputTable[[#This Row],[ProjectName]]),(ProjectInfoTable[ProjectName]=OutputTable[[#This Row],[ProjectName]])*ProjectInfoTable[NumberOfReplications]))</f>
        <v>19</v>
      </c>
      <c r="K336" s="5" cm="1">
        <f t="array" ref="K336">IFERROR(AVERAGE(IF((OutputTable[GroupByKey]=OutputTable[[#This Row],[GroupByKey]]),(OutputTable[GroupByKey]=OutputTable[[#This Row],[GroupByKey]])*OutputTable[RecordedValue])),0)</f>
        <v>3</v>
      </c>
      <c r="L336" s="5" cm="1">
        <f t="array" ref="L336">IFERROR(_xlfn.STDEV.S(IF((OutputTable[GroupByKey]=OutputTable[[#This Row],[GroupByKey]]),(OutputTable[GroupByKey]=OutputTable[[#This Row],[GroupByKey]])*OutputTable[RecordedValue])),0)</f>
        <v>0</v>
      </c>
      <c r="M336" s="5" cm="1">
        <f t="array" ref="M336">MAX(IF((ProjectInfoTable[ProjectName]=OutputTable[[#This Row],[ProjectName]]),(ProjectInfoTable[ProjectName]=OutputTable[[#This Row],[ProjectName]])*ProjectInfoTable[ConfidenceInterval]))</f>
        <v>0.95</v>
      </c>
      <c r="N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6" s="5" cm="1">
        <f t="array" ref="O336">MIN(IF((OutputTable[GroupByKey]=OutputTable[[#This Row],[GroupByKey]]),(OutputTable[GroupByKey]=OutputTable[[#This Row],[GroupByKey]])*OutputTable[RecordedValue]))</f>
        <v>3</v>
      </c>
      <c r="P336" s="5" cm="1">
        <f t="array" ref="P336">MAX(IF((OutputTable[GroupByKey]=OutputTable[[#This Row],[GroupByKey]]),(OutputTable[GroupByKey]=OutputTable[[#This Row],[GroupByKey]])*OutputTable[RecordedValue]))</f>
        <v>3</v>
      </c>
    </row>
    <row r="337" spans="1:16" x14ac:dyDescent="0.25">
      <c r="A337" t="s">
        <v>67</v>
      </c>
      <c r="B337" t="s">
        <v>69</v>
      </c>
      <c r="C337">
        <v>16</v>
      </c>
      <c r="D337" t="s">
        <v>171</v>
      </c>
      <c r="E337" t="s">
        <v>147</v>
      </c>
      <c r="F337" t="s">
        <v>72</v>
      </c>
      <c r="G337">
        <v>3</v>
      </c>
      <c r="H337">
        <v>0</v>
      </c>
      <c r="I337" s="5" t="str">
        <f>OutputTable[[#This Row],[ProjectName]]&amp;OutputTable[[#This Row],[Name]]&amp;OutputTable[[#This Row],[Type]]&amp;OutputTable[[#This Row],[Source]]</f>
        <v>Friday (Solucion: datafono, gofre, cocina y caja compartida)reloj.NumberOutNumber OutEntity</v>
      </c>
      <c r="J337" s="5" cm="1">
        <f t="array" ref="J337">MAX(IF((ProjectInfoTable[ProjectName]=OutputTable[[#This Row],[ProjectName]]),(ProjectInfoTable[ProjectName]=OutputTable[[#This Row],[ProjectName]])*ProjectInfoTable[NumberOfReplications]))</f>
        <v>19</v>
      </c>
      <c r="K337" s="5" cm="1">
        <f t="array" ref="K337">IFERROR(AVERAGE(IF((OutputTable[GroupByKey]=OutputTable[[#This Row],[GroupByKey]]),(OutputTable[GroupByKey]=OutputTable[[#This Row],[GroupByKey]])*OutputTable[RecordedValue])),0)</f>
        <v>3</v>
      </c>
      <c r="L337" s="5" cm="1">
        <f t="array" ref="L337">IFERROR(_xlfn.STDEV.S(IF((OutputTable[GroupByKey]=OutputTable[[#This Row],[GroupByKey]]),(OutputTable[GroupByKey]=OutputTable[[#This Row],[GroupByKey]])*OutputTable[RecordedValue])),0)</f>
        <v>0</v>
      </c>
      <c r="M337" s="5" cm="1">
        <f t="array" ref="M337">MAX(IF((ProjectInfoTable[ProjectName]=OutputTable[[#This Row],[ProjectName]]),(ProjectInfoTable[ProjectName]=OutputTable[[#This Row],[ProjectName]])*ProjectInfoTable[ConfidenceInterval]))</f>
        <v>0.95</v>
      </c>
      <c r="N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7" s="5" cm="1">
        <f t="array" ref="O337">MIN(IF((OutputTable[GroupByKey]=OutputTable[[#This Row],[GroupByKey]]),(OutputTable[GroupByKey]=OutputTable[[#This Row],[GroupByKey]])*OutputTable[RecordedValue]))</f>
        <v>3</v>
      </c>
      <c r="P337" s="5" cm="1">
        <f t="array" ref="P337">MAX(IF((OutputTable[GroupByKey]=OutputTable[[#This Row],[GroupByKey]]),(OutputTable[GroupByKey]=OutputTable[[#This Row],[GroupByKey]])*OutputTable[RecordedValue]))</f>
        <v>3</v>
      </c>
    </row>
    <row r="338" spans="1:16" x14ac:dyDescent="0.25">
      <c r="A338" t="s">
        <v>67</v>
      </c>
      <c r="B338" t="s">
        <v>69</v>
      </c>
      <c r="C338">
        <v>17</v>
      </c>
      <c r="D338" t="s">
        <v>144</v>
      </c>
      <c r="E338" t="s">
        <v>145</v>
      </c>
      <c r="F338" t="s">
        <v>72</v>
      </c>
      <c r="G338">
        <v>367</v>
      </c>
      <c r="H338">
        <v>0</v>
      </c>
      <c r="I338" s="5" t="str">
        <f>OutputTable[[#This Row],[ProjectName]]&amp;OutputTable[[#This Row],[Name]]&amp;OutputTable[[#This Row],[Type]]&amp;OutputTable[[#This Row],[Source]]</f>
        <v>Friday (Solucion: datafono, gofre, cocina y caja compartida)Cliente.NumberInNumber InEntity</v>
      </c>
      <c r="J338" s="5" cm="1">
        <f t="array" ref="J338">MAX(IF((ProjectInfoTable[ProjectName]=OutputTable[[#This Row],[ProjectName]]),(ProjectInfoTable[ProjectName]=OutputTable[[#This Row],[ProjectName]])*ProjectInfoTable[NumberOfReplications]))</f>
        <v>19</v>
      </c>
      <c r="K338" s="5" cm="1">
        <f t="array" ref="K338">IFERROR(AVERAGE(IF((OutputTable[GroupByKey]=OutputTable[[#This Row],[GroupByKey]]),(OutputTable[GroupByKey]=OutputTable[[#This Row],[GroupByKey]])*OutputTable[RecordedValue])),0)</f>
        <v>366.21052631578948</v>
      </c>
      <c r="L338" s="5" cm="1">
        <f t="array" ref="L338">IFERROR(_xlfn.STDEV.S(IF((OutputTable[GroupByKey]=OutputTable[[#This Row],[GroupByKey]]),(OutputTable[GroupByKey]=OutputTable[[#This Row],[GroupByKey]])*OutputTable[RecordedValue])),0)</f>
        <v>28.665850661580702</v>
      </c>
      <c r="M338" s="5" cm="1">
        <f t="array" ref="M338">MAX(IF((ProjectInfoTable[ProjectName]=OutputTable[[#This Row],[ProjectName]]),(ProjectInfoTable[ProjectName]=OutputTable[[#This Row],[ProjectName]])*ProjectInfoTable[ConfidenceInterval]))</f>
        <v>0.95</v>
      </c>
      <c r="N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13.816497752584581</v>
      </c>
      <c r="O338" s="5" cm="1">
        <f t="array" ref="O338">MIN(IF((OutputTable[GroupByKey]=OutputTable[[#This Row],[GroupByKey]]),(OutputTable[GroupByKey]=OutputTable[[#This Row],[GroupByKey]])*OutputTable[RecordedValue]))</f>
        <v>331</v>
      </c>
      <c r="P338" s="5" cm="1">
        <f t="array" ref="P338">MAX(IF((OutputTable[GroupByKey]=OutputTable[[#This Row],[GroupByKey]]),(OutputTable[GroupByKey]=OutputTable[[#This Row],[GroupByKey]])*OutputTable[RecordedValue]))</f>
        <v>427</v>
      </c>
    </row>
    <row r="339" spans="1:16" x14ac:dyDescent="0.25">
      <c r="A339" t="s">
        <v>67</v>
      </c>
      <c r="B339" t="s">
        <v>69</v>
      </c>
      <c r="C339">
        <v>17</v>
      </c>
      <c r="D339" t="s">
        <v>146</v>
      </c>
      <c r="E339" t="s">
        <v>147</v>
      </c>
      <c r="F339" t="s">
        <v>72</v>
      </c>
      <c r="G339">
        <v>370</v>
      </c>
      <c r="H339">
        <v>0</v>
      </c>
      <c r="I339" s="5" t="str">
        <f>OutputTable[[#This Row],[ProjectName]]&amp;OutputTable[[#This Row],[Name]]&amp;OutputTable[[#This Row],[Type]]&amp;OutputTable[[#This Row],[Source]]</f>
        <v>Friday (Solucion: datafono, gofre, cocina y caja compartida)Cliente.NumberOutNumber OutEntity</v>
      </c>
      <c r="J339" s="5" cm="1">
        <f t="array" ref="J339">MAX(IF((ProjectInfoTable[ProjectName]=OutputTable[[#This Row],[ProjectName]]),(ProjectInfoTable[ProjectName]=OutputTable[[#This Row],[ProjectName]])*ProjectInfoTable[NumberOfReplications]))</f>
        <v>19</v>
      </c>
      <c r="K339" s="5" cm="1">
        <f t="array" ref="K339">IFERROR(AVERAGE(IF((OutputTable[GroupByKey]=OutputTable[[#This Row],[GroupByKey]]),(OutputTable[GroupByKey]=OutputTable[[#This Row],[GroupByKey]])*OutputTable[RecordedValue])),0)</f>
        <v>366.63157894736844</v>
      </c>
      <c r="L339" s="5" cm="1">
        <f t="array" ref="L339">IFERROR(_xlfn.STDEV.S(IF((OutputTable[GroupByKey]=OutputTable[[#This Row],[GroupByKey]]),(OutputTable[GroupByKey]=OutputTable[[#This Row],[GroupByKey]])*OutputTable[RecordedValue])),0)</f>
        <v>29.957767544617038</v>
      </c>
      <c r="M339" s="5" cm="1">
        <f t="array" ref="M339">MAX(IF((ProjectInfoTable[ProjectName]=OutputTable[[#This Row],[ProjectName]]),(ProjectInfoTable[ProjectName]=OutputTable[[#This Row],[ProjectName]])*ProjectInfoTable[ConfidenceInterval]))</f>
        <v>0.95</v>
      </c>
      <c r="N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14.439181758083874</v>
      </c>
      <c r="O339" s="5" cm="1">
        <f t="array" ref="O339">MIN(IF((OutputTable[GroupByKey]=OutputTable[[#This Row],[GroupByKey]]),(OutputTable[GroupByKey]=OutputTable[[#This Row],[GroupByKey]])*OutputTable[RecordedValue]))</f>
        <v>329</v>
      </c>
      <c r="P339" s="5" cm="1">
        <f t="array" ref="P339">MAX(IF((OutputTable[GroupByKey]=OutputTable[[#This Row],[GroupByKey]]),(OutputTable[GroupByKey]=OutputTable[[#This Row],[GroupByKey]])*OutputTable[RecordedValue]))</f>
        <v>443</v>
      </c>
    </row>
    <row r="340" spans="1:16" x14ac:dyDescent="0.25">
      <c r="A340" t="s">
        <v>67</v>
      </c>
      <c r="B340" t="s">
        <v>69</v>
      </c>
      <c r="C340">
        <v>17</v>
      </c>
      <c r="D340" t="s">
        <v>148</v>
      </c>
      <c r="E340" t="s">
        <v>149</v>
      </c>
      <c r="F340" t="s">
        <v>86</v>
      </c>
      <c r="G340">
        <v>308.07179866125898</v>
      </c>
      <c r="H340">
        <v>0</v>
      </c>
      <c r="I340" s="5" t="str">
        <f>OutputTable[[#This Row],[ProjectName]]&amp;OutputTable[[#This Row],[Name]]&amp;OutputTable[[#This Row],[Type]]&amp;OutputTable[[#This Row],[Source]]</f>
        <v>Friday (Solucion: datafono, gofre, cocina y caja compartida)Comer en Mesa Accum VA TimeAccum VA TimeProcess</v>
      </c>
      <c r="J340" s="5" cm="1">
        <f t="array" ref="J340">MAX(IF((ProjectInfoTable[ProjectName]=OutputTable[[#This Row],[ProjectName]]),(ProjectInfoTable[ProjectName]=OutputTable[[#This Row],[ProjectName]])*ProjectInfoTable[NumberOfReplications]))</f>
        <v>19</v>
      </c>
      <c r="K340" s="5" cm="1">
        <f t="array" ref="K340">IFERROR(AVERAGE(IF((OutputTable[GroupByKey]=OutputTable[[#This Row],[GroupByKey]]),(OutputTable[GroupByKey]=OutputTable[[#This Row],[GroupByKey]])*OutputTable[RecordedValue])),0)</f>
        <v>283.12549562397913</v>
      </c>
      <c r="L340" s="5" cm="1">
        <f t="array" ref="L340">IFERROR(_xlfn.STDEV.S(IF((OutputTable[GroupByKey]=OutputTable[[#This Row],[GroupByKey]]),(OutputTable[GroupByKey]=OutputTable[[#This Row],[GroupByKey]])*OutputTable[RecordedValue])),0)</f>
        <v>55.763238037894645</v>
      </c>
      <c r="M340" s="5" cm="1">
        <f t="array" ref="M340">MAX(IF((ProjectInfoTable[ProjectName]=OutputTable[[#This Row],[ProjectName]]),(ProjectInfoTable[ProjectName]=OutputTable[[#This Row],[ProjectName]])*ProjectInfoTable[ConfidenceInterval]))</f>
        <v>0.95</v>
      </c>
      <c r="N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26.877020400444863</v>
      </c>
      <c r="O340" s="5" cm="1">
        <f t="array" ref="O340">MIN(IF((OutputTable[GroupByKey]=OutputTable[[#This Row],[GroupByKey]]),(OutputTable[GroupByKey]=OutputTable[[#This Row],[GroupByKey]])*OutputTable[RecordedValue]))</f>
        <v>157.05073652574001</v>
      </c>
      <c r="P340" s="5" cm="1">
        <f t="array" ref="P340">MAX(IF((OutputTable[GroupByKey]=OutputTable[[#This Row],[GroupByKey]]),(OutputTable[GroupByKey]=OutputTable[[#This Row],[GroupByKey]])*OutputTable[RecordedValue]))</f>
        <v>402.97015039838902</v>
      </c>
    </row>
    <row r="341" spans="1:16" x14ac:dyDescent="0.25">
      <c r="A341" t="s">
        <v>67</v>
      </c>
      <c r="B341" t="s">
        <v>69</v>
      </c>
      <c r="C341">
        <v>17</v>
      </c>
      <c r="D341" t="s">
        <v>150</v>
      </c>
      <c r="E341" t="s">
        <v>151</v>
      </c>
      <c r="F341" t="s">
        <v>86</v>
      </c>
      <c r="G341">
        <v>0</v>
      </c>
      <c r="H341">
        <v>0</v>
      </c>
      <c r="I341" s="5" t="str">
        <f>OutputTable[[#This Row],[ProjectName]]&amp;OutputTable[[#This Row],[Name]]&amp;OutputTable[[#This Row],[Type]]&amp;OutputTable[[#This Row],[Source]]</f>
        <v>Friday (Solucion: datafono, gofre, cocina y caja compartida)Comer en Mesa Accum Wait TimeAccum Wait TimeProcess</v>
      </c>
      <c r="J341" s="5" cm="1">
        <f t="array" ref="J341">MAX(IF((ProjectInfoTable[ProjectName]=OutputTable[[#This Row],[ProjectName]]),(ProjectInfoTable[ProjectName]=OutputTable[[#This Row],[ProjectName]])*ProjectInfoTable[NumberOfReplications]))</f>
        <v>19</v>
      </c>
      <c r="K341" s="5" cm="1">
        <f t="array" ref="K341">IFERROR(AVERAGE(IF((OutputTable[GroupByKey]=OutputTable[[#This Row],[GroupByKey]]),(OutputTable[GroupByKey]=OutputTable[[#This Row],[GroupByKey]])*OutputTable[RecordedValue])),0)</f>
        <v>0</v>
      </c>
      <c r="L341" s="5" cm="1">
        <f t="array" ref="L341">IFERROR(_xlfn.STDEV.S(IF((OutputTable[GroupByKey]=OutputTable[[#This Row],[GroupByKey]]),(OutputTable[GroupByKey]=OutputTable[[#This Row],[GroupByKey]])*OutputTable[RecordedValue])),0)</f>
        <v>0</v>
      </c>
      <c r="M341" s="5" cm="1">
        <f t="array" ref="M341">MAX(IF((ProjectInfoTable[ProjectName]=OutputTable[[#This Row],[ProjectName]]),(ProjectInfoTable[ProjectName]=OutputTable[[#This Row],[ProjectName]])*ProjectInfoTable[ConfidenceInterval]))</f>
        <v>0.95</v>
      </c>
      <c r="N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1" s="5" cm="1">
        <f t="array" ref="O341">MIN(IF((OutputTable[GroupByKey]=OutputTable[[#This Row],[GroupByKey]]),(OutputTable[GroupByKey]=OutputTable[[#This Row],[GroupByKey]])*OutputTable[RecordedValue]))</f>
        <v>0</v>
      </c>
      <c r="P341" s="5" cm="1">
        <f t="array" ref="P341">MAX(IF((OutputTable[GroupByKey]=OutputTable[[#This Row],[GroupByKey]]),(OutputTable[GroupByKey]=OutputTable[[#This Row],[GroupByKey]])*OutputTable[RecordedValue]))</f>
        <v>0</v>
      </c>
    </row>
    <row r="342" spans="1:16" x14ac:dyDescent="0.25">
      <c r="A342" t="s">
        <v>67</v>
      </c>
      <c r="B342" t="s">
        <v>69</v>
      </c>
      <c r="C342">
        <v>17</v>
      </c>
      <c r="D342" t="s">
        <v>152</v>
      </c>
      <c r="E342" t="s">
        <v>145</v>
      </c>
      <c r="F342" t="s">
        <v>86</v>
      </c>
      <c r="G342">
        <v>15</v>
      </c>
      <c r="H342">
        <v>0</v>
      </c>
      <c r="I342" s="5" t="str">
        <f>OutputTable[[#This Row],[ProjectName]]&amp;OutputTable[[#This Row],[Name]]&amp;OutputTable[[#This Row],[Type]]&amp;OutputTable[[#This Row],[Source]]</f>
        <v>Friday (Solucion: datafono, gofre, cocina y caja compartida)Comer en Mesa Number InNumber InProcess</v>
      </c>
      <c r="J342" s="5" cm="1">
        <f t="array" ref="J342">MAX(IF((ProjectInfoTable[ProjectName]=OutputTable[[#This Row],[ProjectName]]),(ProjectInfoTable[ProjectName]=OutputTable[[#This Row],[ProjectName]])*ProjectInfoTable[NumberOfReplications]))</f>
        <v>19</v>
      </c>
      <c r="K342" s="5" cm="1">
        <f t="array" ref="K342">IFERROR(AVERAGE(IF((OutputTable[GroupByKey]=OutputTable[[#This Row],[GroupByKey]]),(OutputTable[GroupByKey]=OutputTable[[#This Row],[GroupByKey]])*OutputTable[RecordedValue])),0)</f>
        <v>16.157894736842106</v>
      </c>
      <c r="L342" s="5" cm="1">
        <f t="array" ref="L342">IFERROR(_xlfn.STDEV.S(IF((OutputTable[GroupByKey]=OutputTable[[#This Row],[GroupByKey]]),(OutputTable[GroupByKey]=OutputTable[[#This Row],[GroupByKey]])*OutputTable[RecordedValue])),0)</f>
        <v>3.8044295512634076</v>
      </c>
      <c r="M342" s="5" cm="1">
        <f t="array" ref="M342">MAX(IF((ProjectInfoTable[ProjectName]=OutputTable[[#This Row],[ProjectName]]),(ProjectInfoTable[ProjectName]=OutputTable[[#This Row],[ProjectName]])*ProjectInfoTable[ConfidenceInterval]))</f>
        <v>0.95</v>
      </c>
      <c r="N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342" s="5" cm="1">
        <f t="array" ref="O342">MIN(IF((OutputTable[GroupByKey]=OutputTable[[#This Row],[GroupByKey]]),(OutputTable[GroupByKey]=OutputTable[[#This Row],[GroupByKey]])*OutputTable[RecordedValue]))</f>
        <v>9</v>
      </c>
      <c r="P342" s="5" cm="1">
        <f t="array" ref="P342">MAX(IF((OutputTable[GroupByKey]=OutputTable[[#This Row],[GroupByKey]]),(OutputTable[GroupByKey]=OutputTable[[#This Row],[GroupByKey]])*OutputTable[RecordedValue]))</f>
        <v>24</v>
      </c>
    </row>
    <row r="343" spans="1:16" x14ac:dyDescent="0.25">
      <c r="A343" t="s">
        <v>67</v>
      </c>
      <c r="B343" t="s">
        <v>69</v>
      </c>
      <c r="C343">
        <v>17</v>
      </c>
      <c r="D343" t="s">
        <v>153</v>
      </c>
      <c r="E343" t="s">
        <v>147</v>
      </c>
      <c r="F343" t="s">
        <v>86</v>
      </c>
      <c r="G343">
        <v>15</v>
      </c>
      <c r="H343">
        <v>0</v>
      </c>
      <c r="I343" s="5" t="str">
        <f>OutputTable[[#This Row],[ProjectName]]&amp;OutputTable[[#This Row],[Name]]&amp;OutputTable[[#This Row],[Type]]&amp;OutputTable[[#This Row],[Source]]</f>
        <v>Friday (Solucion: datafono, gofre, cocina y caja compartida)Comer en Mesa Number OutNumber OutProcess</v>
      </c>
      <c r="J343" s="5" cm="1">
        <f t="array" ref="J343">MAX(IF((ProjectInfoTable[ProjectName]=OutputTable[[#This Row],[ProjectName]]),(ProjectInfoTable[ProjectName]=OutputTable[[#This Row],[ProjectName]])*ProjectInfoTable[NumberOfReplications]))</f>
        <v>19</v>
      </c>
      <c r="K343" s="5" cm="1">
        <f t="array" ref="K343">IFERROR(AVERAGE(IF((OutputTable[GroupByKey]=OutputTable[[#This Row],[GroupByKey]]),(OutputTable[GroupByKey]=OutputTable[[#This Row],[GroupByKey]])*OutputTable[RecordedValue])),0)</f>
        <v>16.263157894736842</v>
      </c>
      <c r="L343" s="5" cm="1">
        <f t="array" ref="L343">IFERROR(_xlfn.STDEV.S(IF((OutputTable[GroupByKey]=OutputTable[[#This Row],[GroupByKey]]),(OutputTable[GroupByKey]=OutputTable[[#This Row],[GroupByKey]])*OutputTable[RecordedValue])),0)</f>
        <v>3.3803698887540881</v>
      </c>
      <c r="M343" s="5" cm="1">
        <f t="array" ref="M343">MAX(IF((ProjectInfoTable[ProjectName]=OutputTable[[#This Row],[ProjectName]]),(ProjectInfoTable[ProjectName]=OutputTable[[#This Row],[ProjectName]])*ProjectInfoTable[ConfidenceInterval]))</f>
        <v>0.95</v>
      </c>
      <c r="N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1.6292861329062698</v>
      </c>
      <c r="O343" s="5" cm="1">
        <f t="array" ref="O343">MIN(IF((OutputTable[GroupByKey]=OutputTable[[#This Row],[GroupByKey]]),(OutputTable[GroupByKey]=OutputTable[[#This Row],[GroupByKey]])*OutputTable[RecordedValue]))</f>
        <v>8</v>
      </c>
      <c r="P343" s="5" cm="1">
        <f t="array" ref="P343">MAX(IF((OutputTable[GroupByKey]=OutputTable[[#This Row],[GroupByKey]]),(OutputTable[GroupByKey]=OutputTable[[#This Row],[GroupByKey]])*OutputTable[RecordedValue]))</f>
        <v>22</v>
      </c>
    </row>
    <row r="344" spans="1:16" x14ac:dyDescent="0.25">
      <c r="A344" t="s">
        <v>67</v>
      </c>
      <c r="B344" t="s">
        <v>69</v>
      </c>
      <c r="C344">
        <v>17</v>
      </c>
      <c r="D344" t="s">
        <v>154</v>
      </c>
      <c r="E344" t="s">
        <v>145</v>
      </c>
      <c r="F344" t="s">
        <v>72</v>
      </c>
      <c r="G344">
        <v>122</v>
      </c>
      <c r="H344">
        <v>0</v>
      </c>
      <c r="I344" s="5" t="str">
        <f>OutputTable[[#This Row],[ProjectName]]&amp;OutputTable[[#This Row],[Name]]&amp;OutputTable[[#This Row],[Type]]&amp;OutputTable[[#This Row],[Source]]</f>
        <v>Friday (Solucion: datafono, gofre, cocina y caja compartida)Orden.NumberInNumber InEntity</v>
      </c>
      <c r="J344" s="5" cm="1">
        <f t="array" ref="J344">MAX(IF((ProjectInfoTable[ProjectName]=OutputTable[[#This Row],[ProjectName]]),(ProjectInfoTable[ProjectName]=OutputTable[[#This Row],[ProjectName]])*ProjectInfoTable[NumberOfReplications]))</f>
        <v>19</v>
      </c>
      <c r="K344" s="5" cm="1">
        <f t="array" ref="K344">IFERROR(AVERAGE(IF((OutputTable[GroupByKey]=OutputTable[[#This Row],[GroupByKey]]),(OutputTable[GroupByKey]=OutputTable[[#This Row],[GroupByKey]])*OutputTable[RecordedValue])),0)</f>
        <v>121.89473684210526</v>
      </c>
      <c r="L344" s="5" cm="1">
        <f t="array" ref="L344">IFERROR(_xlfn.STDEV.S(IF((OutputTable[GroupByKey]=OutputTable[[#This Row],[GroupByKey]]),(OutputTable[GroupByKey]=OutputTable[[#This Row],[GroupByKey]])*OutputTable[RecordedValue])),0)</f>
        <v>9.971597090637573</v>
      </c>
      <c r="M344" s="5" cm="1">
        <f t="array" ref="M344">MAX(IF((ProjectInfoTable[ProjectName]=OutputTable[[#This Row],[ProjectName]]),(ProjectInfoTable[ProjectName]=OutputTable[[#This Row],[ProjectName]])*ProjectInfoTable[ConfidenceInterval]))</f>
        <v>0.95</v>
      </c>
      <c r="N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344" s="5" cm="1">
        <f t="array" ref="O344">MIN(IF((OutputTable[GroupByKey]=OutputTable[[#This Row],[GroupByKey]]),(OutputTable[GroupByKey]=OutputTable[[#This Row],[GroupByKey]])*OutputTable[RecordedValue]))</f>
        <v>109</v>
      </c>
      <c r="P344" s="5" cm="1">
        <f t="array" ref="P344">MAX(IF((OutputTable[GroupByKey]=OutputTable[[#This Row],[GroupByKey]]),(OutputTable[GroupByKey]=OutputTable[[#This Row],[GroupByKey]])*OutputTable[RecordedValue]))</f>
        <v>143</v>
      </c>
    </row>
    <row r="345" spans="1:16" x14ac:dyDescent="0.25">
      <c r="A345" t="s">
        <v>67</v>
      </c>
      <c r="B345" t="s">
        <v>69</v>
      </c>
      <c r="C345">
        <v>17</v>
      </c>
      <c r="D345" t="s">
        <v>155</v>
      </c>
      <c r="E345" t="s">
        <v>147</v>
      </c>
      <c r="F345" t="s">
        <v>72</v>
      </c>
      <c r="G345">
        <v>124</v>
      </c>
      <c r="H345">
        <v>0</v>
      </c>
      <c r="I345" s="5" t="str">
        <f>OutputTable[[#This Row],[ProjectName]]&amp;OutputTable[[#This Row],[Name]]&amp;OutputTable[[#This Row],[Type]]&amp;OutputTable[[#This Row],[Source]]</f>
        <v>Friday (Solucion: datafono, gofre, cocina y caja compartida)Orden.NumberOutNumber OutEntity</v>
      </c>
      <c r="J345" s="5" cm="1">
        <f t="array" ref="J345">MAX(IF((ProjectInfoTable[ProjectName]=OutputTable[[#This Row],[ProjectName]]),(ProjectInfoTable[ProjectName]=OutputTable[[#This Row],[ProjectName]])*ProjectInfoTable[NumberOfReplications]))</f>
        <v>19</v>
      </c>
      <c r="K345" s="5" cm="1">
        <f t="array" ref="K345">IFERROR(AVERAGE(IF((OutputTable[GroupByKey]=OutputTable[[#This Row],[GroupByKey]]),(OutputTable[GroupByKey]=OutputTable[[#This Row],[GroupByKey]])*OutputTable[RecordedValue])),0)</f>
        <v>122.36842105263158</v>
      </c>
      <c r="L345" s="5" cm="1">
        <f t="array" ref="L345">IFERROR(_xlfn.STDEV.S(IF((OutputTable[GroupByKey]=OutputTable[[#This Row],[GroupByKey]]),(OutputTable[GroupByKey]=OutputTable[[#This Row],[GroupByKey]])*OutputTable[RecordedValue])),0)</f>
        <v>10.160984894934533</v>
      </c>
      <c r="M345" s="5" cm="1">
        <f t="array" ref="M345">MAX(IF((ProjectInfoTable[ProjectName]=OutputTable[[#This Row],[ProjectName]]),(ProjectInfoTable[ProjectName]=OutputTable[[#This Row],[ProjectName]])*ProjectInfoTable[ConfidenceInterval]))</f>
        <v>0.95</v>
      </c>
      <c r="N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345" s="5" cm="1">
        <f t="array" ref="O345">MIN(IF((OutputTable[GroupByKey]=OutputTable[[#This Row],[GroupByKey]]),(OutputTable[GroupByKey]=OutputTable[[#This Row],[GroupByKey]])*OutputTable[RecordedValue]))</f>
        <v>109</v>
      </c>
      <c r="P345" s="5" cm="1">
        <f t="array" ref="P345">MAX(IF((OutputTable[GroupByKey]=OutputTable[[#This Row],[GroupByKey]]),(OutputTable[GroupByKey]=OutputTable[[#This Row],[GroupByKey]])*OutputTable[RecordedValue]))</f>
        <v>150</v>
      </c>
    </row>
    <row r="346" spans="1:16" x14ac:dyDescent="0.25">
      <c r="A346" t="s">
        <v>67</v>
      </c>
      <c r="B346" t="s">
        <v>69</v>
      </c>
      <c r="C346">
        <v>17</v>
      </c>
      <c r="D346" t="s">
        <v>156</v>
      </c>
      <c r="E346" t="s">
        <v>149</v>
      </c>
      <c r="F346" t="s">
        <v>86</v>
      </c>
      <c r="G346">
        <v>178.763215227697</v>
      </c>
      <c r="H346">
        <v>0</v>
      </c>
      <c r="I346" s="5" t="str">
        <f>OutputTable[[#This Row],[ProjectName]]&amp;OutputTable[[#This Row],[Name]]&amp;OutputTable[[#This Row],[Type]]&amp;OutputTable[[#This Row],[Source]]</f>
        <v>Friday (Solucion: datafono, gofre, cocina y caja compartida)Preparacion Accum VA TimeAccum VA TimeProcess</v>
      </c>
      <c r="J346" s="5" cm="1">
        <f t="array" ref="J346">MAX(IF((ProjectInfoTable[ProjectName]=OutputTable[[#This Row],[ProjectName]]),(ProjectInfoTable[ProjectName]=OutputTable[[#This Row],[ProjectName]])*ProjectInfoTable[NumberOfReplications]))</f>
        <v>19</v>
      </c>
      <c r="K346" s="5" cm="1">
        <f t="array" ref="K346">IFERROR(AVERAGE(IF((OutputTable[GroupByKey]=OutputTable[[#This Row],[GroupByKey]]),(OutputTable[GroupByKey]=OutputTable[[#This Row],[GroupByKey]])*OutputTable[RecordedValue])),0)</f>
        <v>174.13537587676447</v>
      </c>
      <c r="L346" s="5" cm="1">
        <f t="array" ref="L346">IFERROR(_xlfn.STDEV.S(IF((OutputTable[GroupByKey]=OutputTable[[#This Row],[GroupByKey]]),(OutputTable[GroupByKey]=OutputTable[[#This Row],[GroupByKey]])*OutputTable[RecordedValue])),0)</f>
        <v>19.65074675456297</v>
      </c>
      <c r="M346" s="5" cm="1">
        <f t="array" ref="M346">MAX(IF((ProjectInfoTable[ProjectName]=OutputTable[[#This Row],[ProjectName]]),(ProjectInfoTable[ProjectName]=OutputTable[[#This Row],[ProjectName]])*ProjectInfoTable[ConfidenceInterval]))</f>
        <v>0.95</v>
      </c>
      <c r="N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9.4713567574295272</v>
      </c>
      <c r="O346" s="5" cm="1">
        <f t="array" ref="O346">MIN(IF((OutputTable[GroupByKey]=OutputTable[[#This Row],[GroupByKey]]),(OutputTable[GroupByKey]=OutputTable[[#This Row],[GroupByKey]])*OutputTable[RecordedValue]))</f>
        <v>139.22471453685199</v>
      </c>
      <c r="P346" s="5" cm="1">
        <f t="array" ref="P346">MAX(IF((OutputTable[GroupByKey]=OutputTable[[#This Row],[GroupByKey]]),(OutputTable[GroupByKey]=OutputTable[[#This Row],[GroupByKey]])*OutputTable[RecordedValue]))</f>
        <v>210.18722493890999</v>
      </c>
    </row>
    <row r="347" spans="1:16" x14ac:dyDescent="0.25">
      <c r="A347" t="s">
        <v>67</v>
      </c>
      <c r="B347" t="s">
        <v>69</v>
      </c>
      <c r="C347">
        <v>17</v>
      </c>
      <c r="D347" t="s">
        <v>157</v>
      </c>
      <c r="E347" t="s">
        <v>151</v>
      </c>
      <c r="F347" t="s">
        <v>86</v>
      </c>
      <c r="G347">
        <v>55.473448474391397</v>
      </c>
      <c r="H347">
        <v>0</v>
      </c>
      <c r="I347" s="5" t="str">
        <f>OutputTable[[#This Row],[ProjectName]]&amp;OutputTable[[#This Row],[Name]]&amp;OutputTable[[#This Row],[Type]]&amp;OutputTable[[#This Row],[Source]]</f>
        <v>Friday (Solucion: datafono, gofre, cocina y caja compartida)Preparacion Accum Wait TimeAccum Wait TimeProcess</v>
      </c>
      <c r="J347" s="5" cm="1">
        <f t="array" ref="J347">MAX(IF((ProjectInfoTable[ProjectName]=OutputTable[[#This Row],[ProjectName]]),(ProjectInfoTable[ProjectName]=OutputTable[[#This Row],[ProjectName]])*ProjectInfoTable[NumberOfReplications]))</f>
        <v>19</v>
      </c>
      <c r="K347" s="5" cm="1">
        <f t="array" ref="K347">IFERROR(AVERAGE(IF((OutputTable[GroupByKey]=OutputTable[[#This Row],[GroupByKey]]),(OutputTable[GroupByKey]=OutputTable[[#This Row],[GroupByKey]])*OutputTable[RecordedValue])),0)</f>
        <v>89.754366677107924</v>
      </c>
      <c r="L347" s="5" cm="1">
        <f t="array" ref="L347">IFERROR(_xlfn.STDEV.S(IF((OutputTable[GroupByKey]=OutputTable[[#This Row],[GroupByKey]]),(OutputTable[GroupByKey]=OutputTable[[#This Row],[GroupByKey]])*OutputTable[RecordedValue])),0)</f>
        <v>109.53061123574736</v>
      </c>
      <c r="M347" s="5" cm="1">
        <f t="array" ref="M347">MAX(IF((ProjectInfoTable[ProjectName]=OutputTable[[#This Row],[ProjectName]]),(ProjectInfoTable[ProjectName]=OutputTable[[#This Row],[ProjectName]])*ProjectInfoTable[ConfidenceInterval]))</f>
        <v>0.95</v>
      </c>
      <c r="N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52.79206474085742</v>
      </c>
      <c r="O347" s="5" cm="1">
        <f t="array" ref="O347">MIN(IF((OutputTable[GroupByKey]=OutputTable[[#This Row],[GroupByKey]]),(OutputTable[GroupByKey]=OutputTable[[#This Row],[GroupByKey]])*OutputTable[RecordedValue]))</f>
        <v>22.316256244919199</v>
      </c>
      <c r="P347" s="5" cm="1">
        <f t="array" ref="P347">MAX(IF((OutputTable[GroupByKey]=OutputTable[[#This Row],[GroupByKey]]),(OutputTable[GroupByKey]=OutputTable[[#This Row],[GroupByKey]])*OutputTable[RecordedValue]))</f>
        <v>514.987116007179</v>
      </c>
    </row>
    <row r="348" spans="1:16" x14ac:dyDescent="0.25">
      <c r="A348" t="s">
        <v>67</v>
      </c>
      <c r="B348" t="s">
        <v>69</v>
      </c>
      <c r="C348">
        <v>17</v>
      </c>
      <c r="D348" t="s">
        <v>158</v>
      </c>
      <c r="E348" t="s">
        <v>145</v>
      </c>
      <c r="F348" t="s">
        <v>86</v>
      </c>
      <c r="G348">
        <v>122</v>
      </c>
      <c r="H348">
        <v>0</v>
      </c>
      <c r="I348" s="5" t="str">
        <f>OutputTable[[#This Row],[ProjectName]]&amp;OutputTable[[#This Row],[Name]]&amp;OutputTable[[#This Row],[Type]]&amp;OutputTable[[#This Row],[Source]]</f>
        <v>Friday (Solucion: datafono, gofre, cocina y caja compartida)Preparacion Number InNumber InProcess</v>
      </c>
      <c r="J348" s="5" cm="1">
        <f t="array" ref="J348">MAX(IF((ProjectInfoTable[ProjectName]=OutputTable[[#This Row],[ProjectName]]),(ProjectInfoTable[ProjectName]=OutputTable[[#This Row],[ProjectName]])*ProjectInfoTable[NumberOfReplications]))</f>
        <v>19</v>
      </c>
      <c r="K348" s="5" cm="1">
        <f t="array" ref="K348">IFERROR(AVERAGE(IF((OutputTable[GroupByKey]=OutputTable[[#This Row],[GroupByKey]]),(OutputTable[GroupByKey]=OutputTable[[#This Row],[GroupByKey]])*OutputTable[RecordedValue])),0)</f>
        <v>121.89473684210526</v>
      </c>
      <c r="L348" s="5" cm="1">
        <f t="array" ref="L348">IFERROR(_xlfn.STDEV.S(IF((OutputTable[GroupByKey]=OutputTable[[#This Row],[GroupByKey]]),(OutputTable[GroupByKey]=OutputTable[[#This Row],[GroupByKey]])*OutputTable[RecordedValue])),0)</f>
        <v>9.971597090637573</v>
      </c>
      <c r="M348" s="5" cm="1">
        <f t="array" ref="M348">MAX(IF((ProjectInfoTable[ProjectName]=OutputTable[[#This Row],[ProjectName]]),(ProjectInfoTable[ProjectName]=OutputTable[[#This Row],[ProjectName]])*ProjectInfoTable[ConfidenceInterval]))</f>
        <v>0.95</v>
      </c>
      <c r="N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348" s="5" cm="1">
        <f t="array" ref="O348">MIN(IF((OutputTable[GroupByKey]=OutputTable[[#This Row],[GroupByKey]]),(OutputTable[GroupByKey]=OutputTable[[#This Row],[GroupByKey]])*OutputTable[RecordedValue]))</f>
        <v>109</v>
      </c>
      <c r="P348" s="5" cm="1">
        <f t="array" ref="P348">MAX(IF((OutputTable[GroupByKey]=OutputTable[[#This Row],[GroupByKey]]),(OutputTable[GroupByKey]=OutputTable[[#This Row],[GroupByKey]])*OutputTable[RecordedValue]))</f>
        <v>143</v>
      </c>
    </row>
    <row r="349" spans="1:16" x14ac:dyDescent="0.25">
      <c r="A349" t="s">
        <v>67</v>
      </c>
      <c r="B349" t="s">
        <v>69</v>
      </c>
      <c r="C349">
        <v>17</v>
      </c>
      <c r="D349" t="s">
        <v>159</v>
      </c>
      <c r="E349" t="s">
        <v>147</v>
      </c>
      <c r="F349" t="s">
        <v>86</v>
      </c>
      <c r="G349">
        <v>124</v>
      </c>
      <c r="H349">
        <v>0</v>
      </c>
      <c r="I349" s="5" t="str">
        <f>OutputTable[[#This Row],[ProjectName]]&amp;OutputTable[[#This Row],[Name]]&amp;OutputTable[[#This Row],[Type]]&amp;OutputTable[[#This Row],[Source]]</f>
        <v>Friday (Solucion: datafono, gofre, cocina y caja compartida)Preparacion Number OutNumber OutProcess</v>
      </c>
      <c r="J349" s="5" cm="1">
        <f t="array" ref="J349">MAX(IF((ProjectInfoTable[ProjectName]=OutputTable[[#This Row],[ProjectName]]),(ProjectInfoTable[ProjectName]=OutputTable[[#This Row],[ProjectName]])*ProjectInfoTable[NumberOfReplications]))</f>
        <v>19</v>
      </c>
      <c r="K349" s="5" cm="1">
        <f t="array" ref="K349">IFERROR(AVERAGE(IF((OutputTable[GroupByKey]=OutputTable[[#This Row],[GroupByKey]]),(OutputTable[GroupByKey]=OutputTable[[#This Row],[GroupByKey]])*OutputTable[RecordedValue])),0)</f>
        <v>122.31578947368421</v>
      </c>
      <c r="L349" s="5" cm="1">
        <f t="array" ref="L349">IFERROR(_xlfn.STDEV.S(IF((OutputTable[GroupByKey]=OutputTable[[#This Row],[GroupByKey]]),(OutputTable[GroupByKey]=OutputTable[[#This Row],[GroupByKey]])*OutputTable[RecordedValue])),0)</f>
        <v>10.127260414780096</v>
      </c>
      <c r="M349" s="5" cm="1">
        <f t="array" ref="M349">MAX(IF((ProjectInfoTable[ProjectName]=OutputTable[[#This Row],[ProjectName]]),(ProjectInfoTable[ProjectName]=OutputTable[[#This Row],[ProjectName]])*ProjectInfoTable[ConfidenceInterval]))</f>
        <v>0.95</v>
      </c>
      <c r="N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4.8811832731752718</v>
      </c>
      <c r="O349" s="5" cm="1">
        <f t="array" ref="O349">MIN(IF((OutputTable[GroupByKey]=OutputTable[[#This Row],[GroupByKey]]),(OutputTable[GroupByKey]=OutputTable[[#This Row],[GroupByKey]])*OutputTable[RecordedValue]))</f>
        <v>111</v>
      </c>
      <c r="P349" s="5" cm="1">
        <f t="array" ref="P349">MAX(IF((OutputTable[GroupByKey]=OutputTable[[#This Row],[GroupByKey]]),(OutputTable[GroupByKey]=OutputTable[[#This Row],[GroupByKey]])*OutputTable[RecordedValue]))</f>
        <v>150</v>
      </c>
    </row>
    <row r="350" spans="1:16" x14ac:dyDescent="0.25">
      <c r="A350" t="s">
        <v>67</v>
      </c>
      <c r="B350" t="s">
        <v>69</v>
      </c>
      <c r="C350">
        <v>17</v>
      </c>
      <c r="D350" t="s">
        <v>160</v>
      </c>
      <c r="E350" t="s">
        <v>147</v>
      </c>
      <c r="F350" t="s">
        <v>161</v>
      </c>
      <c r="G350">
        <v>127</v>
      </c>
      <c r="H350">
        <v>0</v>
      </c>
      <c r="I350" s="5" t="str">
        <f>OutputTable[[#This Row],[ProjectName]]&amp;OutputTable[[#This Row],[Name]]&amp;OutputTable[[#This Row],[Type]]&amp;OutputTable[[#This Row],[Source]]</f>
        <v>Friday (Solucion: datafono, gofre, cocina y caja compartida)System.NumberOutNumber OutSystem</v>
      </c>
      <c r="J350" s="5" cm="1">
        <f t="array" ref="J350">MAX(IF((ProjectInfoTable[ProjectName]=OutputTable[[#This Row],[ProjectName]]),(ProjectInfoTable[ProjectName]=OutputTable[[#This Row],[ProjectName]])*ProjectInfoTable[NumberOfReplications]))</f>
        <v>19</v>
      </c>
      <c r="K350" s="5" cm="1">
        <f t="array" ref="K350">IFERROR(AVERAGE(IF((OutputTable[GroupByKey]=OutputTable[[#This Row],[GroupByKey]]),(OutputTable[GroupByKey]=OutputTable[[#This Row],[GroupByKey]])*OutputTable[RecordedValue])),0)</f>
        <v>125.36842105263158</v>
      </c>
      <c r="L350" s="5" cm="1">
        <f t="array" ref="L350">IFERROR(_xlfn.STDEV.S(IF((OutputTable[GroupByKey]=OutputTable[[#This Row],[GroupByKey]]),(OutputTable[GroupByKey]=OutputTable[[#This Row],[GroupByKey]])*OutputTable[RecordedValue])),0)</f>
        <v>10.160984894934533</v>
      </c>
      <c r="M350" s="5" cm="1">
        <f t="array" ref="M350">MAX(IF((ProjectInfoTable[ProjectName]=OutputTable[[#This Row],[ProjectName]]),(ProjectInfoTable[ProjectName]=OutputTable[[#This Row],[ProjectName]])*ProjectInfoTable[ConfidenceInterval]))</f>
        <v>0.95</v>
      </c>
      <c r="N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350" s="5" cm="1">
        <f t="array" ref="O350">MIN(IF((OutputTable[GroupByKey]=OutputTable[[#This Row],[GroupByKey]]),(OutputTable[GroupByKey]=OutputTable[[#This Row],[GroupByKey]])*OutputTable[RecordedValue]))</f>
        <v>112</v>
      </c>
      <c r="P350" s="5" cm="1">
        <f t="array" ref="P350">MAX(IF((OutputTable[GroupByKey]=OutputTable[[#This Row],[GroupByKey]]),(OutputTable[GroupByKey]=OutputTable[[#This Row],[GroupByKey]])*OutputTable[RecordedValue]))</f>
        <v>153</v>
      </c>
    </row>
    <row r="351" spans="1:16" x14ac:dyDescent="0.25">
      <c r="A351" t="s">
        <v>67</v>
      </c>
      <c r="B351" t="s">
        <v>69</v>
      </c>
      <c r="C351">
        <v>17</v>
      </c>
      <c r="D351" t="s">
        <v>162</v>
      </c>
      <c r="E351" t="s">
        <v>163</v>
      </c>
      <c r="F351" t="s">
        <v>136</v>
      </c>
      <c r="G351">
        <v>132</v>
      </c>
      <c r="H351">
        <v>0</v>
      </c>
      <c r="I351" s="5" t="str">
        <f>OutputTable[[#This Row],[ProjectName]]&amp;OutputTable[[#This Row],[Name]]&amp;OutputTable[[#This Row],[Type]]&amp;OutputTable[[#This Row],[Source]]</f>
        <v>Friday (Solucion: datafono, gofre, cocina y caja compartida)rCajero.NumberSeizedTotal Number SeizedResource</v>
      </c>
      <c r="J351" s="5" cm="1">
        <f t="array" ref="J351">MAX(IF((ProjectInfoTable[ProjectName]=OutputTable[[#This Row],[ProjectName]]),(ProjectInfoTable[ProjectName]=OutputTable[[#This Row],[ProjectName]])*ProjectInfoTable[NumberOfReplications]))</f>
        <v>19</v>
      </c>
      <c r="K351" s="5" cm="1">
        <f t="array" ref="K351">IFERROR(AVERAGE(IF((OutputTable[GroupByKey]=OutputTable[[#This Row],[GroupByKey]]),(OutputTable[GroupByKey]=OutputTable[[#This Row],[GroupByKey]])*OutputTable[RecordedValue])),0)</f>
        <v>131.63157894736841</v>
      </c>
      <c r="L351" s="5" cm="1">
        <f t="array" ref="L351">IFERROR(_xlfn.STDEV.S(IF((OutputTable[GroupByKey]=OutputTable[[#This Row],[GroupByKey]]),(OutputTable[GroupByKey]=OutputTable[[#This Row],[GroupByKey]])*OutputTable[RecordedValue])),0)</f>
        <v>13.988926280438102</v>
      </c>
      <c r="M351" s="5" cm="1">
        <f t="array" ref="M351">MAX(IF((ProjectInfoTable[ProjectName]=OutputTable[[#This Row],[ProjectName]]),(ProjectInfoTable[ProjectName]=OutputTable[[#This Row],[ProjectName]])*ProjectInfoTable[ConfidenceInterval]))</f>
        <v>0.95</v>
      </c>
      <c r="N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6.7424466413544986</v>
      </c>
      <c r="O351" s="5" cm="1">
        <f t="array" ref="O351">MIN(IF((OutputTable[GroupByKey]=OutputTable[[#This Row],[GroupByKey]]),(OutputTable[GroupByKey]=OutputTable[[#This Row],[GroupByKey]])*OutputTable[RecordedValue]))</f>
        <v>113</v>
      </c>
      <c r="P351" s="5" cm="1">
        <f t="array" ref="P351">MAX(IF((OutputTable[GroupByKey]=OutputTable[[#This Row],[GroupByKey]]),(OutputTable[GroupByKey]=OutputTable[[#This Row],[GroupByKey]])*OutputTable[RecordedValue]))</f>
        <v>157</v>
      </c>
    </row>
    <row r="352" spans="1:16" x14ac:dyDescent="0.25">
      <c r="A352" t="s">
        <v>67</v>
      </c>
      <c r="B352" t="s">
        <v>69</v>
      </c>
      <c r="C352">
        <v>17</v>
      </c>
      <c r="D352" t="s">
        <v>164</v>
      </c>
      <c r="E352" t="s">
        <v>165</v>
      </c>
      <c r="F352" t="s">
        <v>136</v>
      </c>
      <c r="G352">
        <v>0.66962680509933803</v>
      </c>
      <c r="H352">
        <v>0</v>
      </c>
      <c r="I352" s="5" t="str">
        <f>OutputTable[[#This Row],[ProjectName]]&amp;OutputTable[[#This Row],[Name]]&amp;OutputTable[[#This Row],[Type]]&amp;OutputTable[[#This Row],[Source]]</f>
        <v>Friday (Solucion: datafono, gofre, cocina y caja compartida)rCajero.ScheduledUtilizationScheduled UtilizationResource</v>
      </c>
      <c r="J352" s="5" cm="1">
        <f t="array" ref="J352">MAX(IF((ProjectInfoTable[ProjectName]=OutputTable[[#This Row],[ProjectName]]),(ProjectInfoTable[ProjectName]=OutputTable[[#This Row],[ProjectName]])*ProjectInfoTable[NumberOfReplications]))</f>
        <v>19</v>
      </c>
      <c r="K352" s="5" cm="1">
        <f t="array" ref="K352">IFERROR(AVERAGE(IF((OutputTable[GroupByKey]=OutputTable[[#This Row],[GroupByKey]]),(OutputTable[GroupByKey]=OutputTable[[#This Row],[GroupByKey]])*OutputTable[RecordedValue])),0)</f>
        <v>0.68474836505339687</v>
      </c>
      <c r="L352" s="5" cm="1">
        <f t="array" ref="L352">IFERROR(_xlfn.STDEV.S(IF((OutputTable[GroupByKey]=OutputTable[[#This Row],[GroupByKey]]),(OutputTable[GroupByKey]=OutputTable[[#This Row],[GroupByKey]])*OutputTable[RecordedValue])),0)</f>
        <v>6.2272947935973065E-2</v>
      </c>
      <c r="M352" s="5" cm="1">
        <f t="array" ref="M352">MAX(IF((ProjectInfoTable[ProjectName]=OutputTable[[#This Row],[ProjectName]]),(ProjectInfoTable[ProjectName]=OutputTable[[#This Row],[ProjectName]])*ProjectInfoTable[ConfidenceInterval]))</f>
        <v>0.95</v>
      </c>
      <c r="N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3.0014600137344902E-2</v>
      </c>
      <c r="O352" s="5" cm="1">
        <f t="array" ref="O352">MIN(IF((OutputTable[GroupByKey]=OutputTable[[#This Row],[GroupByKey]]),(OutputTable[GroupByKey]=OutputTable[[#This Row],[GroupByKey]])*OutputTable[RecordedValue]))</f>
        <v>0.59592290927233305</v>
      </c>
      <c r="P352" s="5" cm="1">
        <f t="array" ref="P352">MAX(IF((OutputTable[GroupByKey]=OutputTable[[#This Row],[GroupByKey]]),(OutputTable[GroupByKey]=OutputTable[[#This Row],[GroupByKey]])*OutputTable[RecordedValue]))</f>
        <v>0.82897119936997599</v>
      </c>
    </row>
    <row r="353" spans="1:16" x14ac:dyDescent="0.25">
      <c r="A353" t="s">
        <v>67</v>
      </c>
      <c r="B353" t="s">
        <v>69</v>
      </c>
      <c r="C353">
        <v>17</v>
      </c>
      <c r="D353" t="s">
        <v>166</v>
      </c>
      <c r="E353" t="s">
        <v>163</v>
      </c>
      <c r="F353" t="s">
        <v>136</v>
      </c>
      <c r="G353">
        <v>113</v>
      </c>
      <c r="H353">
        <v>0</v>
      </c>
      <c r="I353" s="5" t="str">
        <f>OutputTable[[#This Row],[ProjectName]]&amp;OutputTable[[#This Row],[Name]]&amp;OutputTable[[#This Row],[Type]]&amp;OutputTable[[#This Row],[Source]]</f>
        <v>Friday (Solucion: datafono, gofre, cocina y caja compartida)rCocina.NumberSeizedTotal Number SeizedResource</v>
      </c>
      <c r="J353" s="5" cm="1">
        <f t="array" ref="J353">MAX(IF((ProjectInfoTable[ProjectName]=OutputTable[[#This Row],[ProjectName]]),(ProjectInfoTable[ProjectName]=OutputTable[[#This Row],[ProjectName]])*ProjectInfoTable[NumberOfReplications]))</f>
        <v>19</v>
      </c>
      <c r="K353" s="5" cm="1">
        <f t="array" ref="K353">IFERROR(AVERAGE(IF((OutputTable[GroupByKey]=OutputTable[[#This Row],[GroupByKey]]),(OutputTable[GroupByKey]=OutputTable[[#This Row],[GroupByKey]])*OutputTable[RecordedValue])),0)</f>
        <v>112.73684210526316</v>
      </c>
      <c r="L353" s="5" cm="1">
        <f t="array" ref="L353">IFERROR(_xlfn.STDEV.S(IF((OutputTable[GroupByKey]=OutputTable[[#This Row],[GroupByKey]]),(OutputTable[GroupByKey]=OutputTable[[#This Row],[GroupByKey]])*OutputTable[RecordedValue])),0)</f>
        <v>9.1155673027772668</v>
      </c>
      <c r="M353" s="5" cm="1">
        <f t="array" ref="M353">MAX(IF((ProjectInfoTable[ProjectName]=OutputTable[[#This Row],[ProjectName]]),(ProjectInfoTable[ProjectName]=OutputTable[[#This Row],[ProjectName]])*ProjectInfoTable[ConfidenceInterval]))</f>
        <v>0.95</v>
      </c>
      <c r="N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4.3935628019284003</v>
      </c>
      <c r="O353" s="5" cm="1">
        <f t="array" ref="O353">MIN(IF((OutputTable[GroupByKey]=OutputTable[[#This Row],[GroupByKey]]),(OutputTable[GroupByKey]=OutputTable[[#This Row],[GroupByKey]])*OutputTable[RecordedValue]))</f>
        <v>102</v>
      </c>
      <c r="P353" s="5" cm="1">
        <f t="array" ref="P353">MAX(IF((OutputTable[GroupByKey]=OutputTable[[#This Row],[GroupByKey]]),(OutputTable[GroupByKey]=OutputTable[[#This Row],[GroupByKey]])*OutputTable[RecordedValue]))</f>
        <v>135</v>
      </c>
    </row>
    <row r="354" spans="1:16" x14ac:dyDescent="0.25">
      <c r="A354" t="s">
        <v>67</v>
      </c>
      <c r="B354" t="s">
        <v>69</v>
      </c>
      <c r="C354">
        <v>17</v>
      </c>
      <c r="D354" t="s">
        <v>167</v>
      </c>
      <c r="E354" t="s">
        <v>165</v>
      </c>
      <c r="F354" t="s">
        <v>136</v>
      </c>
      <c r="G354">
        <v>0.72162445901399097</v>
      </c>
      <c r="H354">
        <v>0</v>
      </c>
      <c r="I354" s="5" t="str">
        <f>OutputTable[[#This Row],[ProjectName]]&amp;OutputTable[[#This Row],[Name]]&amp;OutputTable[[#This Row],[Type]]&amp;OutputTable[[#This Row],[Source]]</f>
        <v>Friday (Solucion: datafono, gofre, cocina y caja compartida)rCocina.ScheduledUtilizationScheduled UtilizationResource</v>
      </c>
      <c r="J354" s="5" cm="1">
        <f t="array" ref="J354">MAX(IF((ProjectInfoTable[ProjectName]=OutputTable[[#This Row],[ProjectName]]),(ProjectInfoTable[ProjectName]=OutputTable[[#This Row],[ProjectName]])*ProjectInfoTable[NumberOfReplications]))</f>
        <v>19</v>
      </c>
      <c r="K354" s="5" cm="1">
        <f t="array" ref="K354">IFERROR(AVERAGE(IF((OutputTable[GroupByKey]=OutputTable[[#This Row],[GroupByKey]]),(OutputTable[GroupByKey]=OutputTable[[#This Row],[GroupByKey]])*OutputTable[RecordedValue])),0)</f>
        <v>0.71670342302257706</v>
      </c>
      <c r="L354" s="5" cm="1">
        <f t="array" ref="L354">IFERROR(_xlfn.STDEV.S(IF((OutputTable[GroupByKey]=OutputTable[[#This Row],[GroupByKey]]),(OutputTable[GroupByKey]=OutputTable[[#This Row],[GroupByKey]])*OutputTable[RecordedValue])),0)</f>
        <v>7.0907274842727658E-2</v>
      </c>
      <c r="M354" s="5" cm="1">
        <f t="array" ref="M354">MAX(IF((ProjectInfoTable[ProjectName]=OutputTable[[#This Row],[ProjectName]]),(ProjectInfoTable[ProjectName]=OutputTable[[#This Row],[ProjectName]])*ProjectInfoTable[ConfidenceInterval]))</f>
        <v>0.95</v>
      </c>
      <c r="N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3.4176212493127585E-2</v>
      </c>
      <c r="O354" s="5" cm="1">
        <f t="array" ref="O354">MIN(IF((OutputTable[GroupByKey]=OutputTable[[#This Row],[GroupByKey]]),(OutputTable[GroupByKey]=OutputTable[[#This Row],[GroupByKey]])*OutputTable[RecordedValue]))</f>
        <v>0.60463940272025996</v>
      </c>
      <c r="P354" s="5" cm="1">
        <f t="array" ref="P354">MAX(IF((OutputTable[GroupByKey]=OutputTable[[#This Row],[GroupByKey]]),(OutputTable[GroupByKey]=OutputTable[[#This Row],[GroupByKey]])*OutputTable[RecordedValue]))</f>
        <v>0.86361037821575004</v>
      </c>
    </row>
    <row r="355" spans="1:16" x14ac:dyDescent="0.25">
      <c r="A355" t="s">
        <v>67</v>
      </c>
      <c r="B355" t="s">
        <v>69</v>
      </c>
      <c r="C355">
        <v>17</v>
      </c>
      <c r="D355" t="s">
        <v>168</v>
      </c>
      <c r="E355" t="s">
        <v>163</v>
      </c>
      <c r="F355" t="s">
        <v>136</v>
      </c>
      <c r="G355">
        <v>15</v>
      </c>
      <c r="H355">
        <v>0</v>
      </c>
      <c r="I355" s="5" t="str">
        <f>OutputTable[[#This Row],[ProjectName]]&amp;OutputTable[[#This Row],[Name]]&amp;OutputTable[[#This Row],[Type]]&amp;OutputTable[[#This Row],[Source]]</f>
        <v>Friday (Solucion: datafono, gofre, cocina y caja compartida)rMesa.NumberSeizedTotal Number SeizedResource</v>
      </c>
      <c r="J355" s="5" cm="1">
        <f t="array" ref="J355">MAX(IF((ProjectInfoTable[ProjectName]=OutputTable[[#This Row],[ProjectName]]),(ProjectInfoTable[ProjectName]=OutputTable[[#This Row],[ProjectName]])*ProjectInfoTable[NumberOfReplications]))</f>
        <v>19</v>
      </c>
      <c r="K355" s="5" cm="1">
        <f t="array" ref="K355">IFERROR(AVERAGE(IF((OutputTable[GroupByKey]=OutputTable[[#This Row],[GroupByKey]]),(OutputTable[GroupByKey]=OutputTable[[#This Row],[GroupByKey]])*OutputTable[RecordedValue])),0)</f>
        <v>16.157894736842106</v>
      </c>
      <c r="L355" s="5" cm="1">
        <f t="array" ref="L355">IFERROR(_xlfn.STDEV.S(IF((OutputTable[GroupByKey]=OutputTable[[#This Row],[GroupByKey]]),(OutputTable[GroupByKey]=OutputTable[[#This Row],[GroupByKey]])*OutputTable[RecordedValue])),0)</f>
        <v>3.8044295512634076</v>
      </c>
      <c r="M355" s="5" cm="1">
        <f t="array" ref="M355">MAX(IF((ProjectInfoTable[ProjectName]=OutputTable[[#This Row],[ProjectName]]),(ProjectInfoTable[ProjectName]=OutputTable[[#This Row],[ProjectName]])*ProjectInfoTable[ConfidenceInterval]))</f>
        <v>0.95</v>
      </c>
      <c r="N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355" s="5" cm="1">
        <f t="array" ref="O355">MIN(IF((OutputTable[GroupByKey]=OutputTable[[#This Row],[GroupByKey]]),(OutputTable[GroupByKey]=OutputTable[[#This Row],[GroupByKey]])*OutputTable[RecordedValue]))</f>
        <v>9</v>
      </c>
      <c r="P355" s="5" cm="1">
        <f t="array" ref="P355">MAX(IF((OutputTable[GroupByKey]=OutputTable[[#This Row],[GroupByKey]]),(OutputTable[GroupByKey]=OutputTable[[#This Row],[GroupByKey]])*OutputTable[RecordedValue]))</f>
        <v>24</v>
      </c>
    </row>
    <row r="356" spans="1:16" x14ac:dyDescent="0.25">
      <c r="A356" t="s">
        <v>67</v>
      </c>
      <c r="B356" t="s">
        <v>69</v>
      </c>
      <c r="C356">
        <v>17</v>
      </c>
      <c r="D356" t="s">
        <v>169</v>
      </c>
      <c r="E356" t="s">
        <v>165</v>
      </c>
      <c r="F356" t="s">
        <v>136</v>
      </c>
      <c r="G356">
        <v>0.33614169851030401</v>
      </c>
      <c r="H356">
        <v>0</v>
      </c>
      <c r="I356" s="5" t="str">
        <f>OutputTable[[#This Row],[ProjectName]]&amp;OutputTable[[#This Row],[Name]]&amp;OutputTable[[#This Row],[Type]]&amp;OutputTable[[#This Row],[Source]]</f>
        <v>Friday (Solucion: datafono, gofre, cocina y caja compartida)rMesa.ScheduledUtilizationScheduled UtilizationResource</v>
      </c>
      <c r="J356" s="5" cm="1">
        <f t="array" ref="J356">MAX(IF((ProjectInfoTable[ProjectName]=OutputTable[[#This Row],[ProjectName]]),(ProjectInfoTable[ProjectName]=OutputTable[[#This Row],[ProjectName]])*ProjectInfoTable[NumberOfReplications]))</f>
        <v>19</v>
      </c>
      <c r="K356" s="5" cm="1">
        <f t="array" ref="K356">IFERROR(AVERAGE(IF((OutputTable[GroupByKey]=OutputTable[[#This Row],[GroupByKey]]),(OutputTable[GroupByKey]=OutputTable[[#This Row],[GroupByKey]])*OutputTable[RecordedValue])),0)</f>
        <v>0.30850610959128744</v>
      </c>
      <c r="L356" s="5" cm="1">
        <f t="array" ref="L356">IFERROR(_xlfn.STDEV.S(IF((OutputTable[GroupByKey]=OutputTable[[#This Row],[GroupByKey]]),(OutputTable[GroupByKey]=OutputTable[[#This Row],[GroupByKey]])*OutputTable[RecordedValue])),0)</f>
        <v>6.2586127702931107E-2</v>
      </c>
      <c r="M356" s="5" cm="1">
        <f t="array" ref="M356">MAX(IF((ProjectInfoTable[ProjectName]=OutputTable[[#This Row],[ProjectName]]),(ProjectInfoTable[ProjectName]=OutputTable[[#This Row],[ProjectName]])*ProjectInfoTable[ConfidenceInterval]))</f>
        <v>0.95</v>
      </c>
      <c r="N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3.0165547953176861E-2</v>
      </c>
      <c r="O356" s="5" cm="1">
        <f t="array" ref="O356">MIN(IF((OutputTable[GroupByKey]=OutputTable[[#This Row],[GroupByKey]]),(OutputTable[GroupByKey]=OutputTable[[#This Row],[GroupByKey]])*OutputTable[RecordedValue]))</f>
        <v>0.156206445320244</v>
      </c>
      <c r="P356" s="5" cm="1">
        <f t="array" ref="P356">MAX(IF((OutputTable[GroupByKey]=OutputTable[[#This Row],[GroupByKey]]),(OutputTable[GroupByKey]=OutputTable[[#This Row],[GroupByKey]])*OutputTable[RecordedValue]))</f>
        <v>0.44942505379986802</v>
      </c>
    </row>
    <row r="357" spans="1:16" x14ac:dyDescent="0.25">
      <c r="A357" t="s">
        <v>67</v>
      </c>
      <c r="B357" t="s">
        <v>69</v>
      </c>
      <c r="C357">
        <v>17</v>
      </c>
      <c r="D357" t="s">
        <v>170</v>
      </c>
      <c r="E357" t="s">
        <v>145</v>
      </c>
      <c r="F357" t="s">
        <v>72</v>
      </c>
      <c r="G357">
        <v>3</v>
      </c>
      <c r="H357">
        <v>0</v>
      </c>
      <c r="I357" s="5" t="str">
        <f>OutputTable[[#This Row],[ProjectName]]&amp;OutputTable[[#This Row],[Name]]&amp;OutputTable[[#This Row],[Type]]&amp;OutputTable[[#This Row],[Source]]</f>
        <v>Friday (Solucion: datafono, gofre, cocina y caja compartida)reloj.NumberInNumber InEntity</v>
      </c>
      <c r="J357" s="5" cm="1">
        <f t="array" ref="J357">MAX(IF((ProjectInfoTable[ProjectName]=OutputTable[[#This Row],[ProjectName]]),(ProjectInfoTable[ProjectName]=OutputTable[[#This Row],[ProjectName]])*ProjectInfoTable[NumberOfReplications]))</f>
        <v>19</v>
      </c>
      <c r="K357" s="5" cm="1">
        <f t="array" ref="K357">IFERROR(AVERAGE(IF((OutputTable[GroupByKey]=OutputTable[[#This Row],[GroupByKey]]),(OutputTable[GroupByKey]=OutputTable[[#This Row],[GroupByKey]])*OutputTable[RecordedValue])),0)</f>
        <v>3</v>
      </c>
      <c r="L357" s="5" cm="1">
        <f t="array" ref="L357">IFERROR(_xlfn.STDEV.S(IF((OutputTable[GroupByKey]=OutputTable[[#This Row],[GroupByKey]]),(OutputTable[GroupByKey]=OutputTable[[#This Row],[GroupByKey]])*OutputTable[RecordedValue])),0)</f>
        <v>0</v>
      </c>
      <c r="M357" s="5" cm="1">
        <f t="array" ref="M357">MAX(IF((ProjectInfoTable[ProjectName]=OutputTable[[#This Row],[ProjectName]]),(ProjectInfoTable[ProjectName]=OutputTable[[#This Row],[ProjectName]])*ProjectInfoTable[ConfidenceInterval]))</f>
        <v>0.95</v>
      </c>
      <c r="N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7" s="5" cm="1">
        <f t="array" ref="O357">MIN(IF((OutputTable[GroupByKey]=OutputTable[[#This Row],[GroupByKey]]),(OutputTable[GroupByKey]=OutputTable[[#This Row],[GroupByKey]])*OutputTable[RecordedValue]))</f>
        <v>3</v>
      </c>
      <c r="P357" s="5" cm="1">
        <f t="array" ref="P357">MAX(IF((OutputTable[GroupByKey]=OutputTable[[#This Row],[GroupByKey]]),(OutputTable[GroupByKey]=OutputTable[[#This Row],[GroupByKey]])*OutputTable[RecordedValue]))</f>
        <v>3</v>
      </c>
    </row>
    <row r="358" spans="1:16" x14ac:dyDescent="0.25">
      <c r="A358" t="s">
        <v>67</v>
      </c>
      <c r="B358" t="s">
        <v>69</v>
      </c>
      <c r="C358">
        <v>17</v>
      </c>
      <c r="D358" t="s">
        <v>171</v>
      </c>
      <c r="E358" t="s">
        <v>147</v>
      </c>
      <c r="F358" t="s">
        <v>72</v>
      </c>
      <c r="G358">
        <v>3</v>
      </c>
      <c r="H358">
        <v>0</v>
      </c>
      <c r="I358" s="5" t="str">
        <f>OutputTable[[#This Row],[ProjectName]]&amp;OutputTable[[#This Row],[Name]]&amp;OutputTable[[#This Row],[Type]]&amp;OutputTable[[#This Row],[Source]]</f>
        <v>Friday (Solucion: datafono, gofre, cocina y caja compartida)reloj.NumberOutNumber OutEntity</v>
      </c>
      <c r="J358" s="5" cm="1">
        <f t="array" ref="J358">MAX(IF((ProjectInfoTable[ProjectName]=OutputTable[[#This Row],[ProjectName]]),(ProjectInfoTable[ProjectName]=OutputTable[[#This Row],[ProjectName]])*ProjectInfoTable[NumberOfReplications]))</f>
        <v>19</v>
      </c>
      <c r="K358" s="5" cm="1">
        <f t="array" ref="K358">IFERROR(AVERAGE(IF((OutputTable[GroupByKey]=OutputTable[[#This Row],[GroupByKey]]),(OutputTable[GroupByKey]=OutputTable[[#This Row],[GroupByKey]])*OutputTable[RecordedValue])),0)</f>
        <v>3</v>
      </c>
      <c r="L358" s="5" cm="1">
        <f t="array" ref="L358">IFERROR(_xlfn.STDEV.S(IF((OutputTable[GroupByKey]=OutputTable[[#This Row],[GroupByKey]]),(OutputTable[GroupByKey]=OutputTable[[#This Row],[GroupByKey]])*OutputTable[RecordedValue])),0)</f>
        <v>0</v>
      </c>
      <c r="M358" s="5" cm="1">
        <f t="array" ref="M358">MAX(IF((ProjectInfoTable[ProjectName]=OutputTable[[#This Row],[ProjectName]]),(ProjectInfoTable[ProjectName]=OutputTable[[#This Row],[ProjectName]])*ProjectInfoTable[ConfidenceInterval]))</f>
        <v>0.95</v>
      </c>
      <c r="N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8" s="5" cm="1">
        <f t="array" ref="O358">MIN(IF((OutputTable[GroupByKey]=OutputTable[[#This Row],[GroupByKey]]),(OutputTable[GroupByKey]=OutputTable[[#This Row],[GroupByKey]])*OutputTable[RecordedValue]))</f>
        <v>3</v>
      </c>
      <c r="P358" s="5" cm="1">
        <f t="array" ref="P358">MAX(IF((OutputTable[GroupByKey]=OutputTable[[#This Row],[GroupByKey]]),(OutputTable[GroupByKey]=OutputTable[[#This Row],[GroupByKey]])*OutputTable[RecordedValue]))</f>
        <v>3</v>
      </c>
    </row>
    <row r="359" spans="1:16" x14ac:dyDescent="0.25">
      <c r="A359" t="s">
        <v>67</v>
      </c>
      <c r="B359" t="s">
        <v>69</v>
      </c>
      <c r="C359">
        <v>18</v>
      </c>
      <c r="D359" t="s">
        <v>144</v>
      </c>
      <c r="E359" t="s">
        <v>145</v>
      </c>
      <c r="F359" t="s">
        <v>72</v>
      </c>
      <c r="G359">
        <v>371</v>
      </c>
      <c r="H359">
        <v>0</v>
      </c>
      <c r="I359" s="5" t="str">
        <f>OutputTable[[#This Row],[ProjectName]]&amp;OutputTable[[#This Row],[Name]]&amp;OutputTable[[#This Row],[Type]]&amp;OutputTable[[#This Row],[Source]]</f>
        <v>Friday (Solucion: datafono, gofre, cocina y caja compartida)Cliente.NumberInNumber InEntity</v>
      </c>
      <c r="J359" s="5" cm="1">
        <f t="array" ref="J359">MAX(IF((ProjectInfoTable[ProjectName]=OutputTable[[#This Row],[ProjectName]]),(ProjectInfoTable[ProjectName]=OutputTable[[#This Row],[ProjectName]])*ProjectInfoTable[NumberOfReplications]))</f>
        <v>19</v>
      </c>
      <c r="K359" s="5" cm="1">
        <f t="array" ref="K359">IFERROR(AVERAGE(IF((OutputTable[GroupByKey]=OutputTable[[#This Row],[GroupByKey]]),(OutputTable[GroupByKey]=OutputTable[[#This Row],[GroupByKey]])*OutputTable[RecordedValue])),0)</f>
        <v>366.21052631578948</v>
      </c>
      <c r="L359" s="5" cm="1">
        <f t="array" ref="L359">IFERROR(_xlfn.STDEV.S(IF((OutputTable[GroupByKey]=OutputTable[[#This Row],[GroupByKey]]),(OutputTable[GroupByKey]=OutputTable[[#This Row],[GroupByKey]])*OutputTable[RecordedValue])),0)</f>
        <v>28.665850661580702</v>
      </c>
      <c r="M359" s="5" cm="1">
        <f t="array" ref="M359">MAX(IF((ProjectInfoTable[ProjectName]=OutputTable[[#This Row],[ProjectName]]),(ProjectInfoTable[ProjectName]=OutputTable[[#This Row],[ProjectName]])*ProjectInfoTable[ConfidenceInterval]))</f>
        <v>0.95</v>
      </c>
      <c r="N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13.816497752584581</v>
      </c>
      <c r="O359" s="5" cm="1">
        <f t="array" ref="O359">MIN(IF((OutputTable[GroupByKey]=OutputTable[[#This Row],[GroupByKey]]),(OutputTable[GroupByKey]=OutputTable[[#This Row],[GroupByKey]])*OutputTable[RecordedValue]))</f>
        <v>331</v>
      </c>
      <c r="P359" s="5" cm="1">
        <f t="array" ref="P359">MAX(IF((OutputTable[GroupByKey]=OutputTable[[#This Row],[GroupByKey]]),(OutputTable[GroupByKey]=OutputTable[[#This Row],[GroupByKey]])*OutputTable[RecordedValue]))</f>
        <v>427</v>
      </c>
    </row>
    <row r="360" spans="1:16" x14ac:dyDescent="0.25">
      <c r="A360" t="s">
        <v>67</v>
      </c>
      <c r="B360" t="s">
        <v>69</v>
      </c>
      <c r="C360">
        <v>18</v>
      </c>
      <c r="D360" t="s">
        <v>146</v>
      </c>
      <c r="E360" t="s">
        <v>147</v>
      </c>
      <c r="F360" t="s">
        <v>72</v>
      </c>
      <c r="G360">
        <v>368</v>
      </c>
      <c r="H360">
        <v>0</v>
      </c>
      <c r="I360" s="5" t="str">
        <f>OutputTable[[#This Row],[ProjectName]]&amp;OutputTable[[#This Row],[Name]]&amp;OutputTable[[#This Row],[Type]]&amp;OutputTable[[#This Row],[Source]]</f>
        <v>Friday (Solucion: datafono, gofre, cocina y caja compartida)Cliente.NumberOutNumber OutEntity</v>
      </c>
      <c r="J360" s="5" cm="1">
        <f t="array" ref="J360">MAX(IF((ProjectInfoTable[ProjectName]=OutputTable[[#This Row],[ProjectName]]),(ProjectInfoTable[ProjectName]=OutputTable[[#This Row],[ProjectName]])*ProjectInfoTable[NumberOfReplications]))</f>
        <v>19</v>
      </c>
      <c r="K360" s="5" cm="1">
        <f t="array" ref="K360">IFERROR(AVERAGE(IF((OutputTable[GroupByKey]=OutputTable[[#This Row],[GroupByKey]]),(OutputTable[GroupByKey]=OutputTable[[#This Row],[GroupByKey]])*OutputTable[RecordedValue])),0)</f>
        <v>366.63157894736844</v>
      </c>
      <c r="L360" s="5" cm="1">
        <f t="array" ref="L360">IFERROR(_xlfn.STDEV.S(IF((OutputTable[GroupByKey]=OutputTable[[#This Row],[GroupByKey]]),(OutputTable[GroupByKey]=OutputTable[[#This Row],[GroupByKey]])*OutputTable[RecordedValue])),0)</f>
        <v>29.957767544617038</v>
      </c>
      <c r="M360" s="5" cm="1">
        <f t="array" ref="M360">MAX(IF((ProjectInfoTable[ProjectName]=OutputTable[[#This Row],[ProjectName]]),(ProjectInfoTable[ProjectName]=OutputTable[[#This Row],[ProjectName]])*ProjectInfoTable[ConfidenceInterval]))</f>
        <v>0.95</v>
      </c>
      <c r="N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14.439181758083874</v>
      </c>
      <c r="O360" s="5" cm="1">
        <f t="array" ref="O360">MIN(IF((OutputTable[GroupByKey]=OutputTable[[#This Row],[GroupByKey]]),(OutputTable[GroupByKey]=OutputTable[[#This Row],[GroupByKey]])*OutputTable[RecordedValue]))</f>
        <v>329</v>
      </c>
      <c r="P360" s="5" cm="1">
        <f t="array" ref="P360">MAX(IF((OutputTable[GroupByKey]=OutputTable[[#This Row],[GroupByKey]]),(OutputTable[GroupByKey]=OutputTable[[#This Row],[GroupByKey]])*OutputTable[RecordedValue]))</f>
        <v>443</v>
      </c>
    </row>
    <row r="361" spans="1:16" x14ac:dyDescent="0.25">
      <c r="A361" t="s">
        <v>67</v>
      </c>
      <c r="B361" t="s">
        <v>69</v>
      </c>
      <c r="C361">
        <v>18</v>
      </c>
      <c r="D361" t="s">
        <v>148</v>
      </c>
      <c r="E361" t="s">
        <v>149</v>
      </c>
      <c r="F361" t="s">
        <v>86</v>
      </c>
      <c r="G361">
        <v>259.20030357554998</v>
      </c>
      <c r="H361">
        <v>0</v>
      </c>
      <c r="I361" s="5" t="str">
        <f>OutputTable[[#This Row],[ProjectName]]&amp;OutputTable[[#This Row],[Name]]&amp;OutputTable[[#This Row],[Type]]&amp;OutputTable[[#This Row],[Source]]</f>
        <v>Friday (Solucion: datafono, gofre, cocina y caja compartida)Comer en Mesa Accum VA TimeAccum VA TimeProcess</v>
      </c>
      <c r="J361" s="5" cm="1">
        <f t="array" ref="J361">MAX(IF((ProjectInfoTable[ProjectName]=OutputTable[[#This Row],[ProjectName]]),(ProjectInfoTable[ProjectName]=OutputTable[[#This Row],[ProjectName]])*ProjectInfoTable[NumberOfReplications]))</f>
        <v>19</v>
      </c>
      <c r="K361" s="5" cm="1">
        <f t="array" ref="K361">IFERROR(AVERAGE(IF((OutputTable[GroupByKey]=OutputTable[[#This Row],[GroupByKey]]),(OutputTable[GroupByKey]=OutputTable[[#This Row],[GroupByKey]])*OutputTable[RecordedValue])),0)</f>
        <v>283.12549562397913</v>
      </c>
      <c r="L361" s="5" cm="1">
        <f t="array" ref="L361">IFERROR(_xlfn.STDEV.S(IF((OutputTable[GroupByKey]=OutputTable[[#This Row],[GroupByKey]]),(OutputTable[GroupByKey]=OutputTable[[#This Row],[GroupByKey]])*OutputTable[RecordedValue])),0)</f>
        <v>55.763238037894645</v>
      </c>
      <c r="M361" s="5" cm="1">
        <f t="array" ref="M361">MAX(IF((ProjectInfoTable[ProjectName]=OutputTable[[#This Row],[ProjectName]]),(ProjectInfoTable[ProjectName]=OutputTable[[#This Row],[ProjectName]])*ProjectInfoTable[ConfidenceInterval]))</f>
        <v>0.95</v>
      </c>
      <c r="N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26.877020400444863</v>
      </c>
      <c r="O361" s="5" cm="1">
        <f t="array" ref="O361">MIN(IF((OutputTable[GroupByKey]=OutputTable[[#This Row],[GroupByKey]]),(OutputTable[GroupByKey]=OutputTable[[#This Row],[GroupByKey]])*OutputTable[RecordedValue]))</f>
        <v>157.05073652574001</v>
      </c>
      <c r="P361" s="5" cm="1">
        <f t="array" ref="P361">MAX(IF((OutputTable[GroupByKey]=OutputTable[[#This Row],[GroupByKey]]),(OutputTable[GroupByKey]=OutputTable[[#This Row],[GroupByKey]])*OutputTable[RecordedValue]))</f>
        <v>402.97015039838902</v>
      </c>
    </row>
    <row r="362" spans="1:16" x14ac:dyDescent="0.25">
      <c r="A362" t="s">
        <v>67</v>
      </c>
      <c r="B362" t="s">
        <v>69</v>
      </c>
      <c r="C362">
        <v>18</v>
      </c>
      <c r="D362" t="s">
        <v>150</v>
      </c>
      <c r="E362" t="s">
        <v>151</v>
      </c>
      <c r="F362" t="s">
        <v>86</v>
      </c>
      <c r="G362">
        <v>0</v>
      </c>
      <c r="H362">
        <v>0</v>
      </c>
      <c r="I362" s="5" t="str">
        <f>OutputTable[[#This Row],[ProjectName]]&amp;OutputTable[[#This Row],[Name]]&amp;OutputTable[[#This Row],[Type]]&amp;OutputTable[[#This Row],[Source]]</f>
        <v>Friday (Solucion: datafono, gofre, cocina y caja compartida)Comer en Mesa Accum Wait TimeAccum Wait TimeProcess</v>
      </c>
      <c r="J362" s="5" cm="1">
        <f t="array" ref="J362">MAX(IF((ProjectInfoTable[ProjectName]=OutputTable[[#This Row],[ProjectName]]),(ProjectInfoTable[ProjectName]=OutputTable[[#This Row],[ProjectName]])*ProjectInfoTable[NumberOfReplications]))</f>
        <v>19</v>
      </c>
      <c r="K362" s="5" cm="1">
        <f t="array" ref="K362">IFERROR(AVERAGE(IF((OutputTable[GroupByKey]=OutputTable[[#This Row],[GroupByKey]]),(OutputTable[GroupByKey]=OutputTable[[#This Row],[GroupByKey]])*OutputTable[RecordedValue])),0)</f>
        <v>0</v>
      </c>
      <c r="L362" s="5" cm="1">
        <f t="array" ref="L362">IFERROR(_xlfn.STDEV.S(IF((OutputTable[GroupByKey]=OutputTable[[#This Row],[GroupByKey]]),(OutputTable[GroupByKey]=OutputTable[[#This Row],[GroupByKey]])*OutputTable[RecordedValue])),0)</f>
        <v>0</v>
      </c>
      <c r="M362" s="5" cm="1">
        <f t="array" ref="M362">MAX(IF((ProjectInfoTable[ProjectName]=OutputTable[[#This Row],[ProjectName]]),(ProjectInfoTable[ProjectName]=OutputTable[[#This Row],[ProjectName]])*ProjectInfoTable[ConfidenceInterval]))</f>
        <v>0.95</v>
      </c>
      <c r="N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2" s="5" cm="1">
        <f t="array" ref="O362">MIN(IF((OutputTable[GroupByKey]=OutputTable[[#This Row],[GroupByKey]]),(OutputTable[GroupByKey]=OutputTable[[#This Row],[GroupByKey]])*OutputTable[RecordedValue]))</f>
        <v>0</v>
      </c>
      <c r="P362" s="5" cm="1">
        <f t="array" ref="P362">MAX(IF((OutputTable[GroupByKey]=OutputTable[[#This Row],[GroupByKey]]),(OutputTable[GroupByKey]=OutputTable[[#This Row],[GroupByKey]])*OutputTable[RecordedValue]))</f>
        <v>0</v>
      </c>
    </row>
    <row r="363" spans="1:16" x14ac:dyDescent="0.25">
      <c r="A363" t="s">
        <v>67</v>
      </c>
      <c r="B363" t="s">
        <v>69</v>
      </c>
      <c r="C363">
        <v>18</v>
      </c>
      <c r="D363" t="s">
        <v>152</v>
      </c>
      <c r="E363" t="s">
        <v>145</v>
      </c>
      <c r="F363" t="s">
        <v>86</v>
      </c>
      <c r="G363">
        <v>14</v>
      </c>
      <c r="H363">
        <v>0</v>
      </c>
      <c r="I363" s="5" t="str">
        <f>OutputTable[[#This Row],[ProjectName]]&amp;OutputTable[[#This Row],[Name]]&amp;OutputTable[[#This Row],[Type]]&amp;OutputTable[[#This Row],[Source]]</f>
        <v>Friday (Solucion: datafono, gofre, cocina y caja compartida)Comer en Mesa Number InNumber InProcess</v>
      </c>
      <c r="J363" s="5" cm="1">
        <f t="array" ref="J363">MAX(IF((ProjectInfoTable[ProjectName]=OutputTable[[#This Row],[ProjectName]]),(ProjectInfoTable[ProjectName]=OutputTable[[#This Row],[ProjectName]])*ProjectInfoTable[NumberOfReplications]))</f>
        <v>19</v>
      </c>
      <c r="K363" s="5" cm="1">
        <f t="array" ref="K363">IFERROR(AVERAGE(IF((OutputTable[GroupByKey]=OutputTable[[#This Row],[GroupByKey]]),(OutputTable[GroupByKey]=OutputTable[[#This Row],[GroupByKey]])*OutputTable[RecordedValue])),0)</f>
        <v>16.157894736842106</v>
      </c>
      <c r="L363" s="5" cm="1">
        <f t="array" ref="L363">IFERROR(_xlfn.STDEV.S(IF((OutputTable[GroupByKey]=OutputTable[[#This Row],[GroupByKey]]),(OutputTable[GroupByKey]=OutputTable[[#This Row],[GroupByKey]])*OutputTable[RecordedValue])),0)</f>
        <v>3.8044295512634076</v>
      </c>
      <c r="M363" s="5" cm="1">
        <f t="array" ref="M363">MAX(IF((ProjectInfoTable[ProjectName]=OutputTable[[#This Row],[ProjectName]]),(ProjectInfoTable[ProjectName]=OutputTable[[#This Row],[ProjectName]])*ProjectInfoTable[ConfidenceInterval]))</f>
        <v>0.95</v>
      </c>
      <c r="N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363" s="5" cm="1">
        <f t="array" ref="O363">MIN(IF((OutputTable[GroupByKey]=OutputTable[[#This Row],[GroupByKey]]),(OutputTable[GroupByKey]=OutputTable[[#This Row],[GroupByKey]])*OutputTable[RecordedValue]))</f>
        <v>9</v>
      </c>
      <c r="P363" s="5" cm="1">
        <f t="array" ref="P363">MAX(IF((OutputTable[GroupByKey]=OutputTable[[#This Row],[GroupByKey]]),(OutputTable[GroupByKey]=OutputTable[[#This Row],[GroupByKey]])*OutputTable[RecordedValue]))</f>
        <v>24</v>
      </c>
    </row>
    <row r="364" spans="1:16" x14ac:dyDescent="0.25">
      <c r="A364" t="s">
        <v>67</v>
      </c>
      <c r="B364" t="s">
        <v>69</v>
      </c>
      <c r="C364">
        <v>18</v>
      </c>
      <c r="D364" t="s">
        <v>153</v>
      </c>
      <c r="E364" t="s">
        <v>147</v>
      </c>
      <c r="F364" t="s">
        <v>86</v>
      </c>
      <c r="G364">
        <v>15</v>
      </c>
      <c r="H364">
        <v>0</v>
      </c>
      <c r="I364" s="5" t="str">
        <f>OutputTable[[#This Row],[ProjectName]]&amp;OutputTable[[#This Row],[Name]]&amp;OutputTable[[#This Row],[Type]]&amp;OutputTable[[#This Row],[Source]]</f>
        <v>Friday (Solucion: datafono, gofre, cocina y caja compartida)Comer en Mesa Number OutNumber OutProcess</v>
      </c>
      <c r="J364" s="5" cm="1">
        <f t="array" ref="J364">MAX(IF((ProjectInfoTable[ProjectName]=OutputTable[[#This Row],[ProjectName]]),(ProjectInfoTable[ProjectName]=OutputTable[[#This Row],[ProjectName]])*ProjectInfoTable[NumberOfReplications]))</f>
        <v>19</v>
      </c>
      <c r="K364" s="5" cm="1">
        <f t="array" ref="K364">IFERROR(AVERAGE(IF((OutputTable[GroupByKey]=OutputTable[[#This Row],[GroupByKey]]),(OutputTable[GroupByKey]=OutputTable[[#This Row],[GroupByKey]])*OutputTable[RecordedValue])),0)</f>
        <v>16.263157894736842</v>
      </c>
      <c r="L364" s="5" cm="1">
        <f t="array" ref="L364">IFERROR(_xlfn.STDEV.S(IF((OutputTable[GroupByKey]=OutputTable[[#This Row],[GroupByKey]]),(OutputTable[GroupByKey]=OutputTable[[#This Row],[GroupByKey]])*OutputTable[RecordedValue])),0)</f>
        <v>3.3803698887540881</v>
      </c>
      <c r="M364" s="5" cm="1">
        <f t="array" ref="M364">MAX(IF((ProjectInfoTable[ProjectName]=OutputTable[[#This Row],[ProjectName]]),(ProjectInfoTable[ProjectName]=OutputTable[[#This Row],[ProjectName]])*ProjectInfoTable[ConfidenceInterval]))</f>
        <v>0.95</v>
      </c>
      <c r="N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1.6292861329062698</v>
      </c>
      <c r="O364" s="5" cm="1">
        <f t="array" ref="O364">MIN(IF((OutputTable[GroupByKey]=OutputTable[[#This Row],[GroupByKey]]),(OutputTable[GroupByKey]=OutputTable[[#This Row],[GroupByKey]])*OutputTable[RecordedValue]))</f>
        <v>8</v>
      </c>
      <c r="P364" s="5" cm="1">
        <f t="array" ref="P364">MAX(IF((OutputTable[GroupByKey]=OutputTable[[#This Row],[GroupByKey]]),(OutputTable[GroupByKey]=OutputTable[[#This Row],[GroupByKey]])*OutputTable[RecordedValue]))</f>
        <v>22</v>
      </c>
    </row>
    <row r="365" spans="1:16" x14ac:dyDescent="0.25">
      <c r="A365" t="s">
        <v>67</v>
      </c>
      <c r="B365" t="s">
        <v>69</v>
      </c>
      <c r="C365">
        <v>18</v>
      </c>
      <c r="D365" t="s">
        <v>154</v>
      </c>
      <c r="E365" t="s">
        <v>145</v>
      </c>
      <c r="F365" t="s">
        <v>72</v>
      </c>
      <c r="G365">
        <v>124</v>
      </c>
      <c r="H365">
        <v>0</v>
      </c>
      <c r="I365" s="5" t="str">
        <f>OutputTable[[#This Row],[ProjectName]]&amp;OutputTable[[#This Row],[Name]]&amp;OutputTable[[#This Row],[Type]]&amp;OutputTable[[#This Row],[Source]]</f>
        <v>Friday (Solucion: datafono, gofre, cocina y caja compartida)Orden.NumberInNumber InEntity</v>
      </c>
      <c r="J365" s="5" cm="1">
        <f t="array" ref="J365">MAX(IF((ProjectInfoTable[ProjectName]=OutputTable[[#This Row],[ProjectName]]),(ProjectInfoTable[ProjectName]=OutputTable[[#This Row],[ProjectName]])*ProjectInfoTable[NumberOfReplications]))</f>
        <v>19</v>
      </c>
      <c r="K365" s="5" cm="1">
        <f t="array" ref="K365">IFERROR(AVERAGE(IF((OutputTable[GroupByKey]=OutputTable[[#This Row],[GroupByKey]]),(OutputTable[GroupByKey]=OutputTable[[#This Row],[GroupByKey]])*OutputTable[RecordedValue])),0)</f>
        <v>121.89473684210526</v>
      </c>
      <c r="L365" s="5" cm="1">
        <f t="array" ref="L365">IFERROR(_xlfn.STDEV.S(IF((OutputTable[GroupByKey]=OutputTable[[#This Row],[GroupByKey]]),(OutputTable[GroupByKey]=OutputTable[[#This Row],[GroupByKey]])*OutputTable[RecordedValue])),0)</f>
        <v>9.971597090637573</v>
      </c>
      <c r="M365" s="5" cm="1">
        <f t="array" ref="M365">MAX(IF((ProjectInfoTable[ProjectName]=OutputTable[[#This Row],[ProjectName]]),(ProjectInfoTable[ProjectName]=OutputTable[[#This Row],[ProjectName]])*ProjectInfoTable[ConfidenceInterval]))</f>
        <v>0.95</v>
      </c>
      <c r="N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365" s="5" cm="1">
        <f t="array" ref="O365">MIN(IF((OutputTable[GroupByKey]=OutputTable[[#This Row],[GroupByKey]]),(OutputTable[GroupByKey]=OutputTable[[#This Row],[GroupByKey]])*OutputTable[RecordedValue]))</f>
        <v>109</v>
      </c>
      <c r="P365" s="5" cm="1">
        <f t="array" ref="P365">MAX(IF((OutputTable[GroupByKey]=OutputTable[[#This Row],[GroupByKey]]),(OutputTable[GroupByKey]=OutputTable[[#This Row],[GroupByKey]])*OutputTable[RecordedValue]))</f>
        <v>143</v>
      </c>
    </row>
    <row r="366" spans="1:16" x14ac:dyDescent="0.25">
      <c r="A366" t="s">
        <v>67</v>
      </c>
      <c r="B366" t="s">
        <v>69</v>
      </c>
      <c r="C366">
        <v>18</v>
      </c>
      <c r="D366" t="s">
        <v>155</v>
      </c>
      <c r="E366" t="s">
        <v>147</v>
      </c>
      <c r="F366" t="s">
        <v>72</v>
      </c>
      <c r="G366">
        <v>122</v>
      </c>
      <c r="H366">
        <v>0</v>
      </c>
      <c r="I366" s="5" t="str">
        <f>OutputTable[[#This Row],[ProjectName]]&amp;OutputTable[[#This Row],[Name]]&amp;OutputTable[[#This Row],[Type]]&amp;OutputTable[[#This Row],[Source]]</f>
        <v>Friday (Solucion: datafono, gofre, cocina y caja compartida)Orden.NumberOutNumber OutEntity</v>
      </c>
      <c r="J366" s="5" cm="1">
        <f t="array" ref="J366">MAX(IF((ProjectInfoTable[ProjectName]=OutputTable[[#This Row],[ProjectName]]),(ProjectInfoTable[ProjectName]=OutputTable[[#This Row],[ProjectName]])*ProjectInfoTable[NumberOfReplications]))</f>
        <v>19</v>
      </c>
      <c r="K366" s="5" cm="1">
        <f t="array" ref="K366">IFERROR(AVERAGE(IF((OutputTable[GroupByKey]=OutputTable[[#This Row],[GroupByKey]]),(OutputTable[GroupByKey]=OutputTable[[#This Row],[GroupByKey]])*OutputTable[RecordedValue])),0)</f>
        <v>122.36842105263158</v>
      </c>
      <c r="L366" s="5" cm="1">
        <f t="array" ref="L366">IFERROR(_xlfn.STDEV.S(IF((OutputTable[GroupByKey]=OutputTable[[#This Row],[GroupByKey]]),(OutputTable[GroupByKey]=OutputTable[[#This Row],[GroupByKey]])*OutputTable[RecordedValue])),0)</f>
        <v>10.160984894934533</v>
      </c>
      <c r="M366" s="5" cm="1">
        <f t="array" ref="M366">MAX(IF((ProjectInfoTable[ProjectName]=OutputTable[[#This Row],[ProjectName]]),(ProjectInfoTable[ProjectName]=OutputTable[[#This Row],[ProjectName]])*ProjectInfoTable[ConfidenceInterval]))</f>
        <v>0.95</v>
      </c>
      <c r="N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366" s="5" cm="1">
        <f t="array" ref="O366">MIN(IF((OutputTable[GroupByKey]=OutputTable[[#This Row],[GroupByKey]]),(OutputTable[GroupByKey]=OutputTable[[#This Row],[GroupByKey]])*OutputTable[RecordedValue]))</f>
        <v>109</v>
      </c>
      <c r="P366" s="5" cm="1">
        <f t="array" ref="P366">MAX(IF((OutputTable[GroupByKey]=OutputTable[[#This Row],[GroupByKey]]),(OutputTable[GroupByKey]=OutputTable[[#This Row],[GroupByKey]])*OutputTable[RecordedValue]))</f>
        <v>150</v>
      </c>
    </row>
    <row r="367" spans="1:16" x14ac:dyDescent="0.25">
      <c r="A367" t="s">
        <v>67</v>
      </c>
      <c r="B367" t="s">
        <v>69</v>
      </c>
      <c r="C367">
        <v>18</v>
      </c>
      <c r="D367" t="s">
        <v>156</v>
      </c>
      <c r="E367" t="s">
        <v>149</v>
      </c>
      <c r="F367" t="s">
        <v>86</v>
      </c>
      <c r="G367">
        <v>207.98920114683901</v>
      </c>
      <c r="H367">
        <v>0</v>
      </c>
      <c r="I367" s="5" t="str">
        <f>OutputTable[[#This Row],[ProjectName]]&amp;OutputTable[[#This Row],[Name]]&amp;OutputTable[[#This Row],[Type]]&amp;OutputTable[[#This Row],[Source]]</f>
        <v>Friday (Solucion: datafono, gofre, cocina y caja compartida)Preparacion Accum VA TimeAccum VA TimeProcess</v>
      </c>
      <c r="J367" s="5" cm="1">
        <f t="array" ref="J367">MAX(IF((ProjectInfoTable[ProjectName]=OutputTable[[#This Row],[ProjectName]]),(ProjectInfoTable[ProjectName]=OutputTable[[#This Row],[ProjectName]])*ProjectInfoTable[NumberOfReplications]))</f>
        <v>19</v>
      </c>
      <c r="K367" s="5" cm="1">
        <f t="array" ref="K367">IFERROR(AVERAGE(IF((OutputTable[GroupByKey]=OutputTable[[#This Row],[GroupByKey]]),(OutputTable[GroupByKey]=OutputTable[[#This Row],[GroupByKey]])*OutputTable[RecordedValue])),0)</f>
        <v>174.13537587676447</v>
      </c>
      <c r="L367" s="5" cm="1">
        <f t="array" ref="L367">IFERROR(_xlfn.STDEV.S(IF((OutputTable[GroupByKey]=OutputTable[[#This Row],[GroupByKey]]),(OutputTable[GroupByKey]=OutputTable[[#This Row],[GroupByKey]])*OutputTable[RecordedValue])),0)</f>
        <v>19.65074675456297</v>
      </c>
      <c r="M367" s="5" cm="1">
        <f t="array" ref="M367">MAX(IF((ProjectInfoTable[ProjectName]=OutputTable[[#This Row],[ProjectName]]),(ProjectInfoTable[ProjectName]=OutputTable[[#This Row],[ProjectName]])*ProjectInfoTable[ConfidenceInterval]))</f>
        <v>0.95</v>
      </c>
      <c r="N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9.4713567574295272</v>
      </c>
      <c r="O367" s="5" cm="1">
        <f t="array" ref="O367">MIN(IF((OutputTable[GroupByKey]=OutputTable[[#This Row],[GroupByKey]]),(OutputTable[GroupByKey]=OutputTable[[#This Row],[GroupByKey]])*OutputTable[RecordedValue]))</f>
        <v>139.22471453685199</v>
      </c>
      <c r="P367" s="5" cm="1">
        <f t="array" ref="P367">MAX(IF((OutputTable[GroupByKey]=OutputTable[[#This Row],[GroupByKey]]),(OutputTable[GroupByKey]=OutputTable[[#This Row],[GroupByKey]])*OutputTable[RecordedValue]))</f>
        <v>210.18722493890999</v>
      </c>
    </row>
    <row r="368" spans="1:16" x14ac:dyDescent="0.25">
      <c r="A368" t="s">
        <v>67</v>
      </c>
      <c r="B368" t="s">
        <v>69</v>
      </c>
      <c r="C368">
        <v>18</v>
      </c>
      <c r="D368" t="s">
        <v>157</v>
      </c>
      <c r="E368" t="s">
        <v>151</v>
      </c>
      <c r="F368" t="s">
        <v>86</v>
      </c>
      <c r="G368">
        <v>95.416302492393598</v>
      </c>
      <c r="H368">
        <v>0</v>
      </c>
      <c r="I368" s="5" t="str">
        <f>OutputTable[[#This Row],[ProjectName]]&amp;OutputTable[[#This Row],[Name]]&amp;OutputTable[[#This Row],[Type]]&amp;OutputTable[[#This Row],[Source]]</f>
        <v>Friday (Solucion: datafono, gofre, cocina y caja compartida)Preparacion Accum Wait TimeAccum Wait TimeProcess</v>
      </c>
      <c r="J368" s="5" cm="1">
        <f t="array" ref="J368">MAX(IF((ProjectInfoTable[ProjectName]=OutputTable[[#This Row],[ProjectName]]),(ProjectInfoTable[ProjectName]=OutputTable[[#This Row],[ProjectName]])*ProjectInfoTable[NumberOfReplications]))</f>
        <v>19</v>
      </c>
      <c r="K368" s="5" cm="1">
        <f t="array" ref="K368">IFERROR(AVERAGE(IF((OutputTable[GroupByKey]=OutputTable[[#This Row],[GroupByKey]]),(OutputTable[GroupByKey]=OutputTable[[#This Row],[GroupByKey]])*OutputTable[RecordedValue])),0)</f>
        <v>89.754366677107924</v>
      </c>
      <c r="L368" s="5" cm="1">
        <f t="array" ref="L368">IFERROR(_xlfn.STDEV.S(IF((OutputTable[GroupByKey]=OutputTable[[#This Row],[GroupByKey]]),(OutputTable[GroupByKey]=OutputTable[[#This Row],[GroupByKey]])*OutputTable[RecordedValue])),0)</f>
        <v>109.53061123574736</v>
      </c>
      <c r="M368" s="5" cm="1">
        <f t="array" ref="M368">MAX(IF((ProjectInfoTable[ProjectName]=OutputTable[[#This Row],[ProjectName]]),(ProjectInfoTable[ProjectName]=OutputTable[[#This Row],[ProjectName]])*ProjectInfoTable[ConfidenceInterval]))</f>
        <v>0.95</v>
      </c>
      <c r="N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52.79206474085742</v>
      </c>
      <c r="O368" s="5" cm="1">
        <f t="array" ref="O368">MIN(IF((OutputTable[GroupByKey]=OutputTable[[#This Row],[GroupByKey]]),(OutputTable[GroupByKey]=OutputTable[[#This Row],[GroupByKey]])*OutputTable[RecordedValue]))</f>
        <v>22.316256244919199</v>
      </c>
      <c r="P368" s="5" cm="1">
        <f t="array" ref="P368">MAX(IF((OutputTable[GroupByKey]=OutputTable[[#This Row],[GroupByKey]]),(OutputTable[GroupByKey]=OutputTable[[#This Row],[GroupByKey]])*OutputTable[RecordedValue]))</f>
        <v>514.987116007179</v>
      </c>
    </row>
    <row r="369" spans="1:16" x14ac:dyDescent="0.25">
      <c r="A369" t="s">
        <v>67</v>
      </c>
      <c r="B369" t="s">
        <v>69</v>
      </c>
      <c r="C369">
        <v>18</v>
      </c>
      <c r="D369" t="s">
        <v>158</v>
      </c>
      <c r="E369" t="s">
        <v>145</v>
      </c>
      <c r="F369" t="s">
        <v>86</v>
      </c>
      <c r="G369">
        <v>124</v>
      </c>
      <c r="H369">
        <v>0</v>
      </c>
      <c r="I369" s="5" t="str">
        <f>OutputTable[[#This Row],[ProjectName]]&amp;OutputTable[[#This Row],[Name]]&amp;OutputTable[[#This Row],[Type]]&amp;OutputTable[[#This Row],[Source]]</f>
        <v>Friday (Solucion: datafono, gofre, cocina y caja compartida)Preparacion Number InNumber InProcess</v>
      </c>
      <c r="J369" s="5" cm="1">
        <f t="array" ref="J369">MAX(IF((ProjectInfoTable[ProjectName]=OutputTable[[#This Row],[ProjectName]]),(ProjectInfoTable[ProjectName]=OutputTable[[#This Row],[ProjectName]])*ProjectInfoTable[NumberOfReplications]))</f>
        <v>19</v>
      </c>
      <c r="K369" s="5" cm="1">
        <f t="array" ref="K369">IFERROR(AVERAGE(IF((OutputTable[GroupByKey]=OutputTable[[#This Row],[GroupByKey]]),(OutputTable[GroupByKey]=OutputTable[[#This Row],[GroupByKey]])*OutputTable[RecordedValue])),0)</f>
        <v>121.89473684210526</v>
      </c>
      <c r="L369" s="5" cm="1">
        <f t="array" ref="L369">IFERROR(_xlfn.STDEV.S(IF((OutputTable[GroupByKey]=OutputTable[[#This Row],[GroupByKey]]),(OutputTable[GroupByKey]=OutputTable[[#This Row],[GroupByKey]])*OutputTable[RecordedValue])),0)</f>
        <v>9.971597090637573</v>
      </c>
      <c r="M369" s="5" cm="1">
        <f t="array" ref="M369">MAX(IF((ProjectInfoTable[ProjectName]=OutputTable[[#This Row],[ProjectName]]),(ProjectInfoTable[ProjectName]=OutputTable[[#This Row],[ProjectName]])*ProjectInfoTable[ConfidenceInterval]))</f>
        <v>0.95</v>
      </c>
      <c r="N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369" s="5" cm="1">
        <f t="array" ref="O369">MIN(IF((OutputTable[GroupByKey]=OutputTable[[#This Row],[GroupByKey]]),(OutputTable[GroupByKey]=OutputTable[[#This Row],[GroupByKey]])*OutputTable[RecordedValue]))</f>
        <v>109</v>
      </c>
      <c r="P369" s="5" cm="1">
        <f t="array" ref="P369">MAX(IF((OutputTable[GroupByKey]=OutputTable[[#This Row],[GroupByKey]]),(OutputTable[GroupByKey]=OutputTable[[#This Row],[GroupByKey]])*OutputTable[RecordedValue]))</f>
        <v>143</v>
      </c>
    </row>
    <row r="370" spans="1:16" x14ac:dyDescent="0.25">
      <c r="A370" t="s">
        <v>67</v>
      </c>
      <c r="B370" t="s">
        <v>69</v>
      </c>
      <c r="C370">
        <v>18</v>
      </c>
      <c r="D370" t="s">
        <v>159</v>
      </c>
      <c r="E370" t="s">
        <v>147</v>
      </c>
      <c r="F370" t="s">
        <v>86</v>
      </c>
      <c r="G370">
        <v>121</v>
      </c>
      <c r="H370">
        <v>0</v>
      </c>
      <c r="I370" s="5" t="str">
        <f>OutputTable[[#This Row],[ProjectName]]&amp;OutputTable[[#This Row],[Name]]&amp;OutputTable[[#This Row],[Type]]&amp;OutputTable[[#This Row],[Source]]</f>
        <v>Friday (Solucion: datafono, gofre, cocina y caja compartida)Preparacion Number OutNumber OutProcess</v>
      </c>
      <c r="J370" s="5" cm="1">
        <f t="array" ref="J370">MAX(IF((ProjectInfoTable[ProjectName]=OutputTable[[#This Row],[ProjectName]]),(ProjectInfoTable[ProjectName]=OutputTable[[#This Row],[ProjectName]])*ProjectInfoTable[NumberOfReplications]))</f>
        <v>19</v>
      </c>
      <c r="K370" s="5" cm="1">
        <f t="array" ref="K370">IFERROR(AVERAGE(IF((OutputTable[GroupByKey]=OutputTable[[#This Row],[GroupByKey]]),(OutputTable[GroupByKey]=OutputTable[[#This Row],[GroupByKey]])*OutputTable[RecordedValue])),0)</f>
        <v>122.31578947368421</v>
      </c>
      <c r="L370" s="5" cm="1">
        <f t="array" ref="L370">IFERROR(_xlfn.STDEV.S(IF((OutputTable[GroupByKey]=OutputTable[[#This Row],[GroupByKey]]),(OutputTable[GroupByKey]=OutputTable[[#This Row],[GroupByKey]])*OutputTable[RecordedValue])),0)</f>
        <v>10.127260414780096</v>
      </c>
      <c r="M370" s="5" cm="1">
        <f t="array" ref="M370">MAX(IF((ProjectInfoTable[ProjectName]=OutputTable[[#This Row],[ProjectName]]),(ProjectInfoTable[ProjectName]=OutputTable[[#This Row],[ProjectName]])*ProjectInfoTable[ConfidenceInterval]))</f>
        <v>0.95</v>
      </c>
      <c r="N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4.8811832731752718</v>
      </c>
      <c r="O370" s="5" cm="1">
        <f t="array" ref="O370">MIN(IF((OutputTable[GroupByKey]=OutputTable[[#This Row],[GroupByKey]]),(OutputTable[GroupByKey]=OutputTable[[#This Row],[GroupByKey]])*OutputTable[RecordedValue]))</f>
        <v>111</v>
      </c>
      <c r="P370" s="5" cm="1">
        <f t="array" ref="P370">MAX(IF((OutputTable[GroupByKey]=OutputTable[[#This Row],[GroupByKey]]),(OutputTable[GroupByKey]=OutputTable[[#This Row],[GroupByKey]])*OutputTable[RecordedValue]))</f>
        <v>150</v>
      </c>
    </row>
    <row r="371" spans="1:16" x14ac:dyDescent="0.25">
      <c r="A371" t="s">
        <v>67</v>
      </c>
      <c r="B371" t="s">
        <v>69</v>
      </c>
      <c r="C371">
        <v>18</v>
      </c>
      <c r="D371" t="s">
        <v>160</v>
      </c>
      <c r="E371" t="s">
        <v>147</v>
      </c>
      <c r="F371" t="s">
        <v>161</v>
      </c>
      <c r="G371">
        <v>125</v>
      </c>
      <c r="H371">
        <v>0</v>
      </c>
      <c r="I371" s="5" t="str">
        <f>OutputTable[[#This Row],[ProjectName]]&amp;OutputTable[[#This Row],[Name]]&amp;OutputTable[[#This Row],[Type]]&amp;OutputTable[[#This Row],[Source]]</f>
        <v>Friday (Solucion: datafono, gofre, cocina y caja compartida)System.NumberOutNumber OutSystem</v>
      </c>
      <c r="J371" s="5" cm="1">
        <f t="array" ref="J371">MAX(IF((ProjectInfoTable[ProjectName]=OutputTable[[#This Row],[ProjectName]]),(ProjectInfoTable[ProjectName]=OutputTable[[#This Row],[ProjectName]])*ProjectInfoTable[NumberOfReplications]))</f>
        <v>19</v>
      </c>
      <c r="K371" s="5" cm="1">
        <f t="array" ref="K371">IFERROR(AVERAGE(IF((OutputTable[GroupByKey]=OutputTable[[#This Row],[GroupByKey]]),(OutputTable[GroupByKey]=OutputTable[[#This Row],[GroupByKey]])*OutputTable[RecordedValue])),0)</f>
        <v>125.36842105263158</v>
      </c>
      <c r="L371" s="5" cm="1">
        <f t="array" ref="L371">IFERROR(_xlfn.STDEV.S(IF((OutputTable[GroupByKey]=OutputTable[[#This Row],[GroupByKey]]),(OutputTable[GroupByKey]=OutputTable[[#This Row],[GroupByKey]])*OutputTable[RecordedValue])),0)</f>
        <v>10.160984894934533</v>
      </c>
      <c r="M371" s="5" cm="1">
        <f t="array" ref="M371">MAX(IF((ProjectInfoTable[ProjectName]=OutputTable[[#This Row],[ProjectName]]),(ProjectInfoTable[ProjectName]=OutputTable[[#This Row],[ProjectName]])*ProjectInfoTable[ConfidenceInterval]))</f>
        <v>0.95</v>
      </c>
      <c r="N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371" s="5" cm="1">
        <f t="array" ref="O371">MIN(IF((OutputTable[GroupByKey]=OutputTable[[#This Row],[GroupByKey]]),(OutputTable[GroupByKey]=OutputTable[[#This Row],[GroupByKey]])*OutputTable[RecordedValue]))</f>
        <v>112</v>
      </c>
      <c r="P371" s="5" cm="1">
        <f t="array" ref="P371">MAX(IF((OutputTable[GroupByKey]=OutputTable[[#This Row],[GroupByKey]]),(OutputTable[GroupByKey]=OutputTable[[#This Row],[GroupByKey]])*OutputTable[RecordedValue]))</f>
        <v>153</v>
      </c>
    </row>
    <row r="372" spans="1:16" x14ac:dyDescent="0.25">
      <c r="A372" t="s">
        <v>67</v>
      </c>
      <c r="B372" t="s">
        <v>69</v>
      </c>
      <c r="C372">
        <v>18</v>
      </c>
      <c r="D372" t="s">
        <v>162</v>
      </c>
      <c r="E372" t="s">
        <v>163</v>
      </c>
      <c r="F372" t="s">
        <v>136</v>
      </c>
      <c r="G372">
        <v>136</v>
      </c>
      <c r="H372">
        <v>0</v>
      </c>
      <c r="I372" s="5" t="str">
        <f>OutputTable[[#This Row],[ProjectName]]&amp;OutputTable[[#This Row],[Name]]&amp;OutputTable[[#This Row],[Type]]&amp;OutputTable[[#This Row],[Source]]</f>
        <v>Friday (Solucion: datafono, gofre, cocina y caja compartida)rCajero.NumberSeizedTotal Number SeizedResource</v>
      </c>
      <c r="J372" s="5" cm="1">
        <f t="array" ref="J372">MAX(IF((ProjectInfoTable[ProjectName]=OutputTable[[#This Row],[ProjectName]]),(ProjectInfoTable[ProjectName]=OutputTable[[#This Row],[ProjectName]])*ProjectInfoTable[NumberOfReplications]))</f>
        <v>19</v>
      </c>
      <c r="K372" s="5" cm="1">
        <f t="array" ref="K372">IFERROR(AVERAGE(IF((OutputTable[GroupByKey]=OutputTable[[#This Row],[GroupByKey]]),(OutputTable[GroupByKey]=OutputTable[[#This Row],[GroupByKey]])*OutputTable[RecordedValue])),0)</f>
        <v>131.63157894736841</v>
      </c>
      <c r="L372" s="5" cm="1">
        <f t="array" ref="L372">IFERROR(_xlfn.STDEV.S(IF((OutputTable[GroupByKey]=OutputTable[[#This Row],[GroupByKey]]),(OutputTable[GroupByKey]=OutputTable[[#This Row],[GroupByKey]])*OutputTable[RecordedValue])),0)</f>
        <v>13.988926280438102</v>
      </c>
      <c r="M372" s="5" cm="1">
        <f t="array" ref="M372">MAX(IF((ProjectInfoTable[ProjectName]=OutputTable[[#This Row],[ProjectName]]),(ProjectInfoTable[ProjectName]=OutputTable[[#This Row],[ProjectName]])*ProjectInfoTable[ConfidenceInterval]))</f>
        <v>0.95</v>
      </c>
      <c r="N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6.7424466413544986</v>
      </c>
      <c r="O372" s="5" cm="1">
        <f t="array" ref="O372">MIN(IF((OutputTable[GroupByKey]=OutputTable[[#This Row],[GroupByKey]]),(OutputTable[GroupByKey]=OutputTable[[#This Row],[GroupByKey]])*OutputTable[RecordedValue]))</f>
        <v>113</v>
      </c>
      <c r="P372" s="5" cm="1">
        <f t="array" ref="P372">MAX(IF((OutputTable[GroupByKey]=OutputTable[[#This Row],[GroupByKey]]),(OutputTable[GroupByKey]=OutputTable[[#This Row],[GroupByKey]])*OutputTable[RecordedValue]))</f>
        <v>157</v>
      </c>
    </row>
    <row r="373" spans="1:16" x14ac:dyDescent="0.25">
      <c r="A373" t="s">
        <v>67</v>
      </c>
      <c r="B373" t="s">
        <v>69</v>
      </c>
      <c r="C373">
        <v>18</v>
      </c>
      <c r="D373" t="s">
        <v>164</v>
      </c>
      <c r="E373" t="s">
        <v>165</v>
      </c>
      <c r="F373" t="s">
        <v>136</v>
      </c>
      <c r="G373">
        <v>0.76092451969044494</v>
      </c>
      <c r="H373">
        <v>0</v>
      </c>
      <c r="I373" s="5" t="str">
        <f>OutputTable[[#This Row],[ProjectName]]&amp;OutputTable[[#This Row],[Name]]&amp;OutputTable[[#This Row],[Type]]&amp;OutputTable[[#This Row],[Source]]</f>
        <v>Friday (Solucion: datafono, gofre, cocina y caja compartida)rCajero.ScheduledUtilizationScheduled UtilizationResource</v>
      </c>
      <c r="J373" s="5" cm="1">
        <f t="array" ref="J373">MAX(IF((ProjectInfoTable[ProjectName]=OutputTable[[#This Row],[ProjectName]]),(ProjectInfoTable[ProjectName]=OutputTable[[#This Row],[ProjectName]])*ProjectInfoTable[NumberOfReplications]))</f>
        <v>19</v>
      </c>
      <c r="K373" s="5" cm="1">
        <f t="array" ref="K373">IFERROR(AVERAGE(IF((OutputTable[GroupByKey]=OutputTable[[#This Row],[GroupByKey]]),(OutputTable[GroupByKey]=OutputTable[[#This Row],[GroupByKey]])*OutputTable[RecordedValue])),0)</f>
        <v>0.68474836505339687</v>
      </c>
      <c r="L373" s="5" cm="1">
        <f t="array" ref="L373">IFERROR(_xlfn.STDEV.S(IF((OutputTable[GroupByKey]=OutputTable[[#This Row],[GroupByKey]]),(OutputTable[GroupByKey]=OutputTable[[#This Row],[GroupByKey]])*OutputTable[RecordedValue])),0)</f>
        <v>6.2272947935973065E-2</v>
      </c>
      <c r="M373" s="5" cm="1">
        <f t="array" ref="M373">MAX(IF((ProjectInfoTable[ProjectName]=OutputTable[[#This Row],[ProjectName]]),(ProjectInfoTable[ProjectName]=OutputTable[[#This Row],[ProjectName]])*ProjectInfoTable[ConfidenceInterval]))</f>
        <v>0.95</v>
      </c>
      <c r="N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3.0014600137344902E-2</v>
      </c>
      <c r="O373" s="5" cm="1">
        <f t="array" ref="O373">MIN(IF((OutputTable[GroupByKey]=OutputTable[[#This Row],[GroupByKey]]),(OutputTable[GroupByKey]=OutputTable[[#This Row],[GroupByKey]])*OutputTable[RecordedValue]))</f>
        <v>0.59592290927233305</v>
      </c>
      <c r="P373" s="5" cm="1">
        <f t="array" ref="P373">MAX(IF((OutputTable[GroupByKey]=OutputTable[[#This Row],[GroupByKey]]),(OutputTable[GroupByKey]=OutputTable[[#This Row],[GroupByKey]])*OutputTable[RecordedValue]))</f>
        <v>0.82897119936997599</v>
      </c>
    </row>
    <row r="374" spans="1:16" x14ac:dyDescent="0.25">
      <c r="A374" t="s">
        <v>67</v>
      </c>
      <c r="B374" t="s">
        <v>69</v>
      </c>
      <c r="C374">
        <v>18</v>
      </c>
      <c r="D374" t="s">
        <v>166</v>
      </c>
      <c r="E374" t="s">
        <v>163</v>
      </c>
      <c r="F374" t="s">
        <v>136</v>
      </c>
      <c r="G374">
        <v>110</v>
      </c>
      <c r="H374">
        <v>0</v>
      </c>
      <c r="I374" s="5" t="str">
        <f>OutputTable[[#This Row],[ProjectName]]&amp;OutputTable[[#This Row],[Name]]&amp;OutputTable[[#This Row],[Type]]&amp;OutputTable[[#This Row],[Source]]</f>
        <v>Friday (Solucion: datafono, gofre, cocina y caja compartida)rCocina.NumberSeizedTotal Number SeizedResource</v>
      </c>
      <c r="J374" s="5" cm="1">
        <f t="array" ref="J374">MAX(IF((ProjectInfoTable[ProjectName]=OutputTable[[#This Row],[ProjectName]]),(ProjectInfoTable[ProjectName]=OutputTable[[#This Row],[ProjectName]])*ProjectInfoTable[NumberOfReplications]))</f>
        <v>19</v>
      </c>
      <c r="K374" s="5" cm="1">
        <f t="array" ref="K374">IFERROR(AVERAGE(IF((OutputTable[GroupByKey]=OutputTable[[#This Row],[GroupByKey]]),(OutputTable[GroupByKey]=OutputTable[[#This Row],[GroupByKey]])*OutputTable[RecordedValue])),0)</f>
        <v>112.73684210526316</v>
      </c>
      <c r="L374" s="5" cm="1">
        <f t="array" ref="L374">IFERROR(_xlfn.STDEV.S(IF((OutputTable[GroupByKey]=OutputTable[[#This Row],[GroupByKey]]),(OutputTable[GroupByKey]=OutputTable[[#This Row],[GroupByKey]])*OutputTable[RecordedValue])),0)</f>
        <v>9.1155673027772668</v>
      </c>
      <c r="M374" s="5" cm="1">
        <f t="array" ref="M374">MAX(IF((ProjectInfoTable[ProjectName]=OutputTable[[#This Row],[ProjectName]]),(ProjectInfoTable[ProjectName]=OutputTable[[#This Row],[ProjectName]])*ProjectInfoTable[ConfidenceInterval]))</f>
        <v>0.95</v>
      </c>
      <c r="N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4.3935628019284003</v>
      </c>
      <c r="O374" s="5" cm="1">
        <f t="array" ref="O374">MIN(IF((OutputTable[GroupByKey]=OutputTable[[#This Row],[GroupByKey]]),(OutputTable[GroupByKey]=OutputTable[[#This Row],[GroupByKey]])*OutputTable[RecordedValue]))</f>
        <v>102</v>
      </c>
      <c r="P374" s="5" cm="1">
        <f t="array" ref="P374">MAX(IF((OutputTable[GroupByKey]=OutputTable[[#This Row],[GroupByKey]]),(OutputTable[GroupByKey]=OutputTable[[#This Row],[GroupByKey]])*OutputTable[RecordedValue]))</f>
        <v>135</v>
      </c>
    </row>
    <row r="375" spans="1:16" x14ac:dyDescent="0.25">
      <c r="A375" t="s">
        <v>67</v>
      </c>
      <c r="B375" t="s">
        <v>69</v>
      </c>
      <c r="C375">
        <v>18</v>
      </c>
      <c r="D375" t="s">
        <v>167</v>
      </c>
      <c r="E375" t="s">
        <v>165</v>
      </c>
      <c r="F375" t="s">
        <v>136</v>
      </c>
      <c r="G375">
        <v>0.81316807447732098</v>
      </c>
      <c r="H375">
        <v>0</v>
      </c>
      <c r="I375" s="5" t="str">
        <f>OutputTable[[#This Row],[ProjectName]]&amp;OutputTable[[#This Row],[Name]]&amp;OutputTable[[#This Row],[Type]]&amp;OutputTable[[#This Row],[Source]]</f>
        <v>Friday (Solucion: datafono, gofre, cocina y caja compartida)rCocina.ScheduledUtilizationScheduled UtilizationResource</v>
      </c>
      <c r="J375" s="5" cm="1">
        <f t="array" ref="J375">MAX(IF((ProjectInfoTable[ProjectName]=OutputTable[[#This Row],[ProjectName]]),(ProjectInfoTable[ProjectName]=OutputTable[[#This Row],[ProjectName]])*ProjectInfoTable[NumberOfReplications]))</f>
        <v>19</v>
      </c>
      <c r="K375" s="5" cm="1">
        <f t="array" ref="K375">IFERROR(AVERAGE(IF((OutputTable[GroupByKey]=OutputTable[[#This Row],[GroupByKey]]),(OutputTable[GroupByKey]=OutputTable[[#This Row],[GroupByKey]])*OutputTable[RecordedValue])),0)</f>
        <v>0.71670342302257706</v>
      </c>
      <c r="L375" s="5" cm="1">
        <f t="array" ref="L375">IFERROR(_xlfn.STDEV.S(IF((OutputTable[GroupByKey]=OutputTable[[#This Row],[GroupByKey]]),(OutputTable[GroupByKey]=OutputTable[[#This Row],[GroupByKey]])*OutputTable[RecordedValue])),0)</f>
        <v>7.0907274842727658E-2</v>
      </c>
      <c r="M375" s="5" cm="1">
        <f t="array" ref="M375">MAX(IF((ProjectInfoTable[ProjectName]=OutputTable[[#This Row],[ProjectName]]),(ProjectInfoTable[ProjectName]=OutputTable[[#This Row],[ProjectName]])*ProjectInfoTable[ConfidenceInterval]))</f>
        <v>0.95</v>
      </c>
      <c r="N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3.4176212493127585E-2</v>
      </c>
      <c r="O375" s="5" cm="1">
        <f t="array" ref="O375">MIN(IF((OutputTable[GroupByKey]=OutputTable[[#This Row],[GroupByKey]]),(OutputTable[GroupByKey]=OutputTable[[#This Row],[GroupByKey]])*OutputTable[RecordedValue]))</f>
        <v>0.60463940272025996</v>
      </c>
      <c r="P375" s="5" cm="1">
        <f t="array" ref="P375">MAX(IF((OutputTable[GroupByKey]=OutputTable[[#This Row],[GroupByKey]]),(OutputTable[GroupByKey]=OutputTable[[#This Row],[GroupByKey]])*OutputTable[RecordedValue]))</f>
        <v>0.86361037821575004</v>
      </c>
    </row>
    <row r="376" spans="1:16" x14ac:dyDescent="0.25">
      <c r="A376" t="s">
        <v>67</v>
      </c>
      <c r="B376" t="s">
        <v>69</v>
      </c>
      <c r="C376">
        <v>18</v>
      </c>
      <c r="D376" t="s">
        <v>168</v>
      </c>
      <c r="E376" t="s">
        <v>163</v>
      </c>
      <c r="F376" t="s">
        <v>136</v>
      </c>
      <c r="G376">
        <v>14</v>
      </c>
      <c r="H376">
        <v>0</v>
      </c>
      <c r="I376" s="5" t="str">
        <f>OutputTable[[#This Row],[ProjectName]]&amp;OutputTable[[#This Row],[Name]]&amp;OutputTable[[#This Row],[Type]]&amp;OutputTable[[#This Row],[Source]]</f>
        <v>Friday (Solucion: datafono, gofre, cocina y caja compartida)rMesa.NumberSeizedTotal Number SeizedResource</v>
      </c>
      <c r="J376" s="5" cm="1">
        <f t="array" ref="J376">MAX(IF((ProjectInfoTable[ProjectName]=OutputTable[[#This Row],[ProjectName]]),(ProjectInfoTable[ProjectName]=OutputTable[[#This Row],[ProjectName]])*ProjectInfoTable[NumberOfReplications]))</f>
        <v>19</v>
      </c>
      <c r="K376" s="5" cm="1">
        <f t="array" ref="K376">IFERROR(AVERAGE(IF((OutputTable[GroupByKey]=OutputTable[[#This Row],[GroupByKey]]),(OutputTable[GroupByKey]=OutputTable[[#This Row],[GroupByKey]])*OutputTable[RecordedValue])),0)</f>
        <v>16.157894736842106</v>
      </c>
      <c r="L376" s="5" cm="1">
        <f t="array" ref="L376">IFERROR(_xlfn.STDEV.S(IF((OutputTable[GroupByKey]=OutputTable[[#This Row],[GroupByKey]]),(OutputTable[GroupByKey]=OutputTable[[#This Row],[GroupByKey]])*OutputTable[RecordedValue])),0)</f>
        <v>3.8044295512634076</v>
      </c>
      <c r="M376" s="5" cm="1">
        <f t="array" ref="M376">MAX(IF((ProjectInfoTable[ProjectName]=OutputTable[[#This Row],[ProjectName]]),(ProjectInfoTable[ProjectName]=OutputTable[[#This Row],[ProjectName]])*ProjectInfoTable[ConfidenceInterval]))</f>
        <v>0.95</v>
      </c>
      <c r="N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376" s="5" cm="1">
        <f t="array" ref="O376">MIN(IF((OutputTable[GroupByKey]=OutputTable[[#This Row],[GroupByKey]]),(OutputTable[GroupByKey]=OutputTable[[#This Row],[GroupByKey]])*OutputTable[RecordedValue]))</f>
        <v>9</v>
      </c>
      <c r="P376" s="5" cm="1">
        <f t="array" ref="P376">MAX(IF((OutputTable[GroupByKey]=OutputTable[[#This Row],[GroupByKey]]),(OutputTable[GroupByKey]=OutputTable[[#This Row],[GroupByKey]])*OutputTable[RecordedValue]))</f>
        <v>24</v>
      </c>
    </row>
    <row r="377" spans="1:16" x14ac:dyDescent="0.25">
      <c r="A377" t="s">
        <v>67</v>
      </c>
      <c r="B377" t="s">
        <v>69</v>
      </c>
      <c r="C377">
        <v>18</v>
      </c>
      <c r="D377" t="s">
        <v>169</v>
      </c>
      <c r="E377" t="s">
        <v>165</v>
      </c>
      <c r="F377" t="s">
        <v>136</v>
      </c>
      <c r="G377">
        <v>0.24954289335955501</v>
      </c>
      <c r="H377">
        <v>0</v>
      </c>
      <c r="I377" s="5" t="str">
        <f>OutputTable[[#This Row],[ProjectName]]&amp;OutputTable[[#This Row],[Name]]&amp;OutputTable[[#This Row],[Type]]&amp;OutputTable[[#This Row],[Source]]</f>
        <v>Friday (Solucion: datafono, gofre, cocina y caja compartida)rMesa.ScheduledUtilizationScheduled UtilizationResource</v>
      </c>
      <c r="J377" s="5" cm="1">
        <f t="array" ref="J377">MAX(IF((ProjectInfoTable[ProjectName]=OutputTable[[#This Row],[ProjectName]]),(ProjectInfoTable[ProjectName]=OutputTable[[#This Row],[ProjectName]])*ProjectInfoTable[NumberOfReplications]))</f>
        <v>19</v>
      </c>
      <c r="K377" s="5" cm="1">
        <f t="array" ref="K377">IFERROR(AVERAGE(IF((OutputTable[GroupByKey]=OutputTable[[#This Row],[GroupByKey]]),(OutputTable[GroupByKey]=OutputTable[[#This Row],[GroupByKey]])*OutputTable[RecordedValue])),0)</f>
        <v>0.30850610959128744</v>
      </c>
      <c r="L377" s="5" cm="1">
        <f t="array" ref="L377">IFERROR(_xlfn.STDEV.S(IF((OutputTable[GroupByKey]=OutputTable[[#This Row],[GroupByKey]]),(OutputTable[GroupByKey]=OutputTable[[#This Row],[GroupByKey]])*OutputTable[RecordedValue])),0)</f>
        <v>6.2586127702931107E-2</v>
      </c>
      <c r="M377" s="5" cm="1">
        <f t="array" ref="M377">MAX(IF((ProjectInfoTable[ProjectName]=OutputTable[[#This Row],[ProjectName]]),(ProjectInfoTable[ProjectName]=OutputTable[[#This Row],[ProjectName]])*ProjectInfoTable[ConfidenceInterval]))</f>
        <v>0.95</v>
      </c>
      <c r="N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3.0165547953176861E-2</v>
      </c>
      <c r="O377" s="5" cm="1">
        <f t="array" ref="O377">MIN(IF((OutputTable[GroupByKey]=OutputTable[[#This Row],[GroupByKey]]),(OutputTable[GroupByKey]=OutputTable[[#This Row],[GroupByKey]])*OutputTable[RecordedValue]))</f>
        <v>0.156206445320244</v>
      </c>
      <c r="P377" s="5" cm="1">
        <f t="array" ref="P377">MAX(IF((OutputTable[GroupByKey]=OutputTable[[#This Row],[GroupByKey]]),(OutputTable[GroupByKey]=OutputTable[[#This Row],[GroupByKey]])*OutputTable[RecordedValue]))</f>
        <v>0.44942505379986802</v>
      </c>
    </row>
    <row r="378" spans="1:16" x14ac:dyDescent="0.25">
      <c r="A378" t="s">
        <v>67</v>
      </c>
      <c r="B378" t="s">
        <v>69</v>
      </c>
      <c r="C378">
        <v>18</v>
      </c>
      <c r="D378" t="s">
        <v>170</v>
      </c>
      <c r="E378" t="s">
        <v>145</v>
      </c>
      <c r="F378" t="s">
        <v>72</v>
      </c>
      <c r="G378">
        <v>3</v>
      </c>
      <c r="H378">
        <v>0</v>
      </c>
      <c r="I378" s="5" t="str">
        <f>OutputTable[[#This Row],[ProjectName]]&amp;OutputTable[[#This Row],[Name]]&amp;OutputTable[[#This Row],[Type]]&amp;OutputTable[[#This Row],[Source]]</f>
        <v>Friday (Solucion: datafono, gofre, cocina y caja compartida)reloj.NumberInNumber InEntity</v>
      </c>
      <c r="J378" s="5" cm="1">
        <f t="array" ref="J378">MAX(IF((ProjectInfoTable[ProjectName]=OutputTable[[#This Row],[ProjectName]]),(ProjectInfoTable[ProjectName]=OutputTable[[#This Row],[ProjectName]])*ProjectInfoTable[NumberOfReplications]))</f>
        <v>19</v>
      </c>
      <c r="K378" s="5" cm="1">
        <f t="array" ref="K378">IFERROR(AVERAGE(IF((OutputTable[GroupByKey]=OutputTable[[#This Row],[GroupByKey]]),(OutputTable[GroupByKey]=OutputTable[[#This Row],[GroupByKey]])*OutputTable[RecordedValue])),0)</f>
        <v>3</v>
      </c>
      <c r="L378" s="5" cm="1">
        <f t="array" ref="L378">IFERROR(_xlfn.STDEV.S(IF((OutputTable[GroupByKey]=OutputTable[[#This Row],[GroupByKey]]),(OutputTable[GroupByKey]=OutputTable[[#This Row],[GroupByKey]])*OutputTable[RecordedValue])),0)</f>
        <v>0</v>
      </c>
      <c r="M378" s="5" cm="1">
        <f t="array" ref="M378">MAX(IF((ProjectInfoTable[ProjectName]=OutputTable[[#This Row],[ProjectName]]),(ProjectInfoTable[ProjectName]=OutputTable[[#This Row],[ProjectName]])*ProjectInfoTable[ConfidenceInterval]))</f>
        <v>0.95</v>
      </c>
      <c r="N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8" s="5" cm="1">
        <f t="array" ref="O378">MIN(IF((OutputTable[GroupByKey]=OutputTable[[#This Row],[GroupByKey]]),(OutputTable[GroupByKey]=OutputTable[[#This Row],[GroupByKey]])*OutputTable[RecordedValue]))</f>
        <v>3</v>
      </c>
      <c r="P378" s="5" cm="1">
        <f t="array" ref="P378">MAX(IF((OutputTable[GroupByKey]=OutputTable[[#This Row],[GroupByKey]]),(OutputTable[GroupByKey]=OutputTable[[#This Row],[GroupByKey]])*OutputTable[RecordedValue]))</f>
        <v>3</v>
      </c>
    </row>
    <row r="379" spans="1:16" x14ac:dyDescent="0.25">
      <c r="A379" t="s">
        <v>67</v>
      </c>
      <c r="B379" t="s">
        <v>69</v>
      </c>
      <c r="C379">
        <v>18</v>
      </c>
      <c r="D379" t="s">
        <v>171</v>
      </c>
      <c r="E379" t="s">
        <v>147</v>
      </c>
      <c r="F379" t="s">
        <v>72</v>
      </c>
      <c r="G379">
        <v>3</v>
      </c>
      <c r="H379">
        <v>0</v>
      </c>
      <c r="I379" s="5" t="str">
        <f>OutputTable[[#This Row],[ProjectName]]&amp;OutputTable[[#This Row],[Name]]&amp;OutputTable[[#This Row],[Type]]&amp;OutputTable[[#This Row],[Source]]</f>
        <v>Friday (Solucion: datafono, gofre, cocina y caja compartida)reloj.NumberOutNumber OutEntity</v>
      </c>
      <c r="J379" s="5" cm="1">
        <f t="array" ref="J379">MAX(IF((ProjectInfoTable[ProjectName]=OutputTable[[#This Row],[ProjectName]]),(ProjectInfoTable[ProjectName]=OutputTable[[#This Row],[ProjectName]])*ProjectInfoTable[NumberOfReplications]))</f>
        <v>19</v>
      </c>
      <c r="K379" s="5" cm="1">
        <f t="array" ref="K379">IFERROR(AVERAGE(IF((OutputTable[GroupByKey]=OutputTable[[#This Row],[GroupByKey]]),(OutputTable[GroupByKey]=OutputTable[[#This Row],[GroupByKey]])*OutputTable[RecordedValue])),0)</f>
        <v>3</v>
      </c>
      <c r="L379" s="5" cm="1">
        <f t="array" ref="L379">IFERROR(_xlfn.STDEV.S(IF((OutputTable[GroupByKey]=OutputTable[[#This Row],[GroupByKey]]),(OutputTable[GroupByKey]=OutputTable[[#This Row],[GroupByKey]])*OutputTable[RecordedValue])),0)</f>
        <v>0</v>
      </c>
      <c r="M379" s="5" cm="1">
        <f t="array" ref="M379">MAX(IF((ProjectInfoTable[ProjectName]=OutputTable[[#This Row],[ProjectName]]),(ProjectInfoTable[ProjectName]=OutputTable[[#This Row],[ProjectName]])*ProjectInfoTable[ConfidenceInterval]))</f>
        <v>0.95</v>
      </c>
      <c r="N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9" s="5" cm="1">
        <f t="array" ref="O379">MIN(IF((OutputTable[GroupByKey]=OutputTable[[#This Row],[GroupByKey]]),(OutputTable[GroupByKey]=OutputTable[[#This Row],[GroupByKey]])*OutputTable[RecordedValue]))</f>
        <v>3</v>
      </c>
      <c r="P379" s="5" cm="1">
        <f t="array" ref="P379">MAX(IF((OutputTable[GroupByKey]=OutputTable[[#This Row],[GroupByKey]]),(OutputTable[GroupByKey]=OutputTable[[#This Row],[GroupByKey]])*OutputTable[RecordedValue]))</f>
        <v>3</v>
      </c>
    </row>
    <row r="380" spans="1:16" x14ac:dyDescent="0.25">
      <c r="A380" t="s">
        <v>67</v>
      </c>
      <c r="B380" t="s">
        <v>69</v>
      </c>
      <c r="C380">
        <v>19</v>
      </c>
      <c r="D380" t="s">
        <v>144</v>
      </c>
      <c r="E380" t="s">
        <v>145</v>
      </c>
      <c r="F380" t="s">
        <v>72</v>
      </c>
      <c r="G380">
        <v>368</v>
      </c>
      <c r="H380">
        <v>0</v>
      </c>
      <c r="I380" s="5" t="str">
        <f>OutputTable[[#This Row],[ProjectName]]&amp;OutputTable[[#This Row],[Name]]&amp;OutputTable[[#This Row],[Type]]&amp;OutputTable[[#This Row],[Source]]</f>
        <v>Friday (Solucion: datafono, gofre, cocina y caja compartida)Cliente.NumberInNumber InEntity</v>
      </c>
      <c r="J380" s="5" cm="1">
        <f t="array" ref="J380">MAX(IF((ProjectInfoTable[ProjectName]=OutputTable[[#This Row],[ProjectName]]),(ProjectInfoTable[ProjectName]=OutputTable[[#This Row],[ProjectName]])*ProjectInfoTable[NumberOfReplications]))</f>
        <v>19</v>
      </c>
      <c r="K380" s="5" cm="1">
        <f t="array" ref="K380">IFERROR(AVERAGE(IF((OutputTable[GroupByKey]=OutputTable[[#This Row],[GroupByKey]]),(OutputTable[GroupByKey]=OutputTable[[#This Row],[GroupByKey]])*OutputTable[RecordedValue])),0)</f>
        <v>366.21052631578948</v>
      </c>
      <c r="L380" s="5" cm="1">
        <f t="array" ref="L380">IFERROR(_xlfn.STDEV.S(IF((OutputTable[GroupByKey]=OutputTable[[#This Row],[GroupByKey]]),(OutputTable[GroupByKey]=OutputTable[[#This Row],[GroupByKey]])*OutputTable[RecordedValue])),0)</f>
        <v>28.665850661580702</v>
      </c>
      <c r="M380" s="5" cm="1">
        <f t="array" ref="M380">MAX(IF((ProjectInfoTable[ProjectName]=OutputTable[[#This Row],[ProjectName]]),(ProjectInfoTable[ProjectName]=OutputTable[[#This Row],[ProjectName]])*ProjectInfoTable[ConfidenceInterval]))</f>
        <v>0.95</v>
      </c>
      <c r="N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13.816497752584581</v>
      </c>
      <c r="O380" s="5" cm="1">
        <f t="array" ref="O380">MIN(IF((OutputTable[GroupByKey]=OutputTable[[#This Row],[GroupByKey]]),(OutputTable[GroupByKey]=OutputTable[[#This Row],[GroupByKey]])*OutputTable[RecordedValue]))</f>
        <v>331</v>
      </c>
      <c r="P380" s="5" cm="1">
        <f t="array" ref="P380">MAX(IF((OutputTable[GroupByKey]=OutputTable[[#This Row],[GroupByKey]]),(OutputTable[GroupByKey]=OutputTable[[#This Row],[GroupByKey]])*OutputTable[RecordedValue]))</f>
        <v>427</v>
      </c>
    </row>
    <row r="381" spans="1:16" x14ac:dyDescent="0.25">
      <c r="A381" t="s">
        <v>67</v>
      </c>
      <c r="B381" t="s">
        <v>69</v>
      </c>
      <c r="C381">
        <v>19</v>
      </c>
      <c r="D381" t="s">
        <v>146</v>
      </c>
      <c r="E381" t="s">
        <v>147</v>
      </c>
      <c r="F381" t="s">
        <v>72</v>
      </c>
      <c r="G381">
        <v>365</v>
      </c>
      <c r="H381">
        <v>0</v>
      </c>
      <c r="I381" s="5" t="str">
        <f>OutputTable[[#This Row],[ProjectName]]&amp;OutputTable[[#This Row],[Name]]&amp;OutputTable[[#This Row],[Type]]&amp;OutputTable[[#This Row],[Source]]</f>
        <v>Friday (Solucion: datafono, gofre, cocina y caja compartida)Cliente.NumberOutNumber OutEntity</v>
      </c>
      <c r="J381" s="5" cm="1">
        <f t="array" ref="J381">MAX(IF((ProjectInfoTable[ProjectName]=OutputTable[[#This Row],[ProjectName]]),(ProjectInfoTable[ProjectName]=OutputTable[[#This Row],[ProjectName]])*ProjectInfoTable[NumberOfReplications]))</f>
        <v>19</v>
      </c>
      <c r="K381" s="5" cm="1">
        <f t="array" ref="K381">IFERROR(AVERAGE(IF((OutputTable[GroupByKey]=OutputTable[[#This Row],[GroupByKey]]),(OutputTable[GroupByKey]=OutputTable[[#This Row],[GroupByKey]])*OutputTable[RecordedValue])),0)</f>
        <v>366.63157894736844</v>
      </c>
      <c r="L381" s="5" cm="1">
        <f t="array" ref="L381">IFERROR(_xlfn.STDEV.S(IF((OutputTable[GroupByKey]=OutputTable[[#This Row],[GroupByKey]]),(OutputTable[GroupByKey]=OutputTable[[#This Row],[GroupByKey]])*OutputTable[RecordedValue])),0)</f>
        <v>29.957767544617038</v>
      </c>
      <c r="M381" s="5" cm="1">
        <f t="array" ref="M381">MAX(IF((ProjectInfoTable[ProjectName]=OutputTable[[#This Row],[ProjectName]]),(ProjectInfoTable[ProjectName]=OutputTable[[#This Row],[ProjectName]])*ProjectInfoTable[ConfidenceInterval]))</f>
        <v>0.95</v>
      </c>
      <c r="N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14.439181758083874</v>
      </c>
      <c r="O381" s="5" cm="1">
        <f t="array" ref="O381">MIN(IF((OutputTable[GroupByKey]=OutputTable[[#This Row],[GroupByKey]]),(OutputTable[GroupByKey]=OutputTable[[#This Row],[GroupByKey]])*OutputTable[RecordedValue]))</f>
        <v>329</v>
      </c>
      <c r="P381" s="5" cm="1">
        <f t="array" ref="P381">MAX(IF((OutputTable[GroupByKey]=OutputTable[[#This Row],[GroupByKey]]),(OutputTable[GroupByKey]=OutputTable[[#This Row],[GroupByKey]])*OutputTable[RecordedValue]))</f>
        <v>443</v>
      </c>
    </row>
    <row r="382" spans="1:16" x14ac:dyDescent="0.25">
      <c r="A382" t="s">
        <v>67</v>
      </c>
      <c r="B382" t="s">
        <v>69</v>
      </c>
      <c r="C382">
        <v>19</v>
      </c>
      <c r="D382" t="s">
        <v>148</v>
      </c>
      <c r="E382" t="s">
        <v>149</v>
      </c>
      <c r="F382" t="s">
        <v>86</v>
      </c>
      <c r="G382">
        <v>222.71807453468799</v>
      </c>
      <c r="H382">
        <v>0</v>
      </c>
      <c r="I382" s="5" t="str">
        <f>OutputTable[[#This Row],[ProjectName]]&amp;OutputTable[[#This Row],[Name]]&amp;OutputTable[[#This Row],[Type]]&amp;OutputTable[[#This Row],[Source]]</f>
        <v>Friday (Solucion: datafono, gofre, cocina y caja compartida)Comer en Mesa Accum VA TimeAccum VA TimeProcess</v>
      </c>
      <c r="J382" s="5" cm="1">
        <f t="array" ref="J382">MAX(IF((ProjectInfoTable[ProjectName]=OutputTable[[#This Row],[ProjectName]]),(ProjectInfoTable[ProjectName]=OutputTable[[#This Row],[ProjectName]])*ProjectInfoTable[NumberOfReplications]))</f>
        <v>19</v>
      </c>
      <c r="K382" s="5" cm="1">
        <f t="array" ref="K382">IFERROR(AVERAGE(IF((OutputTable[GroupByKey]=OutputTable[[#This Row],[GroupByKey]]),(OutputTable[GroupByKey]=OutputTable[[#This Row],[GroupByKey]])*OutputTable[RecordedValue])),0)</f>
        <v>283.12549562397913</v>
      </c>
      <c r="L382" s="5" cm="1">
        <f t="array" ref="L382">IFERROR(_xlfn.STDEV.S(IF((OutputTable[GroupByKey]=OutputTable[[#This Row],[GroupByKey]]),(OutputTable[GroupByKey]=OutputTable[[#This Row],[GroupByKey]])*OutputTable[RecordedValue])),0)</f>
        <v>55.763238037894645</v>
      </c>
      <c r="M382" s="5" cm="1">
        <f t="array" ref="M382">MAX(IF((ProjectInfoTable[ProjectName]=OutputTable[[#This Row],[ProjectName]]),(ProjectInfoTable[ProjectName]=OutputTable[[#This Row],[ProjectName]])*ProjectInfoTable[ConfidenceInterval]))</f>
        <v>0.95</v>
      </c>
      <c r="N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26.877020400444863</v>
      </c>
      <c r="O382" s="5" cm="1">
        <f t="array" ref="O382">MIN(IF((OutputTable[GroupByKey]=OutputTable[[#This Row],[GroupByKey]]),(OutputTable[GroupByKey]=OutputTable[[#This Row],[GroupByKey]])*OutputTable[RecordedValue]))</f>
        <v>157.05073652574001</v>
      </c>
      <c r="P382" s="5" cm="1">
        <f t="array" ref="P382">MAX(IF((OutputTable[GroupByKey]=OutputTable[[#This Row],[GroupByKey]]),(OutputTable[GroupByKey]=OutputTable[[#This Row],[GroupByKey]])*OutputTable[RecordedValue]))</f>
        <v>402.97015039838902</v>
      </c>
    </row>
    <row r="383" spans="1:16" x14ac:dyDescent="0.25">
      <c r="A383" t="s">
        <v>67</v>
      </c>
      <c r="B383" t="s">
        <v>69</v>
      </c>
      <c r="C383">
        <v>19</v>
      </c>
      <c r="D383" t="s">
        <v>150</v>
      </c>
      <c r="E383" t="s">
        <v>151</v>
      </c>
      <c r="F383" t="s">
        <v>86</v>
      </c>
      <c r="G383">
        <v>0</v>
      </c>
      <c r="H383">
        <v>0</v>
      </c>
      <c r="I383" s="5" t="str">
        <f>OutputTable[[#This Row],[ProjectName]]&amp;OutputTable[[#This Row],[Name]]&amp;OutputTable[[#This Row],[Type]]&amp;OutputTable[[#This Row],[Source]]</f>
        <v>Friday (Solucion: datafono, gofre, cocina y caja compartida)Comer en Mesa Accum Wait TimeAccum Wait TimeProcess</v>
      </c>
      <c r="J383" s="5" cm="1">
        <f t="array" ref="J383">MAX(IF((ProjectInfoTable[ProjectName]=OutputTable[[#This Row],[ProjectName]]),(ProjectInfoTable[ProjectName]=OutputTable[[#This Row],[ProjectName]])*ProjectInfoTable[NumberOfReplications]))</f>
        <v>19</v>
      </c>
      <c r="K383" s="5" cm="1">
        <f t="array" ref="K383">IFERROR(AVERAGE(IF((OutputTable[GroupByKey]=OutputTable[[#This Row],[GroupByKey]]),(OutputTable[GroupByKey]=OutputTable[[#This Row],[GroupByKey]])*OutputTable[RecordedValue])),0)</f>
        <v>0</v>
      </c>
      <c r="L383" s="5" cm="1">
        <f t="array" ref="L383">IFERROR(_xlfn.STDEV.S(IF((OutputTable[GroupByKey]=OutputTable[[#This Row],[GroupByKey]]),(OutputTable[GroupByKey]=OutputTable[[#This Row],[GroupByKey]])*OutputTable[RecordedValue])),0)</f>
        <v>0</v>
      </c>
      <c r="M383" s="5" cm="1">
        <f t="array" ref="M383">MAX(IF((ProjectInfoTable[ProjectName]=OutputTable[[#This Row],[ProjectName]]),(ProjectInfoTable[ProjectName]=OutputTable[[#This Row],[ProjectName]])*ProjectInfoTable[ConfidenceInterval]))</f>
        <v>0.95</v>
      </c>
      <c r="N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3" s="5" cm="1">
        <f t="array" ref="O383">MIN(IF((OutputTable[GroupByKey]=OutputTable[[#This Row],[GroupByKey]]),(OutputTable[GroupByKey]=OutputTable[[#This Row],[GroupByKey]])*OutputTable[RecordedValue]))</f>
        <v>0</v>
      </c>
      <c r="P383" s="5" cm="1">
        <f t="array" ref="P383">MAX(IF((OutputTable[GroupByKey]=OutputTable[[#This Row],[GroupByKey]]),(OutputTable[GroupByKey]=OutputTable[[#This Row],[GroupByKey]])*OutputTable[RecordedValue]))</f>
        <v>0</v>
      </c>
    </row>
    <row r="384" spans="1:16" x14ac:dyDescent="0.25">
      <c r="A384" t="s">
        <v>67</v>
      </c>
      <c r="B384" t="s">
        <v>69</v>
      </c>
      <c r="C384">
        <v>19</v>
      </c>
      <c r="D384" t="s">
        <v>152</v>
      </c>
      <c r="E384" t="s">
        <v>145</v>
      </c>
      <c r="F384" t="s">
        <v>86</v>
      </c>
      <c r="G384">
        <v>17</v>
      </c>
      <c r="H384">
        <v>0</v>
      </c>
      <c r="I384" s="5" t="str">
        <f>OutputTable[[#This Row],[ProjectName]]&amp;OutputTable[[#This Row],[Name]]&amp;OutputTable[[#This Row],[Type]]&amp;OutputTable[[#This Row],[Source]]</f>
        <v>Friday (Solucion: datafono, gofre, cocina y caja compartida)Comer en Mesa Number InNumber InProcess</v>
      </c>
      <c r="J384" s="5" cm="1">
        <f t="array" ref="J384">MAX(IF((ProjectInfoTable[ProjectName]=OutputTable[[#This Row],[ProjectName]]),(ProjectInfoTable[ProjectName]=OutputTable[[#This Row],[ProjectName]])*ProjectInfoTable[NumberOfReplications]))</f>
        <v>19</v>
      </c>
      <c r="K384" s="5" cm="1">
        <f t="array" ref="K384">IFERROR(AVERAGE(IF((OutputTable[GroupByKey]=OutputTable[[#This Row],[GroupByKey]]),(OutputTable[GroupByKey]=OutputTable[[#This Row],[GroupByKey]])*OutputTable[RecordedValue])),0)</f>
        <v>16.157894736842106</v>
      </c>
      <c r="L384" s="5" cm="1">
        <f t="array" ref="L384">IFERROR(_xlfn.STDEV.S(IF((OutputTable[GroupByKey]=OutputTable[[#This Row],[GroupByKey]]),(OutputTable[GroupByKey]=OutputTable[[#This Row],[GroupByKey]])*OutputTable[RecordedValue])),0)</f>
        <v>3.8044295512634076</v>
      </c>
      <c r="M384" s="5" cm="1">
        <f t="array" ref="M384">MAX(IF((ProjectInfoTable[ProjectName]=OutputTable[[#This Row],[ProjectName]]),(ProjectInfoTable[ProjectName]=OutputTable[[#This Row],[ProjectName]])*ProjectInfoTable[ConfidenceInterval]))</f>
        <v>0.95</v>
      </c>
      <c r="N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384" s="5" cm="1">
        <f t="array" ref="O384">MIN(IF((OutputTable[GroupByKey]=OutputTable[[#This Row],[GroupByKey]]),(OutputTable[GroupByKey]=OutputTable[[#This Row],[GroupByKey]])*OutputTable[RecordedValue]))</f>
        <v>9</v>
      </c>
      <c r="P384" s="5" cm="1">
        <f t="array" ref="P384">MAX(IF((OutputTable[GroupByKey]=OutputTable[[#This Row],[GroupByKey]]),(OutputTable[GroupByKey]=OutputTable[[#This Row],[GroupByKey]])*OutputTable[RecordedValue]))</f>
        <v>24</v>
      </c>
    </row>
    <row r="385" spans="1:16" x14ac:dyDescent="0.25">
      <c r="A385" t="s">
        <v>67</v>
      </c>
      <c r="B385" t="s">
        <v>69</v>
      </c>
      <c r="C385">
        <v>19</v>
      </c>
      <c r="D385" t="s">
        <v>153</v>
      </c>
      <c r="E385" t="s">
        <v>147</v>
      </c>
      <c r="F385" t="s">
        <v>86</v>
      </c>
      <c r="G385">
        <v>17</v>
      </c>
      <c r="H385">
        <v>0</v>
      </c>
      <c r="I385" s="5" t="str">
        <f>OutputTable[[#This Row],[ProjectName]]&amp;OutputTable[[#This Row],[Name]]&amp;OutputTable[[#This Row],[Type]]&amp;OutputTable[[#This Row],[Source]]</f>
        <v>Friday (Solucion: datafono, gofre, cocina y caja compartida)Comer en Mesa Number OutNumber OutProcess</v>
      </c>
      <c r="J385" s="5" cm="1">
        <f t="array" ref="J385">MAX(IF((ProjectInfoTable[ProjectName]=OutputTable[[#This Row],[ProjectName]]),(ProjectInfoTable[ProjectName]=OutputTable[[#This Row],[ProjectName]])*ProjectInfoTable[NumberOfReplications]))</f>
        <v>19</v>
      </c>
      <c r="K385" s="5" cm="1">
        <f t="array" ref="K385">IFERROR(AVERAGE(IF((OutputTable[GroupByKey]=OutputTable[[#This Row],[GroupByKey]]),(OutputTable[GroupByKey]=OutputTable[[#This Row],[GroupByKey]])*OutputTable[RecordedValue])),0)</f>
        <v>16.263157894736842</v>
      </c>
      <c r="L385" s="5" cm="1">
        <f t="array" ref="L385">IFERROR(_xlfn.STDEV.S(IF((OutputTable[GroupByKey]=OutputTable[[#This Row],[GroupByKey]]),(OutputTable[GroupByKey]=OutputTable[[#This Row],[GroupByKey]])*OutputTable[RecordedValue])),0)</f>
        <v>3.3803698887540881</v>
      </c>
      <c r="M385" s="5" cm="1">
        <f t="array" ref="M385">MAX(IF((ProjectInfoTable[ProjectName]=OutputTable[[#This Row],[ProjectName]]),(ProjectInfoTable[ProjectName]=OutputTable[[#This Row],[ProjectName]])*ProjectInfoTable[ConfidenceInterval]))</f>
        <v>0.95</v>
      </c>
      <c r="N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1.6292861329062698</v>
      </c>
      <c r="O385" s="5" cm="1">
        <f t="array" ref="O385">MIN(IF((OutputTable[GroupByKey]=OutputTable[[#This Row],[GroupByKey]]),(OutputTable[GroupByKey]=OutputTable[[#This Row],[GroupByKey]])*OutputTable[RecordedValue]))</f>
        <v>8</v>
      </c>
      <c r="P385" s="5" cm="1">
        <f t="array" ref="P385">MAX(IF((OutputTable[GroupByKey]=OutputTable[[#This Row],[GroupByKey]]),(OutputTable[GroupByKey]=OutputTable[[#This Row],[GroupByKey]])*OutputTable[RecordedValue]))</f>
        <v>22</v>
      </c>
    </row>
    <row r="386" spans="1:16" x14ac:dyDescent="0.25">
      <c r="A386" t="s">
        <v>67</v>
      </c>
      <c r="B386" t="s">
        <v>69</v>
      </c>
      <c r="C386">
        <v>19</v>
      </c>
      <c r="D386" t="s">
        <v>154</v>
      </c>
      <c r="E386" t="s">
        <v>145</v>
      </c>
      <c r="F386" t="s">
        <v>72</v>
      </c>
      <c r="G386">
        <v>123</v>
      </c>
      <c r="H386">
        <v>0</v>
      </c>
      <c r="I386" s="5" t="str">
        <f>OutputTable[[#This Row],[ProjectName]]&amp;OutputTable[[#This Row],[Name]]&amp;OutputTable[[#This Row],[Type]]&amp;OutputTable[[#This Row],[Source]]</f>
        <v>Friday (Solucion: datafono, gofre, cocina y caja compartida)Orden.NumberInNumber InEntity</v>
      </c>
      <c r="J386" s="5" cm="1">
        <f t="array" ref="J386">MAX(IF((ProjectInfoTable[ProjectName]=OutputTable[[#This Row],[ProjectName]]),(ProjectInfoTable[ProjectName]=OutputTable[[#This Row],[ProjectName]])*ProjectInfoTable[NumberOfReplications]))</f>
        <v>19</v>
      </c>
      <c r="K386" s="5" cm="1">
        <f t="array" ref="K386">IFERROR(AVERAGE(IF((OutputTable[GroupByKey]=OutputTable[[#This Row],[GroupByKey]]),(OutputTable[GroupByKey]=OutputTable[[#This Row],[GroupByKey]])*OutputTable[RecordedValue])),0)</f>
        <v>121.89473684210526</v>
      </c>
      <c r="L386" s="5" cm="1">
        <f t="array" ref="L386">IFERROR(_xlfn.STDEV.S(IF((OutputTable[GroupByKey]=OutputTable[[#This Row],[GroupByKey]]),(OutputTable[GroupByKey]=OutputTable[[#This Row],[GroupByKey]])*OutputTable[RecordedValue])),0)</f>
        <v>9.971597090637573</v>
      </c>
      <c r="M386" s="5" cm="1">
        <f t="array" ref="M386">MAX(IF((ProjectInfoTable[ProjectName]=OutputTable[[#This Row],[ProjectName]]),(ProjectInfoTable[ProjectName]=OutputTable[[#This Row],[ProjectName]])*ProjectInfoTable[ConfidenceInterval]))</f>
        <v>0.95</v>
      </c>
      <c r="N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386" s="5" cm="1">
        <f t="array" ref="O386">MIN(IF((OutputTable[GroupByKey]=OutputTable[[#This Row],[GroupByKey]]),(OutputTable[GroupByKey]=OutputTable[[#This Row],[GroupByKey]])*OutputTable[RecordedValue]))</f>
        <v>109</v>
      </c>
      <c r="P386" s="5" cm="1">
        <f t="array" ref="P386">MAX(IF((OutputTable[GroupByKey]=OutputTable[[#This Row],[GroupByKey]]),(OutputTable[GroupByKey]=OutputTable[[#This Row],[GroupByKey]])*OutputTable[RecordedValue]))</f>
        <v>143</v>
      </c>
    </row>
    <row r="387" spans="1:16" x14ac:dyDescent="0.25">
      <c r="A387" t="s">
        <v>67</v>
      </c>
      <c r="B387" t="s">
        <v>69</v>
      </c>
      <c r="C387">
        <v>19</v>
      </c>
      <c r="D387" t="s">
        <v>155</v>
      </c>
      <c r="E387" t="s">
        <v>147</v>
      </c>
      <c r="F387" t="s">
        <v>72</v>
      </c>
      <c r="G387">
        <v>121</v>
      </c>
      <c r="H387">
        <v>0</v>
      </c>
      <c r="I387" s="5" t="str">
        <f>OutputTable[[#This Row],[ProjectName]]&amp;OutputTable[[#This Row],[Name]]&amp;OutputTable[[#This Row],[Type]]&amp;OutputTable[[#This Row],[Source]]</f>
        <v>Friday (Solucion: datafono, gofre, cocina y caja compartida)Orden.NumberOutNumber OutEntity</v>
      </c>
      <c r="J387" s="5" cm="1">
        <f t="array" ref="J387">MAX(IF((ProjectInfoTable[ProjectName]=OutputTable[[#This Row],[ProjectName]]),(ProjectInfoTable[ProjectName]=OutputTable[[#This Row],[ProjectName]])*ProjectInfoTable[NumberOfReplications]))</f>
        <v>19</v>
      </c>
      <c r="K387" s="5" cm="1">
        <f t="array" ref="K387">IFERROR(AVERAGE(IF((OutputTable[GroupByKey]=OutputTable[[#This Row],[GroupByKey]]),(OutputTable[GroupByKey]=OutputTable[[#This Row],[GroupByKey]])*OutputTable[RecordedValue])),0)</f>
        <v>122.36842105263158</v>
      </c>
      <c r="L387" s="5" cm="1">
        <f t="array" ref="L387">IFERROR(_xlfn.STDEV.S(IF((OutputTable[GroupByKey]=OutputTable[[#This Row],[GroupByKey]]),(OutputTable[GroupByKey]=OutputTable[[#This Row],[GroupByKey]])*OutputTable[RecordedValue])),0)</f>
        <v>10.160984894934533</v>
      </c>
      <c r="M387" s="5" cm="1">
        <f t="array" ref="M387">MAX(IF((ProjectInfoTable[ProjectName]=OutputTable[[#This Row],[ProjectName]]),(ProjectInfoTable[ProjectName]=OutputTable[[#This Row],[ProjectName]])*ProjectInfoTable[ConfidenceInterval]))</f>
        <v>0.95</v>
      </c>
      <c r="N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387" s="5" cm="1">
        <f t="array" ref="O387">MIN(IF((OutputTable[GroupByKey]=OutputTable[[#This Row],[GroupByKey]]),(OutputTable[GroupByKey]=OutputTable[[#This Row],[GroupByKey]])*OutputTable[RecordedValue]))</f>
        <v>109</v>
      </c>
      <c r="P387" s="5" cm="1">
        <f t="array" ref="P387">MAX(IF((OutputTable[GroupByKey]=OutputTable[[#This Row],[GroupByKey]]),(OutputTable[GroupByKey]=OutputTable[[#This Row],[GroupByKey]])*OutputTable[RecordedValue]))</f>
        <v>150</v>
      </c>
    </row>
    <row r="388" spans="1:16" x14ac:dyDescent="0.25">
      <c r="A388" t="s">
        <v>67</v>
      </c>
      <c r="B388" t="s">
        <v>69</v>
      </c>
      <c r="C388">
        <v>19</v>
      </c>
      <c r="D388" t="s">
        <v>156</v>
      </c>
      <c r="E388" t="s">
        <v>149</v>
      </c>
      <c r="F388" t="s">
        <v>86</v>
      </c>
      <c r="G388">
        <v>150.716127416186</v>
      </c>
      <c r="H388">
        <v>0</v>
      </c>
      <c r="I388" s="5" t="str">
        <f>OutputTable[[#This Row],[ProjectName]]&amp;OutputTable[[#This Row],[Name]]&amp;OutputTable[[#This Row],[Type]]&amp;OutputTable[[#This Row],[Source]]</f>
        <v>Friday (Solucion: datafono, gofre, cocina y caja compartida)Preparacion Accum VA TimeAccum VA TimeProcess</v>
      </c>
      <c r="J388" s="5" cm="1">
        <f t="array" ref="J388">MAX(IF((ProjectInfoTable[ProjectName]=OutputTable[[#This Row],[ProjectName]]),(ProjectInfoTable[ProjectName]=OutputTable[[#This Row],[ProjectName]])*ProjectInfoTable[NumberOfReplications]))</f>
        <v>19</v>
      </c>
      <c r="K388" s="5" cm="1">
        <f t="array" ref="K388">IFERROR(AVERAGE(IF((OutputTable[GroupByKey]=OutputTable[[#This Row],[GroupByKey]]),(OutputTable[GroupByKey]=OutputTable[[#This Row],[GroupByKey]])*OutputTable[RecordedValue])),0)</f>
        <v>174.13537587676447</v>
      </c>
      <c r="L388" s="5" cm="1">
        <f t="array" ref="L388">IFERROR(_xlfn.STDEV.S(IF((OutputTable[GroupByKey]=OutputTable[[#This Row],[GroupByKey]]),(OutputTable[GroupByKey]=OutputTable[[#This Row],[GroupByKey]])*OutputTable[RecordedValue])),0)</f>
        <v>19.65074675456297</v>
      </c>
      <c r="M388" s="5" cm="1">
        <f t="array" ref="M388">MAX(IF((ProjectInfoTable[ProjectName]=OutputTable[[#This Row],[ProjectName]]),(ProjectInfoTable[ProjectName]=OutputTable[[#This Row],[ProjectName]])*ProjectInfoTable[ConfidenceInterval]))</f>
        <v>0.95</v>
      </c>
      <c r="N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9.4713567574295272</v>
      </c>
      <c r="O388" s="5" cm="1">
        <f t="array" ref="O388">MIN(IF((OutputTable[GroupByKey]=OutputTable[[#This Row],[GroupByKey]]),(OutputTable[GroupByKey]=OutputTable[[#This Row],[GroupByKey]])*OutputTable[RecordedValue]))</f>
        <v>139.22471453685199</v>
      </c>
      <c r="P388" s="5" cm="1">
        <f t="array" ref="P388">MAX(IF((OutputTable[GroupByKey]=OutputTable[[#This Row],[GroupByKey]]),(OutputTable[GroupByKey]=OutputTable[[#This Row],[GroupByKey]])*OutputTable[RecordedValue]))</f>
        <v>210.18722493890999</v>
      </c>
    </row>
    <row r="389" spans="1:16" x14ac:dyDescent="0.25">
      <c r="A389" t="s">
        <v>67</v>
      </c>
      <c r="B389" t="s">
        <v>69</v>
      </c>
      <c r="C389">
        <v>19</v>
      </c>
      <c r="D389" t="s">
        <v>157</v>
      </c>
      <c r="E389" t="s">
        <v>151</v>
      </c>
      <c r="F389" t="s">
        <v>86</v>
      </c>
      <c r="G389">
        <v>35.670358238045601</v>
      </c>
      <c r="H389">
        <v>0</v>
      </c>
      <c r="I389" s="5" t="str">
        <f>OutputTable[[#This Row],[ProjectName]]&amp;OutputTable[[#This Row],[Name]]&amp;OutputTable[[#This Row],[Type]]&amp;OutputTable[[#This Row],[Source]]</f>
        <v>Friday (Solucion: datafono, gofre, cocina y caja compartida)Preparacion Accum Wait TimeAccum Wait TimeProcess</v>
      </c>
      <c r="J389" s="5" cm="1">
        <f t="array" ref="J389">MAX(IF((ProjectInfoTable[ProjectName]=OutputTable[[#This Row],[ProjectName]]),(ProjectInfoTable[ProjectName]=OutputTable[[#This Row],[ProjectName]])*ProjectInfoTable[NumberOfReplications]))</f>
        <v>19</v>
      </c>
      <c r="K389" s="5" cm="1">
        <f t="array" ref="K389">IFERROR(AVERAGE(IF((OutputTable[GroupByKey]=OutputTable[[#This Row],[GroupByKey]]),(OutputTable[GroupByKey]=OutputTable[[#This Row],[GroupByKey]])*OutputTable[RecordedValue])),0)</f>
        <v>89.754366677107924</v>
      </c>
      <c r="L389" s="5" cm="1">
        <f t="array" ref="L389">IFERROR(_xlfn.STDEV.S(IF((OutputTable[GroupByKey]=OutputTable[[#This Row],[GroupByKey]]),(OutputTable[GroupByKey]=OutputTable[[#This Row],[GroupByKey]])*OutputTable[RecordedValue])),0)</f>
        <v>109.53061123574736</v>
      </c>
      <c r="M389" s="5" cm="1">
        <f t="array" ref="M389">MAX(IF((ProjectInfoTable[ProjectName]=OutputTable[[#This Row],[ProjectName]]),(ProjectInfoTable[ProjectName]=OutputTable[[#This Row],[ProjectName]])*ProjectInfoTable[ConfidenceInterval]))</f>
        <v>0.95</v>
      </c>
      <c r="N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52.79206474085742</v>
      </c>
      <c r="O389" s="5" cm="1">
        <f t="array" ref="O389">MIN(IF((OutputTable[GroupByKey]=OutputTable[[#This Row],[GroupByKey]]),(OutputTable[GroupByKey]=OutputTable[[#This Row],[GroupByKey]])*OutputTable[RecordedValue]))</f>
        <v>22.316256244919199</v>
      </c>
      <c r="P389" s="5" cm="1">
        <f t="array" ref="P389">MAX(IF((OutputTable[GroupByKey]=OutputTable[[#This Row],[GroupByKey]]),(OutputTable[GroupByKey]=OutputTable[[#This Row],[GroupByKey]])*OutputTable[RecordedValue]))</f>
        <v>514.987116007179</v>
      </c>
    </row>
    <row r="390" spans="1:16" x14ac:dyDescent="0.25">
      <c r="A390" t="s">
        <v>67</v>
      </c>
      <c r="B390" t="s">
        <v>69</v>
      </c>
      <c r="C390">
        <v>19</v>
      </c>
      <c r="D390" t="s">
        <v>158</v>
      </c>
      <c r="E390" t="s">
        <v>145</v>
      </c>
      <c r="F390" t="s">
        <v>86</v>
      </c>
      <c r="G390">
        <v>123</v>
      </c>
      <c r="H390">
        <v>0</v>
      </c>
      <c r="I390" s="5" t="str">
        <f>OutputTable[[#This Row],[ProjectName]]&amp;OutputTable[[#This Row],[Name]]&amp;OutputTable[[#This Row],[Type]]&amp;OutputTable[[#This Row],[Source]]</f>
        <v>Friday (Solucion: datafono, gofre, cocina y caja compartida)Preparacion Number InNumber InProcess</v>
      </c>
      <c r="J390" s="5" cm="1">
        <f t="array" ref="J390">MAX(IF((ProjectInfoTable[ProjectName]=OutputTable[[#This Row],[ProjectName]]),(ProjectInfoTable[ProjectName]=OutputTable[[#This Row],[ProjectName]])*ProjectInfoTable[NumberOfReplications]))</f>
        <v>19</v>
      </c>
      <c r="K390" s="5" cm="1">
        <f t="array" ref="K390">IFERROR(AVERAGE(IF((OutputTable[GroupByKey]=OutputTable[[#This Row],[GroupByKey]]),(OutputTable[GroupByKey]=OutputTable[[#This Row],[GroupByKey]])*OutputTable[RecordedValue])),0)</f>
        <v>121.89473684210526</v>
      </c>
      <c r="L390" s="5" cm="1">
        <f t="array" ref="L390">IFERROR(_xlfn.STDEV.S(IF((OutputTable[GroupByKey]=OutputTable[[#This Row],[GroupByKey]]),(OutputTable[GroupByKey]=OutputTable[[#This Row],[GroupByKey]])*OutputTable[RecordedValue])),0)</f>
        <v>9.971597090637573</v>
      </c>
      <c r="M390" s="5" cm="1">
        <f t="array" ref="M390">MAX(IF((ProjectInfoTable[ProjectName]=OutputTable[[#This Row],[ProjectName]]),(ProjectInfoTable[ProjectName]=OutputTable[[#This Row],[ProjectName]])*ProjectInfoTable[ConfidenceInterval]))</f>
        <v>0.95</v>
      </c>
      <c r="N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4.8061559525642172</v>
      </c>
      <c r="O390" s="5" cm="1">
        <f t="array" ref="O390">MIN(IF((OutputTable[GroupByKey]=OutputTable[[#This Row],[GroupByKey]]),(OutputTable[GroupByKey]=OutputTable[[#This Row],[GroupByKey]])*OutputTable[RecordedValue]))</f>
        <v>109</v>
      </c>
      <c r="P390" s="5" cm="1">
        <f t="array" ref="P390">MAX(IF((OutputTable[GroupByKey]=OutputTable[[#This Row],[GroupByKey]]),(OutputTable[GroupByKey]=OutputTable[[#This Row],[GroupByKey]])*OutputTable[RecordedValue]))</f>
        <v>143</v>
      </c>
    </row>
    <row r="391" spans="1:16" x14ac:dyDescent="0.25">
      <c r="A391" t="s">
        <v>67</v>
      </c>
      <c r="B391" t="s">
        <v>69</v>
      </c>
      <c r="C391">
        <v>19</v>
      </c>
      <c r="D391" t="s">
        <v>159</v>
      </c>
      <c r="E391" t="s">
        <v>147</v>
      </c>
      <c r="F391" t="s">
        <v>86</v>
      </c>
      <c r="G391">
        <v>121</v>
      </c>
      <c r="H391">
        <v>0</v>
      </c>
      <c r="I391" s="5" t="str">
        <f>OutputTable[[#This Row],[ProjectName]]&amp;OutputTable[[#This Row],[Name]]&amp;OutputTable[[#This Row],[Type]]&amp;OutputTable[[#This Row],[Source]]</f>
        <v>Friday (Solucion: datafono, gofre, cocina y caja compartida)Preparacion Number OutNumber OutProcess</v>
      </c>
      <c r="J391" s="5" cm="1">
        <f t="array" ref="J391">MAX(IF((ProjectInfoTable[ProjectName]=OutputTable[[#This Row],[ProjectName]]),(ProjectInfoTable[ProjectName]=OutputTable[[#This Row],[ProjectName]])*ProjectInfoTable[NumberOfReplications]))</f>
        <v>19</v>
      </c>
      <c r="K391" s="5" cm="1">
        <f t="array" ref="K391">IFERROR(AVERAGE(IF((OutputTable[GroupByKey]=OutputTable[[#This Row],[GroupByKey]]),(OutputTable[GroupByKey]=OutputTable[[#This Row],[GroupByKey]])*OutputTable[RecordedValue])),0)</f>
        <v>122.31578947368421</v>
      </c>
      <c r="L391" s="5" cm="1">
        <f t="array" ref="L391">IFERROR(_xlfn.STDEV.S(IF((OutputTable[GroupByKey]=OutputTable[[#This Row],[GroupByKey]]),(OutputTable[GroupByKey]=OutputTable[[#This Row],[GroupByKey]])*OutputTable[RecordedValue])),0)</f>
        <v>10.127260414780096</v>
      </c>
      <c r="M391" s="5" cm="1">
        <f t="array" ref="M391">MAX(IF((ProjectInfoTable[ProjectName]=OutputTable[[#This Row],[ProjectName]]),(ProjectInfoTable[ProjectName]=OutputTable[[#This Row],[ProjectName]])*ProjectInfoTable[ConfidenceInterval]))</f>
        <v>0.95</v>
      </c>
      <c r="N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4.8811832731752718</v>
      </c>
      <c r="O391" s="5" cm="1">
        <f t="array" ref="O391">MIN(IF((OutputTable[GroupByKey]=OutputTable[[#This Row],[GroupByKey]]),(OutputTable[GroupByKey]=OutputTable[[#This Row],[GroupByKey]])*OutputTable[RecordedValue]))</f>
        <v>111</v>
      </c>
      <c r="P391" s="5" cm="1">
        <f t="array" ref="P391">MAX(IF((OutputTable[GroupByKey]=OutputTable[[#This Row],[GroupByKey]]),(OutputTable[GroupByKey]=OutputTable[[#This Row],[GroupByKey]])*OutputTable[RecordedValue]))</f>
        <v>150</v>
      </c>
    </row>
    <row r="392" spans="1:16" x14ac:dyDescent="0.25">
      <c r="A392" t="s">
        <v>67</v>
      </c>
      <c r="B392" t="s">
        <v>69</v>
      </c>
      <c r="C392">
        <v>19</v>
      </c>
      <c r="D392" t="s">
        <v>160</v>
      </c>
      <c r="E392" t="s">
        <v>147</v>
      </c>
      <c r="F392" t="s">
        <v>161</v>
      </c>
      <c r="G392">
        <v>124</v>
      </c>
      <c r="H392">
        <v>0</v>
      </c>
      <c r="I392" s="5" t="str">
        <f>OutputTable[[#This Row],[ProjectName]]&amp;OutputTable[[#This Row],[Name]]&amp;OutputTable[[#This Row],[Type]]&amp;OutputTable[[#This Row],[Source]]</f>
        <v>Friday (Solucion: datafono, gofre, cocina y caja compartida)System.NumberOutNumber OutSystem</v>
      </c>
      <c r="J392" s="5" cm="1">
        <f t="array" ref="J392">MAX(IF((ProjectInfoTable[ProjectName]=OutputTable[[#This Row],[ProjectName]]),(ProjectInfoTable[ProjectName]=OutputTable[[#This Row],[ProjectName]])*ProjectInfoTable[NumberOfReplications]))</f>
        <v>19</v>
      </c>
      <c r="K392" s="5" cm="1">
        <f t="array" ref="K392">IFERROR(AVERAGE(IF((OutputTable[GroupByKey]=OutputTable[[#This Row],[GroupByKey]]),(OutputTable[GroupByKey]=OutputTable[[#This Row],[GroupByKey]])*OutputTable[RecordedValue])),0)</f>
        <v>125.36842105263158</v>
      </c>
      <c r="L392" s="5" cm="1">
        <f t="array" ref="L392">IFERROR(_xlfn.STDEV.S(IF((OutputTable[GroupByKey]=OutputTable[[#This Row],[GroupByKey]]),(OutputTable[GroupByKey]=OutputTable[[#This Row],[GroupByKey]])*OutputTable[RecordedValue])),0)</f>
        <v>10.160984894934533</v>
      </c>
      <c r="M392" s="5" cm="1">
        <f t="array" ref="M392">MAX(IF((ProjectInfoTable[ProjectName]=OutputTable[[#This Row],[ProjectName]]),(ProjectInfoTable[ProjectName]=OutputTable[[#This Row],[ProjectName]])*ProjectInfoTable[ConfidenceInterval]))</f>
        <v>0.95</v>
      </c>
      <c r="N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4.8974379522971905</v>
      </c>
      <c r="O392" s="5" cm="1">
        <f t="array" ref="O392">MIN(IF((OutputTable[GroupByKey]=OutputTable[[#This Row],[GroupByKey]]),(OutputTable[GroupByKey]=OutputTable[[#This Row],[GroupByKey]])*OutputTable[RecordedValue]))</f>
        <v>112</v>
      </c>
      <c r="P392" s="5" cm="1">
        <f t="array" ref="P392">MAX(IF((OutputTable[GroupByKey]=OutputTable[[#This Row],[GroupByKey]]),(OutputTable[GroupByKey]=OutputTable[[#This Row],[GroupByKey]])*OutputTable[RecordedValue]))</f>
        <v>153</v>
      </c>
    </row>
    <row r="393" spans="1:16" x14ac:dyDescent="0.25">
      <c r="A393" t="s">
        <v>67</v>
      </c>
      <c r="B393" t="s">
        <v>69</v>
      </c>
      <c r="C393">
        <v>19</v>
      </c>
      <c r="D393" t="s">
        <v>162</v>
      </c>
      <c r="E393" t="s">
        <v>163</v>
      </c>
      <c r="F393" t="s">
        <v>136</v>
      </c>
      <c r="G393">
        <v>131</v>
      </c>
      <c r="H393">
        <v>0</v>
      </c>
      <c r="I393" s="5" t="str">
        <f>OutputTable[[#This Row],[ProjectName]]&amp;OutputTable[[#This Row],[Name]]&amp;OutputTable[[#This Row],[Type]]&amp;OutputTable[[#This Row],[Source]]</f>
        <v>Friday (Solucion: datafono, gofre, cocina y caja compartida)rCajero.NumberSeizedTotal Number SeizedResource</v>
      </c>
      <c r="J393" s="5" cm="1">
        <f t="array" ref="J393">MAX(IF((ProjectInfoTable[ProjectName]=OutputTable[[#This Row],[ProjectName]]),(ProjectInfoTable[ProjectName]=OutputTable[[#This Row],[ProjectName]])*ProjectInfoTable[NumberOfReplications]))</f>
        <v>19</v>
      </c>
      <c r="K393" s="5" cm="1">
        <f t="array" ref="K393">IFERROR(AVERAGE(IF((OutputTable[GroupByKey]=OutputTable[[#This Row],[GroupByKey]]),(OutputTable[GroupByKey]=OutputTable[[#This Row],[GroupByKey]])*OutputTable[RecordedValue])),0)</f>
        <v>131.63157894736841</v>
      </c>
      <c r="L393" s="5" cm="1">
        <f t="array" ref="L393">IFERROR(_xlfn.STDEV.S(IF((OutputTable[GroupByKey]=OutputTable[[#This Row],[GroupByKey]]),(OutputTable[GroupByKey]=OutputTable[[#This Row],[GroupByKey]])*OutputTable[RecordedValue])),0)</f>
        <v>13.988926280438102</v>
      </c>
      <c r="M393" s="5" cm="1">
        <f t="array" ref="M393">MAX(IF((ProjectInfoTable[ProjectName]=OutputTable[[#This Row],[ProjectName]]),(ProjectInfoTable[ProjectName]=OutputTable[[#This Row],[ProjectName]])*ProjectInfoTable[ConfidenceInterval]))</f>
        <v>0.95</v>
      </c>
      <c r="N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6.7424466413544986</v>
      </c>
      <c r="O393" s="5" cm="1">
        <f t="array" ref="O393">MIN(IF((OutputTable[GroupByKey]=OutputTable[[#This Row],[GroupByKey]]),(OutputTable[GroupByKey]=OutputTable[[#This Row],[GroupByKey]])*OutputTable[RecordedValue]))</f>
        <v>113</v>
      </c>
      <c r="P393" s="5" cm="1">
        <f t="array" ref="P393">MAX(IF((OutputTable[GroupByKey]=OutputTable[[#This Row],[GroupByKey]]),(OutputTable[GroupByKey]=OutputTable[[#This Row],[GroupByKey]])*OutputTable[RecordedValue]))</f>
        <v>157</v>
      </c>
    </row>
    <row r="394" spans="1:16" x14ac:dyDescent="0.25">
      <c r="A394" t="s">
        <v>67</v>
      </c>
      <c r="B394" t="s">
        <v>69</v>
      </c>
      <c r="C394">
        <v>19</v>
      </c>
      <c r="D394" t="s">
        <v>164</v>
      </c>
      <c r="E394" t="s">
        <v>165</v>
      </c>
      <c r="F394" t="s">
        <v>136</v>
      </c>
      <c r="G394">
        <v>0.65224560006994103</v>
      </c>
      <c r="H394">
        <v>0</v>
      </c>
      <c r="I394" s="5" t="str">
        <f>OutputTable[[#This Row],[ProjectName]]&amp;OutputTable[[#This Row],[Name]]&amp;OutputTable[[#This Row],[Type]]&amp;OutputTable[[#This Row],[Source]]</f>
        <v>Friday (Solucion: datafono, gofre, cocina y caja compartida)rCajero.ScheduledUtilizationScheduled UtilizationResource</v>
      </c>
      <c r="J394" s="5" cm="1">
        <f t="array" ref="J394">MAX(IF((ProjectInfoTable[ProjectName]=OutputTable[[#This Row],[ProjectName]]),(ProjectInfoTable[ProjectName]=OutputTable[[#This Row],[ProjectName]])*ProjectInfoTable[NumberOfReplications]))</f>
        <v>19</v>
      </c>
      <c r="K394" s="5" cm="1">
        <f t="array" ref="K394">IFERROR(AVERAGE(IF((OutputTable[GroupByKey]=OutputTable[[#This Row],[GroupByKey]]),(OutputTable[GroupByKey]=OutputTable[[#This Row],[GroupByKey]])*OutputTable[RecordedValue])),0)</f>
        <v>0.68474836505339687</v>
      </c>
      <c r="L394" s="5" cm="1">
        <f t="array" ref="L394">IFERROR(_xlfn.STDEV.S(IF((OutputTable[GroupByKey]=OutputTable[[#This Row],[GroupByKey]]),(OutputTable[GroupByKey]=OutputTable[[#This Row],[GroupByKey]])*OutputTable[RecordedValue])),0)</f>
        <v>6.2272947935973065E-2</v>
      </c>
      <c r="M394" s="5" cm="1">
        <f t="array" ref="M394">MAX(IF((ProjectInfoTable[ProjectName]=OutputTable[[#This Row],[ProjectName]]),(ProjectInfoTable[ProjectName]=OutputTable[[#This Row],[ProjectName]])*ProjectInfoTable[ConfidenceInterval]))</f>
        <v>0.95</v>
      </c>
      <c r="N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3.0014600137344902E-2</v>
      </c>
      <c r="O394" s="5" cm="1">
        <f t="array" ref="O394">MIN(IF((OutputTable[GroupByKey]=OutputTable[[#This Row],[GroupByKey]]),(OutputTable[GroupByKey]=OutputTable[[#This Row],[GroupByKey]])*OutputTable[RecordedValue]))</f>
        <v>0.59592290927233305</v>
      </c>
      <c r="P394" s="5" cm="1">
        <f t="array" ref="P394">MAX(IF((OutputTable[GroupByKey]=OutputTable[[#This Row],[GroupByKey]]),(OutputTable[GroupByKey]=OutputTable[[#This Row],[GroupByKey]])*OutputTable[RecordedValue]))</f>
        <v>0.82897119936997599</v>
      </c>
    </row>
    <row r="395" spans="1:16" x14ac:dyDescent="0.25">
      <c r="A395" t="s">
        <v>67</v>
      </c>
      <c r="B395" t="s">
        <v>69</v>
      </c>
      <c r="C395">
        <v>19</v>
      </c>
      <c r="D395" t="s">
        <v>166</v>
      </c>
      <c r="E395" t="s">
        <v>163</v>
      </c>
      <c r="F395" t="s">
        <v>136</v>
      </c>
      <c r="G395">
        <v>115</v>
      </c>
      <c r="H395">
        <v>0</v>
      </c>
      <c r="I395" s="5" t="str">
        <f>OutputTable[[#This Row],[ProjectName]]&amp;OutputTable[[#This Row],[Name]]&amp;OutputTable[[#This Row],[Type]]&amp;OutputTable[[#This Row],[Source]]</f>
        <v>Friday (Solucion: datafono, gofre, cocina y caja compartida)rCocina.NumberSeizedTotal Number SeizedResource</v>
      </c>
      <c r="J395" s="5" cm="1">
        <f t="array" ref="J395">MAX(IF((ProjectInfoTable[ProjectName]=OutputTable[[#This Row],[ProjectName]]),(ProjectInfoTable[ProjectName]=OutputTable[[#This Row],[ProjectName]])*ProjectInfoTable[NumberOfReplications]))</f>
        <v>19</v>
      </c>
      <c r="K395" s="5" cm="1">
        <f t="array" ref="K395">IFERROR(AVERAGE(IF((OutputTable[GroupByKey]=OutputTable[[#This Row],[GroupByKey]]),(OutputTable[GroupByKey]=OutputTable[[#This Row],[GroupByKey]])*OutputTable[RecordedValue])),0)</f>
        <v>112.73684210526316</v>
      </c>
      <c r="L395" s="5" cm="1">
        <f t="array" ref="L395">IFERROR(_xlfn.STDEV.S(IF((OutputTable[GroupByKey]=OutputTable[[#This Row],[GroupByKey]]),(OutputTable[GroupByKey]=OutputTable[[#This Row],[GroupByKey]])*OutputTable[RecordedValue])),0)</f>
        <v>9.1155673027772668</v>
      </c>
      <c r="M395" s="5" cm="1">
        <f t="array" ref="M395">MAX(IF((ProjectInfoTable[ProjectName]=OutputTable[[#This Row],[ProjectName]]),(ProjectInfoTable[ProjectName]=OutputTable[[#This Row],[ProjectName]])*ProjectInfoTable[ConfidenceInterval]))</f>
        <v>0.95</v>
      </c>
      <c r="N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4.3935628019284003</v>
      </c>
      <c r="O395" s="5" cm="1">
        <f t="array" ref="O395">MIN(IF((OutputTable[GroupByKey]=OutputTable[[#This Row],[GroupByKey]]),(OutputTable[GroupByKey]=OutputTable[[#This Row],[GroupByKey]])*OutputTable[RecordedValue]))</f>
        <v>102</v>
      </c>
      <c r="P395" s="5" cm="1">
        <f t="array" ref="P395">MAX(IF((OutputTable[GroupByKey]=OutputTable[[#This Row],[GroupByKey]]),(OutputTable[GroupByKey]=OutputTable[[#This Row],[GroupByKey]])*OutputTable[RecordedValue]))</f>
        <v>135</v>
      </c>
    </row>
    <row r="396" spans="1:16" x14ac:dyDescent="0.25">
      <c r="A396" t="s">
        <v>67</v>
      </c>
      <c r="B396" t="s">
        <v>69</v>
      </c>
      <c r="C396">
        <v>19</v>
      </c>
      <c r="D396" t="s">
        <v>167</v>
      </c>
      <c r="E396" t="s">
        <v>165</v>
      </c>
      <c r="F396" t="s">
        <v>136</v>
      </c>
      <c r="G396">
        <v>0.63808039454691601</v>
      </c>
      <c r="H396">
        <v>0</v>
      </c>
      <c r="I396" s="5" t="str">
        <f>OutputTable[[#This Row],[ProjectName]]&amp;OutputTable[[#This Row],[Name]]&amp;OutputTable[[#This Row],[Type]]&amp;OutputTable[[#This Row],[Source]]</f>
        <v>Friday (Solucion: datafono, gofre, cocina y caja compartida)rCocina.ScheduledUtilizationScheduled UtilizationResource</v>
      </c>
      <c r="J396" s="5" cm="1">
        <f t="array" ref="J396">MAX(IF((ProjectInfoTable[ProjectName]=OutputTable[[#This Row],[ProjectName]]),(ProjectInfoTable[ProjectName]=OutputTable[[#This Row],[ProjectName]])*ProjectInfoTable[NumberOfReplications]))</f>
        <v>19</v>
      </c>
      <c r="K396" s="5" cm="1">
        <f t="array" ref="K396">IFERROR(AVERAGE(IF((OutputTable[GroupByKey]=OutputTable[[#This Row],[GroupByKey]]),(OutputTable[GroupByKey]=OutputTable[[#This Row],[GroupByKey]])*OutputTable[RecordedValue])),0)</f>
        <v>0.71670342302257706</v>
      </c>
      <c r="L396" s="5" cm="1">
        <f t="array" ref="L396">IFERROR(_xlfn.STDEV.S(IF((OutputTable[GroupByKey]=OutputTable[[#This Row],[GroupByKey]]),(OutputTable[GroupByKey]=OutputTable[[#This Row],[GroupByKey]])*OutputTable[RecordedValue])),0)</f>
        <v>7.0907274842727658E-2</v>
      </c>
      <c r="M396" s="5" cm="1">
        <f t="array" ref="M396">MAX(IF((ProjectInfoTable[ProjectName]=OutputTable[[#This Row],[ProjectName]]),(ProjectInfoTable[ProjectName]=OutputTable[[#This Row],[ProjectName]])*ProjectInfoTable[ConfidenceInterval]))</f>
        <v>0.95</v>
      </c>
      <c r="N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3.4176212493127585E-2</v>
      </c>
      <c r="O396" s="5" cm="1">
        <f t="array" ref="O396">MIN(IF((OutputTable[GroupByKey]=OutputTable[[#This Row],[GroupByKey]]),(OutputTable[GroupByKey]=OutputTable[[#This Row],[GroupByKey]])*OutputTable[RecordedValue]))</f>
        <v>0.60463940272025996</v>
      </c>
      <c r="P396" s="5" cm="1">
        <f t="array" ref="P396">MAX(IF((OutputTable[GroupByKey]=OutputTable[[#This Row],[GroupByKey]]),(OutputTable[GroupByKey]=OutputTable[[#This Row],[GroupByKey]])*OutputTable[RecordedValue]))</f>
        <v>0.86361037821575004</v>
      </c>
    </row>
    <row r="397" spans="1:16" x14ac:dyDescent="0.25">
      <c r="A397" t="s">
        <v>67</v>
      </c>
      <c r="B397" t="s">
        <v>69</v>
      </c>
      <c r="C397">
        <v>19</v>
      </c>
      <c r="D397" t="s">
        <v>168</v>
      </c>
      <c r="E397" t="s">
        <v>163</v>
      </c>
      <c r="F397" t="s">
        <v>136</v>
      </c>
      <c r="G397">
        <v>17</v>
      </c>
      <c r="H397">
        <v>0</v>
      </c>
      <c r="I397" s="5" t="str">
        <f>OutputTable[[#This Row],[ProjectName]]&amp;OutputTable[[#This Row],[Name]]&amp;OutputTable[[#This Row],[Type]]&amp;OutputTable[[#This Row],[Source]]</f>
        <v>Friday (Solucion: datafono, gofre, cocina y caja compartida)rMesa.NumberSeizedTotal Number SeizedResource</v>
      </c>
      <c r="J397" s="5" cm="1">
        <f t="array" ref="J397">MAX(IF((ProjectInfoTable[ProjectName]=OutputTable[[#This Row],[ProjectName]]),(ProjectInfoTable[ProjectName]=OutputTable[[#This Row],[ProjectName]])*ProjectInfoTable[NumberOfReplications]))</f>
        <v>19</v>
      </c>
      <c r="K397" s="5" cm="1">
        <f t="array" ref="K397">IFERROR(AVERAGE(IF((OutputTable[GroupByKey]=OutputTable[[#This Row],[GroupByKey]]),(OutputTable[GroupByKey]=OutputTable[[#This Row],[GroupByKey]])*OutputTable[RecordedValue])),0)</f>
        <v>16.157894736842106</v>
      </c>
      <c r="L397" s="5" cm="1">
        <f t="array" ref="L397">IFERROR(_xlfn.STDEV.S(IF((OutputTable[GroupByKey]=OutputTable[[#This Row],[GroupByKey]]),(OutputTable[GroupByKey]=OutputTable[[#This Row],[GroupByKey]])*OutputTable[RecordedValue])),0)</f>
        <v>3.8044295512634076</v>
      </c>
      <c r="M397" s="5" cm="1">
        <f t="array" ref="M397">MAX(IF((ProjectInfoTable[ProjectName]=OutputTable[[#This Row],[ProjectName]]),(ProjectInfoTable[ProjectName]=OutputTable[[#This Row],[ProjectName]])*ProjectInfoTable[ConfidenceInterval]))</f>
        <v>0.95</v>
      </c>
      <c r="N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1.8336763477019644</v>
      </c>
      <c r="O397" s="5" cm="1">
        <f t="array" ref="O397">MIN(IF((OutputTable[GroupByKey]=OutputTable[[#This Row],[GroupByKey]]),(OutputTable[GroupByKey]=OutputTable[[#This Row],[GroupByKey]])*OutputTable[RecordedValue]))</f>
        <v>9</v>
      </c>
      <c r="P397" s="5" cm="1">
        <f t="array" ref="P397">MAX(IF((OutputTable[GroupByKey]=OutputTable[[#This Row],[GroupByKey]]),(OutputTable[GroupByKey]=OutputTable[[#This Row],[GroupByKey]])*OutputTable[RecordedValue]))</f>
        <v>24</v>
      </c>
    </row>
    <row r="398" spans="1:16" x14ac:dyDescent="0.25">
      <c r="A398" t="s">
        <v>67</v>
      </c>
      <c r="B398" t="s">
        <v>69</v>
      </c>
      <c r="C398">
        <v>19</v>
      </c>
      <c r="D398" t="s">
        <v>169</v>
      </c>
      <c r="E398" t="s">
        <v>165</v>
      </c>
      <c r="F398" t="s">
        <v>136</v>
      </c>
      <c r="G398">
        <v>0.25301208694421801</v>
      </c>
      <c r="H398">
        <v>0</v>
      </c>
      <c r="I398" s="5" t="str">
        <f>OutputTable[[#This Row],[ProjectName]]&amp;OutputTable[[#This Row],[Name]]&amp;OutputTable[[#This Row],[Type]]&amp;OutputTable[[#This Row],[Source]]</f>
        <v>Friday (Solucion: datafono, gofre, cocina y caja compartida)rMesa.ScheduledUtilizationScheduled UtilizationResource</v>
      </c>
      <c r="J398" s="5" cm="1">
        <f t="array" ref="J398">MAX(IF((ProjectInfoTable[ProjectName]=OutputTable[[#This Row],[ProjectName]]),(ProjectInfoTable[ProjectName]=OutputTable[[#This Row],[ProjectName]])*ProjectInfoTable[NumberOfReplications]))</f>
        <v>19</v>
      </c>
      <c r="K398" s="5" cm="1">
        <f t="array" ref="K398">IFERROR(AVERAGE(IF((OutputTable[GroupByKey]=OutputTable[[#This Row],[GroupByKey]]),(OutputTable[GroupByKey]=OutputTable[[#This Row],[GroupByKey]])*OutputTable[RecordedValue])),0)</f>
        <v>0.30850610959128744</v>
      </c>
      <c r="L398" s="5" cm="1">
        <f t="array" ref="L398">IFERROR(_xlfn.STDEV.S(IF((OutputTable[GroupByKey]=OutputTable[[#This Row],[GroupByKey]]),(OutputTable[GroupByKey]=OutputTable[[#This Row],[GroupByKey]])*OutputTable[RecordedValue])),0)</f>
        <v>6.2586127702931107E-2</v>
      </c>
      <c r="M398" s="5" cm="1">
        <f t="array" ref="M398">MAX(IF((ProjectInfoTable[ProjectName]=OutputTable[[#This Row],[ProjectName]]),(ProjectInfoTable[ProjectName]=OutputTable[[#This Row],[ProjectName]])*ProjectInfoTable[ConfidenceInterval]))</f>
        <v>0.95</v>
      </c>
      <c r="N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3.0165547953176861E-2</v>
      </c>
      <c r="O398" s="5" cm="1">
        <f t="array" ref="O398">MIN(IF((OutputTable[GroupByKey]=OutputTable[[#This Row],[GroupByKey]]),(OutputTable[GroupByKey]=OutputTable[[#This Row],[GroupByKey]])*OutputTable[RecordedValue]))</f>
        <v>0.156206445320244</v>
      </c>
      <c r="P398" s="5" cm="1">
        <f t="array" ref="P398">MAX(IF((OutputTable[GroupByKey]=OutputTable[[#This Row],[GroupByKey]]),(OutputTable[GroupByKey]=OutputTable[[#This Row],[GroupByKey]])*OutputTable[RecordedValue]))</f>
        <v>0.44942505379986802</v>
      </c>
    </row>
    <row r="399" spans="1:16" x14ac:dyDescent="0.25">
      <c r="A399" t="s">
        <v>67</v>
      </c>
      <c r="B399" t="s">
        <v>69</v>
      </c>
      <c r="C399">
        <v>19</v>
      </c>
      <c r="D399" t="s">
        <v>170</v>
      </c>
      <c r="E399" t="s">
        <v>145</v>
      </c>
      <c r="F399" t="s">
        <v>72</v>
      </c>
      <c r="G399">
        <v>3</v>
      </c>
      <c r="H399">
        <v>0</v>
      </c>
      <c r="I399" s="5" t="str">
        <f>OutputTable[[#This Row],[ProjectName]]&amp;OutputTable[[#This Row],[Name]]&amp;OutputTable[[#This Row],[Type]]&amp;OutputTable[[#This Row],[Source]]</f>
        <v>Friday (Solucion: datafono, gofre, cocina y caja compartida)reloj.NumberInNumber InEntity</v>
      </c>
      <c r="J399" s="5" cm="1">
        <f t="array" ref="J399">MAX(IF((ProjectInfoTable[ProjectName]=OutputTable[[#This Row],[ProjectName]]),(ProjectInfoTable[ProjectName]=OutputTable[[#This Row],[ProjectName]])*ProjectInfoTable[NumberOfReplications]))</f>
        <v>19</v>
      </c>
      <c r="K399" s="5" cm="1">
        <f t="array" ref="K399">IFERROR(AVERAGE(IF((OutputTable[GroupByKey]=OutputTable[[#This Row],[GroupByKey]]),(OutputTable[GroupByKey]=OutputTable[[#This Row],[GroupByKey]])*OutputTable[RecordedValue])),0)</f>
        <v>3</v>
      </c>
      <c r="L399" s="5" cm="1">
        <f t="array" ref="L399">IFERROR(_xlfn.STDEV.S(IF((OutputTable[GroupByKey]=OutputTable[[#This Row],[GroupByKey]]),(OutputTable[GroupByKey]=OutputTable[[#This Row],[GroupByKey]])*OutputTable[RecordedValue])),0)</f>
        <v>0</v>
      </c>
      <c r="M399" s="5" cm="1">
        <f t="array" ref="M399">MAX(IF((ProjectInfoTable[ProjectName]=OutputTable[[#This Row],[ProjectName]]),(ProjectInfoTable[ProjectName]=OutputTable[[#This Row],[ProjectName]])*ProjectInfoTable[ConfidenceInterval]))</f>
        <v>0.95</v>
      </c>
      <c r="N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9" s="5" cm="1">
        <f t="array" ref="O399">MIN(IF((OutputTable[GroupByKey]=OutputTable[[#This Row],[GroupByKey]]),(OutputTable[GroupByKey]=OutputTable[[#This Row],[GroupByKey]])*OutputTable[RecordedValue]))</f>
        <v>3</v>
      </c>
      <c r="P399" s="5" cm="1">
        <f t="array" ref="P399">MAX(IF((OutputTable[GroupByKey]=OutputTable[[#This Row],[GroupByKey]]),(OutputTable[GroupByKey]=OutputTable[[#This Row],[GroupByKey]])*OutputTable[RecordedValue]))</f>
        <v>3</v>
      </c>
    </row>
    <row r="400" spans="1:16" x14ac:dyDescent="0.25">
      <c r="A400" t="s">
        <v>67</v>
      </c>
      <c r="B400" t="s">
        <v>69</v>
      </c>
      <c r="C400">
        <v>19</v>
      </c>
      <c r="D400" t="s">
        <v>171</v>
      </c>
      <c r="E400" t="s">
        <v>147</v>
      </c>
      <c r="F400" t="s">
        <v>72</v>
      </c>
      <c r="G400">
        <v>3</v>
      </c>
      <c r="H400">
        <v>0</v>
      </c>
      <c r="I400" s="5" t="str">
        <f>OutputTable[[#This Row],[ProjectName]]&amp;OutputTable[[#This Row],[Name]]&amp;OutputTable[[#This Row],[Type]]&amp;OutputTable[[#This Row],[Source]]</f>
        <v>Friday (Solucion: datafono, gofre, cocina y caja compartida)reloj.NumberOutNumber OutEntity</v>
      </c>
      <c r="J400" s="5" cm="1">
        <f t="array" ref="J400">MAX(IF((ProjectInfoTable[ProjectName]=OutputTable[[#This Row],[ProjectName]]),(ProjectInfoTable[ProjectName]=OutputTable[[#This Row],[ProjectName]])*ProjectInfoTable[NumberOfReplications]))</f>
        <v>19</v>
      </c>
      <c r="K400" s="5" cm="1">
        <f t="array" ref="K400">IFERROR(AVERAGE(IF((OutputTable[GroupByKey]=OutputTable[[#This Row],[GroupByKey]]),(OutputTable[GroupByKey]=OutputTable[[#This Row],[GroupByKey]])*OutputTable[RecordedValue])),0)</f>
        <v>3</v>
      </c>
      <c r="L400" s="5" cm="1">
        <f t="array" ref="L400">IFERROR(_xlfn.STDEV.S(IF((OutputTable[GroupByKey]=OutputTable[[#This Row],[GroupByKey]]),(OutputTable[GroupByKey]=OutputTable[[#This Row],[GroupByKey]])*OutputTable[RecordedValue])),0)</f>
        <v>0</v>
      </c>
      <c r="M400" s="5" cm="1">
        <f t="array" ref="M400">MAX(IF((ProjectInfoTable[ProjectName]=OutputTable[[#This Row],[ProjectName]]),(ProjectInfoTable[ProjectName]=OutputTable[[#This Row],[ProjectName]])*ProjectInfoTable[ConfidenceInterval]))</f>
        <v>0.95</v>
      </c>
      <c r="N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0" s="5" cm="1">
        <f t="array" ref="O400">MIN(IF((OutputTable[GroupByKey]=OutputTable[[#This Row],[GroupByKey]]),(OutputTable[GroupByKey]=OutputTable[[#This Row],[GroupByKey]])*OutputTable[RecordedValue]))</f>
        <v>3</v>
      </c>
      <c r="P400" s="5" cm="1">
        <f t="array" ref="P400">MAX(IF((OutputTable[GroupByKey]=OutputTable[[#This Row],[GroupByKey]]),(OutputTable[GroupByKey]=OutputTable[[#This Row],[GroupByKey]])*OutputTable[RecordedValue]))</f>
        <v>3</v>
      </c>
    </row>
  </sheetData>
  <phoneticPr fontId="2" type="noConversion"/>
  <conditionalFormatting sqref="I2:P400">
    <cfRule type="expression" dxfId="3" priority="2">
      <formula>MOD(ROW(),2)=0</formula>
    </cfRule>
  </conditionalFormatting>
  <conditionalFormatting sqref="N2:N400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14.85546875" bestFit="1" customWidth="1"/>
    <col min="2" max="2" width="22.140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28515625" bestFit="1" customWidth="1"/>
    <col min="8" max="8" width="22.42578125" bestFit="1" customWidth="1"/>
    <col min="9" max="9" width="24.85546875" bestFit="1" customWidth="1"/>
    <col min="10" max="10" width="26" bestFit="1" customWidth="1"/>
    <col min="11" max="11" width="16" bestFit="1" customWidth="1"/>
    <col min="12" max="12" width="14.28515625" bestFit="1" customWidth="1"/>
    <col min="13" max="13" width="29.85546875" bestFit="1" customWidth="1"/>
    <col min="14" max="14" width="31" bestFit="1" customWidth="1"/>
    <col min="15" max="15" width="17.140625" bestFit="1" customWidth="1"/>
    <col min="16" max="16" width="28.85546875" bestFit="1" customWidth="1"/>
    <col min="17" max="17" width="30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66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Nicolas Joel Caceres Parra</cp:lastModifiedBy>
  <cp:lastPrinted>2022-03-22T10:33:10Z</cp:lastPrinted>
  <dcterms:created xsi:type="dcterms:W3CDTF">2020-06-29T21:30:31Z</dcterms:created>
  <dcterms:modified xsi:type="dcterms:W3CDTF">2025-05-18T23:56:21Z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